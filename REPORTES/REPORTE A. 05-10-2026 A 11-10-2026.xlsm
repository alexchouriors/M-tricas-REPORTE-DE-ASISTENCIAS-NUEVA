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69A8CBE1-9A35-48E6-98B8-EA0F28066101}" xr6:coauthVersionLast="47" xr6:coauthVersionMax="47" xr10:uidLastSave="{00000000-0000-0000-0000-000000000000}"/>
  <bookViews>
    <workbookView xWindow="345" yWindow="3015" windowWidth="16200" windowHeight="9810" xr2:uid="{00000000-000D-0000-FFFF-FFFF00000000}"/>
  </bookViews>
  <sheets>
    <sheet name="05-10-2026 A 11-10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'05-10-2026 A 11-10-2026'!$A$22:$AI$22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8" i="1" l="1"/>
  <c r="F203" i="1"/>
  <c r="F542" i="1"/>
  <c r="F541" i="1"/>
  <c r="F392" i="1"/>
  <c r="F490" i="1"/>
  <c r="F275" i="1"/>
  <c r="F274" i="1"/>
  <c r="F276" i="1"/>
  <c r="F277" i="1"/>
  <c r="F358" i="1"/>
  <c r="F534" i="1"/>
  <c r="F476" i="1"/>
  <c r="F538" i="1"/>
  <c r="F537" i="1"/>
  <c r="F540" i="1"/>
  <c r="F493" i="1"/>
  <c r="F492" i="1"/>
  <c r="F1668" i="8"/>
  <c r="C425" i="1"/>
  <c r="C426" i="1"/>
  <c r="C548" i="1" l="1"/>
  <c r="A1685" i="8"/>
  <c r="C19" i="1"/>
  <c r="C302" i="1" l="1"/>
  <c r="E302" i="1" s="1"/>
  <c r="C655" i="1"/>
  <c r="E655" i="1" s="1"/>
  <c r="C651" i="1"/>
  <c r="E651" i="1" s="1"/>
  <c r="C647" i="1"/>
  <c r="E647" i="1" s="1"/>
  <c r="C648" i="1"/>
  <c r="E648" i="1" s="1"/>
  <c r="E425" i="1"/>
  <c r="C91" i="1"/>
  <c r="C300" i="1"/>
  <c r="E300" i="1" s="1"/>
  <c r="C299" i="1"/>
  <c r="E299" i="1" s="1"/>
  <c r="C96" i="1"/>
  <c r="C98" i="1"/>
  <c r="C545" i="1"/>
  <c r="C431" i="1"/>
  <c r="E431" i="1" s="1"/>
  <c r="C307" i="1"/>
  <c r="E307" i="1" s="1"/>
  <c r="C305" i="1"/>
  <c r="E305" i="1" s="1"/>
  <c r="C303" i="1"/>
  <c r="E303" i="1" s="1"/>
  <c r="C610" i="1"/>
  <c r="J573" i="1" s="1"/>
  <c r="C650" i="1"/>
  <c r="E650" i="1" s="1"/>
  <c r="C653" i="1"/>
  <c r="E653" i="1" s="1"/>
  <c r="C429" i="1"/>
  <c r="E429" i="1" s="1"/>
  <c r="C428" i="1"/>
  <c r="E428" i="1" s="1"/>
  <c r="E426" i="1"/>
  <c r="I626" i="1" a="1"/>
  <c r="I321" i="1" a="1"/>
  <c r="I23" i="1" a="1"/>
  <c r="I23" i="1" l="1"/>
  <c r="I321" i="1"/>
  <c r="I626" i="1"/>
  <c r="J137" i="1"/>
  <c r="J635" i="1"/>
  <c r="E98" i="1"/>
  <c r="C94" i="1"/>
  <c r="E94" i="1" s="1"/>
  <c r="Q2" i="1" a="1"/>
  <c r="Q2" i="1" s="1"/>
  <c r="C93" i="1"/>
  <c r="C553" i="1"/>
  <c r="E553" i="1" s="1"/>
  <c r="C549" i="1"/>
  <c r="C546" i="1"/>
  <c r="I565" i="1"/>
  <c r="I562" i="1"/>
  <c r="I559" i="1"/>
  <c r="C612" i="1"/>
  <c r="E612" i="1" s="1"/>
  <c r="E610" i="1"/>
  <c r="C551" i="1"/>
  <c r="E551" i="1" s="1"/>
  <c r="C433" i="1"/>
  <c r="E433" i="1" s="1"/>
  <c r="I567" i="1" a="1"/>
  <c r="I447" i="1" a="1"/>
  <c r="I103" i="1" a="1"/>
  <c r="I103" i="1" l="1"/>
  <c r="I567" i="1"/>
  <c r="I447" i="1"/>
  <c r="C13" i="1"/>
  <c r="E13" i="1" s="1"/>
  <c r="C11" i="1"/>
  <c r="E11" i="1" s="1"/>
  <c r="E91" i="1"/>
  <c r="J470" i="1"/>
  <c r="C608" i="1" l="1"/>
  <c r="C9" i="1" s="1"/>
  <c r="C607" i="1"/>
  <c r="C8" i="1" s="1"/>
  <c r="C605" i="1"/>
  <c r="C604" i="1"/>
  <c r="C6" i="1" l="1"/>
  <c r="F6" i="1" s="1"/>
  <c r="E605" i="1"/>
  <c r="E607" i="1"/>
  <c r="E608" i="1"/>
  <c r="E604" i="1"/>
  <c r="I564" i="1"/>
  <c r="E93" i="1"/>
  <c r="F8" i="1" l="1"/>
  <c r="I563" i="1"/>
  <c r="F9" i="1"/>
  <c r="E549" i="1" l="1"/>
  <c r="I560" i="1" l="1"/>
  <c r="E548" i="1"/>
  <c r="E546" i="1" l="1"/>
  <c r="I561" i="1"/>
  <c r="E545" i="1"/>
  <c r="N2" i="1"/>
  <c r="C90" i="1"/>
  <c r="C5" i="1" s="1"/>
  <c r="F5" i="1" s="1"/>
  <c r="C17" i="1" l="1"/>
  <c r="F17" i="1" s="1"/>
  <c r="E96" i="1"/>
  <c r="E90" i="1"/>
  <c r="C16" i="1" l="1"/>
  <c r="F16" i="1" s="1"/>
  <c r="F444" i="1"/>
  <c r="F446" i="1"/>
  <c r="F464" i="1"/>
  <c r="F469" i="1"/>
  <c r="F475" i="1"/>
  <c r="F530" i="1"/>
  <c r="F532" i="1"/>
  <c r="F458" i="1"/>
  <c r="F459" i="1"/>
  <c r="F473" i="1"/>
  <c r="F515" i="1"/>
  <c r="F516" i="1"/>
  <c r="F512" i="1"/>
  <c r="F533" i="1"/>
  <c r="F131" i="1"/>
  <c r="F558" i="1"/>
  <c r="F560" i="1"/>
  <c r="F563" i="1"/>
  <c r="F564" i="1"/>
  <c r="F565" i="1"/>
  <c r="F579" i="1"/>
  <c r="F586" i="1"/>
  <c r="F601" i="1"/>
  <c r="F69" i="1"/>
  <c r="F618" i="1"/>
  <c r="F619" i="1"/>
  <c r="F621" i="1"/>
  <c r="F625" i="1"/>
  <c r="F628" i="1"/>
  <c r="F633" i="1"/>
  <c r="F465" i="1"/>
  <c r="F474" i="1"/>
  <c r="F482" i="1"/>
  <c r="F486" i="1"/>
  <c r="F495" i="1"/>
  <c r="F439" i="1"/>
  <c r="F440" i="1"/>
  <c r="F443" i="1"/>
  <c r="F454" i="1"/>
  <c r="F460" i="1"/>
  <c r="F472" i="1"/>
  <c r="F496" i="1"/>
  <c r="F499" i="1"/>
  <c r="F120" i="1"/>
  <c r="F178" i="1"/>
  <c r="F184" i="1"/>
  <c r="F195" i="1"/>
  <c r="F196" i="1"/>
  <c r="F197" i="1"/>
  <c r="F198" i="1"/>
  <c r="F620" i="1"/>
  <c r="F314" i="1"/>
  <c r="F315" i="1"/>
  <c r="F316" i="1"/>
  <c r="F317" i="1"/>
  <c r="F319" i="1"/>
  <c r="F320" i="1"/>
  <c r="F371" i="1"/>
  <c r="F337" i="1"/>
  <c r="F339" i="1"/>
  <c r="F343" i="1"/>
  <c r="F354" i="1"/>
  <c r="F369" i="1"/>
  <c r="F418" i="1"/>
  <c r="F341" i="1"/>
  <c r="F409" i="1"/>
  <c r="F327" i="1"/>
  <c r="F330" i="1"/>
  <c r="F334" i="1"/>
  <c r="F347" i="1"/>
  <c r="F387" i="1"/>
  <c r="F323" i="1"/>
  <c r="F325" i="1"/>
  <c r="F326" i="1"/>
  <c r="F353" i="1"/>
  <c r="F355" i="1"/>
  <c r="F364" i="1"/>
  <c r="F411" i="1"/>
  <c r="F415" i="1"/>
  <c r="F113" i="1"/>
  <c r="F114" i="1"/>
  <c r="F151" i="1"/>
  <c r="F249" i="1"/>
  <c r="F251" i="1"/>
  <c r="F208" i="1"/>
  <c r="F223" i="1"/>
  <c r="F104" i="1"/>
  <c r="F106" i="1"/>
  <c r="F171" i="1"/>
  <c r="F216" i="1"/>
  <c r="F217" i="1"/>
  <c r="F270" i="1"/>
  <c r="F122" i="1"/>
  <c r="F123" i="1"/>
  <c r="F124" i="1"/>
  <c r="F139" i="1"/>
  <c r="F153" i="1"/>
  <c r="F165" i="1"/>
  <c r="F167" i="1"/>
  <c r="F186" i="1"/>
  <c r="F226" i="1"/>
  <c r="F160" i="1"/>
  <c r="F183" i="1"/>
  <c r="F232" i="1"/>
  <c r="F242" i="1"/>
  <c r="F243" i="1"/>
  <c r="F27" i="1"/>
  <c r="F29" i="1"/>
  <c r="F80" i="1"/>
  <c r="F218" i="1"/>
  <c r="F33" i="1"/>
  <c r="F38" i="1"/>
  <c r="F40" i="1"/>
  <c r="F41" i="1"/>
  <c r="F107" i="1"/>
  <c r="F108" i="1"/>
  <c r="F109" i="1"/>
  <c r="F162" i="1"/>
  <c r="F26" i="1"/>
  <c r="F34" i="1"/>
  <c r="F50" i="1"/>
  <c r="F54" i="1"/>
  <c r="F43" i="1"/>
  <c r="F46" i="1"/>
  <c r="F48" i="1"/>
  <c r="F58" i="1"/>
  <c r="F60" i="1"/>
  <c r="F61" i="1"/>
  <c r="F31" i="1"/>
  <c r="F36" i="1"/>
  <c r="F39" i="1"/>
  <c r="F141" i="1"/>
  <c r="F142" i="1"/>
  <c r="F143" i="1"/>
  <c r="F144" i="1"/>
  <c r="F146" i="1"/>
  <c r="F147" i="1"/>
  <c r="F152" i="1"/>
  <c r="F241" i="1"/>
  <c r="F562" i="1"/>
  <c r="F566" i="1"/>
  <c r="F571" i="1"/>
  <c r="F573" i="1"/>
  <c r="F577" i="1"/>
  <c r="F200" i="1"/>
  <c r="F201" i="1"/>
  <c r="F233" i="1"/>
  <c r="F543" i="1"/>
  <c r="F489" i="1"/>
  <c r="F629" i="1"/>
  <c r="F638" i="1"/>
  <c r="F622" i="1"/>
  <c r="F494" i="1"/>
  <c r="F501" i="1"/>
  <c r="F514" i="1"/>
  <c r="F193" i="1"/>
  <c r="F169" i="1"/>
  <c r="F322" i="1"/>
  <c r="F340" i="1"/>
  <c r="F375" i="1"/>
  <c r="F352" i="1"/>
  <c r="F377" i="1"/>
  <c r="F423" i="1"/>
  <c r="F397" i="1"/>
  <c r="F357" i="1"/>
  <c r="F329" i="1"/>
  <c r="F350" i="1"/>
  <c r="F372" i="1"/>
  <c r="F386" i="1"/>
  <c r="F112" i="1"/>
  <c r="F263" i="1"/>
  <c r="F189" i="1"/>
  <c r="F205" i="1"/>
  <c r="F206" i="1"/>
  <c r="F225" i="1"/>
  <c r="F126" i="1"/>
  <c r="F269" i="1"/>
  <c r="F105" i="1"/>
  <c r="F117" i="1"/>
  <c r="F130" i="1"/>
  <c r="F125" i="1"/>
  <c r="F156" i="1"/>
  <c r="F174" i="1"/>
  <c r="F221" i="1"/>
  <c r="F230" i="1"/>
  <c r="F168" i="1"/>
  <c r="F170" i="1"/>
  <c r="F161" i="1"/>
  <c r="F182" i="1"/>
  <c r="F209" i="1"/>
  <c r="F28" i="1"/>
  <c r="F110" i="1"/>
  <c r="F25" i="1"/>
  <c r="F23" i="1"/>
  <c r="F24" i="1"/>
  <c r="F42" i="1"/>
  <c r="F59" i="1"/>
  <c r="F155" i="1"/>
  <c r="F240" i="1"/>
  <c r="F360" i="1"/>
  <c r="F599" i="1"/>
  <c r="F575" i="1"/>
  <c r="F597" i="1"/>
  <c r="F30" i="1"/>
  <c r="F45" i="1"/>
  <c r="F49" i="1"/>
  <c r="F55" i="1"/>
  <c r="F572" i="1"/>
  <c r="F584" i="1"/>
  <c r="F589" i="1"/>
  <c r="F346" i="1"/>
  <c r="F420" i="1"/>
  <c r="F321" i="1"/>
  <c r="F332" i="1"/>
  <c r="F365" i="1"/>
  <c r="F421" i="1"/>
  <c r="F445" i="1"/>
  <c r="F511" i="1"/>
  <c r="F441" i="1"/>
  <c r="F442" i="1"/>
  <c r="F452" i="1"/>
  <c r="F478" i="1"/>
  <c r="F497" i="1"/>
  <c r="F498" i="1"/>
  <c r="F506" i="1"/>
  <c r="F509" i="1"/>
  <c r="F521" i="1"/>
  <c r="F234" i="1"/>
  <c r="F118" i="1"/>
  <c r="F119" i="1"/>
  <c r="F246" i="1"/>
  <c r="F257" i="1"/>
  <c r="F140" i="1"/>
  <c r="F145" i="1"/>
  <c r="F176" i="1"/>
  <c r="F137" i="1"/>
  <c r="F214" i="1"/>
  <c r="F129" i="1"/>
  <c r="F138" i="1"/>
  <c r="F159" i="1"/>
  <c r="F180" i="1"/>
  <c r="F187" i="1"/>
  <c r="F188" i="1"/>
  <c r="F222" i="1"/>
  <c r="F456" i="1"/>
  <c r="F505" i="1"/>
  <c r="F44" i="1"/>
  <c r="F56" i="1"/>
  <c r="F67" i="1"/>
  <c r="F578" i="1"/>
  <c r="F370" i="1"/>
  <c r="F419" i="1"/>
  <c r="F520" i="1"/>
  <c r="F388" i="1"/>
  <c r="F393" i="1"/>
  <c r="F335" i="1"/>
  <c r="F342" i="1"/>
  <c r="F453" i="1"/>
  <c r="F462" i="1"/>
  <c r="F451" i="1"/>
  <c r="F508" i="1"/>
  <c r="F438" i="1"/>
  <c r="F158" i="1"/>
  <c r="F163" i="1"/>
  <c r="F215" i="1"/>
  <c r="F148" i="1"/>
  <c r="F149" i="1"/>
  <c r="F32" i="1"/>
  <c r="F35" i="1"/>
  <c r="F37" i="1"/>
  <c r="F47" i="1"/>
  <c r="F51" i="1"/>
  <c r="F52" i="1"/>
  <c r="F53" i="1"/>
  <c r="F57" i="1"/>
  <c r="F62" i="1"/>
  <c r="F63" i="1"/>
  <c r="F64" i="1"/>
  <c r="F65" i="1"/>
  <c r="F66" i="1"/>
  <c r="F68" i="1"/>
  <c r="F70" i="1"/>
  <c r="F71" i="1"/>
  <c r="F72" i="1"/>
  <c r="F73" i="1"/>
  <c r="F74" i="1"/>
  <c r="F75" i="1"/>
  <c r="F76" i="1"/>
  <c r="F77" i="1"/>
  <c r="F78" i="1"/>
  <c r="F79" i="1"/>
  <c r="F84" i="1"/>
  <c r="F111" i="1"/>
  <c r="F115" i="1"/>
  <c r="F116" i="1"/>
  <c r="F121" i="1"/>
  <c r="F127" i="1"/>
  <c r="F128" i="1"/>
  <c r="F132" i="1"/>
  <c r="F133" i="1"/>
  <c r="F134" i="1"/>
  <c r="F135" i="1"/>
  <c r="F136" i="1"/>
  <c r="F150" i="1"/>
  <c r="F154" i="1"/>
  <c r="F157" i="1"/>
  <c r="F164" i="1"/>
  <c r="F166" i="1"/>
  <c r="F172" i="1"/>
  <c r="F173" i="1"/>
  <c r="F175" i="1"/>
  <c r="F177" i="1"/>
  <c r="F179" i="1"/>
  <c r="F181" i="1"/>
  <c r="F185" i="1"/>
  <c r="F190" i="1"/>
  <c r="F191" i="1"/>
  <c r="F192" i="1"/>
  <c r="F194" i="1"/>
  <c r="F199" i="1"/>
  <c r="F202" i="1"/>
  <c r="F204" i="1"/>
  <c r="F207" i="1"/>
  <c r="F210" i="1"/>
  <c r="F211" i="1"/>
  <c r="F212" i="1"/>
  <c r="F213" i="1"/>
  <c r="F219" i="1"/>
  <c r="F220" i="1"/>
  <c r="F224" i="1"/>
  <c r="F228" i="1"/>
  <c r="F229" i="1"/>
  <c r="F231" i="1"/>
  <c r="F235" i="1"/>
  <c r="F236" i="1"/>
  <c r="F237" i="1"/>
  <c r="F238" i="1"/>
  <c r="F239" i="1"/>
  <c r="F244" i="1"/>
  <c r="F245" i="1"/>
  <c r="F247" i="1"/>
  <c r="F248" i="1"/>
  <c r="F250" i="1"/>
  <c r="F252" i="1"/>
  <c r="F253" i="1"/>
  <c r="F254" i="1"/>
  <c r="F255" i="1"/>
  <c r="F256" i="1"/>
  <c r="F259" i="1"/>
  <c r="F260" i="1"/>
  <c r="F261" i="1"/>
  <c r="F262" i="1"/>
  <c r="F265" i="1"/>
  <c r="F266" i="1"/>
  <c r="F267" i="1"/>
  <c r="F268" i="1"/>
  <c r="F271" i="1"/>
  <c r="F272" i="1"/>
  <c r="F273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312" i="1"/>
  <c r="F313" i="1"/>
  <c r="F318" i="1"/>
  <c r="F324" i="1"/>
  <c r="F328" i="1"/>
  <c r="F331" i="1"/>
  <c r="F333" i="1"/>
  <c r="F336" i="1"/>
  <c r="F338" i="1"/>
  <c r="F344" i="1"/>
  <c r="F345" i="1"/>
  <c r="F348" i="1"/>
  <c r="F349" i="1"/>
  <c r="F351" i="1"/>
  <c r="F356" i="1"/>
  <c r="F359" i="1"/>
  <c r="F361" i="1"/>
  <c r="F362" i="1"/>
  <c r="F363" i="1"/>
  <c r="F366" i="1"/>
  <c r="F367" i="1"/>
  <c r="F368" i="1"/>
  <c r="F373" i="1"/>
  <c r="F374" i="1"/>
  <c r="F376" i="1"/>
  <c r="F378" i="1"/>
  <c r="F379" i="1"/>
  <c r="F380" i="1"/>
  <c r="F381" i="1"/>
  <c r="F382" i="1"/>
  <c r="F383" i="1"/>
  <c r="F384" i="1"/>
  <c r="F385" i="1"/>
  <c r="F389" i="1"/>
  <c r="F390" i="1"/>
  <c r="F391" i="1"/>
  <c r="F394" i="1"/>
  <c r="F395" i="1"/>
  <c r="F396" i="1"/>
  <c r="F399" i="1"/>
  <c r="F400" i="1"/>
  <c r="F401" i="1"/>
  <c r="F402" i="1"/>
  <c r="F403" i="1"/>
  <c r="F404" i="1"/>
  <c r="F405" i="1"/>
  <c r="F406" i="1"/>
  <c r="F407" i="1"/>
  <c r="F408" i="1"/>
  <c r="F410" i="1"/>
  <c r="F412" i="1"/>
  <c r="F413" i="1"/>
  <c r="F414" i="1"/>
  <c r="F416" i="1"/>
  <c r="F417" i="1"/>
  <c r="F422" i="1"/>
  <c r="F447" i="1"/>
  <c r="F448" i="1"/>
  <c r="F449" i="1"/>
  <c r="F450" i="1"/>
  <c r="F455" i="1"/>
  <c r="F457" i="1"/>
  <c r="F461" i="1"/>
  <c r="F463" i="1"/>
  <c r="F466" i="1"/>
  <c r="F467" i="1"/>
  <c r="F468" i="1"/>
  <c r="F470" i="1"/>
  <c r="F471" i="1"/>
  <c r="F477" i="1"/>
  <c r="F480" i="1"/>
  <c r="F481" i="1"/>
  <c r="F483" i="1"/>
  <c r="F484" i="1"/>
  <c r="F485" i="1"/>
  <c r="F487" i="1"/>
  <c r="F488" i="1"/>
  <c r="F491" i="1"/>
  <c r="F500" i="1"/>
  <c r="F502" i="1"/>
  <c r="F503" i="1"/>
  <c r="F504" i="1"/>
  <c r="F507" i="1"/>
  <c r="F510" i="1"/>
  <c r="F513" i="1"/>
  <c r="F517" i="1"/>
  <c r="F518" i="1"/>
  <c r="F519" i="1"/>
  <c r="F522" i="1"/>
  <c r="F523" i="1"/>
  <c r="F524" i="1"/>
  <c r="F525" i="1"/>
  <c r="F526" i="1"/>
  <c r="F527" i="1"/>
  <c r="F528" i="1"/>
  <c r="F529" i="1"/>
  <c r="F531" i="1"/>
  <c r="F535" i="1"/>
  <c r="F536" i="1"/>
  <c r="F539" i="1"/>
  <c r="F559" i="1"/>
  <c r="F561" i="1"/>
  <c r="F567" i="1"/>
  <c r="F568" i="1"/>
  <c r="F569" i="1"/>
  <c r="F570" i="1"/>
  <c r="F574" i="1"/>
  <c r="F576" i="1"/>
  <c r="F580" i="1"/>
  <c r="F581" i="1"/>
  <c r="F582" i="1"/>
  <c r="F583" i="1"/>
  <c r="F585" i="1"/>
  <c r="F587" i="1"/>
  <c r="F588" i="1"/>
  <c r="F590" i="1"/>
  <c r="F591" i="1"/>
  <c r="F592" i="1"/>
  <c r="F593" i="1"/>
  <c r="F594" i="1"/>
  <c r="F595" i="1"/>
  <c r="F596" i="1"/>
  <c r="F598" i="1"/>
  <c r="F600" i="1"/>
  <c r="F602" i="1"/>
  <c r="F617" i="1"/>
  <c r="F623" i="1"/>
  <c r="F624" i="1"/>
  <c r="F626" i="1"/>
  <c r="F627" i="1"/>
  <c r="F630" i="1"/>
  <c r="F631" i="1"/>
  <c r="F632" i="1"/>
  <c r="F634" i="1"/>
  <c r="F635" i="1"/>
  <c r="F636" i="1"/>
  <c r="F639" i="1"/>
  <c r="F640" i="1"/>
  <c r="F641" i="1"/>
  <c r="F642" i="1"/>
  <c r="F643" i="1"/>
  <c r="F644" i="1"/>
  <c r="F645" i="1"/>
  <c r="F148" i="8"/>
  <c r="F149" i="8"/>
  <c r="F150" i="8"/>
  <c r="F151" i="8"/>
  <c r="F152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3" i="8"/>
  <c r="F898" i="8"/>
  <c r="F899" i="8"/>
  <c r="F900" i="8"/>
  <c r="F901" i="8"/>
  <c r="F902" i="8"/>
  <c r="F903" i="8"/>
  <c r="F904" i="8"/>
  <c r="F905" i="8"/>
  <c r="F906" i="8"/>
  <c r="F907" i="8"/>
  <c r="F908" i="8"/>
  <c r="F1064" i="8"/>
  <c r="F1065" i="8"/>
  <c r="F1066" i="8"/>
  <c r="F1067" i="8"/>
  <c r="F1068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473" i="8"/>
  <c r="F1474" i="8"/>
  <c r="F1494" i="8"/>
  <c r="F1495" i="8"/>
  <c r="F1496" i="8"/>
  <c r="F1497" i="8"/>
  <c r="F1498" i="8"/>
  <c r="F1499" i="8"/>
  <c r="F1500" i="8"/>
  <c r="F1501" i="8"/>
  <c r="F1502" i="8"/>
  <c r="F1503" i="8"/>
  <c r="F1504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30" i="8"/>
  <c r="F1533" i="8"/>
  <c r="F1534" i="8"/>
  <c r="F1535" i="8"/>
  <c r="F1536" i="8"/>
  <c r="F1538" i="8"/>
  <c r="F1539" i="8"/>
  <c r="F1540" i="8"/>
  <c r="F1541" i="8"/>
  <c r="F1542" i="8"/>
  <c r="F1543" i="8"/>
  <c r="F1544" i="8"/>
  <c r="F1545" i="8"/>
  <c r="F1546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9" i="8"/>
  <c r="F1670" i="8"/>
  <c r="F1671" i="8"/>
  <c r="F1672" i="8"/>
  <c r="F1673" i="8"/>
  <c r="F1674" i="8"/>
  <c r="F1677" i="8"/>
  <c r="F1678" i="8"/>
  <c r="F1679" i="8"/>
  <c r="F1680" i="8"/>
  <c r="F168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8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90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2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4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5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0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0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<sst xmlns="http://schemas.openxmlformats.org/spreadsheetml/2006/main" count="9109" uniqueCount="2202">
  <si>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</si>
  <si>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</si>
  <si>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</si>
  <si>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</si>
  <si>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</si>
  <si>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</si>
  <si>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</si>
  <si>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</si>
  <si>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</si>
  <si>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</si>
  <si>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</si>
  <si>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</si>
  <si>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</si>
  <si>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</si>
  <si>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</si>
  <si>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</si>
  <si>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</si>
  <si>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</si>
  <si>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</si>
  <si>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</si>
  <si>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</si>
  <si>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</si>
  <si>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</si>
  <si>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</si>
  <si>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</si>
  <si>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</si>
  <si>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</si>
  <si>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</si>
  <si>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</si>
  <si>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</si>
  <si>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</si>
  <si>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</si>
  <si>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</si>
  <si>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</si>
  <si>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</si>
  <si>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</si>
  <si>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</si>
  <si>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</si>
  <si>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</si>
  <si>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</si>
  <si>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</si>
  <si>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</si>
  <si>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</si>
  <si>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</si>
  <si>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</si>
  <si>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</si>
  <si>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</si>
  <si>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</si>
  <si>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</si>
  <si>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</si>
  <si>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</si>
  <si>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</si>
  <si>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</si>
  <si>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</si>
  <si>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</si>
  <si>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</si>
  <si>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</si>
  <si>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</si>
  <si>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</si>
  <si>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</si>
  <si>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</si>
  <si>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</si>
  <si>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</si>
  <si>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</si>
  <si>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</si>
  <si>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</si>
  <si>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</si>
  <si>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</si>
  <si>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</si>
  <si>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</si>
  <si>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</si>
  <si>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</si>
  <si>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</si>
  <si>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</si>
  <si>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</si>
  <si>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</si>
  <si>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</si>
  <si>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</si>
  <si>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</si>
  <si>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</si>
  <si>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</si>
  <si>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</si>
  <si>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</si>
  <si>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</si>
  <si>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</si>
  <si>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</si>
  <si>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</si>
  <si>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</si>
  <si>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</si>
  <si>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</si>
  <si>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</si>
  <si>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</si>
  <si>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</si>
  <si>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</si>
  <si>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</si>
  <si>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</si>
  <si>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</si>
  <si>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</si>
  <si>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</si>
  <si>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</si>
  <si>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</si>
  <si>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</si>
  <si>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</si>
  <si>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</si>
  <si>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</si>
  <si>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</si>
  <si>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</si>
  <si>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</si>
  <si>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</si>
  <si>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</si>
  <si>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</si>
  <si>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</si>
  <si>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</si>
  <si>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</si>
  <si>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</si>
  <si>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</si>
  <si>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</si>
  <si>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</si>
  <si>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</si>
  <si>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</si>
  <si>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</si>
  <si>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</si>
  <si>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</si>
  <si>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</si>
  <si>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</si>
  <si>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</si>
  <si>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</si>
  <si>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</si>
  <si>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</si>
  <si>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</si>
  <si>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</si>
  <si>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</si>
  <si>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</si>
  <si>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</si>
  <si>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</si>
  <si>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</si>
  <si>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</si>
  <si>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</si>
  <si>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</si>
  <si>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</si>
  <si>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</si>
  <si>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</si>
  <si>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</si>
  <si>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</si>
  <si>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</si>
  <si>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</si>
  <si>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</si>
  <si>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</si>
  <si>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</si>
  <si>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</si>
  <si>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</si>
  <si>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</si>
  <si>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</si>
  <si>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</si>
  <si>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</si>
  <si>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</si>
  <si>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</si>
  <si>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</si>
  <si>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</si>
  <si>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</si>
  <si>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</si>
  <si>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</si>
  <si>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</si>
  <si>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</si>
  <si>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</si>
  <si>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</si>
  <si>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</si>
  <si>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</si>
  <si>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</si>
  <si>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</si>
  <si>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</si>
  <si>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</si>
  <si>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</si>
  <si>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</si>
  <si>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</si>
  <si>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</si>
  <si>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</si>
  <si>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</si>
  <si>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</si>
  <si>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</si>
  <si>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</si>
  <si>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</si>
  <si>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</si>
  <si>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</si>
  <si>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</si>
  <si>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</si>
  <si>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</si>
  <si>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</si>
  <si>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</si>
  <si>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</si>
  <si>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</si>
  <si>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</si>
  <si>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</si>
  <si>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</si>
  <si>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</si>
  <si>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</si>
  <si>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</si>
  <si>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</si>
  <si>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</si>
  <si>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</si>
  <si>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</si>
  <si>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</si>
  <si>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</si>
  <si>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</si>
  <si>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</si>
  <si>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</si>
  <si>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</si>
  <si>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</si>
  <si>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</si>
  <si>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</si>
  <si>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</si>
  <si>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</si>
  <si>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</si>
  <si>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</si>
  <si>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</si>
  <si>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</si>
  <si>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</si>
  <si>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</si>
  <si>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</si>
  <si>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</si>
  <si>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</si>
  <si>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</si>
  <si>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</si>
  <si>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</si>
  <si>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</si>
  <si>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</si>
  <si>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</si>
  <si>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</si>
  <si>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</si>
  <si>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</si>
  <si>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</si>
  <si>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</si>
  <si>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</si>
  <si>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</si>
  <si>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</si>
  <si>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</si>
  <si>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</si>
  <si>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</si>
  <si>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</si>
  <si>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</si>
  <si>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</si>
  <si>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</si>
  <si>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</si>
  <si>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</si>
  <si>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</si>
  <si>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</si>
  <si>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</si>
  <si>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</si>
  <si>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</si>
  <si>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</si>
  <si>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</si>
  <si>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</si>
  <si>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</si>
  <si>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</si>
  <si>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</si>
  <si>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</si>
  <si>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</si>
  <si>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</si>
  <si>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</si>
  <si>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</si>
  <si>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</si>
  <si>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</si>
  <si>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</si>
  <si>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</si>
  <si>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</si>
  <si>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</si>
  <si>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</si>
  <si>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</si>
  <si>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</si>
  <si>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</si>
  <si>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</si>
  <si>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</si>
  <si>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</si>
  <si>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</si>
  <si>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</si>
  <si>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</si>
  <si>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</si>
  <si>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</si>
  <si>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</si>
  <si>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</si>
  <si>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</si>
  <si>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</si>
  <si>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</si>
  <si>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</si>
  <si>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</si>
  <si>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</si>
  <si>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</si>
  <si>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</si>
  <si>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</si>
  <si>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</si>
  <si>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</si>
  <si>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</si>
  <si>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</si>
  <si>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</si>
  <si>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</si>
  <si>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</si>
  <si>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</si>
  <si>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</si>
  <si>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</si>
  <si>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</si>
  <si>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</si>
  <si>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</si>
  <si>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</si>
  <si>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</si>
  <si>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</si>
  <si>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</si>
  <si>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</si>
  <si>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</si>
  <si>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</si>
  <si>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</si>
  <si>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</si>
  <si>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</si>
  <si>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</si>
  <si>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</si>
  <si>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</si>
  <si>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</si>
  <si>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</si>
  <si>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</si>
  <si>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</si>
  <si>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</si>
  <si>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</si>
  <si>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</si>
  <si>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</si>
  <si>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</si>
  <si>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</si>
  <si>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</si>
  <si>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</si>
  <si>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</si>
  <si>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</si>
  <si>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</si>
  <si>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</si>
  <si>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</si>
  <si>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</si>
  <si>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</si>
  <si>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</si>
  <si>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</si>
  <si>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</si>
  <si>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</si>
  <si>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</si>
  <si>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</si>
  <si>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</si>
  <si>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</si>
  <si>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</si>
  <si>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</si>
  <si>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</si>
  <si>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</si>
  <si>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</si>
  <si>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</si>
  <si>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</si>
  <si>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</si>
  <si>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</si>
  <si>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</si>
  <si>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</si>
  <si>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</si>
  <si>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</si>
  <si>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</si>
  <si>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</si>
  <si>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</si>
  <si>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</si>
  <si>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</si>
  <si>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</si>
  <si>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</si>
  <si>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</si>
  <si>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</si>
  <si>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</si>
  <si>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</si>
  <si>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</si>
  <si>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</si>
  <si>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</si>
  <si>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</si>
  <si>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</si>
  <si>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</si>
  <si>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</si>
  <si>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</si>
  <si>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</si>
  <si>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</si>
  <si>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</si>
  <si>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</si>
  <si>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</si>
  <si>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</si>
  <si>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</si>
  <si>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</si>
  <si>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</si>
  <si>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</si>
  <si>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</si>
  <si>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</si>
  <si>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</si>
  <si>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</si>
  <si>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</si>
  <si>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</si>
  <si>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</si>
  <si>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</si>
  <si>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</si>
  <si>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</si>
  <si>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</si>
  <si>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</si>
  <si>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</si>
  <si>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</si>
  <si>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</si>
  <si>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</si>
  <si>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</si>
  <si>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</si>
  <si>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</si>
  <si>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</si>
  <si>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</si>
  <si>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</si>
  <si>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</si>
  <si>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</si>
  <si>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</si>
  <si>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</si>
  <si>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</si>
  <si>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</si>
  <si>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</si>
  <si>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</si>
  <si>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</si>
  <si>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</si>
  <si>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</si>
  <si>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</si>
  <si>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</si>
  <si>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</si>
  <si>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</si>
  <si>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</si>
  <si>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</si>
  <si>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</si>
  <si>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</si>
  <si>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</si>
  <si>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</si>
  <si>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</si>
  <si>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</si>
  <si>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</si>
  <si>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</si>
  <si>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</si>
  <si>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</si>
  <si>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</si>
  <si>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</si>
  <si>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</si>
  <si>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</si>
  <si>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</si>
  <si>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</si>
  <si>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</si>
  <si>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</si>
  <si>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</si>
  <si>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</si>
  <si>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</si>
  <si>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</si>
  <si>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</si>
  <si>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</si>
  <si>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</si>
  <si>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</si>
  <si>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</si>
  <si>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</si>
  <si>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</si>
  <si>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</si>
  <si>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</si>
  <si>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</si>
  <si>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</si>
  <si>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</si>
  <si>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</si>
  <si>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</si>
  <si>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</si>
  <si>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</si>
  <si>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</si>
  <si>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</si>
  <si>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</si>
  <si>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</si>
  <si>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</si>
  <si>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</si>
  <si>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</si>
  <si>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</si>
  <si>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</si>
  <si>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</si>
  <si>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</si>
  <si>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</si>
  <si>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</si>
  <si>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</si>
  <si>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</si>
  <si>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</si>
  <si>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</si>
  <si>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</si>
  <si>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</si>
  <si>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</si>
  <si>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</si>
  <si>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</si>
  <si>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</si>
  <si>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</si>
  <si>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</si>
  <si>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</si>
  <si>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</si>
  <si>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</si>
  <si>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</si>
  <si>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</si>
  <si>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</si>
  <si>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</si>
  <si>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</si>
  <si>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</si>
  <si>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</si>
  <si>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</si>
  <si>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</si>
  <si>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</si>
  <si>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</si>
  <si>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</si>
  <si>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</si>
  <si>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</si>
  <si>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</si>
  <si>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</si>
  <si>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</si>
  <si>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</si>
  <si>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</si>
  <si>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</si>
  <si>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</si>
  <si>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</si>
  <si>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</si>
  <si>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</si>
  <si>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</si>
  <si>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</si>
  <si>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</si>
  <si>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</si>
  <si>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</si>
  <si>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</si>
  <si>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</si>
  <si>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</si>
  <si>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</si>
  <si>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</si>
  <si>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</si>
  <si>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</si>
  <si>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</si>
  <si>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</si>
  <si>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</si>
  <si>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</si>
  <si>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</si>
  <si>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</si>
  <si>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</si>
  <si>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</si>
  <si>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</si>
  <si>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</si>
  <si>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</si>
  <si>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</si>
  <si>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</si>
  <si>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</si>
  <si>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</si>
  <si>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</si>
  <si>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</si>
  <si>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</si>
  <si>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</si>
  <si>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</si>
  <si>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</si>
  <si>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</si>
  <si>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</si>
  <si>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</si>
  <si>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</si>
  <si>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</si>
  <si>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</si>
  <si>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</si>
  <si>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</si>
  <si>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</si>
  <si>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</si>
  <si>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</si>
  <si>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</si>
  <si>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</si>
  <si>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</si>
  <si>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</si>
  <si>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</si>
  <si>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</si>
  <si>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</si>
  <si>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</si>
  <si>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</si>
  <si>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</si>
  <si>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</si>
  <si>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</si>
  <si>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</si>
  <si>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</si>
  <si>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</si>
  <si>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</si>
  <si>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</si>
  <si>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</si>
  <si>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</si>
  <si>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</si>
  <si>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</si>
  <si>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</si>
  <si>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</si>
  <si>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</si>
  <si>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</si>
  <si>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</si>
  <si>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</si>
  <si>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</si>
  <si>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</si>
  <si>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</si>
  <si>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</si>
  <si>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</si>
  <si>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</si>
  <si>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</si>
  <si>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</si>
  <si>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</si>
  <si>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</si>
  <si>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</si>
  <si>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</si>
  <si>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</si>
  <si>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</si>
  <si>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</si>
  <si>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</si>
  <si>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</si>
  <si>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</si>
  <si>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</si>
  <si>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</si>
  <si>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</si>
  <si>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</si>
  <si>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</si>
  <si>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</si>
  <si>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</si>
  <si>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</si>
  <si>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</si>
  <si>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</si>
  <si>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</si>
  <si>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</si>
  <si>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</si>
  <si>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</si>
  <si>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</si>
  <si>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</si>
  <si>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</si>
  <si>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</si>
  <si>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</si>
  <si>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</si>
  <si>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</si>
  <si>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</si>
  <si>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</si>
  <si>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</si>
  <si>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</si>
  <si>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</si>
  <si>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</si>
  <si>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</si>
  <si>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</si>
  <si>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</si>
  <si>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</si>
  <si>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</si>
  <si>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</si>
  <si>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</si>
  <si>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</si>
  <si>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</si>
  <si>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</si>
  <si>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</si>
  <si>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</si>
  <si>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</si>
  <si>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</si>
  <si>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</si>
  <si>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</si>
  <si>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</si>
  <si>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</si>
  <si>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</si>
  <si>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</si>
  <si>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</si>
  <si>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</si>
  <si>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</si>
  <si>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</si>
  <si>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</si>
  <si>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</si>
  <si>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</si>
  <si>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</si>
  <si>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</si>
  <si>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</si>
  <si>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</si>
  <si>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</si>
  <si>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</si>
  <si>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</si>
  <si>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</si>
  <si>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</si>
  <si>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</si>
  <si>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</si>
  <si>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</si>
  <si>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</si>
  <si>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</si>
  <si>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</si>
  <si>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</si>
  <si>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</si>
  <si>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</si>
  <si>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</si>
  <si>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</si>
  <si>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</si>
  <si>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</si>
  <si>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</si>
  <si>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</si>
  <si>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</si>
  <si>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</si>
  <si>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</si>
  <si>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</si>
  <si>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</si>
  <si>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</si>
  <si>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</si>
  <si>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</si>
  <si>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</si>
  <si>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</si>
  <si>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</si>
  <si>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</si>
  <si>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</si>
  <si>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</si>
  <si>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</si>
  <si>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</si>
  <si>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</si>
  <si>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</si>
  <si>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</si>
  <si>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</si>
  <si>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</si>
  <si>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</si>
  <si>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</si>
  <si>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</si>
  <si>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</si>
  <si>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</si>
  <si>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</si>
  <si>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</si>
  <si>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</si>
  <si>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</si>
  <si>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</si>
  <si>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</si>
  <si>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</si>
  <si>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</si>
  <si>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</si>
  <si>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</si>
  <si>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</si>
  <si>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</si>
  <si>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</si>
  <si>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</si>
  <si>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</si>
  <si>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</si>
  <si>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</si>
  <si>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</si>
  <si>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</si>
  <si>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</si>
  <si>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</si>
  <si>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</si>
  <si>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</si>
  <si>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</si>
  <si>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</si>
  <si>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</si>
  <si>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</si>
  <si>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</si>
  <si>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</si>
  <si>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</si>
  <si>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</si>
  <si>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</si>
  <si>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</si>
  <si>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</si>
  <si>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</si>
  <si>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</si>
  <si>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</si>
  <si>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</si>
  <si>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</si>
  <si>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</si>
  <si>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</si>
  <si>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</si>
  <si>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</si>
  <si>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</si>
  <si>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</si>
  <si>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</si>
  <si>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</si>
  <si>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</si>
  <si>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</si>
  <si>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</si>
  <si>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</si>
  <si>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</si>
  <si>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</si>
  <si>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</si>
  <si>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</si>
  <si>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</si>
  <si>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</si>
  <si>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</si>
  <si>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</si>
  <si>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</si>
  <si>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</si>
  <si>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</si>
  <si>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</si>
  <si>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</si>
  <si>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</si>
  <si>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</si>
  <si>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</si>
  <si>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</si>
  <si>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</si>
  <si>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</si>
  <si>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</si>
  <si>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</si>
  <si>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</si>
  <si>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</si>
  <si>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</si>
  <si>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</si>
  <si>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</si>
  <si>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</si>
  <si>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</si>
  <si>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</si>
  <si>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</si>
  <si>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</si>
  <si>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</si>
  <si>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</si>
  <si>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</si>
  <si>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</si>
  <si>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</si>
  <si>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</si>
  <si>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</si>
  <si>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</si>
  <si>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</si>
  <si>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</si>
  <si>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</si>
  <si>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</si>
  <si>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</si>
  <si>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</si>
  <si>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</si>
  <si>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</si>
  <si>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</si>
  <si>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</si>
  <si>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</si>
  <si>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</si>
  <si>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</si>
  <si>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</si>
  <si>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</si>
  <si>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</si>
  <si>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</si>
  <si>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</si>
  <si>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</si>
  <si>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</si>
  <si>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</si>
  <si>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</si>
  <si>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</si>
  <si>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</si>
  <si>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</si>
  <si>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</si>
  <si>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</si>
  <si>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</si>
  <si>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</si>
  <si>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</si>
  <si>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</si>
  <si>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</si>
  <si>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</si>
  <si>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</si>
  <si>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</si>
  <si>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</si>
  <si>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</si>
  <si>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</si>
  <si>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</si>
  <si>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</si>
  <si>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</si>
  <si>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</si>
  <si>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</si>
  <si>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</si>
  <si>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</si>
  <si>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</si>
  <si>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</si>
  <si>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</si>
  <si>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</si>
  <si>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</si>
  <si>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</si>
  <si>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</si>
  <si>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</si>
  <si>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</si>
  <si>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</si>
  <si>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</si>
  <si>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</si>
  <si>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</si>
  <si>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</si>
  <si>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</si>
  <si>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</si>
  <si>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</si>
  <si>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</si>
  <si>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</si>
  <si>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</si>
  <si>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</si>
  <si>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</si>
  <si>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</si>
  <si>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</si>
  <si>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</si>
  <si>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</si>
  <si>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</si>
  <si>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</si>
  <si>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</si>
  <si>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</si>
  <si>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</si>
  <si>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</si>
  <si>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</si>
  <si>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</si>
  <si>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</si>
  <si>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</si>
  <si>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</si>
  <si>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</si>
  <si>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</si>
  <si>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</si>
  <si>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</si>
  <si>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</si>
  <si>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</si>
  <si>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</si>
  <si>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</si>
  <si>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</si>
  <si>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</si>
  <si>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</si>
  <si>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</si>
  <si>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</si>
  <si>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</si>
  <si>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</si>
  <si>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</si>
  <si>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</si>
  <si>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</si>
  <si>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</si>
  <si>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</si>
  <si>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</si>
  <si>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</si>
  <si>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</si>
  <si>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</si>
  <si>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</si>
  <si>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</si>
  <si>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</si>
  <si>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</si>
  <si>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</si>
  <si>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</si>
  <si>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</si>
  <si>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</si>
  <si>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</si>
  <si>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</si>
  <si>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</si>
  <si>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</si>
  <si>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</si>
  <si>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</si>
  <si>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</si>
  <si>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</si>
  <si>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</si>
  <si>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</si>
  <si>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</si>
  <si>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</si>
  <si>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</si>
  <si>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</si>
  <si>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</si>
  <si>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</si>
  <si>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</si>
  <si>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</si>
  <si>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</si>
  <si>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</si>
  <si>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</si>
  <si>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</si>
  <si>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</si>
  <si>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</si>
  <si>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</si>
  <si>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</si>
  <si>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</si>
  <si>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</si>
  <si>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</si>
  <si>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</si>
  <si>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</si>
  <si>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</si>
  <si>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</si>
  <si>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</si>
  <si>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</si>
  <si>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</si>
  <si>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</si>
  <si>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</si>
  <si>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</si>
  <si>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</si>
  <si>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</si>
  <si>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</si>
  <si>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</si>
  <si>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</si>
  <si>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</si>
  <si>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</si>
  <si>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</si>
  <si>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</si>
  <si>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</si>
  <si>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</si>
  <si>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</si>
  <si>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</si>
  <si>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</si>
  <si>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</si>
  <si>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</si>
  <si>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</si>
  <si>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</si>
  <si>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</si>
  <si>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</si>
  <si>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</si>
  <si>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</si>
  <si>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</si>
  <si>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</si>
  <si>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</si>
  <si>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</si>
  <si>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</si>
  <si>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</si>
  <si>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</si>
  <si>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</si>
  <si>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</si>
  <si>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</si>
  <si>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</si>
  <si>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</si>
  <si>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</si>
  <si>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</si>
  <si>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</si>
  <si>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</si>
  <si>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</si>
  <si>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</si>
  <si>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</si>
  <si>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</si>
  <si>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</si>
  <si>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</si>
  <si>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</si>
  <si>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</si>
  <si>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</si>
  <si>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</si>
  <si>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</si>
  <si>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</si>
  <si>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</si>
  <si>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</si>
  <si>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</si>
  <si>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</si>
  <si>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</si>
  <si>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</si>
  <si>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</si>
  <si>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</si>
  <si>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</si>
  <si>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</si>
  <si>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</si>
  <si>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</si>
  <si>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</si>
  <si>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</si>
  <si>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</si>
  <si>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</si>
  <si>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</si>
  <si>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</si>
  <si>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</si>
  <si>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</si>
  <si>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</si>
  <si>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</si>
  <si>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</si>
  <si>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</si>
  <si>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</si>
  <si>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</si>
  <si>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</si>
  <si>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</si>
  <si>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</si>
  <si>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</si>
  <si>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</si>
  <si>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</si>
  <si>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</si>
  <si>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</si>
  <si>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</si>
  <si>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</si>
  <si>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</si>
  <si>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</si>
  <si>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</si>
  <si>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</si>
  <si>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</si>
  <si>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</si>
  <si>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</si>
  <si>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</si>
  <si>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</si>
  <si>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</si>
  <si>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</si>
  <si>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</si>
  <si>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</si>
  <si>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</si>
  <si>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</si>
  <si>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</si>
  <si>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</si>
  <si>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</si>
  <si>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</si>
  <si>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</si>
  <si>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</si>
  <si>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</si>
  <si>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</si>
  <si>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</si>
  <si>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</si>
  <si>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</si>
  <si>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</si>
  <si>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</si>
  <si>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</si>
  <si>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</si>
  <si>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</si>
  <si>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</si>
  <si>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</si>
  <si>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</si>
  <si>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</si>
  <si>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</si>
  <si>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</si>
  <si>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</si>
  <si>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</si>
  <si>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</si>
  <si>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</si>
  <si>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</si>
  <si>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</si>
  <si>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</si>
  <si>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</si>
  <si>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</si>
  <si>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</si>
  <si>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</si>
  <si>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</si>
  <si>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</si>
  <si>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</si>
  <si>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</si>
  <si>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</si>
  <si>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</si>
  <si>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</si>
  <si>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</si>
  <si>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</si>
  <si>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</si>
  <si>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</si>
  <si>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</si>
  <si>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</si>
  <si>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</si>
  <si>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</si>
  <si>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</si>
  <si>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</si>
  <si>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</si>
  <si>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</si>
  <si>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</si>
  <si>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</si>
  <si>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</si>
  <si>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</si>
  <si>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</si>
  <si>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</si>
  <si>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</si>
  <si>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</si>
  <si>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</si>
  <si>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</si>
  <si>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</si>
  <si>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</si>
  <si>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</si>
  <si>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</si>
  <si>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</si>
  <si>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</si>
  <si>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</si>
  <si>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</si>
  <si>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</si>
  <si>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</si>
  <si>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</si>
  <si>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</si>
  <si>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</si>
  <si>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</si>
  <si>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</si>
  <si>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</si>
  <si>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</si>
  <si>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</si>
  <si>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</si>
  <si>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</si>
  <si>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</si>
  <si>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</si>
  <si>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</si>
  <si>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</si>
  <si>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</si>
  <si>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</si>
  <si>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</si>
  <si>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</si>
  <si>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</si>
  <si>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</si>
  <si>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</si>
  <si>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</si>
  <si>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</si>
  <si>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</si>
  <si>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</si>
  <si>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</si>
  <si>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</si>
  <si>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</si>
  <si>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</si>
  <si>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</si>
  <si>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</si>
  <si>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</si>
  <si>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</si>
  <si>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</si>
  <si>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</si>
  <si>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</si>
  <si>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</si>
  <si>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</si>
  <si>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</si>
  <si>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</si>
  <si>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</si>
  <si>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</si>
  <si>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</si>
  <si>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</si>
  <si>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</si>
  <si>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</si>
  <si>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</si>
  <si>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</si>
  <si>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</si>
  <si>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</si>
  <si>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</si>
  <si>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</si>
  <si>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</si>
  <si>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</si>
  <si>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</si>
  <si>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</si>
  <si>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</si>
  <si>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</si>
  <si>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</si>
  <si>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</si>
  <si>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</si>
  <si>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</si>
  <si>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</si>
  <si>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</si>
  <si>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</si>
  <si>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</si>
  <si>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</si>
  <si>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</si>
  <si>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</si>
  <si>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</si>
  <si>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</si>
  <si>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</si>
  <si>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</si>
  <si>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</si>
  <si>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</si>
  <si>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</si>
  <si>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</si>
  <si>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</si>
  <si>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</si>
  <si>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</si>
  <si>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</si>
  <si>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</si>
  <si>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</si>
  <si>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</si>
  <si>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</si>
  <si>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</si>
  <si>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</si>
  <si>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</si>
  <si>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</si>
  <si>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</si>
  <si>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</si>
  <si>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</si>
  <si>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</si>
  <si>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</si>
  <si>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</si>
  <si>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</si>
  <si>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</si>
  <si>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</si>
  <si>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</si>
  <si>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</si>
  <si>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</si>
  <si>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</si>
  <si>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</si>
  <si>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</si>
  <si>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</si>
  <si>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</si>
  <si>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</si>
  <si>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</si>
  <si>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</si>
  <si>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</si>
  <si>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</si>
  <si>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</si>
  <si>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</si>
  <si>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</si>
  <si>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</si>
  <si>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</si>
  <si>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</si>
  <si>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</si>
  <si>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</si>
  <si>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</si>
  <si>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</si>
  <si>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</si>
  <si>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</si>
  <si>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</si>
  <si>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</si>
  <si>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</si>
  <si>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</si>
  <si>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</si>
  <si>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</si>
  <si>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</si>
  <si>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</si>
  <si>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</si>
  <si>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</si>
  <si>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</si>
  <si>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</si>
  <si>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</si>
  <si>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</si>
  <si>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</si>
  <si>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</si>
  <si>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</si>
  <si>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</si>
  <si>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</si>
  <si>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</si>
  <si>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</si>
  <si>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</si>
  <si>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</si>
  <si>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</si>
  <si>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</si>
  <si>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</si>
  <si>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</si>
  <si>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</si>
  <si>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</si>
  <si>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</si>
  <si>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</si>
  <si>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</si>
  <si>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</si>
  <si>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</si>
  <si>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</si>
  <si>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</si>
  <si>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</si>
  <si>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</si>
  <si>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</si>
  <si>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</si>
  <si>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</si>
  <si>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</si>
  <si>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</si>
  <si>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</si>
  <si>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</si>
  <si>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</si>
  <si>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</si>
  <si>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</si>
  <si>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</si>
  <si>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</si>
  <si>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</si>
  <si>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</si>
  <si>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</si>
  <si>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</si>
  <si>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</si>
  <si>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</si>
  <si>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</si>
  <si>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</si>
  <si>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</si>
  <si>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</si>
  <si>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</si>
  <si>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</si>
  <si>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</si>
  <si>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</si>
  <si>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</si>
  <si>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</si>
  <si>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</si>
  <si>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</si>
  <si>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</si>
  <si>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</si>
  <si>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</si>
  <si>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</si>
  <si>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</si>
  <si>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</si>
  <si>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</si>
  <si>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</si>
  <si>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</si>
  <si>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</si>
  <si>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</si>
  <si>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</si>
  <si>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</si>
  <si>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</si>
  <si>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</si>
  <si>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</si>
  <si>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</si>
  <si>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</si>
  <si>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</si>
  <si>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</si>
  <si>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</si>
  <si>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</si>
  <si>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</si>
  <si>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</si>
  <si>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</si>
  <si>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</si>
  <si>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</si>
  <si>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</si>
  <si>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</si>
  <si>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</si>
  <si>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</si>
  <si>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</si>
  <si>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</si>
  <si>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</si>
  <si>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</si>
  <si>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</si>
  <si>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</si>
  <si>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</si>
  <si>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</si>
  <si>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</si>
  <si>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</si>
  <si>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</si>
  <si>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</si>
  <si>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</si>
  <si>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</si>
  <si>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</si>
  <si>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</si>
  <si>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</si>
  <si>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</si>
  <si>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</si>
  <si>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</si>
  <si>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</si>
  <si>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</si>
  <si>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</si>
  <si>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</si>
  <si>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</si>
  <si>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</si>
  <si>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</si>
  <si>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</si>
  <si>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</si>
  <si>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</si>
  <si>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</si>
  <si>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</si>
  <si>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</si>
  <si>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</si>
  <si>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</si>
  <si>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</si>
  <si>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</si>
  <si>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</si>
  <si>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</si>
  <si>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</si>
  <si>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</si>
  <si>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</si>
  <si>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</si>
  <si>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</si>
  <si>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</si>
  <si>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</si>
  <si>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</si>
  <si>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</si>
  <si>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</si>
  <si>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</si>
  <si>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</si>
  <si>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</si>
  <si>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</si>
  <si>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</si>
  <si>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</si>
  <si>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</si>
  <si>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</si>
  <si>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</si>
  <si>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</si>
  <si>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</si>
  <si>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</si>
  <si>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</si>
  <si>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</si>
  <si>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</si>
  <si>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</si>
  <si>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</si>
  <si>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</si>
  <si>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</si>
  <si>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</si>
  <si>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</si>
  <si>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</si>
  <si>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</si>
  <si>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</si>
  <si>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</si>
  <si>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</si>
  <si>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</si>
  <si>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</si>
  <si>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</si>
  <si>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</si>
  <si>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</si>
  <si>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</si>
  <si>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</si>
  <si>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</si>
  <si>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</si>
  <si>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</si>
  <si>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</si>
  <si>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</si>
  <si>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</si>
  <si>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</si>
  <si>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</si>
  <si>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</si>
  <si>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</si>
  <si>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</si>
  <si>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</si>
  <si>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</si>
  <si>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</si>
  <si>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</si>
  <si>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</si>
  <si>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</si>
  <si>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</si>
  <si>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</si>
  <si>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</si>
  <si>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</si>
  <si>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</si>
  <si>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</si>
  <si>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</si>
  <si>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</si>
  <si>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</si>
  <si>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</si>
  <si>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</si>
  <si>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</si>
  <si>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</si>
  <si>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</si>
  <si>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</si>
  <si>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</si>
  <si>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</si>
  <si>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</si>
  <si>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</si>
  <si>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</si>
  <si>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</si>
  <si>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</si>
  <si>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</si>
  <si>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</si>
  <si>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</si>
  <si>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</si>
  <si>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</si>
  <si>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</si>
  <si>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</si>
  <si>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</si>
  <si>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</si>
  <si>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</si>
  <si>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</si>
  <si>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</si>
  <si>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</si>
  <si>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</si>
  <si>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</si>
  <si>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</si>
  <si>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</si>
  <si>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</si>
  <si>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</si>
  <si>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</si>
  <si>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</si>
  <si>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</si>
  <si>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</si>
  <si>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</si>
  <si>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</si>
  <si>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</si>
  <si>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</si>
  <si>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</si>
  <si>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</si>
  <si>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</si>
  <si>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</si>
  <si>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</si>
  <si>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</si>
  <si>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</si>
  <si>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</si>
  <si>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</si>
  <si>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</si>
  <si>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</si>
  <si>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</si>
  <si>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</si>
  <si>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</si>
  <si>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</si>
  <si>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</si>
  <si>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</si>
  <si>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</si>
  <si>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</si>
  <si>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</si>
  <si>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</si>
  <si>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</si>
  <si>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</si>
  <si>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</si>
  <si>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</si>
  <si>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</si>
  <si>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</si>
  <si>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</si>
  <si>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</si>
  <si>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</si>
  <si>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</si>
  <si>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</si>
  <si>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</si>
  <si>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</si>
  <si>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</si>
  <si>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</si>
  <si>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</si>
  <si>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</si>
  <si>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</si>
  <si>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</si>
  <si>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</si>
  <si>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</si>
  <si>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</si>
  <si>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</si>
  <si>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</si>
  <si>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</si>
  <si>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</si>
  <si>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</si>
  <si>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</si>
  <si>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</si>
  <si>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</si>
  <si>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</si>
  <si>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</si>
  <si>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</si>
  <si>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</si>
  <si>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</si>
  <si>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</si>
  <si>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</si>
  <si>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</si>
  <si>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</si>
  <si>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</si>
  <si>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</si>
  <si>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</si>
  <si>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</si>
  <si>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</si>
  <si>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</si>
  <si>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</si>
  <si>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</si>
  <si>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</si>
  <si>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</si>
  <si>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</si>
  <si>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</si>
  <si>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</si>
  <si>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</si>
  <si>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</si>
  <si>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</si>
  <si>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</si>
  <si>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</si>
  <si>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</si>
  <si>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</si>
  <si>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</si>
  <si>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</si>
  <si>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</si>
  <si>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</si>
  <si>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</si>
  <si>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</si>
  <si>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</si>
  <si>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</si>
  <si>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</si>
  <si>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</si>
  <si>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</si>
  <si>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</si>
  <si>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</si>
  <si>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</si>
  <si>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</si>
  <si>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</si>
  <si>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</si>
  <si>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</si>
  <si>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</si>
  <si>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</si>
  <si>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</si>
  <si>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</si>
  <si>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</si>
  <si>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</si>
  <si>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</si>
  <si>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</si>
  <si>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</si>
  <si>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</si>
  <si>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</si>
  <si>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</si>
  <si>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</si>
  <si>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</si>
  <si>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</si>
  <si>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</si>
  <si>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</si>
  <si>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</si>
  <si>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</si>
  <si>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</si>
  <si>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</si>
  <si>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</si>
  <si>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</si>
  <si>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</si>
  <si>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</si>
  <si>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</si>
  <si>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</si>
  <si>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</si>
  <si>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</si>
  <si>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</si>
  <si>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</si>
  <si>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</si>
  <si>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</si>
  <si>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</si>
  <si>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</si>
  <si>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</si>
  <si>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</si>
  <si>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</si>
  <si>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</si>
  <si>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</si>
  <si>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</si>
  <si>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</si>
  <si>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</si>
  <si>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</si>
  <si>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</si>
  <si>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</si>
  <si>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</si>
  <si>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</si>
  <si>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</si>
  <si>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</si>
  <si>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</si>
  <si>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</si>
  <si>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</si>
  <si>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</si>
  <si>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</si>
  <si>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</si>
  <si>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</si>
  <si>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</si>
  <si>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</si>
  <si>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</si>
  <si>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</si>
  <si>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</si>
  <si>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</si>
  <si>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</si>
  <si>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</si>
  <si>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</si>
  <si>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</si>
  <si>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</si>
  <si>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</si>
  <si>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</si>
  <si>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</si>
  <si>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</si>
  <si>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</si>
  <si>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</si>
  <si>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</si>
  <si>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</si>
  <si>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</si>
  <si>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</si>
  <si>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</si>
  <si>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</si>
  <si>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</si>
  <si>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</si>
  <si>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</si>
  <si>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</si>
  <si>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</si>
  <si>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</si>
  <si>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</si>
  <si>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</si>
  <si>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</si>
  <si>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</si>
  <si>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</si>
  <si>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</si>
  <si>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</si>
  <si>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</si>
  <si>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</si>
  <si>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</si>
  <si>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</si>
  <si>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</si>
  <si>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</si>
  <si>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</si>
  <si>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</si>
  <si>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</si>
  <si>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</si>
  <si>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</si>
  <si>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</si>
  <si>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</si>
  <si>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</si>
  <si>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</si>
  <si>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</si>
  <si>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</si>
  <si>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</si>
  <si>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</si>
  <si>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</si>
  <si>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</si>
  <si>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</si>
  <si>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</si>
  <si>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</si>
  <si>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</si>
  <si>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</si>
  <si>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</si>
  <si>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</si>
  <si>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</si>
  <si>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</si>
  <si>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</si>
  <si>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</si>
  <si>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</si>
  <si>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</si>
  <si>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</si>
  <si>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</si>
  <si>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</si>
  <si>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</si>
  <si>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</si>
  <si>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</si>
  <si>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</si>
  <si>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</si>
  <si>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</si>
  <si>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</si>
  <si>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</si>
  <si>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</si>
  <si>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</si>
  <si>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</si>
  <si>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</si>
  <si>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</si>
  <si>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</si>
  <si>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</si>
  <si>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</si>
  <si>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</si>
  <si>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</si>
  <si>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</si>
  <si>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</si>
  <si>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</si>
  <si>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</si>
  <si>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</si>
  <si>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</si>
  <si>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</si>
  <si>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</si>
  <si>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</si>
  <si>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</si>
  <si>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</si>
  <si>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</si>
  <si>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</si>
  <si>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</si>
  <si>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</si>
  <si>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</si>
  <si>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</si>
  <si>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</si>
  <si>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</si>
  <si>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</si>
  <si>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</si>
  <si>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</si>
  <si>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</si>
  <si>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</si>
  <si>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</si>
  <si>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</si>
  <si>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</si>
  <si>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</si>
  <si>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</si>
  <si>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</si>
  <si>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</si>
  <si>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</si>
  <si>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</si>
  <si>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</si>
  <si>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</si>
  <si>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</si>
  <si>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</si>
  <si>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</si>
  <si>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</si>
  <si>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</si>
  <si>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</si>
  <si>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</si>
  <si>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</si>
  <si>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</si>
  <si>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</si>
  <si>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</si>
  <si>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</si>
  <si>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</si>
  <si>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</si>
  <si>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</si>
  <si>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</si>
  <si>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</si>
  <si>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</si>
  <si>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</si>
  <si>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</si>
  <si>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</si>
  <si>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</si>
  <si>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</si>
  <si>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</si>
  <si>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</si>
  <si>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</si>
  <si>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</si>
  <si>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</si>
  <si>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</si>
  <si>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</si>
  <si>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</si>
  <si>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</si>
  <si>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</si>
  <si>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</si>
  <si>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</si>
  <si>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</si>
  <si>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</si>
  <si>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</si>
  <si>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</si>
  <si>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</si>
  <si>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</si>
  <si>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</si>
  <si>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</si>
  <si>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</si>
  <si>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</si>
  <si>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</si>
  <si>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</si>
  <si>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</si>
  <si>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</si>
  <si>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</si>
  <si>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</si>
  <si>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</si>
  <si>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</si>
  <si>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</si>
  <si>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</si>
  <si>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</si>
  <si>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</si>
  <si>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</si>
  <si>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</si>
  <si>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</si>
  <si>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</si>
  <si>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</si>
  <si>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</si>
  <si>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</si>
  <si>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</si>
  <si>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</si>
  <si>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</si>
  <si>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</si>
  <si>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</si>
  <si>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</si>
  <si>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</si>
  <si>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</si>
  <si>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</si>
  <si>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</si>
  <si>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</si>
  <si>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</si>
  <si>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</si>
  <si>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</si>
  <si>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</si>
  <si>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</si>
  <si>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</si>
  <si>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</si>
  <si>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</si>
  <si>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</si>
  <si>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</si>
  <si>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</si>
  <si>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</si>
  <si>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</si>
  <si>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</si>
  <si>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</si>
  <si>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</si>
  <si>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</si>
  <si>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</si>
  <si>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</si>
  <si>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</si>
  <si>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</si>
  <si>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</si>
  <si>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</si>
  <si>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</si>
  <si>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</si>
  <si>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</si>
  <si>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</si>
  <si>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</si>
  <si>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</si>
  <si>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</si>
  <si>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</si>
  <si>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</si>
  <si>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</si>
  <si>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</si>
  <si>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</si>
  <si>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</si>
  <si>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</si>
  <si>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</si>
  <si>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</si>
  <si>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</si>
  <si>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</si>
  <si>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</si>
  <si>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</si>
  <si>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</si>
  <si>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</si>
  <si>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</si>
  <si>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</si>
  <si>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</si>
  <si>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</si>
  <si>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</si>
  <si>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</si>
  <si>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</si>
  <si>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</si>
  <si>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</si>
  <si>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</si>
  <si>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</si>
  <si>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</si>
  <si>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</si>
  <si>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</si>
  <si>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</si>
  <si>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</si>
  <si>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</si>
  <si>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</si>
  <si>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</si>
  <si>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</si>
  <si>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</si>
  <si>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</si>
  <si>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</si>
  <si>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</si>
  <si>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</si>
  <si>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</si>
  <si>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</si>
  <si>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</si>
  <si>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</si>
  <si>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</si>
  <si>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</si>
  <si>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</si>
  <si>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</si>
  <si>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</si>
  <si>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</si>
  <si>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</si>
  <si>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</si>
  <si>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</si>
  <si>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</si>
  <si>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</si>
  <si>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</si>
  <si>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</si>
  <si>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</si>
  <si>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</si>
  <si>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</si>
  <si>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</si>
  <si>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</si>
  <si>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</si>
  <si>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</si>
  <si>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</si>
  <si>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</si>
  <si>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</si>
  <si>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</si>
  <si>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</si>
  <si>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</si>
  <si>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</si>
  <si>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</si>
  <si>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</si>
  <si>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</si>
  <si>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</si>
  <si>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</si>
  <si>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</si>
  <si>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</si>
  <si>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</si>
  <si>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</si>
  <si>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</si>
  <si>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</si>
  <si>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</si>
  <si>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</si>
  <si>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</si>
  <si>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</si>
  <si>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</si>
  <si>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</si>
  <si>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</si>
  <si>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</si>
  <si>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</si>
  <si>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</si>
  <si>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</si>
  <si>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</si>
  <si>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</si>
  <si>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</si>
  <si>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</si>
  <si>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</si>
  <si>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</si>
  <si>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</si>
  <si>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</si>
  <si>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</si>
  <si>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</si>
  <si>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</si>
  <si>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</si>
  <si>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</si>
  <si>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</si>
  <si>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</si>
  <si>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</si>
  <si>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</si>
  <si>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</si>
  <si>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</si>
  <si>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</si>
  <si>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</si>
  <si>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</si>
  <si>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</si>
  <si>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</si>
  <si>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</si>
  <si>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</si>
  <si>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</si>
  <si>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</si>
  <si>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</si>
  <si>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</si>
  <si>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</si>
  <si>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</si>
  <si>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</si>
  <si>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</si>
  <si>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</si>
  <si>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</si>
  <si>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</si>
  <si>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</si>
  <si>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</si>
  <si>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</si>
  <si>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</si>
  <si>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</si>
  <si>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</si>
  <si>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</si>
  <si>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</si>
  <si>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</si>
  <si>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</si>
  <si>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</si>
  <si>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</si>
  <si>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</si>
  <si>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</si>
  <si>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</si>
  <si>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</si>
  <si>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</si>
  <si>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</si>
  <si>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</si>
  <si>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</si>
  <si>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</si>
  <si>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</si>
  <si>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</si>
  <si>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</si>
  <si>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</si>
  <si>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</si>
  <si>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</si>
  <si>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</si>
  <si>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</si>
  <si>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</si>
  <si>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</si>
  <si>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</si>
  <si>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</si>
  <si>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</si>
  <si>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</si>
  <si>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</si>
  <si>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</si>
  <si>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</si>
  <si>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</si>
  <si>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</si>
  <si>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</si>
  <si>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</si>
  <si>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</si>
  <si>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</si>
  <si>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</si>
  <si>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</si>
  <si>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</si>
  <si>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</si>
  <si>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</si>
  <si>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</si>
  <si>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</si>
  <si>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</si>
  <si>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</si>
  <si>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</si>
  <si>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</si>
  <si>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</si>
  <si>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</si>
  <si>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</si>
  <si>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</si>
  <si>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</si>
  <si>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</si>
  <si>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</si>
  <si>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</si>
  <si>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</si>
  <si>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</si>
  <si>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</si>
  <si>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</si>
  <si>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</si>
  <si>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</si>
  <si>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</si>
  <si>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</si>
  <si>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</si>
  <si>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</si>
  <si>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</si>
  <si>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</si>
  <si>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</si>
  <si>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</si>
  <si>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</si>
  <si>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</si>
  <si>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</si>
  <si>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</si>
  <si>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</si>
  <si>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</si>
  <si>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</si>
  <si>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</si>
  <si>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</si>
  <si>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</si>
  <si>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</si>
  <si>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</si>
  <si>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</si>
  <si>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</si>
  <si>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</si>
  <si>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</si>
  <si>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</si>
  <si>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</si>
  <si>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</si>
  <si>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</si>
  <si>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</si>
  <si>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</si>
  <si>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+584146078210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</si>
  <si>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</si>
  <si>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</si>
  <si>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</si>
  <si>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</si>
  <si>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</si>
  <si>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</si>
  <si>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</si>
  <si>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</si>
  <si>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</si>
  <si>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</si>
  <si>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</si>
  <si>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</si>
  <si>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</si>
  <si>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</si>
  <si>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</si>
  <si>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</si>
  <si>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</si>
  <si>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</si>
  <si>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</si>
  <si>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</si>
  <si>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</si>
  <si>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</si>
  <si>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</si>
  <si>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</si>
  <si>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</si>
  <si>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</si>
  <si>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</si>
  <si>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</si>
  <si>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</si>
  <si>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</si>
  <si>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+584124452104</t>
  </si>
  <si>
    <t>Accel Corrales</t>
  </si>
  <si>
    <t>GÉNESIS ARTUVE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</si>
  <si>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</si>
  <si>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</si>
  <si>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</si>
  <si>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</si>
  <si>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</si>
  <si>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</si>
  <si>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</si>
  <si>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</si>
  <si>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</si>
  <si>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</si>
  <si>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</si>
  <si>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</si>
  <si>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</si>
  <si>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</si>
  <si>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</si>
  <si>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</si>
  <si>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</si>
  <si>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</si>
  <si>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</si>
  <si>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</si>
  <si>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Angi de Fuenmayor</t>
  </si>
  <si>
    <t>Silvana Fuenmayor</t>
  </si>
  <si>
    <t>Nancy Paz</t>
  </si>
  <si>
    <t>Samaria Fuenmayor</t>
  </si>
  <si>
    <t>Salvador Fuenmayor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</si>
  <si>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</si>
  <si>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</si>
  <si>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</si>
  <si>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</si>
  <si>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</si>
  <si>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</si>
  <si>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</si>
  <si>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</si>
  <si>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</si>
  <si>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</si>
  <si>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</si>
  <si>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</si>
  <si>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</si>
  <si>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</si>
  <si>
    <t>Mileidis Vilchez</t>
  </si>
  <si>
    <t>Karolina Malaver</t>
  </si>
  <si>
    <t>Jhonatan Quiroz</t>
  </si>
  <si>
    <t>GIL JORGE</t>
  </si>
  <si>
    <t>Miguel Leal</t>
  </si>
  <si>
    <t>Randy Leal</t>
  </si>
  <si>
    <t>Maigualida Rojas</t>
  </si>
  <si>
    <t>05-10-2026 A 11-10-2026</t>
  </si>
  <si>
    <t>58424624128</t>
  </si>
  <si>
    <t>573002775086</t>
  </si>
  <si>
    <t>5732094899772</t>
  </si>
  <si>
    <t>Arianny Ricardo</t>
  </si>
  <si>
    <t>ENMANUEL MORA</t>
  </si>
  <si>
    <t>Gustavo DeSales</t>
  </si>
  <si>
    <t>Guadalupe Villasmil</t>
  </si>
  <si>
    <t>si</t>
  </si>
  <si>
    <t>Mateo Libas</t>
  </si>
  <si>
    <t>Marcelo Libas</t>
  </si>
  <si>
    <t>Ramona Barrios</t>
  </si>
  <si>
    <t>Sebastian Macahdo</t>
  </si>
  <si>
    <t>SEBASTIANN YEPEZ</t>
  </si>
  <si>
    <t>ALEXANDER PERNIA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</si>
</sst>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0" fontId="5" fillId="3" borderId="0" xfId="0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9732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101</xdr:row>
      <xdr:rowOff>71437</xdr:rowOff>
    </xdr:from>
    <xdr:to>
      <xdr:col>7</xdr:col>
      <xdr:colOff>833436</xdr:colOff>
      <xdr:row>105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106</xdr:row>
      <xdr:rowOff>95251</xdr:rowOff>
    </xdr:from>
    <xdr:to>
      <xdr:col>7</xdr:col>
      <xdr:colOff>833436</xdr:colOff>
      <xdr:row>111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111</xdr:row>
      <xdr:rowOff>166689</xdr:rowOff>
    </xdr:from>
    <xdr:to>
      <xdr:col>7</xdr:col>
      <xdr:colOff>833436</xdr:colOff>
      <xdr:row>114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314</xdr:row>
      <xdr:rowOff>71437</xdr:rowOff>
    </xdr:from>
    <xdr:to>
      <xdr:col>7</xdr:col>
      <xdr:colOff>797717</xdr:colOff>
      <xdr:row>320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321</xdr:row>
      <xdr:rowOff>83345</xdr:rowOff>
    </xdr:from>
    <xdr:to>
      <xdr:col>7</xdr:col>
      <xdr:colOff>797717</xdr:colOff>
      <xdr:row>326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326</xdr:row>
      <xdr:rowOff>154783</xdr:rowOff>
    </xdr:from>
    <xdr:to>
      <xdr:col>7</xdr:col>
      <xdr:colOff>797717</xdr:colOff>
      <xdr:row>330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442</xdr:row>
      <xdr:rowOff>35718</xdr:rowOff>
    </xdr:from>
    <xdr:to>
      <xdr:col>7</xdr:col>
      <xdr:colOff>785812</xdr:colOff>
      <xdr:row>444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445</xdr:row>
      <xdr:rowOff>59532</xdr:rowOff>
    </xdr:from>
    <xdr:to>
      <xdr:col>7</xdr:col>
      <xdr:colOff>785812</xdr:colOff>
      <xdr:row>450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451</xdr:row>
      <xdr:rowOff>178592</xdr:rowOff>
    </xdr:from>
    <xdr:to>
      <xdr:col>7</xdr:col>
      <xdr:colOff>797718</xdr:colOff>
      <xdr:row>456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109256</xdr:colOff>
      <xdr:row>557</xdr:row>
      <xdr:rowOff>96651</xdr:rowOff>
    </xdr:from>
    <xdr:to>
      <xdr:col>7</xdr:col>
      <xdr:colOff>752193</xdr:colOff>
      <xdr:row>559</xdr:row>
      <xdr:rowOff>168088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72491" y="113197622"/>
          <a:ext cx="642937" cy="45243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130266</xdr:colOff>
      <xdr:row>561</xdr:row>
      <xdr:rowOff>0</xdr:rowOff>
    </xdr:from>
    <xdr:to>
      <xdr:col>7</xdr:col>
      <xdr:colOff>797017</xdr:colOff>
      <xdr:row>563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93501" y="113862971"/>
          <a:ext cx="666751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564</xdr:row>
      <xdr:rowOff>145677</xdr:rowOff>
    </xdr:from>
    <xdr:to>
      <xdr:col>7</xdr:col>
      <xdr:colOff>785811</xdr:colOff>
      <xdr:row>565</xdr:row>
      <xdr:rowOff>145677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270391" y="114580148"/>
          <a:ext cx="678655" cy="1905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144976</xdr:colOff>
      <xdr:row>618</xdr:row>
      <xdr:rowOff>119063</xdr:rowOff>
    </xdr:from>
    <xdr:to>
      <xdr:col>7</xdr:col>
      <xdr:colOff>787913</xdr:colOff>
      <xdr:row>621</xdr:row>
      <xdr:rowOff>101553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08211" y="127473916"/>
          <a:ext cx="642937" cy="8229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121163</xdr:colOff>
      <xdr:row>622</xdr:row>
      <xdr:rowOff>85446</xdr:rowOff>
    </xdr:from>
    <xdr:to>
      <xdr:col>7</xdr:col>
      <xdr:colOff>787914</xdr:colOff>
      <xdr:row>627</xdr:row>
      <xdr:rowOff>66536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284398" y="128471240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118363</xdr:colOff>
      <xdr:row>628</xdr:row>
      <xdr:rowOff>37821</xdr:rowOff>
    </xdr:from>
    <xdr:to>
      <xdr:col>7</xdr:col>
      <xdr:colOff>797018</xdr:colOff>
      <xdr:row>630</xdr:row>
      <xdr:rowOff>0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81598" y="129835556"/>
          <a:ext cx="678655" cy="7381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114</xdr:row>
      <xdr:rowOff>185738</xdr:rowOff>
    </xdr:from>
    <xdr:to>
      <xdr:col>7</xdr:col>
      <xdr:colOff>828675</xdr:colOff>
      <xdr:row>121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331</xdr:row>
      <xdr:rowOff>0</xdr:rowOff>
    </xdr:from>
    <xdr:to>
      <xdr:col>7</xdr:col>
      <xdr:colOff>869155</xdr:colOff>
      <xdr:row>339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457</xdr:row>
      <xdr:rowOff>0</xdr:rowOff>
    </xdr:from>
    <xdr:to>
      <xdr:col>7</xdr:col>
      <xdr:colOff>892968</xdr:colOff>
      <xdr:row>460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129569</xdr:colOff>
      <xdr:row>567</xdr:row>
      <xdr:rowOff>124665</xdr:rowOff>
    </xdr:from>
    <xdr:to>
      <xdr:col>7</xdr:col>
      <xdr:colOff>808224</xdr:colOff>
      <xdr:row>574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92804" y="115130636"/>
          <a:ext cx="678655" cy="169068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631</xdr:row>
      <xdr:rowOff>0</xdr:rowOff>
    </xdr:from>
    <xdr:to>
      <xdr:col>7</xdr:col>
      <xdr:colOff>869156</xdr:colOff>
      <xdr:row>640</xdr:row>
      <xdr:rowOff>188399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58485" y="130178735"/>
          <a:ext cx="773906" cy="1902899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45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149668247" TargetMode="External"/><Relationship Id="rId21" Type="http://schemas.openxmlformats.org/officeDocument/2006/relationships/hyperlink" Target="https://wa.me/584246476973" TargetMode="External"/><Relationship Id="rId42" Type="http://schemas.openxmlformats.org/officeDocument/2006/relationships/hyperlink" Target="https://wa.me/584246015457" TargetMode="External"/><Relationship Id="rId63" Type="http://schemas.openxmlformats.org/officeDocument/2006/relationships/hyperlink" Target="https://wa.me/584149790649" TargetMode="External"/><Relationship Id="rId84" Type="http://schemas.openxmlformats.org/officeDocument/2006/relationships/hyperlink" Target="https://wa.me/584120898262" TargetMode="External"/><Relationship Id="rId138" Type="http://schemas.openxmlformats.org/officeDocument/2006/relationships/hyperlink" Target="https://wa.me/584146416825" TargetMode="External"/><Relationship Id="rId107" Type="http://schemas.openxmlformats.org/officeDocument/2006/relationships/hyperlink" Target="https://wa.me/584146252731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21741688" TargetMode="External"/><Relationship Id="rId53" Type="http://schemas.openxmlformats.org/officeDocument/2006/relationships/hyperlink" Target="https://wa.me/584146078210" TargetMode="External"/><Relationship Id="rId74" Type="http://schemas.openxmlformats.org/officeDocument/2006/relationships/hyperlink" Target="https://wa.me/584246495866" TargetMode="External"/><Relationship Id="rId128" Type="http://schemas.openxmlformats.org/officeDocument/2006/relationships/hyperlink" Target="https://wa.me/584125068237" TargetMode="External"/><Relationship Id="rId149" Type="http://schemas.openxmlformats.org/officeDocument/2006/relationships/hyperlink" Target="https://wa.me/584246765278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22993944" TargetMode="External"/><Relationship Id="rId22" Type="http://schemas.openxmlformats.org/officeDocument/2006/relationships/hyperlink" Target="https://wa.me/584246476973" TargetMode="External"/><Relationship Id="rId27" Type="http://schemas.openxmlformats.org/officeDocument/2006/relationships/hyperlink" Target="https://wa.me/584246745980" TargetMode="External"/><Relationship Id="rId43" Type="http://schemas.openxmlformats.org/officeDocument/2006/relationships/hyperlink" Target="https://wa.me/584246098137" TargetMode="External"/><Relationship Id="rId48" Type="http://schemas.openxmlformats.org/officeDocument/2006/relationships/hyperlink" Target="https://wa.me/584246955133" TargetMode="External"/><Relationship Id="rId64" Type="http://schemas.openxmlformats.org/officeDocument/2006/relationships/hyperlink" Target="https://wa.me/584246502712" TargetMode="External"/><Relationship Id="rId69" Type="http://schemas.openxmlformats.org/officeDocument/2006/relationships/hyperlink" Target="https://wa.me/584149651533" TargetMode="External"/><Relationship Id="rId113" Type="http://schemas.openxmlformats.org/officeDocument/2006/relationships/hyperlink" Target="https://wa.me/584220396290" TargetMode="External"/><Relationship Id="rId118" Type="http://schemas.openxmlformats.org/officeDocument/2006/relationships/hyperlink" Target="https://wa.me/584149662112" TargetMode="External"/><Relationship Id="rId134" Type="http://schemas.openxmlformats.org/officeDocument/2006/relationships/hyperlink" Target="https://wa.me/584262602982" TargetMode="External"/><Relationship Id="rId139" Type="http://schemas.openxmlformats.org/officeDocument/2006/relationships/hyperlink" Target="https://wa.me/584146470677" TargetMode="External"/><Relationship Id="rId80" Type="http://schemas.openxmlformats.org/officeDocument/2006/relationships/hyperlink" Target="https://wa.me/584121713283" TargetMode="External"/><Relationship Id="rId85" Type="http://schemas.openxmlformats.org/officeDocument/2006/relationships/hyperlink" Target="https://wa.me/584146416825" TargetMode="External"/><Relationship Id="rId150" Type="http://schemas.openxmlformats.org/officeDocument/2006/relationships/hyperlink" Target="https://wa.me/584123244935" TargetMode="Externa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127643433" TargetMode="External"/><Relationship Id="rId38" Type="http://schemas.openxmlformats.org/officeDocument/2006/relationships/hyperlink" Target="https://wa.me/584246977305" TargetMode="External"/><Relationship Id="rId59" Type="http://schemas.openxmlformats.org/officeDocument/2006/relationships/hyperlink" Target="https://wa.me/584120188904" TargetMode="External"/><Relationship Id="rId103" Type="http://schemas.openxmlformats.org/officeDocument/2006/relationships/hyperlink" Target="https://wa.me/584146416825" TargetMode="External"/><Relationship Id="rId108" Type="http://schemas.openxmlformats.org/officeDocument/2006/relationships/hyperlink" Target="https://wa.me/584140687509" TargetMode="External"/><Relationship Id="rId124" Type="http://schemas.openxmlformats.org/officeDocument/2006/relationships/hyperlink" Target="https://wa.me/584127281859" TargetMode="External"/><Relationship Id="rId129" Type="http://schemas.openxmlformats.org/officeDocument/2006/relationships/hyperlink" Target="https://wa.me/584246074869" TargetMode="External"/><Relationship Id="rId54" Type="http://schemas.openxmlformats.org/officeDocument/2006/relationships/hyperlink" Target="https://wa.me/584246567451" TargetMode="External"/><Relationship Id="rId70" Type="http://schemas.openxmlformats.org/officeDocument/2006/relationships/hyperlink" Target="https://wa.me/584126413050" TargetMode="External"/><Relationship Id="rId75" Type="http://schemas.openxmlformats.org/officeDocument/2006/relationships/hyperlink" Target="https://wa.me/584246050573" TargetMode="External"/><Relationship Id="rId91" Type="http://schemas.openxmlformats.org/officeDocument/2006/relationships/hyperlink" Target="https://wa.me/584147377958" TargetMode="External"/><Relationship Id="rId96" Type="http://schemas.openxmlformats.org/officeDocument/2006/relationships/hyperlink" Target="https://wa.me/584121239797" TargetMode="External"/><Relationship Id="rId140" Type="http://schemas.openxmlformats.org/officeDocument/2006/relationships/hyperlink" Target="https://wa.me/584124452104" TargetMode="External"/><Relationship Id="rId145" Type="http://schemas.openxmlformats.org/officeDocument/2006/relationships/hyperlink" Target="https://wa.me/58569680449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160651191" TargetMode="External"/><Relationship Id="rId28" Type="http://schemas.openxmlformats.org/officeDocument/2006/relationships/hyperlink" Target="https://wa.me/584262624815" TargetMode="External"/><Relationship Id="rId49" Type="http://schemas.openxmlformats.org/officeDocument/2006/relationships/hyperlink" Target="https://wa.me/584129682349" TargetMode="External"/><Relationship Id="rId114" Type="http://schemas.openxmlformats.org/officeDocument/2006/relationships/hyperlink" Target="https://wa.me/584246483933" TargetMode="External"/><Relationship Id="rId119" Type="http://schemas.openxmlformats.org/officeDocument/2006/relationships/hyperlink" Target="https://wa.me/584140657645" TargetMode="External"/><Relationship Id="rId44" Type="http://schemas.openxmlformats.org/officeDocument/2006/relationships/hyperlink" Target="https://wa.me/584246640947" TargetMode="External"/><Relationship Id="rId60" Type="http://schemas.openxmlformats.org/officeDocument/2006/relationships/hyperlink" Target="https://wa.me/584246333827" TargetMode="External"/><Relationship Id="rId65" Type="http://schemas.openxmlformats.org/officeDocument/2006/relationships/hyperlink" Target="https://wa.me/584143623526" TargetMode="External"/><Relationship Id="rId81" Type="http://schemas.openxmlformats.org/officeDocument/2006/relationships/hyperlink" Target="https://wa.me/584246580645" TargetMode="External"/><Relationship Id="rId86" Type="http://schemas.openxmlformats.org/officeDocument/2006/relationships/hyperlink" Target="https://wa.me/584243188137" TargetMode="External"/><Relationship Id="rId130" Type="http://schemas.openxmlformats.org/officeDocument/2006/relationships/hyperlink" Target="https://wa.me/584128396516" TargetMode="External"/><Relationship Id="rId135" Type="http://schemas.openxmlformats.org/officeDocument/2006/relationships/hyperlink" Target="https://wa.me/584223001072" TargetMode="External"/><Relationship Id="rId151" Type="http://schemas.openxmlformats.org/officeDocument/2006/relationships/printerSettings" Target="../printerSettings/printerSettings1.bin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43701532" TargetMode="External"/><Relationship Id="rId39" Type="http://schemas.openxmlformats.org/officeDocument/2006/relationships/hyperlink" Target="https://wa.me/584246977305" TargetMode="External"/><Relationship Id="rId109" Type="http://schemas.openxmlformats.org/officeDocument/2006/relationships/hyperlink" Target="https://wa.me/584125804233" TargetMode="External"/><Relationship Id="rId34" Type="http://schemas.openxmlformats.org/officeDocument/2006/relationships/hyperlink" Target="https://wa.me/584265610098" TargetMode="External"/><Relationship Id="rId50" Type="http://schemas.openxmlformats.org/officeDocument/2006/relationships/hyperlink" Target="https://wa.me/584121719540" TargetMode="External"/><Relationship Id="rId55" Type="http://schemas.openxmlformats.org/officeDocument/2006/relationships/hyperlink" Target="https://wa.me/584146691571" TargetMode="External"/><Relationship Id="rId76" Type="http://schemas.openxmlformats.org/officeDocument/2006/relationships/hyperlink" Target="https://wa.me/584246656207" TargetMode="External"/><Relationship Id="rId97" Type="http://schemas.openxmlformats.org/officeDocument/2006/relationships/hyperlink" Target="https://wa.me/584246005684" TargetMode="External"/><Relationship Id="rId104" Type="http://schemas.openxmlformats.org/officeDocument/2006/relationships/hyperlink" Target="https://wa.me/584126431417" TargetMode="External"/><Relationship Id="rId120" Type="http://schemas.openxmlformats.org/officeDocument/2006/relationships/hyperlink" Target="https://wa.me/584246939443" TargetMode="External"/><Relationship Id="rId125" Type="http://schemas.openxmlformats.org/officeDocument/2006/relationships/hyperlink" Target="https://wa.me/584146976812" TargetMode="External"/><Relationship Id="rId141" Type="http://schemas.openxmlformats.org/officeDocument/2006/relationships/hyperlink" Target="https://wa.me/584146711447" TargetMode="External"/><Relationship Id="rId146" Type="http://schemas.openxmlformats.org/officeDocument/2006/relationships/hyperlink" Target="https://wa.me/584246458780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1250554" TargetMode="External"/><Relationship Id="rId92" Type="http://schemas.openxmlformats.org/officeDocument/2006/relationships/hyperlink" Target="https://wa.me/58414691201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46119220" TargetMode="External"/><Relationship Id="rId24" Type="http://schemas.openxmlformats.org/officeDocument/2006/relationships/hyperlink" Target="https://wa.me/584246760885" TargetMode="External"/><Relationship Id="rId40" Type="http://schemas.openxmlformats.org/officeDocument/2006/relationships/hyperlink" Target="https://wa.me/584123580423" TargetMode="External"/><Relationship Id="rId45" Type="http://schemas.openxmlformats.org/officeDocument/2006/relationships/hyperlink" Target="https://wa.me/584246178825" TargetMode="External"/><Relationship Id="rId66" Type="http://schemas.openxmlformats.org/officeDocument/2006/relationships/hyperlink" Target="https://wa.me/584146055216" TargetMode="External"/><Relationship Id="rId87" Type="http://schemas.openxmlformats.org/officeDocument/2006/relationships/hyperlink" Target="https://wa.me/584243188138" TargetMode="External"/><Relationship Id="rId110" Type="http://schemas.openxmlformats.org/officeDocument/2006/relationships/hyperlink" Target="https://wa.me/584129691301" TargetMode="External"/><Relationship Id="rId115" Type="http://schemas.openxmlformats.org/officeDocument/2006/relationships/hyperlink" Target="https://wa.me/584142228002" TargetMode="External"/><Relationship Id="rId131" Type="http://schemas.openxmlformats.org/officeDocument/2006/relationships/hyperlink" Target="https://wa.me/584128396516" TargetMode="External"/><Relationship Id="rId136" Type="http://schemas.openxmlformats.org/officeDocument/2006/relationships/hyperlink" Target="https://wa.me/584246383244" TargetMode="External"/><Relationship Id="rId61" Type="http://schemas.openxmlformats.org/officeDocument/2006/relationships/hyperlink" Target="https://wa.me/584145605527" TargetMode="External"/><Relationship Id="rId82" Type="http://schemas.openxmlformats.org/officeDocument/2006/relationships/hyperlink" Target="https://wa.me/584246694208" TargetMode="External"/><Relationship Id="rId152" Type="http://schemas.openxmlformats.org/officeDocument/2006/relationships/drawing" Target="../drawings/drawing1.xml"/><Relationship Id="rId19" Type="http://schemas.openxmlformats.org/officeDocument/2006/relationships/hyperlink" Target="https://wa.me/584246690701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121741688" TargetMode="External"/><Relationship Id="rId35" Type="http://schemas.openxmlformats.org/officeDocument/2006/relationships/hyperlink" Target="https://wa.me/584144229712" TargetMode="External"/><Relationship Id="rId56" Type="http://schemas.openxmlformats.org/officeDocument/2006/relationships/hyperlink" Target="https://wa.me/584121760297" TargetMode="External"/><Relationship Id="rId77" Type="http://schemas.openxmlformats.org/officeDocument/2006/relationships/hyperlink" Target="https://wa.me/584146560819" TargetMode="External"/><Relationship Id="rId100" Type="http://schemas.openxmlformats.org/officeDocument/2006/relationships/hyperlink" Target="https://wa.me/584129872207" TargetMode="External"/><Relationship Id="rId105" Type="http://schemas.openxmlformats.org/officeDocument/2006/relationships/hyperlink" Target="https://wa.me/584246056875" TargetMode="External"/><Relationship Id="rId126" Type="http://schemas.openxmlformats.org/officeDocument/2006/relationships/hyperlink" Target="https://wa.me/584246138855" TargetMode="External"/><Relationship Id="rId147" Type="http://schemas.openxmlformats.org/officeDocument/2006/relationships/hyperlink" Target="https://wa.me/584123357800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246955133" TargetMode="External"/><Relationship Id="rId72" Type="http://schemas.openxmlformats.org/officeDocument/2006/relationships/hyperlink" Target="https://wa.me/584146030430" TargetMode="External"/><Relationship Id="rId93" Type="http://schemas.openxmlformats.org/officeDocument/2006/relationships/hyperlink" Target="https://wa.me/584126934596" TargetMode="External"/><Relationship Id="rId98" Type="http://schemas.openxmlformats.org/officeDocument/2006/relationships/hyperlink" Target="https://wa.me/584246515654" TargetMode="External"/><Relationship Id="rId121" Type="http://schemas.openxmlformats.org/officeDocument/2006/relationships/hyperlink" Target="https://wa.me/584246939443" TargetMode="External"/><Relationship Id="rId142" Type="http://schemas.openxmlformats.org/officeDocument/2006/relationships/hyperlink" Target="https://wa.me/584246005684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370439" TargetMode="External"/><Relationship Id="rId46" Type="http://schemas.openxmlformats.org/officeDocument/2006/relationships/hyperlink" Target="https://wa.me/584146325669" TargetMode="External"/><Relationship Id="rId67" Type="http://schemas.openxmlformats.org/officeDocument/2006/relationships/hyperlink" Target="https://wa.me/584244279049" TargetMode="External"/><Relationship Id="rId116" Type="http://schemas.openxmlformats.org/officeDocument/2006/relationships/hyperlink" Target="https://wa.me/584126546213" TargetMode="External"/><Relationship Id="rId137" Type="http://schemas.openxmlformats.org/officeDocument/2006/relationships/hyperlink" Target="https://wa.me/584220388319" TargetMode="External"/><Relationship Id="rId20" Type="http://schemas.openxmlformats.org/officeDocument/2006/relationships/hyperlink" Target="https://wa.me/584146330981" TargetMode="External"/><Relationship Id="rId41" Type="http://schemas.openxmlformats.org/officeDocument/2006/relationships/hyperlink" Target="https://wa.me/584129828143" TargetMode="External"/><Relationship Id="rId62" Type="http://schemas.openxmlformats.org/officeDocument/2006/relationships/hyperlink" Target="https://wa.me/584146017902" TargetMode="External"/><Relationship Id="rId83" Type="http://schemas.openxmlformats.org/officeDocument/2006/relationships/hyperlink" Target="https://wa.me/584146572023" TargetMode="External"/><Relationship Id="rId88" Type="http://schemas.openxmlformats.org/officeDocument/2006/relationships/hyperlink" Target="https://wa.me/584243188137" TargetMode="External"/><Relationship Id="rId111" Type="http://schemas.openxmlformats.org/officeDocument/2006/relationships/hyperlink" Target="https://wa.me/584125837314" TargetMode="External"/><Relationship Id="rId132" Type="http://schemas.openxmlformats.org/officeDocument/2006/relationships/hyperlink" Target="https://wa.me/584128413787" TargetMode="External"/><Relationship Id="rId153" Type="http://schemas.openxmlformats.org/officeDocument/2006/relationships/vmlDrawing" Target="../drawings/vmlDrawing1.vml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127643433" TargetMode="External"/><Relationship Id="rId57" Type="http://schemas.openxmlformats.org/officeDocument/2006/relationships/hyperlink" Target="https://wa.me/584121426684" TargetMode="External"/><Relationship Id="rId106" Type="http://schemas.openxmlformats.org/officeDocument/2006/relationships/hyperlink" Target="https://wa.me/584122638517" TargetMode="External"/><Relationship Id="rId127" Type="http://schemas.openxmlformats.org/officeDocument/2006/relationships/hyperlink" Target="https://wa.me/584246045884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246274271" TargetMode="External"/><Relationship Id="rId52" Type="http://schemas.openxmlformats.org/officeDocument/2006/relationships/hyperlink" Target="https://wa.me/584127625153" TargetMode="External"/><Relationship Id="rId73" Type="http://schemas.openxmlformats.org/officeDocument/2006/relationships/hyperlink" Target="https://wa.me/584246796253" TargetMode="External"/><Relationship Id="rId78" Type="http://schemas.openxmlformats.org/officeDocument/2006/relationships/hyperlink" Target="https://wa.me/584246001018" TargetMode="External"/><Relationship Id="rId94" Type="http://schemas.openxmlformats.org/officeDocument/2006/relationships/hyperlink" Target="https://wa.me/584124881634" TargetMode="External"/><Relationship Id="rId99" Type="http://schemas.openxmlformats.org/officeDocument/2006/relationships/hyperlink" Target="https://wa.me/584128426488" TargetMode="External"/><Relationship Id="rId101" Type="http://schemas.openxmlformats.org/officeDocument/2006/relationships/hyperlink" Target="https://wa.me/584246567206" TargetMode="External"/><Relationship Id="rId122" Type="http://schemas.openxmlformats.org/officeDocument/2006/relationships/hyperlink" Target="https://wa.me/584122243095" TargetMode="External"/><Relationship Id="rId143" Type="http://schemas.openxmlformats.org/officeDocument/2006/relationships/hyperlink" Target="https://wa.me/584246019681" TargetMode="External"/><Relationship Id="rId148" Type="http://schemas.openxmlformats.org/officeDocument/2006/relationships/hyperlink" Target="https://wa.me/584246458780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745980" TargetMode="External"/><Relationship Id="rId47" Type="http://schemas.openxmlformats.org/officeDocument/2006/relationships/hyperlink" Target="https://wa.me/584146527806" TargetMode="External"/><Relationship Id="rId68" Type="http://schemas.openxmlformats.org/officeDocument/2006/relationships/hyperlink" Target="https://wa.me/584120764187" TargetMode="External"/><Relationship Id="rId89" Type="http://schemas.openxmlformats.org/officeDocument/2006/relationships/hyperlink" Target="https://wa.me/584125143332" TargetMode="External"/><Relationship Id="rId112" Type="http://schemas.openxmlformats.org/officeDocument/2006/relationships/hyperlink" Target="https://wa.me/584246122259" TargetMode="External"/><Relationship Id="rId133" Type="http://schemas.openxmlformats.org/officeDocument/2006/relationships/hyperlink" Target="https://wa.me/584146162502" TargetMode="External"/><Relationship Id="rId154" Type="http://schemas.openxmlformats.org/officeDocument/2006/relationships/comments" Target="../comments1.xml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26485373" TargetMode="External"/><Relationship Id="rId58" Type="http://schemas.openxmlformats.org/officeDocument/2006/relationships/hyperlink" Target="https://wa.me/584140651044" TargetMode="External"/><Relationship Id="rId79" Type="http://schemas.openxmlformats.org/officeDocument/2006/relationships/hyperlink" Target="https://wa.me/584143108633" TargetMode="External"/><Relationship Id="rId102" Type="http://schemas.openxmlformats.org/officeDocument/2006/relationships/hyperlink" Target="https://wa.me/584146277173" TargetMode="External"/><Relationship Id="rId123" Type="http://schemas.openxmlformats.org/officeDocument/2006/relationships/hyperlink" Target="https://wa.me/584145927007" TargetMode="External"/><Relationship Id="rId144" Type="http://schemas.openxmlformats.org/officeDocument/2006/relationships/hyperlink" Target="https://wa.me/584127332558" TargetMode="External"/><Relationship Id="rId90" Type="http://schemas.openxmlformats.org/officeDocument/2006/relationships/hyperlink" Target="https://wa.me/58424318813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67"/>
  <sheetViews>
    <sheetView tabSelected="1" zoomScale="85" zoomScaleNormal="85" workbookViewId="0">
      <selection activeCell="H8" sqref="H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3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08" t="s">
        <v>46</v>
      </c>
      <c r="B1" s="209"/>
      <c r="C1" s="209"/>
      <c r="D1" s="209"/>
      <c r="E1" s="209"/>
      <c r="F1" s="209"/>
      <c r="G1" s="210"/>
      <c r="N1" t="s">
        <v>1705</v>
      </c>
      <c r="Q1" t="s">
        <v>1898</v>
      </c>
    </row>
    <row r="2" spans="1:17" ht="15.75" x14ac:dyDescent="0.25">
      <c r="A2" s="211" t="s">
        <v>2187</v>
      </c>
      <c r="B2" s="212"/>
      <c r="C2" s="212"/>
      <c r="D2" s="212"/>
      <c r="E2" s="212"/>
      <c r="F2" s="212"/>
      <c r="G2" s="213"/>
      <c r="H2" s="31"/>
      <c r="N2" s="32" t="str">
        <f ca="1">IF(AND(I2="NO",J2="NO"),IF(N2="",TODAY(),N2),"")</f>
        <v/>
      </c>
      <c r="Q2" s="118" t="str" cm="1">
        <f t="array" ref="Q2">IF(ISERROR(INDEX($B$25:$B$88, SMALL(IF(($C$25:$C$88="SI")*($D$25:$D$88="SI"), ROW($B$25:$B$88)-ROW($B$25)+1), ROWS($A$1:A1)))), "", INDEX($B$25:$B$88, SMALL(IF(($C$25:$C$88="SI")*($D$25:$D$88="SI"), ROW($B$25:$B$88)-ROW($B$25)+1), ROWS($A$1:A1))))</f>
        <v xml:space="preserve">Janeth Pirela </v>
      </c>
    </row>
    <row r="3" spans="1:17" x14ac:dyDescent="0.25">
      <c r="A3" s="220" t="s">
        <v>47</v>
      </c>
      <c r="B3" s="221"/>
      <c r="C3" s="224"/>
      <c r="D3" s="225"/>
      <c r="E3" s="225"/>
      <c r="F3" s="225"/>
      <c r="G3" s="226"/>
      <c r="Q3" t="s">
        <v>1925</v>
      </c>
    </row>
    <row r="4" spans="1:17" x14ac:dyDescent="0.25">
      <c r="A4" s="222"/>
      <c r="B4" s="223"/>
      <c r="C4" s="227"/>
      <c r="D4" s="228"/>
      <c r="E4" s="228"/>
      <c r="F4" s="228"/>
      <c r="G4" s="229"/>
      <c r="Q4" s="124" t="s">
        <v>1924</v>
      </c>
    </row>
    <row r="5" spans="1:17" ht="44.25" customHeight="1" x14ac:dyDescent="0.25">
      <c r="A5" s="204" t="s">
        <v>48</v>
      </c>
      <c r="B5" s="205"/>
      <c r="C5" s="202">
        <f>C90+C299+C425+C545+C604</f>
        <v>211</v>
      </c>
      <c r="D5" s="203"/>
      <c r="E5" s="18" t="s">
        <v>50</v>
      </c>
      <c r="F5" s="156">
        <f>C5/C19*100</f>
        <v>38.224637681159415</v>
      </c>
      <c r="G5" s="141" t="s">
        <v>1804</v>
      </c>
      <c r="H5" s="162"/>
      <c r="J5" s="192" t="s">
        <v>1765</v>
      </c>
      <c r="K5" s="192"/>
    </row>
    <row r="6" spans="1:17" ht="45.75" customHeight="1" x14ac:dyDescent="0.25">
      <c r="A6" s="204" t="s">
        <v>49</v>
      </c>
      <c r="B6" s="205"/>
      <c r="C6" s="214">
        <f>+C91+C300+C426+C546+C605+C648</f>
        <v>326</v>
      </c>
      <c r="D6" s="215"/>
      <c r="E6" s="7" t="s">
        <v>50</v>
      </c>
      <c r="F6" s="156">
        <f>C6/C19*100</f>
        <v>59.05797101449275</v>
      </c>
      <c r="G6" s="141" t="s">
        <v>1805</v>
      </c>
      <c r="H6" s="162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204" t="s">
        <v>51</v>
      </c>
      <c r="B8" s="205"/>
      <c r="C8" s="202">
        <f>C93+C302+C428+C548+C607+C650</f>
        <v>156</v>
      </c>
      <c r="D8" s="203"/>
      <c r="E8" s="7" t="s">
        <v>50</v>
      </c>
      <c r="F8" s="156">
        <f>C8/C19*100</f>
        <v>28.260869565217391</v>
      </c>
      <c r="G8" s="141" t="s">
        <v>269</v>
      </c>
      <c r="J8" s="192" t="s">
        <v>1766</v>
      </c>
      <c r="K8" s="192"/>
    </row>
    <row r="9" spans="1:17" ht="58.5" customHeight="1" x14ac:dyDescent="0.25">
      <c r="A9" s="204" t="s">
        <v>52</v>
      </c>
      <c r="B9" s="205"/>
      <c r="C9" s="214">
        <f>C94+C303+C429+C549+C608+C651</f>
        <v>396</v>
      </c>
      <c r="D9" s="215"/>
      <c r="E9" s="7" t="s">
        <v>50</v>
      </c>
      <c r="F9" s="157">
        <f>C9/C19*100</f>
        <v>71.739130434782609</v>
      </c>
      <c r="G9" s="141" t="s">
        <v>270</v>
      </c>
      <c r="H9" s="172"/>
      <c r="I9" s="31"/>
      <c r="O9" s="151"/>
      <c r="P9" s="151"/>
    </row>
    <row r="10" spans="1:17" ht="18" x14ac:dyDescent="0.25">
      <c r="A10" s="56"/>
      <c r="B10" s="56"/>
      <c r="C10" s="23"/>
      <c r="D10" s="23"/>
      <c r="E10" s="57"/>
      <c r="F10" s="58"/>
      <c r="G10" s="142"/>
      <c r="H10" s="34"/>
    </row>
    <row r="11" spans="1:17" ht="15" customHeight="1" x14ac:dyDescent="0.25">
      <c r="A11" s="195" t="s">
        <v>1019</v>
      </c>
      <c r="B11" s="196"/>
      <c r="C11" s="199">
        <f>C96+C305+C431+C551+C610+C653</f>
        <v>91</v>
      </c>
      <c r="D11" s="180" t="s">
        <v>50</v>
      </c>
      <c r="E11" s="182">
        <f>C11/C19*100</f>
        <v>16.485507246376812</v>
      </c>
      <c r="F11" s="184" t="s">
        <v>1011</v>
      </c>
      <c r="G11" s="218"/>
      <c r="H11" s="34"/>
      <c r="P11" s="151"/>
    </row>
    <row r="12" spans="1:17" x14ac:dyDescent="0.25">
      <c r="A12" s="197"/>
      <c r="B12" s="198"/>
      <c r="C12" s="200"/>
      <c r="D12" s="181"/>
      <c r="E12" s="183"/>
      <c r="F12" s="185"/>
      <c r="G12" s="219"/>
      <c r="H12" s="34"/>
      <c r="L12" s="121"/>
    </row>
    <row r="13" spans="1:17" ht="15" customHeight="1" x14ac:dyDescent="0.25">
      <c r="A13" s="195" t="s">
        <v>1020</v>
      </c>
      <c r="B13" s="196"/>
      <c r="C13" s="199">
        <f>C98+C307+C433+C553+C612+C655</f>
        <v>263</v>
      </c>
      <c r="D13" s="180" t="s">
        <v>50</v>
      </c>
      <c r="E13" s="182">
        <f>C13/C19*100</f>
        <v>47.644927536231883</v>
      </c>
      <c r="F13" s="184" t="s">
        <v>1012</v>
      </c>
      <c r="G13" s="218"/>
      <c r="H13" s="34"/>
    </row>
    <row r="14" spans="1:17" ht="15" customHeight="1" x14ac:dyDescent="0.25">
      <c r="A14" s="197"/>
      <c r="B14" s="198"/>
      <c r="C14" s="200"/>
      <c r="D14" s="181"/>
      <c r="E14" s="183"/>
      <c r="F14" s="185"/>
      <c r="G14" s="219"/>
      <c r="H14" s="34"/>
    </row>
    <row r="15" spans="1:17" x14ac:dyDescent="0.25">
      <c r="A15" s="56"/>
      <c r="B15" s="56"/>
      <c r="C15" s="56"/>
      <c r="D15" s="56"/>
      <c r="E15" s="56"/>
      <c r="F15" s="56"/>
      <c r="G15" s="164"/>
      <c r="H15" s="56"/>
    </row>
    <row r="16" spans="1:17" ht="30" x14ac:dyDescent="0.25">
      <c r="A16" s="204" t="s">
        <v>352</v>
      </c>
      <c r="B16" s="205"/>
      <c r="C16" s="216">
        <f>COUNTIF(E23:E911,"NUEVO")</f>
        <v>4</v>
      </c>
      <c r="D16" s="217"/>
      <c r="E16" s="7" t="s">
        <v>50</v>
      </c>
      <c r="F16" s="158">
        <f>C16/C19*100</f>
        <v>0.72463768115942029</v>
      </c>
      <c r="G16" s="142" t="s">
        <v>351</v>
      </c>
    </row>
    <row r="17" spans="1:10" ht="45" x14ac:dyDescent="0.25">
      <c r="A17" s="204" t="s">
        <v>353</v>
      </c>
      <c r="B17" s="205"/>
      <c r="C17" s="216">
        <f>COUNTIF(C23:C1175,"NUEVO")</f>
        <v>2</v>
      </c>
      <c r="D17" s="217"/>
      <c r="E17" s="7" t="s">
        <v>50</v>
      </c>
      <c r="F17" s="158">
        <f>C17/C19*100</f>
        <v>0.36231884057971014</v>
      </c>
      <c r="G17" s="142" t="s">
        <v>278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204" t="s">
        <v>268</v>
      </c>
      <c r="B19" s="205"/>
      <c r="C19" s="216">
        <f>A88+A297+A423+A543+A602+A645</f>
        <v>552</v>
      </c>
      <c r="D19" s="217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6" t="s">
        <v>1845</v>
      </c>
      <c r="B21" s="187"/>
      <c r="C21" s="187"/>
      <c r="D21" s="187"/>
      <c r="E21" s="188"/>
      <c r="I21" s="206" t="s">
        <v>1845</v>
      </c>
      <c r="J21" s="206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59" t="s">
        <v>1901</v>
      </c>
      <c r="G22" s="140" t="s">
        <v>1902</v>
      </c>
      <c r="I22" s="207"/>
      <c r="J22" s="207"/>
    </row>
    <row r="23" spans="1:10" ht="15.75" x14ac:dyDescent="0.25">
      <c r="A23" s="9">
        <v>1</v>
      </c>
      <c r="B23" s="8" t="s">
        <v>35</v>
      </c>
      <c r="C23" s="16" t="s">
        <v>5</v>
      </c>
      <c r="D23" s="16" t="s">
        <v>5</v>
      </c>
      <c r="E23" s="28" t="s">
        <v>1248</v>
      </c>
      <c r="F23" s="32" t="str">
        <f t="shared" ref="F23:F51" ca="1" si="0">IF(AND(C23="NO",D23="NO"),IF(F23="",TODAY(),F23),"")</f>
        <v/>
      </c>
      <c r="G23" s="165">
        <v>584246228061</v>
      </c>
      <c r="H23" s="123"/>
      <c r="I23" s="4" t="str" cm="1">
        <f t="array" ref="I23:I38">_xlfn._xlws.FILTER(B23:B88,(C23:C88="SI")*(D23:D88="SI"),"")</f>
        <v>Renny Chávez</v>
      </c>
    </row>
    <row r="24" spans="1:10" ht="15.75" x14ac:dyDescent="0.25">
      <c r="A24" s="9">
        <v>2</v>
      </c>
      <c r="B24" s="8" t="s">
        <v>36</v>
      </c>
      <c r="C24" s="16" t="s">
        <v>5</v>
      </c>
      <c r="D24" s="16" t="s">
        <v>5</v>
      </c>
      <c r="E24" s="28" t="s">
        <v>1248</v>
      </c>
      <c r="F24" s="32" t="str">
        <f t="shared" ca="1" si="0"/>
        <v/>
      </c>
      <c r="G24" s="165">
        <v>584246792685</v>
      </c>
      <c r="H24" s="12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5</v>
      </c>
      <c r="E25" s="28" t="s">
        <v>258</v>
      </c>
      <c r="F25" s="32" t="str">
        <f t="shared" ca="1" si="0"/>
        <v/>
      </c>
      <c r="G25" s="165">
        <v>584125804233</v>
      </c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5</v>
      </c>
      <c r="E26" s="28" t="s">
        <v>258</v>
      </c>
      <c r="F26" s="32" t="str">
        <f t="shared" ca="1" si="0"/>
        <v/>
      </c>
      <c r="G26" s="165">
        <v>584129691301</v>
      </c>
      <c r="I26" s="4" t="str">
        <v>Lillibeth Sosa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298</v>
      </c>
      <c r="F27" s="32" t="str">
        <f t="shared" ca="1" si="0"/>
        <v/>
      </c>
      <c r="G27" s="165">
        <v>584149668247</v>
      </c>
      <c r="I27" s="4" t="str">
        <v>Yolimar Manzanilla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5</v>
      </c>
      <c r="E28" s="28" t="s">
        <v>298</v>
      </c>
      <c r="F28" s="32" t="str">
        <f t="shared" ca="1" si="0"/>
        <v/>
      </c>
      <c r="G28" s="165">
        <v>584149662112</v>
      </c>
      <c r="I28" s="4" t="str">
        <v>Sandy Rincon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6</v>
      </c>
      <c r="E29" s="28" t="s">
        <v>45</v>
      </c>
      <c r="F29" s="32" t="str">
        <f t="shared" ca="1" si="0"/>
        <v/>
      </c>
      <c r="I29" s="4" t="str">
        <v>Pedro Briceño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5</v>
      </c>
      <c r="E30" s="28" t="s">
        <v>45</v>
      </c>
      <c r="F30" s="32" t="str">
        <f t="shared" ca="1" si="0"/>
        <v/>
      </c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5</v>
      </c>
      <c r="E31" s="28" t="s">
        <v>258</v>
      </c>
      <c r="F31" s="32" t="str">
        <f t="shared" ca="1" si="0"/>
        <v/>
      </c>
      <c r="I31" s="4" t="str">
        <v>Minerva Castillo</v>
      </c>
      <c r="J31" s="4"/>
    </row>
    <row r="32" spans="1:10" ht="15.75" x14ac:dyDescent="0.25">
      <c r="A32" s="9">
        <v>10</v>
      </c>
      <c r="B32" s="8" t="s">
        <v>564</v>
      </c>
      <c r="C32" s="16" t="s">
        <v>6</v>
      </c>
      <c r="D32" s="16" t="s">
        <v>6</v>
      </c>
      <c r="E32" s="28" t="s">
        <v>258</v>
      </c>
      <c r="F32" s="32">
        <f t="shared" ca="1" si="0"/>
        <v>46306</v>
      </c>
      <c r="I32" s="4" t="str">
        <v>Norelia Villasmil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258</v>
      </c>
      <c r="F33" s="32" t="str">
        <f t="shared" ca="1" si="0"/>
        <v/>
      </c>
      <c r="G33" s="165">
        <v>584125837314</v>
      </c>
      <c r="I33" s="4" t="str">
        <v>Isaura Lopez</v>
      </c>
    </row>
    <row r="34" spans="1:10" ht="15.75" x14ac:dyDescent="0.25">
      <c r="A34" s="9">
        <v>12</v>
      </c>
      <c r="B34" s="8" t="s">
        <v>1580</v>
      </c>
      <c r="C34" s="16" t="s">
        <v>5</v>
      </c>
      <c r="D34" s="16" t="s">
        <v>6</v>
      </c>
      <c r="E34" s="28" t="s">
        <v>45</v>
      </c>
      <c r="F34" s="32" t="str">
        <f t="shared" ca="1" si="0"/>
        <v/>
      </c>
      <c r="G34" s="138">
        <v>584246015457</v>
      </c>
      <c r="I34" t="str">
        <v>SILFREDO ACOSTA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6</v>
      </c>
      <c r="E35" s="28" t="s">
        <v>45</v>
      </c>
      <c r="F35" s="32">
        <f t="shared" ca="1" si="0"/>
        <v>46300</v>
      </c>
      <c r="I35" s="4" t="str">
        <v>Lorena Acosta</v>
      </c>
      <c r="J35" s="4"/>
    </row>
    <row r="36" spans="1:10" ht="15.75" x14ac:dyDescent="0.25">
      <c r="A36" s="9">
        <v>14</v>
      </c>
      <c r="B36" s="29" t="s">
        <v>321</v>
      </c>
      <c r="C36" s="16" t="s">
        <v>5</v>
      </c>
      <c r="D36" s="16" t="s">
        <v>6</v>
      </c>
      <c r="E36" s="28" t="s">
        <v>45</v>
      </c>
      <c r="F36" s="32" t="str">
        <f t="shared" ca="1" si="0"/>
        <v/>
      </c>
      <c r="G36" s="138">
        <v>584246745980</v>
      </c>
      <c r="I36" t="str">
        <v xml:space="preserve">Luis Gutiérrez </v>
      </c>
    </row>
    <row r="37" spans="1:10" ht="15.75" x14ac:dyDescent="0.25">
      <c r="A37" s="9">
        <v>15</v>
      </c>
      <c r="B37" s="8" t="s">
        <v>284</v>
      </c>
      <c r="C37" s="16" t="s">
        <v>6</v>
      </c>
      <c r="D37" s="16" t="s">
        <v>6</v>
      </c>
      <c r="E37" s="28" t="s">
        <v>45</v>
      </c>
      <c r="F37" s="32">
        <f t="shared" ca="1" si="0"/>
        <v>46287</v>
      </c>
      <c r="I37" t="str">
        <v>Betsy Matos</v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5</v>
      </c>
      <c r="E38" s="28" t="s">
        <v>45</v>
      </c>
      <c r="F38" s="32" t="str">
        <f t="shared" ca="1" si="0"/>
        <v/>
      </c>
      <c r="G38" s="165">
        <v>584129828143</v>
      </c>
      <c r="I38" s="4" t="str">
        <v>Douglas Rincón</v>
      </c>
      <c r="J38" s="4"/>
    </row>
    <row r="39" spans="1:10" ht="15.75" x14ac:dyDescent="0.25">
      <c r="A39" s="9">
        <v>17</v>
      </c>
      <c r="B39" s="29" t="s">
        <v>320</v>
      </c>
      <c r="C39" s="16" t="s">
        <v>5</v>
      </c>
      <c r="D39" s="16" t="s">
        <v>6</v>
      </c>
      <c r="E39" s="28" t="s">
        <v>45</v>
      </c>
      <c r="F39" s="32" t="str">
        <f t="shared" ca="1" si="0"/>
        <v/>
      </c>
      <c r="G39" s="138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6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5</v>
      </c>
      <c r="D41" s="16" t="s">
        <v>5</v>
      </c>
      <c r="E41" s="28" t="s">
        <v>258</v>
      </c>
      <c r="F41" s="32" t="str">
        <f t="shared" ca="1" si="0"/>
        <v/>
      </c>
      <c r="G41" s="165">
        <v>584246122259</v>
      </c>
    </row>
    <row r="42" spans="1:10" ht="15.75" x14ac:dyDescent="0.25">
      <c r="A42" s="9">
        <v>20</v>
      </c>
      <c r="B42" s="8" t="s">
        <v>31</v>
      </c>
      <c r="C42" s="16" t="s">
        <v>5</v>
      </c>
      <c r="D42" s="16" t="s">
        <v>5</v>
      </c>
      <c r="E42" s="28" t="s">
        <v>298</v>
      </c>
      <c r="F42" s="32" t="str">
        <f t="shared" ca="1" si="0"/>
        <v/>
      </c>
      <c r="G42" s="165">
        <v>584121719540</v>
      </c>
    </row>
    <row r="43" spans="1:10" ht="15.75" x14ac:dyDescent="0.25">
      <c r="A43" s="9">
        <v>21</v>
      </c>
      <c r="B43" s="8" t="s">
        <v>1264</v>
      </c>
      <c r="C43" s="16" t="s">
        <v>5</v>
      </c>
      <c r="D43" s="16" t="s">
        <v>5</v>
      </c>
      <c r="E43" s="28" t="s">
        <v>298</v>
      </c>
      <c r="F43" s="32" t="str">
        <f t="shared" ca="1" si="0"/>
        <v/>
      </c>
      <c r="G43" s="165">
        <v>584246178825</v>
      </c>
    </row>
    <row r="44" spans="1:10" ht="15.75" x14ac:dyDescent="0.25">
      <c r="A44" s="9">
        <v>22</v>
      </c>
      <c r="B44" s="8" t="s">
        <v>252</v>
      </c>
      <c r="C44" s="16" t="s">
        <v>6</v>
      </c>
      <c r="D44" s="16" t="s">
        <v>5</v>
      </c>
      <c r="E44" s="28" t="s">
        <v>45</v>
      </c>
      <c r="F44" s="32" t="str">
        <f t="shared" ca="1" si="0"/>
        <v/>
      </c>
    </row>
    <row r="45" spans="1:10" ht="15.75" x14ac:dyDescent="0.25">
      <c r="A45" s="9">
        <v>23</v>
      </c>
      <c r="B45" s="8" t="s">
        <v>253</v>
      </c>
      <c r="C45" s="16" t="s">
        <v>6</v>
      </c>
      <c r="D45" s="16" t="s">
        <v>5</v>
      </c>
      <c r="E45" s="28" t="s">
        <v>45</v>
      </c>
      <c r="F45" s="32" t="str">
        <f t="shared" ca="1" si="0"/>
        <v/>
      </c>
    </row>
    <row r="46" spans="1:10" ht="15" customHeight="1" x14ac:dyDescent="0.25">
      <c r="A46" s="9">
        <v>24</v>
      </c>
      <c r="B46" s="8" t="s">
        <v>393</v>
      </c>
      <c r="C46" s="16" t="s">
        <v>5</v>
      </c>
      <c r="D46" s="16" t="s">
        <v>5</v>
      </c>
      <c r="E46" s="28" t="s">
        <v>45</v>
      </c>
      <c r="F46" s="32" t="str">
        <f t="shared" ca="1" si="0"/>
        <v/>
      </c>
      <c r="G46" s="165">
        <v>584146325669</v>
      </c>
      <c r="I46" s="152"/>
    </row>
    <row r="47" spans="1:10" ht="15" customHeight="1" x14ac:dyDescent="0.25">
      <c r="A47" s="9">
        <v>25</v>
      </c>
      <c r="B47" s="8" t="s">
        <v>1754</v>
      </c>
      <c r="C47" s="16" t="s">
        <v>6</v>
      </c>
      <c r="D47" s="16" t="s">
        <v>6</v>
      </c>
      <c r="E47" s="28" t="s">
        <v>45</v>
      </c>
      <c r="F47" s="32">
        <f t="shared" ca="1" si="0"/>
        <v>46306</v>
      </c>
      <c r="G47" s="165">
        <v>584127625153</v>
      </c>
    </row>
    <row r="48" spans="1:10" ht="15.75" x14ac:dyDescent="0.25">
      <c r="A48" s="9">
        <v>26</v>
      </c>
      <c r="B48" s="42" t="s">
        <v>1767</v>
      </c>
      <c r="C48" s="16" t="s">
        <v>5</v>
      </c>
      <c r="D48" s="16" t="s">
        <v>5</v>
      </c>
      <c r="E48" s="28" t="s">
        <v>45</v>
      </c>
      <c r="F48" s="32" t="str">
        <f t="shared" ca="1" si="0"/>
        <v/>
      </c>
      <c r="G48" s="165">
        <v>584146527806</v>
      </c>
    </row>
    <row r="49" spans="1:9" ht="15.75" x14ac:dyDescent="0.25">
      <c r="A49" s="9">
        <v>27</v>
      </c>
      <c r="B49" s="8" t="s">
        <v>787</v>
      </c>
      <c r="C49" s="16" t="s">
        <v>6</v>
      </c>
      <c r="D49" s="16" t="s">
        <v>5</v>
      </c>
      <c r="E49" s="28" t="s">
        <v>337</v>
      </c>
      <c r="F49" s="32" t="str">
        <f t="shared" ca="1" si="0"/>
        <v/>
      </c>
    </row>
    <row r="50" spans="1:9" ht="15.75" x14ac:dyDescent="0.25">
      <c r="A50" s="9">
        <v>28</v>
      </c>
      <c r="B50" s="42" t="s">
        <v>1557</v>
      </c>
      <c r="C50" s="16" t="s">
        <v>5</v>
      </c>
      <c r="D50" s="16" t="s">
        <v>6</v>
      </c>
      <c r="E50" s="28" t="s">
        <v>45</v>
      </c>
      <c r="F50" s="32" t="str">
        <f t="shared" ca="1" si="0"/>
        <v/>
      </c>
      <c r="G50" s="138">
        <v>584146162502</v>
      </c>
    </row>
    <row r="51" spans="1:9" ht="15.75" x14ac:dyDescent="0.25">
      <c r="A51" s="9">
        <v>29</v>
      </c>
      <c r="B51" s="8" t="s">
        <v>251</v>
      </c>
      <c r="C51" s="16" t="s">
        <v>6</v>
      </c>
      <c r="D51" s="16" t="s">
        <v>6</v>
      </c>
      <c r="E51" s="28" t="s">
        <v>45</v>
      </c>
      <c r="F51" s="32">
        <f t="shared" ca="1" si="0"/>
        <v>46287</v>
      </c>
    </row>
    <row r="52" spans="1:9" ht="15.75" x14ac:dyDescent="0.25">
      <c r="A52" s="9">
        <v>30</v>
      </c>
      <c r="B52" s="42" t="s">
        <v>888</v>
      </c>
      <c r="C52" s="16" t="s">
        <v>6</v>
      </c>
      <c r="D52" s="16" t="s">
        <v>6</v>
      </c>
      <c r="E52" s="28" t="s">
        <v>45</v>
      </c>
      <c r="F52" s="32">
        <f t="shared" ref="F52:F70" ca="1" si="1">IF(AND(C52="NO",D52="NO"),IF(F52="",TODAY(),F52),"")</f>
        <v>46306</v>
      </c>
    </row>
    <row r="53" spans="1:9" ht="15.75" x14ac:dyDescent="0.25">
      <c r="A53" s="9">
        <v>31</v>
      </c>
      <c r="B53" s="42" t="s">
        <v>1521</v>
      </c>
      <c r="C53" s="16" t="s">
        <v>6</v>
      </c>
      <c r="D53" s="16" t="s">
        <v>6</v>
      </c>
      <c r="E53" s="28" t="s">
        <v>45</v>
      </c>
      <c r="F53" s="32">
        <f t="shared" ca="1" si="1"/>
        <v>46306</v>
      </c>
      <c r="G53" s="165">
        <v>584246098137</v>
      </c>
    </row>
    <row r="54" spans="1:9" ht="15.75" x14ac:dyDescent="0.25">
      <c r="A54" s="9">
        <v>32</v>
      </c>
      <c r="B54" s="42" t="s">
        <v>1687</v>
      </c>
      <c r="C54" s="16" t="s">
        <v>5</v>
      </c>
      <c r="D54" s="16" t="s">
        <v>5</v>
      </c>
      <c r="E54" s="28" t="s">
        <v>45</v>
      </c>
      <c r="F54" s="32" t="str">
        <f t="shared" ca="1" si="1"/>
        <v/>
      </c>
      <c r="G54" s="165">
        <v>584246640947</v>
      </c>
    </row>
    <row r="55" spans="1:9" ht="15.75" x14ac:dyDescent="0.25">
      <c r="A55" s="9">
        <v>33</v>
      </c>
      <c r="B55" s="42" t="s">
        <v>1755</v>
      </c>
      <c r="C55" s="16" t="s">
        <v>6</v>
      </c>
      <c r="D55" s="16" t="s">
        <v>5</v>
      </c>
      <c r="E55" s="28" t="s">
        <v>337</v>
      </c>
      <c r="F55" s="32" t="str">
        <f t="shared" ca="1" si="1"/>
        <v/>
      </c>
    </row>
    <row r="56" spans="1:9" ht="15.75" x14ac:dyDescent="0.25">
      <c r="A56" s="9">
        <v>34</v>
      </c>
      <c r="B56" s="42" t="s">
        <v>1781</v>
      </c>
      <c r="C56" s="16" t="s">
        <v>6</v>
      </c>
      <c r="D56" s="16" t="s">
        <v>5</v>
      </c>
      <c r="E56" s="28" t="s">
        <v>337</v>
      </c>
      <c r="F56" s="32" t="str">
        <f t="shared" ca="1" si="1"/>
        <v/>
      </c>
    </row>
    <row r="57" spans="1:9" ht="15.75" x14ac:dyDescent="0.25">
      <c r="A57" s="9">
        <v>35</v>
      </c>
      <c r="B57" s="42" t="s">
        <v>1772</v>
      </c>
      <c r="C57" s="16" t="s">
        <v>6</v>
      </c>
      <c r="D57" s="16" t="s">
        <v>6</v>
      </c>
      <c r="E57" s="28" t="s">
        <v>45</v>
      </c>
      <c r="F57" s="32">
        <f t="shared" ca="1" si="1"/>
        <v>46287</v>
      </c>
      <c r="G57" s="165" t="s">
        <v>2107</v>
      </c>
    </row>
    <row r="58" spans="1:9" ht="15.75" x14ac:dyDescent="0.25">
      <c r="A58" s="9">
        <v>36</v>
      </c>
      <c r="B58" s="42" t="s">
        <v>1774</v>
      </c>
      <c r="C58" s="16" t="s">
        <v>5</v>
      </c>
      <c r="D58" s="16" t="s">
        <v>6</v>
      </c>
      <c r="E58" s="28" t="s">
        <v>45</v>
      </c>
      <c r="F58" s="32" t="str">
        <f t="shared" ca="1" si="1"/>
        <v/>
      </c>
      <c r="G58" s="165">
        <v>584246955133</v>
      </c>
    </row>
    <row r="59" spans="1:9" ht="15.75" x14ac:dyDescent="0.25">
      <c r="A59" s="9">
        <v>37</v>
      </c>
      <c r="B59" s="42" t="s">
        <v>1775</v>
      </c>
      <c r="C59" s="16" t="s">
        <v>5</v>
      </c>
      <c r="D59" s="16" t="s">
        <v>6</v>
      </c>
      <c r="E59" s="28" t="s">
        <v>45</v>
      </c>
      <c r="F59" s="32" t="str">
        <f t="shared" ca="1" si="1"/>
        <v/>
      </c>
      <c r="G59" s="165">
        <v>584246955133</v>
      </c>
    </row>
    <row r="60" spans="1:9" ht="15.75" x14ac:dyDescent="0.25">
      <c r="A60" s="9">
        <v>38</v>
      </c>
      <c r="B60" s="42" t="s">
        <v>1777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</row>
    <row r="61" spans="1:9" ht="15.75" x14ac:dyDescent="0.25">
      <c r="A61" s="9">
        <v>39</v>
      </c>
      <c r="B61" s="42" t="s">
        <v>1778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</row>
    <row r="62" spans="1:9" ht="15.75" x14ac:dyDescent="0.25">
      <c r="A62" s="9">
        <v>40</v>
      </c>
      <c r="B62" s="42" t="s">
        <v>1776</v>
      </c>
      <c r="C62" s="16" t="s">
        <v>6</v>
      </c>
      <c r="D62" s="16" t="s">
        <v>6</v>
      </c>
      <c r="E62" s="28" t="s">
        <v>45</v>
      </c>
      <c r="F62" s="32">
        <f t="shared" ca="1" si="1"/>
        <v>46300</v>
      </c>
      <c r="G62" s="165" t="s">
        <v>2108</v>
      </c>
    </row>
    <row r="63" spans="1:9" ht="15.75" x14ac:dyDescent="0.25">
      <c r="A63" s="9">
        <v>41</v>
      </c>
      <c r="B63" s="42" t="s">
        <v>1786</v>
      </c>
      <c r="C63" s="16" t="s">
        <v>6</v>
      </c>
      <c r="D63" s="16" t="s">
        <v>6</v>
      </c>
      <c r="E63" s="28" t="s">
        <v>45</v>
      </c>
      <c r="F63" s="32">
        <f t="shared" ca="1" si="1"/>
        <v>46287</v>
      </c>
      <c r="I63" s="99"/>
    </row>
    <row r="64" spans="1:9" ht="15.75" x14ac:dyDescent="0.25">
      <c r="A64" s="9">
        <v>42</v>
      </c>
      <c r="B64" s="42" t="s">
        <v>1787</v>
      </c>
      <c r="C64" s="16" t="s">
        <v>6</v>
      </c>
      <c r="D64" s="16" t="s">
        <v>6</v>
      </c>
      <c r="E64" s="28" t="s">
        <v>45</v>
      </c>
      <c r="F64" s="32">
        <f t="shared" ca="1" si="1"/>
        <v>46306</v>
      </c>
      <c r="G64" s="165">
        <v>584246074869</v>
      </c>
      <c r="I64" s="100"/>
    </row>
    <row r="65" spans="1:7" ht="15.75" x14ac:dyDescent="0.25">
      <c r="A65" s="9">
        <v>43</v>
      </c>
      <c r="B65" s="42" t="s">
        <v>1821</v>
      </c>
      <c r="C65" s="16" t="s">
        <v>6</v>
      </c>
      <c r="D65" s="16" t="s">
        <v>6</v>
      </c>
      <c r="E65" s="28" t="s">
        <v>337</v>
      </c>
      <c r="F65" s="32">
        <f t="shared" ca="1" si="1"/>
        <v>46287</v>
      </c>
    </row>
    <row r="66" spans="1:7" ht="16.5" customHeight="1" x14ac:dyDescent="0.25">
      <c r="A66" s="9">
        <v>45</v>
      </c>
      <c r="B66" s="42" t="s">
        <v>1519</v>
      </c>
      <c r="C66" s="16" t="s">
        <v>6</v>
      </c>
      <c r="D66" s="16" t="s">
        <v>6</v>
      </c>
      <c r="E66" s="28" t="s">
        <v>45</v>
      </c>
      <c r="F66" s="32">
        <f t="shared" ca="1" si="1"/>
        <v>46306</v>
      </c>
      <c r="G66" s="166"/>
    </row>
    <row r="67" spans="1:7" x14ac:dyDescent="0.25">
      <c r="A67" s="9">
        <v>46</v>
      </c>
      <c r="B67" s="8" t="s">
        <v>2049</v>
      </c>
      <c r="C67" s="16" t="s">
        <v>6</v>
      </c>
      <c r="D67" s="16" t="s">
        <v>5</v>
      </c>
      <c r="E67" s="12" t="s">
        <v>337</v>
      </c>
      <c r="F67" s="32" t="str">
        <f t="shared" ca="1" si="1"/>
        <v/>
      </c>
      <c r="G67" s="165">
        <v>584246005684</v>
      </c>
    </row>
    <row r="68" spans="1:7" ht="15.75" x14ac:dyDescent="0.25">
      <c r="A68" s="9">
        <v>47</v>
      </c>
      <c r="B68" s="42" t="s">
        <v>2085</v>
      </c>
      <c r="C68" s="16" t="s">
        <v>6</v>
      </c>
      <c r="D68" s="16" t="s">
        <v>6</v>
      </c>
      <c r="E68" s="28" t="s">
        <v>337</v>
      </c>
      <c r="F68" s="32">
        <f t="shared" ca="1" si="1"/>
        <v>46293</v>
      </c>
      <c r="G68" s="165" t="s">
        <v>2109</v>
      </c>
    </row>
    <row r="69" spans="1:7" ht="15" customHeight="1" x14ac:dyDescent="0.25">
      <c r="A69" s="9">
        <v>48</v>
      </c>
      <c r="B69" s="42" t="s">
        <v>2089</v>
      </c>
      <c r="C69" s="16" t="s">
        <v>5</v>
      </c>
      <c r="D69" s="16" t="s">
        <v>5</v>
      </c>
      <c r="E69" s="28" t="s">
        <v>337</v>
      </c>
      <c r="F69" s="32" t="str">
        <f t="shared" ref="F69" ca="1" si="2">IF(AND(C69="NO",D69="NO"),IF(F69="",TODAY(),F69),"")</f>
        <v/>
      </c>
      <c r="G69" s="165"/>
    </row>
    <row r="70" spans="1:7" ht="15" customHeight="1" x14ac:dyDescent="0.25">
      <c r="A70" s="9">
        <v>49</v>
      </c>
      <c r="B70" s="42" t="s">
        <v>2137</v>
      </c>
      <c r="C70" s="16" t="s">
        <v>6</v>
      </c>
      <c r="D70" s="16" t="s">
        <v>6</v>
      </c>
      <c r="E70" s="28" t="s">
        <v>45</v>
      </c>
      <c r="F70" s="32">
        <f t="shared" ca="1" si="1"/>
        <v>46293</v>
      </c>
      <c r="G70" s="165">
        <v>584246383244</v>
      </c>
    </row>
    <row r="71" spans="1:7" ht="15.75" x14ac:dyDescent="0.25">
      <c r="A71" s="9">
        <v>50</v>
      </c>
      <c r="B71" s="42" t="s">
        <v>2129</v>
      </c>
      <c r="C71" s="16" t="s">
        <v>6</v>
      </c>
      <c r="D71" s="16" t="s">
        <v>6</v>
      </c>
      <c r="E71" s="28" t="s">
        <v>45</v>
      </c>
      <c r="F71" s="32">
        <f t="shared" ref="F71:F79" ca="1" si="3">IF(AND(C71="NO",D71="NO"),IF(F71="",TODAY(),F71),"")</f>
        <v>46293</v>
      </c>
      <c r="G71" s="165"/>
    </row>
    <row r="72" spans="1:7" ht="15.75" x14ac:dyDescent="0.25">
      <c r="A72" s="9">
        <v>51</v>
      </c>
      <c r="B72" s="42" t="s">
        <v>2130</v>
      </c>
      <c r="C72" s="16" t="s">
        <v>6</v>
      </c>
      <c r="D72" s="16" t="s">
        <v>6</v>
      </c>
      <c r="E72" s="28" t="s">
        <v>45</v>
      </c>
      <c r="F72" s="32">
        <f t="shared" ca="1" si="3"/>
        <v>46293</v>
      </c>
      <c r="G72" s="165"/>
    </row>
    <row r="73" spans="1:7" ht="15.75" x14ac:dyDescent="0.25">
      <c r="A73" s="9">
        <v>52</v>
      </c>
      <c r="B73" s="42" t="s">
        <v>2131</v>
      </c>
      <c r="C73" s="16" t="s">
        <v>6</v>
      </c>
      <c r="D73" s="16" t="s">
        <v>6</v>
      </c>
      <c r="E73" s="28" t="s">
        <v>45</v>
      </c>
      <c r="F73" s="32">
        <f t="shared" ca="1" si="3"/>
        <v>46293</v>
      </c>
      <c r="G73" s="165"/>
    </row>
    <row r="74" spans="1:7" ht="15.75" x14ac:dyDescent="0.25">
      <c r="A74" s="9">
        <v>53</v>
      </c>
      <c r="B74" s="42" t="s">
        <v>2135</v>
      </c>
      <c r="C74" s="16" t="s">
        <v>6</v>
      </c>
      <c r="D74" s="16" t="s">
        <v>6</v>
      </c>
      <c r="E74" s="28" t="s">
        <v>337</v>
      </c>
      <c r="F74" s="32">
        <f t="shared" ref="F74:F76" ca="1" si="4">IF(AND(C74="NO",D74="NO"),IF(F74="",TODAY(),F74),"")</f>
        <v>46293</v>
      </c>
      <c r="G74" s="165">
        <v>584246019681</v>
      </c>
    </row>
    <row r="75" spans="1:7" ht="15.75" x14ac:dyDescent="0.25">
      <c r="A75" s="9">
        <v>54</v>
      </c>
      <c r="B75" s="42" t="s">
        <v>2161</v>
      </c>
      <c r="C75" s="16" t="s">
        <v>6</v>
      </c>
      <c r="D75" s="16" t="s">
        <v>6</v>
      </c>
      <c r="E75" s="28" t="s">
        <v>337</v>
      </c>
      <c r="F75" s="32">
        <f t="shared" ca="1" si="4"/>
        <v>46300</v>
      </c>
      <c r="G75" s="165">
        <v>5696804494</v>
      </c>
    </row>
    <row r="76" spans="1:7" ht="15.75" x14ac:dyDescent="0.25">
      <c r="A76" s="9">
        <v>55</v>
      </c>
      <c r="B76" s="42" t="s">
        <v>2162</v>
      </c>
      <c r="C76" s="16" t="s">
        <v>6</v>
      </c>
      <c r="D76" s="16" t="s">
        <v>6</v>
      </c>
      <c r="E76" s="28" t="s">
        <v>337</v>
      </c>
      <c r="F76" s="32">
        <f t="shared" ca="1" si="4"/>
        <v>46300</v>
      </c>
      <c r="G76" s="165">
        <v>56945510813</v>
      </c>
    </row>
    <row r="77" spans="1:7" ht="15.75" x14ac:dyDescent="0.25">
      <c r="A77" s="9">
        <v>56</v>
      </c>
      <c r="B77" s="42" t="s">
        <v>2163</v>
      </c>
      <c r="C77" s="16" t="s">
        <v>6</v>
      </c>
      <c r="D77" s="16" t="s">
        <v>6</v>
      </c>
      <c r="E77" s="28" t="s">
        <v>337</v>
      </c>
      <c r="F77" s="32">
        <f t="shared" ca="1" si="3"/>
        <v>46300</v>
      </c>
      <c r="G77" s="165"/>
    </row>
    <row r="78" spans="1:7" ht="15.75" x14ac:dyDescent="0.25">
      <c r="A78" s="9">
        <v>57</v>
      </c>
      <c r="B78" s="42" t="s">
        <v>2164</v>
      </c>
      <c r="C78" s="16" t="s">
        <v>6</v>
      </c>
      <c r="D78" s="16" t="s">
        <v>6</v>
      </c>
      <c r="E78" s="28" t="s">
        <v>337</v>
      </c>
      <c r="F78" s="32">
        <f t="shared" ca="1" si="3"/>
        <v>46300</v>
      </c>
      <c r="G78" s="165"/>
    </row>
    <row r="79" spans="1:7" ht="15.75" x14ac:dyDescent="0.25">
      <c r="A79" s="9">
        <v>58</v>
      </c>
      <c r="B79" s="42" t="s">
        <v>2165</v>
      </c>
      <c r="C79" s="16" t="s">
        <v>6</v>
      </c>
      <c r="D79" s="16" t="s">
        <v>6</v>
      </c>
      <c r="E79" s="28" t="s">
        <v>337</v>
      </c>
      <c r="F79" s="32">
        <f t="shared" ca="1" si="3"/>
        <v>46300</v>
      </c>
      <c r="G79" s="165"/>
    </row>
    <row r="80" spans="1:7" ht="15.75" x14ac:dyDescent="0.25">
      <c r="A80" s="9">
        <v>59</v>
      </c>
      <c r="B80" s="42" t="s">
        <v>2177</v>
      </c>
      <c r="C80" s="16" t="s">
        <v>5</v>
      </c>
      <c r="D80" s="16" t="s">
        <v>6</v>
      </c>
      <c r="E80" s="28" t="s">
        <v>337</v>
      </c>
      <c r="F80" s="32" t="str">
        <f t="shared" ref="F80" ca="1" si="5">IF(AND(C80="NO",D80="NO"),IF(F80="",TODAY(),F80),"")</f>
        <v/>
      </c>
      <c r="G80" s="165">
        <v>584246458780</v>
      </c>
    </row>
    <row r="81" spans="1:7" ht="15.75" x14ac:dyDescent="0.25">
      <c r="A81" s="9">
        <v>60</v>
      </c>
      <c r="B81" s="42" t="s">
        <v>2171</v>
      </c>
      <c r="C81" s="16" t="s">
        <v>6</v>
      </c>
      <c r="D81" s="16" t="s">
        <v>6</v>
      </c>
      <c r="E81" s="28" t="s">
        <v>337</v>
      </c>
      <c r="F81" s="32"/>
      <c r="G81" s="165"/>
    </row>
    <row r="82" spans="1:7" ht="15.75" x14ac:dyDescent="0.25">
      <c r="A82" s="9">
        <v>61</v>
      </c>
      <c r="B82" s="42" t="s">
        <v>76</v>
      </c>
      <c r="C82" s="16" t="s">
        <v>5</v>
      </c>
      <c r="D82" s="16" t="s">
        <v>6</v>
      </c>
      <c r="E82" s="28" t="s">
        <v>337</v>
      </c>
      <c r="F82" s="32"/>
      <c r="G82" s="165"/>
    </row>
    <row r="83" spans="1:7" ht="15.75" x14ac:dyDescent="0.25">
      <c r="A83" s="9">
        <v>62</v>
      </c>
      <c r="B83" s="42" t="s">
        <v>2178</v>
      </c>
      <c r="C83" s="16" t="s">
        <v>6</v>
      </c>
      <c r="D83" s="16" t="s">
        <v>6</v>
      </c>
      <c r="E83" s="28" t="s">
        <v>337</v>
      </c>
      <c r="F83" s="32"/>
      <c r="G83" s="165"/>
    </row>
    <row r="84" spans="1:7" ht="15.75" x14ac:dyDescent="0.25">
      <c r="A84" s="9">
        <v>63</v>
      </c>
      <c r="B84" s="42" t="s">
        <v>1267</v>
      </c>
      <c r="C84" s="16" t="s">
        <v>6</v>
      </c>
      <c r="D84" s="16" t="s">
        <v>6</v>
      </c>
      <c r="E84" s="28" t="s">
        <v>45</v>
      </c>
      <c r="F84" s="32">
        <f ca="1">IF(AND(C84="NO",D84="NO"),IF(F84="",TODAY(),F84),"")</f>
        <v>46306</v>
      </c>
      <c r="G84" s="169"/>
    </row>
    <row r="85" spans="1:7" ht="15.75" x14ac:dyDescent="0.25">
      <c r="A85" s="9">
        <v>64</v>
      </c>
      <c r="B85" s="42" t="s">
        <v>2179</v>
      </c>
      <c r="C85" s="16" t="s">
        <v>6</v>
      </c>
      <c r="D85" s="16" t="s">
        <v>6</v>
      </c>
      <c r="E85" s="28" t="s">
        <v>337</v>
      </c>
      <c r="F85" s="32"/>
      <c r="G85" s="165"/>
    </row>
    <row r="86" spans="1:7" ht="15.75" x14ac:dyDescent="0.25">
      <c r="A86" s="9">
        <v>65</v>
      </c>
      <c r="B86" s="42" t="s">
        <v>2184</v>
      </c>
      <c r="C86" s="16" t="s">
        <v>6</v>
      </c>
      <c r="D86" s="16" t="s">
        <v>6</v>
      </c>
      <c r="E86" s="28" t="s">
        <v>337</v>
      </c>
      <c r="F86" s="32"/>
      <c r="G86" s="165"/>
    </row>
    <row r="87" spans="1:7" ht="15.75" x14ac:dyDescent="0.25">
      <c r="A87" s="9">
        <v>66</v>
      </c>
      <c r="B87" s="42" t="s">
        <v>2185</v>
      </c>
      <c r="C87" s="16" t="s">
        <v>6</v>
      </c>
      <c r="D87" s="16" t="s">
        <v>6</v>
      </c>
      <c r="E87" s="28" t="s">
        <v>337</v>
      </c>
      <c r="F87" s="32"/>
      <c r="G87" s="165"/>
    </row>
    <row r="88" spans="1:7" ht="15.75" x14ac:dyDescent="0.25">
      <c r="A88" s="9">
        <v>66</v>
      </c>
      <c r="B88" s="42" t="s">
        <v>2198</v>
      </c>
      <c r="C88" s="16" t="s">
        <v>5</v>
      </c>
      <c r="D88" s="16" t="s">
        <v>6</v>
      </c>
      <c r="E88" s="28" t="s">
        <v>1707</v>
      </c>
      <c r="F88" s="32"/>
      <c r="G88" s="165"/>
    </row>
    <row r="90" spans="1:7" ht="45" x14ac:dyDescent="0.25">
      <c r="A90" s="190" t="s">
        <v>53</v>
      </c>
      <c r="B90" s="191"/>
      <c r="C90" s="10">
        <f>COUNTIF(C25:C88, "SI")</f>
        <v>27</v>
      </c>
      <c r="D90" s="6" t="s">
        <v>50</v>
      </c>
      <c r="E90" s="27">
        <f>C90/A88*100</f>
        <v>40.909090909090914</v>
      </c>
      <c r="F90" s="160" t="s">
        <v>1806</v>
      </c>
    </row>
    <row r="91" spans="1:7" ht="45" x14ac:dyDescent="0.25">
      <c r="A91" s="190" t="s">
        <v>54</v>
      </c>
      <c r="B91" s="191"/>
      <c r="C91" s="10">
        <f>COUNTIF(C23:C88, "NO")</f>
        <v>37</v>
      </c>
      <c r="D91" s="6" t="s">
        <v>50</v>
      </c>
      <c r="E91" s="27">
        <f>C91/A88*100</f>
        <v>56.060606060606055</v>
      </c>
      <c r="F91" s="160" t="s">
        <v>1807</v>
      </c>
    </row>
    <row r="92" spans="1:7" ht="18" x14ac:dyDescent="0.25">
      <c r="A92" s="22"/>
      <c r="B92" s="22"/>
      <c r="C92" s="23"/>
      <c r="D92" s="24"/>
      <c r="E92" s="25"/>
      <c r="F92" s="26"/>
    </row>
    <row r="93" spans="1:7" ht="45" x14ac:dyDescent="0.25">
      <c r="A93" s="190" t="s">
        <v>55</v>
      </c>
      <c r="B93" s="191"/>
      <c r="C93" s="10">
        <f>COUNTIF(D22:D88, "SI")</f>
        <v>23</v>
      </c>
      <c r="D93" s="6" t="s">
        <v>50</v>
      </c>
      <c r="E93" s="27">
        <f>C93/A88*100</f>
        <v>34.848484848484851</v>
      </c>
      <c r="F93" s="160" t="s">
        <v>57</v>
      </c>
    </row>
    <row r="94" spans="1:7" ht="45" x14ac:dyDescent="0.25">
      <c r="A94" s="190" t="s">
        <v>56</v>
      </c>
      <c r="B94" s="191"/>
      <c r="C94" s="10">
        <f>COUNTIF(D23:D88, "NO")</f>
        <v>43</v>
      </c>
      <c r="D94" s="6" t="s">
        <v>50</v>
      </c>
      <c r="E94" s="27">
        <f>C94/A88*100</f>
        <v>65.151515151515156</v>
      </c>
      <c r="F94" s="160" t="s">
        <v>58</v>
      </c>
    </row>
    <row r="95" spans="1:7" ht="15" customHeight="1" x14ac:dyDescent="0.25">
      <c r="A95" s="22"/>
      <c r="B95" s="22"/>
      <c r="C95" s="23"/>
      <c r="D95" s="24"/>
      <c r="E95" s="25"/>
      <c r="F95" s="50"/>
    </row>
    <row r="96" spans="1:7" ht="15" customHeight="1" x14ac:dyDescent="0.25">
      <c r="A96" s="175" t="s">
        <v>1009</v>
      </c>
      <c r="B96" s="176"/>
      <c r="C96" s="179">
        <f>COUNTIFS(C23:C88,"SI",D23:D88,"SI")</f>
        <v>16</v>
      </c>
      <c r="D96" s="180" t="s">
        <v>50</v>
      </c>
      <c r="E96" s="182">
        <f>C96/A88*100</f>
        <v>24.242424242424242</v>
      </c>
      <c r="F96" s="184" t="s">
        <v>1011</v>
      </c>
    </row>
    <row r="97" spans="1:10" ht="15" customHeight="1" x14ac:dyDescent="0.25">
      <c r="A97" s="177"/>
      <c r="B97" s="178"/>
      <c r="C97" s="179"/>
      <c r="D97" s="181"/>
      <c r="E97" s="183"/>
      <c r="F97" s="185"/>
    </row>
    <row r="98" spans="1:10" ht="15" customHeight="1" x14ac:dyDescent="0.25">
      <c r="A98" s="175" t="s">
        <v>1010</v>
      </c>
      <c r="B98" s="176"/>
      <c r="C98" s="179">
        <f>COUNTIFS(C23:C88,"NO",D23:D88,"NO")</f>
        <v>30</v>
      </c>
      <c r="D98" s="180" t="s">
        <v>50</v>
      </c>
      <c r="E98" s="182">
        <f>C98/A88*100</f>
        <v>45.454545454545453</v>
      </c>
      <c r="F98" s="184" t="s">
        <v>1012</v>
      </c>
    </row>
    <row r="99" spans="1:10" x14ac:dyDescent="0.25">
      <c r="A99" s="177"/>
      <c r="B99" s="178"/>
      <c r="C99" s="179"/>
      <c r="D99" s="181"/>
      <c r="E99" s="183"/>
      <c r="F99" s="185"/>
    </row>
    <row r="100" spans="1:10" ht="18" x14ac:dyDescent="0.25">
      <c r="A100" s="22"/>
      <c r="B100" s="22"/>
      <c r="C100" s="23"/>
      <c r="D100" s="24"/>
      <c r="E100" s="25"/>
      <c r="F100" s="50"/>
    </row>
    <row r="101" spans="1:10" ht="14.25" customHeight="1" x14ac:dyDescent="0.25">
      <c r="B101" s="4"/>
      <c r="I101" s="193" t="s">
        <v>1900</v>
      </c>
      <c r="J101" s="193"/>
    </row>
    <row r="102" spans="1:10" ht="15" customHeight="1" x14ac:dyDescent="0.25">
      <c r="A102" s="186" t="s">
        <v>1899</v>
      </c>
      <c r="B102" s="187"/>
      <c r="C102" s="187"/>
      <c r="D102" s="187"/>
      <c r="E102" s="188"/>
      <c r="I102" s="194"/>
      <c r="J102" s="194"/>
    </row>
    <row r="103" spans="1:10" ht="15" customHeight="1" x14ac:dyDescent="0.25">
      <c r="A103" s="11" t="s">
        <v>0</v>
      </c>
      <c r="B103" s="11" t="s">
        <v>1</v>
      </c>
      <c r="C103" s="11" t="s">
        <v>2</v>
      </c>
      <c r="D103" s="11" t="s">
        <v>3</v>
      </c>
      <c r="E103" s="11" t="s">
        <v>7</v>
      </c>
      <c r="F103" s="159" t="s">
        <v>1901</v>
      </c>
      <c r="G103" s="140" t="s">
        <v>1902</v>
      </c>
      <c r="I103" s="174" t="str" cm="1">
        <f t="array" ref="I103:I133">_xlfn._xlws.FILTER(B104:B297,(C104:C297="SI")*(D104:D297="SI"),"")</f>
        <v>Norma Piña</v>
      </c>
      <c r="J103" s="102"/>
    </row>
    <row r="104" spans="1:10" x14ac:dyDescent="0.25">
      <c r="A104" s="9">
        <v>1</v>
      </c>
      <c r="B104" s="8" t="s">
        <v>59</v>
      </c>
      <c r="C104" s="9" t="s">
        <v>5</v>
      </c>
      <c r="D104" s="9" t="s">
        <v>6</v>
      </c>
      <c r="E104" s="12" t="s">
        <v>45</v>
      </c>
      <c r="F104" s="32" t="str">
        <f t="shared" ref="F104:F130" ca="1" si="6">IF(AND(C104="NO",D104="NO"),IF(F104="",TODAY(),F104),"")</f>
        <v/>
      </c>
      <c r="G104" s="165"/>
      <c r="I104" s="174" t="str">
        <v>Necdy Pacheco</v>
      </c>
    </row>
    <row r="105" spans="1:10" ht="15" customHeight="1" x14ac:dyDescent="0.25">
      <c r="A105" s="9">
        <v>2</v>
      </c>
      <c r="B105" s="8" t="s">
        <v>61</v>
      </c>
      <c r="C105" s="9" t="s">
        <v>5</v>
      </c>
      <c r="D105" s="9" t="s">
        <v>6</v>
      </c>
      <c r="E105" s="12" t="s">
        <v>45</v>
      </c>
      <c r="F105" s="32" t="str">
        <f t="shared" ca="1" si="6"/>
        <v/>
      </c>
      <c r="I105" s="174" t="str">
        <v>Isbelia Puche</v>
      </c>
      <c r="J105" s="102"/>
    </row>
    <row r="106" spans="1:10" ht="15" customHeight="1" x14ac:dyDescent="0.25">
      <c r="A106" s="9">
        <v>3</v>
      </c>
      <c r="B106" s="8" t="s">
        <v>60</v>
      </c>
      <c r="C106" s="9" t="s">
        <v>5</v>
      </c>
      <c r="D106" s="9" t="s">
        <v>5</v>
      </c>
      <c r="E106" s="12" t="s">
        <v>258</v>
      </c>
      <c r="F106" s="32" t="str">
        <f t="shared" ca="1" si="6"/>
        <v/>
      </c>
      <c r="I106" s="174" t="str">
        <v>María PerDOMo</v>
      </c>
      <c r="J106" s="102"/>
    </row>
    <row r="107" spans="1:10" ht="15" customHeight="1" x14ac:dyDescent="0.25">
      <c r="A107" s="9">
        <v>4</v>
      </c>
      <c r="B107" s="8" t="s">
        <v>65</v>
      </c>
      <c r="C107" s="9" t="s">
        <v>5</v>
      </c>
      <c r="D107" s="9" t="s">
        <v>5</v>
      </c>
      <c r="E107" s="12" t="s">
        <v>45</v>
      </c>
      <c r="F107" s="32" t="str">
        <f t="shared" ca="1" si="6"/>
        <v/>
      </c>
      <c r="I107" s="174" t="str">
        <v>Andrés Gómez</v>
      </c>
      <c r="J107" s="102"/>
    </row>
    <row r="108" spans="1:10" x14ac:dyDescent="0.25">
      <c r="A108" s="9">
        <v>5</v>
      </c>
      <c r="B108" s="8" t="s">
        <v>66</v>
      </c>
      <c r="C108" s="9" t="s">
        <v>5</v>
      </c>
      <c r="D108" s="9" t="s">
        <v>6</v>
      </c>
      <c r="E108" s="12" t="s">
        <v>45</v>
      </c>
      <c r="F108" s="32" t="str">
        <f t="shared" ca="1" si="6"/>
        <v/>
      </c>
      <c r="I108" s="174" t="str">
        <v>Karol González</v>
      </c>
      <c r="J108" s="102"/>
    </row>
    <row r="109" spans="1:10" ht="15" customHeight="1" x14ac:dyDescent="0.25">
      <c r="A109" s="9">
        <v>6</v>
      </c>
      <c r="B109" s="8" t="s">
        <v>72</v>
      </c>
      <c r="C109" s="9" t="s">
        <v>5</v>
      </c>
      <c r="D109" s="9" t="s">
        <v>6</v>
      </c>
      <c r="E109" s="12" t="s">
        <v>45</v>
      </c>
      <c r="F109" s="32" t="str">
        <f t="shared" ca="1" si="6"/>
        <v/>
      </c>
      <c r="I109" s="174" t="str">
        <v>Jaqueline González</v>
      </c>
      <c r="J109" s="102"/>
    </row>
    <row r="110" spans="1:10" ht="15" customHeight="1" x14ac:dyDescent="0.25">
      <c r="A110" s="9">
        <v>7</v>
      </c>
      <c r="B110" s="8" t="s">
        <v>74</v>
      </c>
      <c r="C110" s="9" t="s">
        <v>5</v>
      </c>
      <c r="D110" s="9" t="s">
        <v>5</v>
      </c>
      <c r="E110" s="12" t="s">
        <v>45</v>
      </c>
      <c r="F110" s="32" t="str">
        <f t="shared" ca="1" si="6"/>
        <v/>
      </c>
      <c r="I110" s="174" t="str">
        <v xml:space="preserve">Tibisay Rangel </v>
      </c>
      <c r="J110" s="102"/>
    </row>
    <row r="111" spans="1:10" x14ac:dyDescent="0.25">
      <c r="A111" s="9">
        <v>8</v>
      </c>
      <c r="B111" s="8" t="s">
        <v>2078</v>
      </c>
      <c r="C111" s="9" t="s">
        <v>6</v>
      </c>
      <c r="D111" s="9" t="s">
        <v>6</v>
      </c>
      <c r="E111" s="12" t="s">
        <v>45</v>
      </c>
      <c r="F111" s="32">
        <f t="shared" ca="1" si="6"/>
        <v>46293</v>
      </c>
      <c r="I111" s="174" t="str">
        <v xml:space="preserve">Lenin Daboin </v>
      </c>
      <c r="J111" s="102"/>
    </row>
    <row r="112" spans="1:10" x14ac:dyDescent="0.25">
      <c r="A112" s="9">
        <v>9</v>
      </c>
      <c r="B112" s="8" t="s">
        <v>1799</v>
      </c>
      <c r="C112" s="9" t="s">
        <v>5</v>
      </c>
      <c r="D112" s="9" t="s">
        <v>5</v>
      </c>
      <c r="E112" s="12" t="s">
        <v>45</v>
      </c>
      <c r="F112" s="32" t="str">
        <f t="shared" ca="1" si="6"/>
        <v/>
      </c>
      <c r="I112" s="174" t="str">
        <v xml:space="preserve">Ender Sambrano </v>
      </c>
      <c r="J112" s="102"/>
    </row>
    <row r="113" spans="1:10" x14ac:dyDescent="0.25">
      <c r="A113" s="9">
        <v>10</v>
      </c>
      <c r="B113" s="8" t="s">
        <v>77</v>
      </c>
      <c r="C113" s="9" t="s">
        <v>5</v>
      </c>
      <c r="D113" s="9" t="s">
        <v>5</v>
      </c>
      <c r="E113" s="12" t="s">
        <v>45</v>
      </c>
      <c r="F113" s="32" t="str">
        <f t="shared" ca="1" si="6"/>
        <v/>
      </c>
      <c r="I113" s="174" t="str">
        <v xml:space="preserve">Esteban Sambrano </v>
      </c>
    </row>
    <row r="114" spans="1:10" x14ac:dyDescent="0.25">
      <c r="A114" s="9">
        <v>11</v>
      </c>
      <c r="B114" s="8" t="s">
        <v>78</v>
      </c>
      <c r="C114" s="9" t="s">
        <v>5</v>
      </c>
      <c r="D114" s="9" t="s">
        <v>5</v>
      </c>
      <c r="E114" s="12" t="s">
        <v>45</v>
      </c>
      <c r="F114" s="32" t="str">
        <f t="shared" ca="1" si="6"/>
        <v/>
      </c>
      <c r="I114" s="174" t="str">
        <v xml:space="preserve">Samuel Sambrano </v>
      </c>
      <c r="J114" s="102"/>
    </row>
    <row r="115" spans="1:10" x14ac:dyDescent="0.25">
      <c r="A115" s="9">
        <v>12</v>
      </c>
      <c r="B115" s="8" t="s">
        <v>71</v>
      </c>
      <c r="C115" s="9" t="s">
        <v>6</v>
      </c>
      <c r="D115" s="9" t="s">
        <v>6</v>
      </c>
      <c r="E115" s="12" t="s">
        <v>45</v>
      </c>
      <c r="F115" s="32">
        <f t="shared" ca="1" si="6"/>
        <v>46287</v>
      </c>
      <c r="I115" s="174" t="str">
        <v>Yisleidys Manzanilla</v>
      </c>
      <c r="J115" s="102"/>
    </row>
    <row r="116" spans="1:10" x14ac:dyDescent="0.25">
      <c r="A116" s="9">
        <v>13</v>
      </c>
      <c r="B116" s="8" t="s">
        <v>1095</v>
      </c>
      <c r="C116" s="9" t="s">
        <v>6</v>
      </c>
      <c r="D116" s="9" t="s">
        <v>6</v>
      </c>
      <c r="E116" s="12" t="s">
        <v>45</v>
      </c>
      <c r="F116" s="32">
        <f t="shared" ca="1" si="6"/>
        <v>46287</v>
      </c>
      <c r="I116" s="174" t="str">
        <v>Loris Colina</v>
      </c>
      <c r="J116" s="4"/>
    </row>
    <row r="117" spans="1:10" x14ac:dyDescent="0.25">
      <c r="A117" s="9">
        <v>14</v>
      </c>
      <c r="B117" s="8" t="s">
        <v>79</v>
      </c>
      <c r="C117" s="9" t="s">
        <v>5</v>
      </c>
      <c r="D117" s="9" t="s">
        <v>5</v>
      </c>
      <c r="E117" s="12" t="s">
        <v>45</v>
      </c>
      <c r="F117" s="32" t="str">
        <f t="shared" ca="1" si="6"/>
        <v/>
      </c>
      <c r="I117" s="174" t="str">
        <v>Edixon Rincon</v>
      </c>
      <c r="J117" s="4"/>
    </row>
    <row r="118" spans="1:10" x14ac:dyDescent="0.25">
      <c r="A118" s="9">
        <v>15</v>
      </c>
      <c r="B118" s="8" t="s">
        <v>82</v>
      </c>
      <c r="C118" s="9" t="s">
        <v>6</v>
      </c>
      <c r="D118" s="9" t="s">
        <v>5</v>
      </c>
      <c r="E118" s="12" t="s">
        <v>258</v>
      </c>
      <c r="F118" s="32" t="str">
        <f t="shared" ca="1" si="6"/>
        <v/>
      </c>
      <c r="I118" s="174" t="str">
        <v>Magalis Colina</v>
      </c>
      <c r="J118" s="102"/>
    </row>
    <row r="119" spans="1:10" ht="15" customHeight="1" x14ac:dyDescent="0.25">
      <c r="A119" s="9">
        <v>16</v>
      </c>
      <c r="B119" s="8" t="s">
        <v>1317</v>
      </c>
      <c r="C119" s="9" t="s">
        <v>6</v>
      </c>
      <c r="D119" s="9" t="s">
        <v>5</v>
      </c>
      <c r="E119" s="12" t="s">
        <v>45</v>
      </c>
      <c r="F119" s="32" t="str">
        <f t="shared" ca="1" si="6"/>
        <v/>
      </c>
      <c r="I119" s="174" t="str">
        <v xml:space="preserve">Alberto Terán </v>
      </c>
      <c r="J119" s="102"/>
    </row>
    <row r="120" spans="1:10" x14ac:dyDescent="0.25">
      <c r="A120" s="9">
        <v>17</v>
      </c>
      <c r="B120" s="8" t="s">
        <v>83</v>
      </c>
      <c r="C120" s="9" t="s">
        <v>5</v>
      </c>
      <c r="D120" s="9" t="s">
        <v>5</v>
      </c>
      <c r="E120" s="12" t="s">
        <v>258</v>
      </c>
      <c r="F120" s="32" t="str">
        <f t="shared" ca="1" si="6"/>
        <v/>
      </c>
      <c r="G120" s="166"/>
      <c r="I120" s="90" t="str">
        <v>Edith Rincón</v>
      </c>
    </row>
    <row r="121" spans="1:10" x14ac:dyDescent="0.25">
      <c r="A121" s="9">
        <v>18</v>
      </c>
      <c r="B121" s="8" t="s">
        <v>1810</v>
      </c>
      <c r="C121" s="9" t="s">
        <v>6</v>
      </c>
      <c r="D121" s="9" t="s">
        <v>6</v>
      </c>
      <c r="E121" s="12" t="s">
        <v>45</v>
      </c>
      <c r="F121" s="32">
        <f t="shared" ca="1" si="6"/>
        <v>46300</v>
      </c>
      <c r="I121" s="174" t="str">
        <v xml:space="preserve">Etilvia Rojas </v>
      </c>
      <c r="J121" s="102"/>
    </row>
    <row r="122" spans="1:10" x14ac:dyDescent="0.25">
      <c r="A122" s="9">
        <v>19</v>
      </c>
      <c r="B122" s="8" t="s">
        <v>91</v>
      </c>
      <c r="C122" s="9" t="s">
        <v>5</v>
      </c>
      <c r="D122" s="9" t="s">
        <v>6</v>
      </c>
      <c r="E122" s="12" t="s">
        <v>45</v>
      </c>
      <c r="F122" s="32" t="str">
        <f t="shared" ca="1" si="6"/>
        <v/>
      </c>
      <c r="I122" s="174" t="str">
        <v>José aldana</v>
      </c>
      <c r="J122" s="4"/>
    </row>
    <row r="123" spans="1:10" x14ac:dyDescent="0.25">
      <c r="A123" s="9">
        <v>20</v>
      </c>
      <c r="B123" s="8" t="s">
        <v>92</v>
      </c>
      <c r="C123" s="9" t="s">
        <v>5</v>
      </c>
      <c r="D123" s="9" t="s">
        <v>6</v>
      </c>
      <c r="E123" s="12" t="s">
        <v>45</v>
      </c>
      <c r="F123" s="32" t="str">
        <f t="shared" ca="1" si="6"/>
        <v/>
      </c>
      <c r="I123" s="174" t="str">
        <v>Francis Perez</v>
      </c>
    </row>
    <row r="124" spans="1:10" x14ac:dyDescent="0.25">
      <c r="A124" s="9">
        <v>21</v>
      </c>
      <c r="B124" s="8" t="s">
        <v>95</v>
      </c>
      <c r="C124" s="9" t="s">
        <v>5</v>
      </c>
      <c r="D124" s="9" t="s">
        <v>5</v>
      </c>
      <c r="E124" s="12" t="s">
        <v>258</v>
      </c>
      <c r="F124" s="32" t="str">
        <f t="shared" ca="1" si="6"/>
        <v/>
      </c>
      <c r="I124" s="174" t="str">
        <v xml:space="preserve">Franyelis Marín </v>
      </c>
    </row>
    <row r="125" spans="1:10" ht="15" customHeight="1" x14ac:dyDescent="0.25">
      <c r="A125" s="9">
        <v>22</v>
      </c>
      <c r="B125" s="8" t="s">
        <v>615</v>
      </c>
      <c r="C125" s="9" t="s">
        <v>5</v>
      </c>
      <c r="D125" s="9" t="s">
        <v>6</v>
      </c>
      <c r="E125" s="12" t="s">
        <v>45</v>
      </c>
      <c r="F125" s="32" t="str">
        <f t="shared" ca="1" si="6"/>
        <v/>
      </c>
      <c r="I125" s="174" t="str">
        <v xml:space="preserve">Yelismar Arroyo </v>
      </c>
      <c r="J125" s="4"/>
    </row>
    <row r="126" spans="1:10" x14ac:dyDescent="0.25">
      <c r="A126" s="9">
        <v>23</v>
      </c>
      <c r="B126" s="8" t="s">
        <v>373</v>
      </c>
      <c r="C126" s="9" t="s">
        <v>5</v>
      </c>
      <c r="D126" s="9" t="s">
        <v>6</v>
      </c>
      <c r="E126" s="12" t="s">
        <v>45</v>
      </c>
      <c r="F126" s="32" t="str">
        <f t="shared" ca="1" si="6"/>
        <v/>
      </c>
      <c r="I126" s="174" t="str">
        <v>Yeimer Arroyo</v>
      </c>
    </row>
    <row r="127" spans="1:10" x14ac:dyDescent="0.25">
      <c r="A127" s="9">
        <v>24</v>
      </c>
      <c r="B127" s="8" t="s">
        <v>101</v>
      </c>
      <c r="C127" s="9" t="s">
        <v>6</v>
      </c>
      <c r="D127" s="9" t="s">
        <v>6</v>
      </c>
      <c r="E127" s="12" t="s">
        <v>45</v>
      </c>
      <c r="F127" s="32">
        <f t="shared" ca="1" si="6"/>
        <v>46300</v>
      </c>
      <c r="I127" s="174" t="str">
        <v>Yulimar Arroyo</v>
      </c>
    </row>
    <row r="128" spans="1:10" x14ac:dyDescent="0.25">
      <c r="A128" s="9">
        <v>25</v>
      </c>
      <c r="B128" s="33" t="s">
        <v>513</v>
      </c>
      <c r="C128" s="9" t="s">
        <v>6</v>
      </c>
      <c r="D128" s="9" t="s">
        <v>6</v>
      </c>
      <c r="E128" s="20" t="s">
        <v>45</v>
      </c>
      <c r="F128" s="32">
        <f t="shared" ca="1" si="6"/>
        <v>46300</v>
      </c>
      <c r="G128" s="166"/>
      <c r="I128" s="174" t="str">
        <v>Juan Carlos Márquez</v>
      </c>
    </row>
    <row r="129" spans="1:17" x14ac:dyDescent="0.25">
      <c r="A129" s="9">
        <v>26</v>
      </c>
      <c r="B129" s="8" t="s">
        <v>98</v>
      </c>
      <c r="C129" s="9" t="s">
        <v>6</v>
      </c>
      <c r="D129" s="9" t="s">
        <v>5</v>
      </c>
      <c r="E129" s="12" t="s">
        <v>45</v>
      </c>
      <c r="F129" s="32" t="str">
        <f t="shared" ca="1" si="6"/>
        <v/>
      </c>
      <c r="I129" s="174" t="str">
        <v>Yoneida González</v>
      </c>
    </row>
    <row r="130" spans="1:17" x14ac:dyDescent="0.25">
      <c r="A130" s="9">
        <v>27</v>
      </c>
      <c r="B130" s="8" t="s">
        <v>96</v>
      </c>
      <c r="C130" s="9" t="s">
        <v>5</v>
      </c>
      <c r="D130" s="9" t="s">
        <v>6</v>
      </c>
      <c r="E130" s="12" t="s">
        <v>45</v>
      </c>
      <c r="F130" s="32" t="str">
        <f t="shared" ca="1" si="6"/>
        <v/>
      </c>
      <c r="I130" s="90" t="str">
        <v>Lilibeth Linares</v>
      </c>
    </row>
    <row r="131" spans="1:17" ht="15" customHeight="1" x14ac:dyDescent="0.25">
      <c r="A131" s="9">
        <v>28</v>
      </c>
      <c r="B131" s="8" t="s">
        <v>1892</v>
      </c>
      <c r="C131" s="9" t="s">
        <v>5</v>
      </c>
      <c r="D131" s="9" t="s">
        <v>6</v>
      </c>
      <c r="E131" s="12" t="s">
        <v>45</v>
      </c>
      <c r="F131" s="32" t="str">
        <f t="shared" ref="F131:F162" ca="1" si="7">IF(AND(C131="NO",D131="NO"),IF(F131="",TODAY(),F131),"")</f>
        <v/>
      </c>
      <c r="G131" s="138">
        <v>584146416825</v>
      </c>
      <c r="I131" s="174" t="str">
        <v>Jesús Longares</v>
      </c>
      <c r="J131" s="102"/>
    </row>
    <row r="132" spans="1:17" ht="15" customHeight="1" x14ac:dyDescent="0.25">
      <c r="A132" s="9">
        <v>29</v>
      </c>
      <c r="B132" s="8" t="s">
        <v>1800</v>
      </c>
      <c r="C132" s="9" t="s">
        <v>6</v>
      </c>
      <c r="D132" s="9" t="s">
        <v>6</v>
      </c>
      <c r="E132" s="12" t="s">
        <v>337</v>
      </c>
      <c r="F132" s="32">
        <f t="shared" ca="1" si="7"/>
        <v>46293</v>
      </c>
      <c r="I132" s="174" t="str">
        <v>Omiria Aizpurua</v>
      </c>
      <c r="J132" s="4"/>
      <c r="L132" s="35"/>
      <c r="M132" s="45"/>
      <c r="N132" s="35"/>
      <c r="O132" s="35"/>
      <c r="P132" s="44"/>
      <c r="Q132" s="40"/>
    </row>
    <row r="133" spans="1:17" x14ac:dyDescent="0.25">
      <c r="A133" s="9">
        <v>30</v>
      </c>
      <c r="B133" s="8" t="s">
        <v>103</v>
      </c>
      <c r="C133" s="9" t="s">
        <v>6</v>
      </c>
      <c r="D133" s="9" t="s">
        <v>6</v>
      </c>
      <c r="E133" s="12" t="s">
        <v>45</v>
      </c>
      <c r="F133" s="32">
        <f t="shared" ca="1" si="7"/>
        <v>46287</v>
      </c>
      <c r="I133" s="174" t="str">
        <v>Jesús Pérez</v>
      </c>
    </row>
    <row r="134" spans="1:17" ht="15.75" customHeight="1" x14ac:dyDescent="0.25">
      <c r="A134" s="9">
        <v>31</v>
      </c>
      <c r="B134" s="33" t="s">
        <v>1244</v>
      </c>
      <c r="C134" s="9" t="s">
        <v>6</v>
      </c>
      <c r="D134" s="9" t="s">
        <v>6</v>
      </c>
      <c r="E134" s="12" t="s">
        <v>45</v>
      </c>
      <c r="F134" s="32">
        <f t="shared" ca="1" si="7"/>
        <v>46287</v>
      </c>
      <c r="G134" s="165">
        <v>584146416825</v>
      </c>
      <c r="I134" s="174"/>
      <c r="J134" s="4"/>
    </row>
    <row r="135" spans="1:17" ht="15.75" customHeight="1" x14ac:dyDescent="0.25">
      <c r="A135" s="9">
        <v>32</v>
      </c>
      <c r="B135" s="8" t="s">
        <v>99</v>
      </c>
      <c r="C135" s="9" t="s">
        <v>6</v>
      </c>
      <c r="D135" s="9" t="s">
        <v>6</v>
      </c>
      <c r="E135" s="12" t="s">
        <v>45</v>
      </c>
      <c r="F135" s="32">
        <f t="shared" ca="1" si="7"/>
        <v>46306</v>
      </c>
      <c r="G135" s="166"/>
      <c r="I135" s="174"/>
      <c r="J135" s="4"/>
    </row>
    <row r="136" spans="1:17" x14ac:dyDescent="0.25">
      <c r="A136" s="9">
        <v>33</v>
      </c>
      <c r="B136" s="33" t="s">
        <v>1455</v>
      </c>
      <c r="C136" s="9" t="s">
        <v>6</v>
      </c>
      <c r="D136" s="9" t="s">
        <v>6</v>
      </c>
      <c r="E136" s="12" t="s">
        <v>45</v>
      </c>
      <c r="F136" s="32">
        <f t="shared" ca="1" si="7"/>
        <v>46287</v>
      </c>
      <c r="I136" s="174"/>
      <c r="J136" s="4"/>
    </row>
    <row r="137" spans="1:17" x14ac:dyDescent="0.25">
      <c r="A137" s="9">
        <v>34</v>
      </c>
      <c r="B137" s="8" t="s">
        <v>104</v>
      </c>
      <c r="C137" s="9" t="s">
        <v>6</v>
      </c>
      <c r="D137" s="9" t="s">
        <v>5</v>
      </c>
      <c r="E137" s="12" t="s">
        <v>45</v>
      </c>
      <c r="F137" s="32" t="str">
        <f t="shared" ca="1" si="7"/>
        <v/>
      </c>
      <c r="G137" s="166"/>
      <c r="I137" s="90"/>
      <c r="J137">
        <f>C305</f>
        <v>31</v>
      </c>
    </row>
    <row r="138" spans="1:17" x14ac:dyDescent="0.25">
      <c r="A138" s="9">
        <v>35</v>
      </c>
      <c r="B138" s="8" t="s">
        <v>675</v>
      </c>
      <c r="C138" s="9" t="s">
        <v>6</v>
      </c>
      <c r="D138" s="9" t="s">
        <v>5</v>
      </c>
      <c r="E138" s="12" t="s">
        <v>45</v>
      </c>
      <c r="F138" s="32" t="str">
        <f ca="1">IF(AND(C138="NO",D138="NO"),IF(F138="",TODAY(),F138),"")</f>
        <v/>
      </c>
      <c r="G138" s="169"/>
      <c r="I138" s="90"/>
    </row>
    <row r="139" spans="1:17" x14ac:dyDescent="0.25">
      <c r="A139" s="9">
        <v>36</v>
      </c>
      <c r="B139" s="8" t="s">
        <v>1335</v>
      </c>
      <c r="C139" s="9" t="s">
        <v>5</v>
      </c>
      <c r="D139" s="9" t="s">
        <v>6</v>
      </c>
      <c r="E139" s="12" t="s">
        <v>45</v>
      </c>
      <c r="F139" s="32" t="str">
        <f ca="1">IF(AND(C139="NO",D139="NO"),IF(F139="",TODAY(),F139),"")</f>
        <v/>
      </c>
      <c r="G139" s="169"/>
      <c r="I139" s="90"/>
    </row>
    <row r="140" spans="1:17" x14ac:dyDescent="0.25">
      <c r="A140" s="9">
        <v>37</v>
      </c>
      <c r="B140" s="8" t="s">
        <v>138</v>
      </c>
      <c r="C140" s="9" t="s">
        <v>6</v>
      </c>
      <c r="D140" s="9" t="s">
        <v>5</v>
      </c>
      <c r="E140" s="12" t="s">
        <v>337</v>
      </c>
      <c r="F140" s="32" t="str">
        <f t="shared" ca="1" si="7"/>
        <v/>
      </c>
      <c r="G140" s="166"/>
      <c r="I140" s="90"/>
    </row>
    <row r="141" spans="1:17" x14ac:dyDescent="0.25">
      <c r="A141" s="9">
        <v>38</v>
      </c>
      <c r="B141" s="8" t="s">
        <v>1745</v>
      </c>
      <c r="C141" s="9" t="s">
        <v>5</v>
      </c>
      <c r="D141" s="9" t="s">
        <v>6</v>
      </c>
      <c r="E141" s="12" t="s">
        <v>45</v>
      </c>
      <c r="F141" s="32" t="str">
        <f t="shared" ca="1" si="7"/>
        <v/>
      </c>
      <c r="I141" s="90"/>
    </row>
    <row r="142" spans="1:17" x14ac:dyDescent="0.25">
      <c r="A142" s="9">
        <v>39</v>
      </c>
      <c r="B142" s="8" t="s">
        <v>114</v>
      </c>
      <c r="C142" s="9" t="s">
        <v>5</v>
      </c>
      <c r="D142" s="9" t="s">
        <v>6</v>
      </c>
      <c r="E142" s="12" t="s">
        <v>45</v>
      </c>
      <c r="F142" s="32" t="str">
        <f t="shared" ca="1" si="7"/>
        <v/>
      </c>
      <c r="I142" s="90"/>
    </row>
    <row r="143" spans="1:17" x14ac:dyDescent="0.25">
      <c r="A143" s="9">
        <v>40</v>
      </c>
      <c r="B143" s="8" t="s">
        <v>1744</v>
      </c>
      <c r="C143" s="9" t="s">
        <v>5</v>
      </c>
      <c r="D143" s="9" t="s">
        <v>6</v>
      </c>
      <c r="E143" s="12" t="s">
        <v>45</v>
      </c>
      <c r="F143" s="32" t="str">
        <f t="shared" ca="1" si="7"/>
        <v/>
      </c>
    </row>
    <row r="144" spans="1:17" x14ac:dyDescent="0.25">
      <c r="A144" s="9">
        <v>41</v>
      </c>
      <c r="B144" s="8" t="s">
        <v>115</v>
      </c>
      <c r="C144" s="9" t="s">
        <v>5</v>
      </c>
      <c r="D144" s="9" t="s">
        <v>5</v>
      </c>
      <c r="E144" s="12" t="s">
        <v>258</v>
      </c>
      <c r="F144" s="32" t="str">
        <f t="shared" ca="1" si="7"/>
        <v/>
      </c>
    </row>
    <row r="145" spans="1:8" x14ac:dyDescent="0.25">
      <c r="A145" s="9">
        <v>42</v>
      </c>
      <c r="B145" s="8" t="s">
        <v>116</v>
      </c>
      <c r="C145" s="9" t="s">
        <v>6</v>
      </c>
      <c r="D145" s="9" t="s">
        <v>5</v>
      </c>
      <c r="E145" s="12" t="s">
        <v>258</v>
      </c>
      <c r="F145" s="32" t="str">
        <f t="shared" ca="1" si="7"/>
        <v/>
      </c>
    </row>
    <row r="146" spans="1:8" x14ac:dyDescent="0.25">
      <c r="A146" s="9">
        <v>43</v>
      </c>
      <c r="B146" s="8" t="s">
        <v>117</v>
      </c>
      <c r="C146" s="9" t="s">
        <v>5</v>
      </c>
      <c r="D146" s="9" t="s">
        <v>5</v>
      </c>
      <c r="E146" s="12" t="s">
        <v>150</v>
      </c>
      <c r="F146" s="32" t="str">
        <f t="shared" ca="1" si="7"/>
        <v/>
      </c>
    </row>
    <row r="147" spans="1:8" x14ac:dyDescent="0.25">
      <c r="A147" s="9">
        <v>44</v>
      </c>
      <c r="B147" s="8" t="s">
        <v>118</v>
      </c>
      <c r="C147" s="9" t="s">
        <v>5</v>
      </c>
      <c r="D147" s="9" t="s">
        <v>5</v>
      </c>
      <c r="E147" s="12" t="s">
        <v>150</v>
      </c>
      <c r="F147" s="32" t="str">
        <f t="shared" ca="1" si="7"/>
        <v/>
      </c>
    </row>
    <row r="148" spans="1:8" x14ac:dyDescent="0.25">
      <c r="A148" s="9">
        <v>45</v>
      </c>
      <c r="B148" s="8" t="s">
        <v>120</v>
      </c>
      <c r="C148" s="9" t="s">
        <v>6</v>
      </c>
      <c r="D148" s="9" t="s">
        <v>5</v>
      </c>
      <c r="E148" s="12" t="s">
        <v>258</v>
      </c>
      <c r="F148" s="32" t="str">
        <f t="shared" ca="1" si="7"/>
        <v/>
      </c>
    </row>
    <row r="149" spans="1:8" x14ac:dyDescent="0.25">
      <c r="A149" s="9">
        <v>46</v>
      </c>
      <c r="B149" s="33" t="s">
        <v>504</v>
      </c>
      <c r="C149" s="9" t="s">
        <v>6</v>
      </c>
      <c r="D149" s="9" t="s">
        <v>5</v>
      </c>
      <c r="E149" s="12" t="s">
        <v>150</v>
      </c>
      <c r="F149" s="32" t="str">
        <f ca="1">IF(AND(C149="NO",D149="NO"),IF(F149="",TODAY(),F149),"")</f>
        <v/>
      </c>
      <c r="G149" s="169"/>
    </row>
    <row r="150" spans="1:8" x14ac:dyDescent="0.25">
      <c r="A150" s="9">
        <v>47</v>
      </c>
      <c r="B150" s="8" t="s">
        <v>121</v>
      </c>
      <c r="C150" s="9" t="s">
        <v>6</v>
      </c>
      <c r="D150" s="9" t="s">
        <v>6</v>
      </c>
      <c r="E150" s="12" t="s">
        <v>150</v>
      </c>
      <c r="F150" s="32">
        <f t="shared" ca="1" si="7"/>
        <v>46300</v>
      </c>
    </row>
    <row r="151" spans="1:8" x14ac:dyDescent="0.25">
      <c r="A151" s="9">
        <v>48</v>
      </c>
      <c r="B151" s="8" t="s">
        <v>1750</v>
      </c>
      <c r="C151" s="9" t="s">
        <v>5</v>
      </c>
      <c r="D151" s="9" t="s">
        <v>5</v>
      </c>
      <c r="E151" s="12" t="s">
        <v>150</v>
      </c>
      <c r="F151" s="32" t="str">
        <f t="shared" ca="1" si="7"/>
        <v/>
      </c>
    </row>
    <row r="152" spans="1:8" x14ac:dyDescent="0.25">
      <c r="A152" s="9">
        <v>49</v>
      </c>
      <c r="B152" s="8" t="s">
        <v>125</v>
      </c>
      <c r="C152" s="9" t="s">
        <v>5</v>
      </c>
      <c r="D152" s="9" t="s">
        <v>5</v>
      </c>
      <c r="E152" s="12" t="s">
        <v>45</v>
      </c>
      <c r="F152" s="32" t="str">
        <f t="shared" ca="1" si="7"/>
        <v/>
      </c>
      <c r="H152" s="72"/>
    </row>
    <row r="153" spans="1:8" x14ac:dyDescent="0.25">
      <c r="A153" s="9">
        <v>50</v>
      </c>
      <c r="B153" s="33" t="s">
        <v>1584</v>
      </c>
      <c r="C153" s="9" t="s">
        <v>5</v>
      </c>
      <c r="D153" s="9" t="s">
        <v>6</v>
      </c>
      <c r="E153" s="12" t="s">
        <v>45</v>
      </c>
      <c r="F153" s="32" t="str">
        <f ca="1">IF(AND(C153="NO",D153="NO"),IF(F153="",TODAY(),F153),"")</f>
        <v/>
      </c>
      <c r="G153" s="169"/>
    </row>
    <row r="154" spans="1:8" x14ac:dyDescent="0.25">
      <c r="A154" s="9">
        <v>51</v>
      </c>
      <c r="B154" s="33" t="s">
        <v>1189</v>
      </c>
      <c r="C154" s="9" t="s">
        <v>6</v>
      </c>
      <c r="D154" s="9" t="s">
        <v>6</v>
      </c>
      <c r="E154" s="79" t="s">
        <v>45</v>
      </c>
      <c r="F154" s="32">
        <f t="shared" ca="1" si="7"/>
        <v>46287</v>
      </c>
      <c r="G154" s="165"/>
    </row>
    <row r="155" spans="1:8" x14ac:dyDescent="0.25">
      <c r="A155" s="9">
        <v>52</v>
      </c>
      <c r="B155" s="8" t="s">
        <v>1043</v>
      </c>
      <c r="C155" s="9" t="s">
        <v>5</v>
      </c>
      <c r="D155" s="9" t="s">
        <v>6</v>
      </c>
      <c r="E155" s="12" t="s">
        <v>45</v>
      </c>
      <c r="F155" s="32" t="str">
        <f ca="1">IF(AND(C155="NO",D155="NO"),IF(F155="",TODAY(),F155),"")</f>
        <v/>
      </c>
      <c r="G155" s="169"/>
    </row>
    <row r="156" spans="1:8" x14ac:dyDescent="0.25">
      <c r="A156" s="9">
        <v>53</v>
      </c>
      <c r="B156" s="8" t="s">
        <v>134</v>
      </c>
      <c r="C156" s="9" t="s">
        <v>5</v>
      </c>
      <c r="D156" s="9" t="s">
        <v>6</v>
      </c>
      <c r="E156" s="12" t="s">
        <v>150</v>
      </c>
      <c r="F156" s="32" t="str">
        <f t="shared" ca="1" si="7"/>
        <v/>
      </c>
    </row>
    <row r="157" spans="1:8" x14ac:dyDescent="0.25">
      <c r="A157" s="9">
        <v>55</v>
      </c>
      <c r="B157" s="8" t="s">
        <v>102</v>
      </c>
      <c r="C157" s="9" t="s">
        <v>6</v>
      </c>
      <c r="D157" s="9" t="s">
        <v>6</v>
      </c>
      <c r="E157" s="12" t="s">
        <v>45</v>
      </c>
      <c r="F157" s="32">
        <f ca="1">IF(AND(C157="NO",D157="NO"),IF(F157="",TODAY(),F157),"")</f>
        <v>46306</v>
      </c>
      <c r="G157" s="169"/>
    </row>
    <row r="158" spans="1:8" x14ac:dyDescent="0.25">
      <c r="A158" s="9">
        <v>547</v>
      </c>
      <c r="B158" s="17" t="s">
        <v>73</v>
      </c>
      <c r="C158" s="9" t="s">
        <v>6</v>
      </c>
      <c r="D158" s="9" t="s">
        <v>5</v>
      </c>
      <c r="E158" s="12" t="s">
        <v>45</v>
      </c>
      <c r="F158" s="32" t="str">
        <f ca="1">IF(AND(C158="NO",D158="NO"),IF(F158="",TODAY(),F158),"")</f>
        <v/>
      </c>
      <c r="G158" s="169"/>
    </row>
    <row r="159" spans="1:8" ht="14.25" customHeight="1" x14ac:dyDescent="0.25">
      <c r="A159" s="9">
        <v>56</v>
      </c>
      <c r="B159" s="8" t="s">
        <v>395</v>
      </c>
      <c r="C159" s="9" t="s">
        <v>6</v>
      </c>
      <c r="D159" s="9" t="s">
        <v>5</v>
      </c>
      <c r="E159" s="12" t="s">
        <v>45</v>
      </c>
      <c r="F159" s="32" t="str">
        <f t="shared" ca="1" si="7"/>
        <v/>
      </c>
      <c r="G159" s="166"/>
    </row>
    <row r="160" spans="1:8" x14ac:dyDescent="0.25">
      <c r="A160" s="9">
        <v>57</v>
      </c>
      <c r="B160" s="8" t="s">
        <v>396</v>
      </c>
      <c r="C160" s="9" t="s">
        <v>5</v>
      </c>
      <c r="D160" s="9" t="s">
        <v>6</v>
      </c>
      <c r="E160" s="12" t="s">
        <v>45</v>
      </c>
      <c r="F160" s="32" t="str">
        <f t="shared" ca="1" si="7"/>
        <v/>
      </c>
    </row>
    <row r="161" spans="1:7" x14ac:dyDescent="0.25">
      <c r="A161" s="9">
        <v>58</v>
      </c>
      <c r="B161" s="8" t="s">
        <v>2159</v>
      </c>
      <c r="C161" s="9" t="s">
        <v>5</v>
      </c>
      <c r="D161" s="9" t="s">
        <v>6</v>
      </c>
      <c r="E161" s="12" t="s">
        <v>45</v>
      </c>
      <c r="F161" s="32" t="str">
        <f t="shared" ca="1" si="7"/>
        <v/>
      </c>
    </row>
    <row r="162" spans="1:7" x14ac:dyDescent="0.25">
      <c r="A162" s="9">
        <v>59</v>
      </c>
      <c r="B162" s="8" t="s">
        <v>1751</v>
      </c>
      <c r="C162" s="9" t="s">
        <v>5</v>
      </c>
      <c r="D162" s="9" t="s">
        <v>5</v>
      </c>
      <c r="E162" s="12" t="s">
        <v>45</v>
      </c>
      <c r="F162" s="32" t="str">
        <f t="shared" ca="1" si="7"/>
        <v/>
      </c>
    </row>
    <row r="163" spans="1:7" x14ac:dyDescent="0.25">
      <c r="A163" s="9">
        <v>60</v>
      </c>
      <c r="B163" s="33" t="s">
        <v>1561</v>
      </c>
      <c r="C163" s="9" t="s">
        <v>6</v>
      </c>
      <c r="D163" s="9" t="s">
        <v>5</v>
      </c>
      <c r="E163" s="12" t="s">
        <v>337</v>
      </c>
      <c r="F163" s="32" t="str">
        <f ca="1">IF(AND(C163="NO",D163="NO"),IF(F163="",TODAY(),F163),"")</f>
        <v/>
      </c>
      <c r="G163" s="166"/>
    </row>
    <row r="164" spans="1:7" x14ac:dyDescent="0.25">
      <c r="A164" s="9">
        <v>61</v>
      </c>
      <c r="B164" s="33" t="s">
        <v>2128</v>
      </c>
      <c r="C164" s="9" t="s">
        <v>6</v>
      </c>
      <c r="D164" s="9" t="s">
        <v>6</v>
      </c>
      <c r="E164" s="79" t="s">
        <v>45</v>
      </c>
      <c r="F164" s="32">
        <f ca="1">IF(AND(C164="NO",D164="NO"),IF(F164="",TODAY(),F164),"")</f>
        <v>46293</v>
      </c>
      <c r="G164" s="169"/>
    </row>
    <row r="165" spans="1:7" x14ac:dyDescent="0.25">
      <c r="A165" s="9">
        <v>63</v>
      </c>
      <c r="B165" s="8" t="s">
        <v>133</v>
      </c>
      <c r="C165" s="9" t="s">
        <v>5</v>
      </c>
      <c r="D165" s="9" t="s">
        <v>6</v>
      </c>
      <c r="E165" s="12" t="s">
        <v>45</v>
      </c>
      <c r="F165" s="32" t="str">
        <f t="shared" ref="F165:F191" ca="1" si="8">IF(AND(C165="NO",D165="NO"),IF(F165="",TODAY(),F165),"")</f>
        <v/>
      </c>
      <c r="G165" s="166"/>
    </row>
    <row r="166" spans="1:7" x14ac:dyDescent="0.25">
      <c r="A166" s="9">
        <v>64</v>
      </c>
      <c r="B166" s="8" t="s">
        <v>1715</v>
      </c>
      <c r="C166" s="9" t="s">
        <v>6</v>
      </c>
      <c r="D166" s="9" t="s">
        <v>6</v>
      </c>
      <c r="E166" s="12" t="s">
        <v>45</v>
      </c>
      <c r="F166" s="32">
        <f t="shared" ca="1" si="8"/>
        <v>46306</v>
      </c>
    </row>
    <row r="167" spans="1:7" x14ac:dyDescent="0.25">
      <c r="A167" s="9">
        <v>65</v>
      </c>
      <c r="B167" s="8" t="s">
        <v>135</v>
      </c>
      <c r="C167" s="9" t="s">
        <v>5</v>
      </c>
      <c r="D167" s="9" t="s">
        <v>6</v>
      </c>
      <c r="E167" s="12" t="s">
        <v>150</v>
      </c>
      <c r="F167" s="32" t="str">
        <f t="shared" ca="1" si="8"/>
        <v/>
      </c>
      <c r="G167" s="166"/>
    </row>
    <row r="168" spans="1:7" ht="15.75" customHeight="1" x14ac:dyDescent="0.25">
      <c r="A168" s="9">
        <v>66</v>
      </c>
      <c r="B168" s="8" t="s">
        <v>136</v>
      </c>
      <c r="C168" s="9" t="s">
        <v>5</v>
      </c>
      <c r="D168" s="9" t="s">
        <v>5</v>
      </c>
      <c r="E168" s="12" t="s">
        <v>1248</v>
      </c>
      <c r="F168" s="32" t="str">
        <f t="shared" ca="1" si="8"/>
        <v/>
      </c>
    </row>
    <row r="169" spans="1:7" x14ac:dyDescent="0.25">
      <c r="A169" s="9">
        <v>67</v>
      </c>
      <c r="B169" s="8" t="s">
        <v>86</v>
      </c>
      <c r="C169" s="9" t="s">
        <v>5</v>
      </c>
      <c r="D169" s="9" t="s">
        <v>5</v>
      </c>
      <c r="E169" s="12" t="s">
        <v>45</v>
      </c>
      <c r="F169" s="32" t="str">
        <f t="shared" ca="1" si="8"/>
        <v/>
      </c>
    </row>
    <row r="170" spans="1:7" x14ac:dyDescent="0.25">
      <c r="A170" s="9">
        <v>68</v>
      </c>
      <c r="B170" s="8" t="s">
        <v>1137</v>
      </c>
      <c r="C170" s="9" t="s">
        <v>5</v>
      </c>
      <c r="D170" s="9" t="s">
        <v>6</v>
      </c>
      <c r="E170" s="12" t="s">
        <v>45</v>
      </c>
      <c r="F170" s="32" t="str">
        <f t="shared" ca="1" si="8"/>
        <v/>
      </c>
    </row>
    <row r="171" spans="1:7" x14ac:dyDescent="0.25">
      <c r="A171" s="9">
        <v>69</v>
      </c>
      <c r="B171" s="8" t="s">
        <v>2126</v>
      </c>
      <c r="C171" s="9" t="s">
        <v>5</v>
      </c>
      <c r="D171" s="9" t="s">
        <v>6</v>
      </c>
      <c r="E171" s="12" t="s">
        <v>150</v>
      </c>
      <c r="F171" s="32" t="str">
        <f t="shared" ca="1" si="8"/>
        <v/>
      </c>
      <c r="G171" s="165"/>
    </row>
    <row r="172" spans="1:7" x14ac:dyDescent="0.25">
      <c r="A172" s="9">
        <v>70</v>
      </c>
      <c r="B172" s="8" t="s">
        <v>1813</v>
      </c>
      <c r="C172" s="9" t="s">
        <v>6</v>
      </c>
      <c r="D172" s="9" t="s">
        <v>6</v>
      </c>
      <c r="E172" s="12" t="s">
        <v>45</v>
      </c>
      <c r="F172" s="32">
        <f t="shared" ca="1" si="8"/>
        <v>46300</v>
      </c>
      <c r="G172" s="166"/>
    </row>
    <row r="173" spans="1:7" ht="18" customHeight="1" x14ac:dyDescent="0.25">
      <c r="A173" s="9">
        <v>71</v>
      </c>
      <c r="B173" s="33" t="s">
        <v>1495</v>
      </c>
      <c r="C173" s="9" t="s">
        <v>6</v>
      </c>
      <c r="D173" s="9" t="s">
        <v>6</v>
      </c>
      <c r="E173" s="12" t="s">
        <v>45</v>
      </c>
      <c r="F173" s="32">
        <f t="shared" ca="1" si="8"/>
        <v>46306</v>
      </c>
    </row>
    <row r="174" spans="1:7" x14ac:dyDescent="0.25">
      <c r="A174" s="9">
        <v>73</v>
      </c>
      <c r="B174" s="17" t="s">
        <v>300</v>
      </c>
      <c r="C174" s="9" t="s">
        <v>5</v>
      </c>
      <c r="D174" s="9" t="s">
        <v>5</v>
      </c>
      <c r="E174" s="12" t="s">
        <v>298</v>
      </c>
      <c r="F174" s="32" t="str">
        <f t="shared" ca="1" si="8"/>
        <v/>
      </c>
      <c r="G174" s="166"/>
    </row>
    <row r="175" spans="1:7" x14ac:dyDescent="0.25">
      <c r="A175" s="9">
        <v>74</v>
      </c>
      <c r="B175" s="8" t="s">
        <v>1838</v>
      </c>
      <c r="C175" s="9" t="s">
        <v>6</v>
      </c>
      <c r="D175" s="9" t="s">
        <v>6</v>
      </c>
      <c r="E175" s="12" t="s">
        <v>45</v>
      </c>
      <c r="F175" s="32">
        <f t="shared" ca="1" si="8"/>
        <v>46293</v>
      </c>
    </row>
    <row r="176" spans="1:7" x14ac:dyDescent="0.25">
      <c r="A176" s="9">
        <v>75</v>
      </c>
      <c r="B176" s="33" t="s">
        <v>1746</v>
      </c>
      <c r="C176" s="9" t="s">
        <v>6</v>
      </c>
      <c r="D176" s="9" t="s">
        <v>5</v>
      </c>
      <c r="E176" s="12" t="s">
        <v>45</v>
      </c>
      <c r="F176" s="32" t="str">
        <f t="shared" ca="1" si="8"/>
        <v/>
      </c>
    </row>
    <row r="177" spans="1:35" x14ac:dyDescent="0.25">
      <c r="A177" s="9">
        <v>76</v>
      </c>
      <c r="B177" s="33" t="s">
        <v>598</v>
      </c>
      <c r="C177" s="9" t="s">
        <v>6</v>
      </c>
      <c r="D177" s="9" t="s">
        <v>6</v>
      </c>
      <c r="E177" s="12" t="s">
        <v>45</v>
      </c>
      <c r="F177" s="32">
        <f t="shared" ca="1" si="8"/>
        <v>46306</v>
      </c>
    </row>
    <row r="178" spans="1:35" x14ac:dyDescent="0.25">
      <c r="A178" s="9">
        <v>77</v>
      </c>
      <c r="B178" s="8" t="s">
        <v>84</v>
      </c>
      <c r="C178" s="9" t="s">
        <v>5</v>
      </c>
      <c r="D178" s="9" t="s">
        <v>5</v>
      </c>
      <c r="E178" s="12" t="s">
        <v>258</v>
      </c>
      <c r="F178" s="32" t="str">
        <f t="shared" ca="1" si="8"/>
        <v/>
      </c>
    </row>
    <row r="179" spans="1:35" x14ac:dyDescent="0.25">
      <c r="A179" s="9">
        <v>78</v>
      </c>
      <c r="B179" s="33" t="s">
        <v>643</v>
      </c>
      <c r="C179" s="9" t="s">
        <v>6</v>
      </c>
      <c r="D179" s="9" t="s">
        <v>6</v>
      </c>
      <c r="E179" s="79" t="s">
        <v>45</v>
      </c>
      <c r="F179" s="32">
        <f t="shared" ca="1" si="8"/>
        <v>46287</v>
      </c>
    </row>
    <row r="180" spans="1:35" ht="15" customHeight="1" x14ac:dyDescent="0.25">
      <c r="A180" s="9">
        <v>79</v>
      </c>
      <c r="B180" s="17" t="s">
        <v>401</v>
      </c>
      <c r="C180" s="9" t="s">
        <v>6</v>
      </c>
      <c r="D180" s="9" t="s">
        <v>5</v>
      </c>
      <c r="E180" s="12" t="s">
        <v>45</v>
      </c>
      <c r="F180" s="32" t="str">
        <f t="shared" ca="1" si="8"/>
        <v/>
      </c>
      <c r="G180" s="166"/>
      <c r="I180" s="102"/>
      <c r="J180" s="102"/>
    </row>
    <row r="181" spans="1:35" ht="15" customHeight="1" x14ac:dyDescent="0.25">
      <c r="A181" s="9">
        <v>80</v>
      </c>
      <c r="B181" s="33" t="s">
        <v>764</v>
      </c>
      <c r="C181" s="9" t="s">
        <v>6</v>
      </c>
      <c r="D181" s="9" t="s">
        <v>6</v>
      </c>
      <c r="E181" s="12" t="s">
        <v>150</v>
      </c>
      <c r="F181" s="32">
        <f t="shared" ca="1" si="8"/>
        <v>46300</v>
      </c>
      <c r="G181" s="166"/>
      <c r="I181" s="102"/>
      <c r="J181" s="102"/>
    </row>
    <row r="182" spans="1:35" x14ac:dyDescent="0.25">
      <c r="A182" s="9">
        <v>81</v>
      </c>
      <c r="B182" s="33" t="s">
        <v>1630</v>
      </c>
      <c r="C182" s="9" t="s">
        <v>5</v>
      </c>
      <c r="D182" s="9" t="s">
        <v>6</v>
      </c>
      <c r="E182" s="12" t="s">
        <v>45</v>
      </c>
      <c r="F182" s="32" t="str">
        <f t="shared" ca="1" si="8"/>
        <v/>
      </c>
      <c r="G182" s="166"/>
    </row>
    <row r="183" spans="1:35" x14ac:dyDescent="0.25">
      <c r="A183" s="9">
        <v>82</v>
      </c>
      <c r="B183" s="33" t="s">
        <v>1629</v>
      </c>
      <c r="C183" s="9" t="s">
        <v>5</v>
      </c>
      <c r="D183" s="9" t="s">
        <v>6</v>
      </c>
      <c r="E183" s="12" t="s">
        <v>45</v>
      </c>
      <c r="F183" s="32" t="str">
        <f t="shared" ca="1" si="8"/>
        <v/>
      </c>
      <c r="AB183" s="35"/>
      <c r="AC183" s="45"/>
      <c r="AD183" s="35"/>
      <c r="AE183" s="35"/>
      <c r="AF183" s="44"/>
      <c r="AG183" s="40"/>
      <c r="AI183" s="41"/>
    </row>
    <row r="184" spans="1:35" x14ac:dyDescent="0.25">
      <c r="A184" s="9">
        <v>83</v>
      </c>
      <c r="B184" s="17" t="s">
        <v>1752</v>
      </c>
      <c r="C184" s="9" t="s">
        <v>5</v>
      </c>
      <c r="D184" s="9" t="s">
        <v>5</v>
      </c>
      <c r="E184" s="12" t="s">
        <v>45</v>
      </c>
      <c r="F184" s="32" t="str">
        <f t="shared" ca="1" si="8"/>
        <v/>
      </c>
      <c r="G184" s="166"/>
      <c r="AB184" s="35"/>
      <c r="AC184" s="45"/>
      <c r="AD184" s="35"/>
      <c r="AE184" s="35"/>
      <c r="AF184" s="44"/>
      <c r="AG184" s="40"/>
      <c r="AI184" s="41"/>
    </row>
    <row r="185" spans="1:35" x14ac:dyDescent="0.25">
      <c r="A185" s="9">
        <v>84</v>
      </c>
      <c r="B185" s="8" t="s">
        <v>525</v>
      </c>
      <c r="C185" s="9" t="s">
        <v>6</v>
      </c>
      <c r="D185" s="9" t="s">
        <v>6</v>
      </c>
      <c r="E185" s="20" t="s">
        <v>337</v>
      </c>
      <c r="F185" s="32">
        <f ca="1">IF(AND(C185="NO",D185="NO"),IF(F185="",TODAY(),F185),"")</f>
        <v>46287</v>
      </c>
      <c r="G185" s="166"/>
    </row>
    <row r="186" spans="1:35" x14ac:dyDescent="0.25">
      <c r="A186" s="9">
        <v>85</v>
      </c>
      <c r="B186" s="33" t="s">
        <v>441</v>
      </c>
      <c r="C186" s="9" t="s">
        <v>5</v>
      </c>
      <c r="D186" s="9" t="s">
        <v>6</v>
      </c>
      <c r="E186" s="12" t="s">
        <v>45</v>
      </c>
      <c r="F186" s="32" t="str">
        <f t="shared" ca="1" si="8"/>
        <v/>
      </c>
    </row>
    <row r="187" spans="1:35" ht="13.5" customHeight="1" x14ac:dyDescent="0.25">
      <c r="A187" s="9">
        <v>86</v>
      </c>
      <c r="B187" s="30" t="s">
        <v>209</v>
      </c>
      <c r="C187" s="9" t="s">
        <v>6</v>
      </c>
      <c r="D187" s="9" t="s">
        <v>5</v>
      </c>
      <c r="E187" s="12" t="s">
        <v>298</v>
      </c>
      <c r="F187" s="32" t="str">
        <f t="shared" ca="1" si="8"/>
        <v/>
      </c>
    </row>
    <row r="188" spans="1:35" x14ac:dyDescent="0.25">
      <c r="A188" s="9">
        <v>87</v>
      </c>
      <c r="B188" s="30" t="s">
        <v>210</v>
      </c>
      <c r="C188" s="9" t="s">
        <v>6</v>
      </c>
      <c r="D188" s="9" t="s">
        <v>5</v>
      </c>
      <c r="E188" s="12" t="s">
        <v>298</v>
      </c>
      <c r="F188" s="32" t="str">
        <f t="shared" ca="1" si="8"/>
        <v/>
      </c>
    </row>
    <row r="189" spans="1:35" x14ac:dyDescent="0.25">
      <c r="A189" s="9">
        <v>88</v>
      </c>
      <c r="B189" s="8" t="s">
        <v>273</v>
      </c>
      <c r="C189" s="9" t="s">
        <v>5</v>
      </c>
      <c r="D189" s="9" t="s">
        <v>5</v>
      </c>
      <c r="E189" s="12" t="s">
        <v>45</v>
      </c>
      <c r="F189" s="32" t="str">
        <f t="shared" ca="1" si="8"/>
        <v/>
      </c>
    </row>
    <row r="190" spans="1:35" x14ac:dyDescent="0.25">
      <c r="A190" s="9">
        <v>89</v>
      </c>
      <c r="B190" s="33" t="s">
        <v>607</v>
      </c>
      <c r="C190" s="9" t="s">
        <v>6</v>
      </c>
      <c r="D190" s="9" t="s">
        <v>6</v>
      </c>
      <c r="E190" s="12" t="s">
        <v>45</v>
      </c>
      <c r="F190" s="32">
        <f t="shared" ca="1" si="8"/>
        <v>46287</v>
      </c>
      <c r="G190" s="165">
        <v>584146330981</v>
      </c>
    </row>
    <row r="191" spans="1:35" x14ac:dyDescent="0.25">
      <c r="A191" s="9">
        <v>90</v>
      </c>
      <c r="B191" s="33" t="s">
        <v>817</v>
      </c>
      <c r="C191" s="9" t="s">
        <v>6</v>
      </c>
      <c r="D191" s="9" t="s">
        <v>6</v>
      </c>
      <c r="E191" s="12" t="s">
        <v>150</v>
      </c>
      <c r="F191" s="32">
        <f t="shared" ca="1" si="8"/>
        <v>46287</v>
      </c>
    </row>
    <row r="192" spans="1:35" x14ac:dyDescent="0.25">
      <c r="A192" s="9">
        <v>91</v>
      </c>
      <c r="B192" s="8" t="s">
        <v>204</v>
      </c>
      <c r="C192" s="9" t="s">
        <v>6</v>
      </c>
      <c r="D192" s="9" t="s">
        <v>6</v>
      </c>
      <c r="E192" s="12" t="s">
        <v>45</v>
      </c>
      <c r="F192" s="32">
        <f t="shared" ref="F192:F223" ca="1" si="9">IF(AND(C192="NO",D192="NO"),IF(F192="",TODAY(),F192),"")</f>
        <v>46300</v>
      </c>
      <c r="G192" s="166"/>
    </row>
    <row r="193" spans="1:7" x14ac:dyDescent="0.25">
      <c r="A193" s="9">
        <v>92</v>
      </c>
      <c r="B193" s="8" t="s">
        <v>205</v>
      </c>
      <c r="C193" s="9" t="s">
        <v>5</v>
      </c>
      <c r="D193" s="9" t="s">
        <v>5</v>
      </c>
      <c r="E193" s="12" t="s">
        <v>45</v>
      </c>
      <c r="F193" s="32" t="str">
        <f t="shared" ca="1" si="9"/>
        <v/>
      </c>
      <c r="G193" s="166"/>
    </row>
    <row r="194" spans="1:7" x14ac:dyDescent="0.25">
      <c r="A194" s="9">
        <v>93</v>
      </c>
      <c r="B194" s="33" t="s">
        <v>1221</v>
      </c>
      <c r="C194" s="9" t="s">
        <v>6</v>
      </c>
      <c r="D194" s="9" t="s">
        <v>6</v>
      </c>
      <c r="E194" s="12" t="s">
        <v>45</v>
      </c>
      <c r="F194" s="32">
        <f t="shared" ca="1" si="9"/>
        <v>46293</v>
      </c>
      <c r="G194" s="166"/>
    </row>
    <row r="195" spans="1:7" x14ac:dyDescent="0.25">
      <c r="A195" s="9">
        <v>94</v>
      </c>
      <c r="B195" s="33" t="s">
        <v>1718</v>
      </c>
      <c r="C195" s="9" t="s">
        <v>5</v>
      </c>
      <c r="D195" s="9" t="s">
        <v>5</v>
      </c>
      <c r="E195" s="12" t="s">
        <v>150</v>
      </c>
      <c r="F195" s="32" t="str">
        <f t="shared" ca="1" si="9"/>
        <v/>
      </c>
    </row>
    <row r="196" spans="1:7" x14ac:dyDescent="0.25">
      <c r="A196" s="9">
        <v>95</v>
      </c>
      <c r="B196" s="33" t="s">
        <v>1719</v>
      </c>
      <c r="C196" s="9" t="s">
        <v>5</v>
      </c>
      <c r="D196" s="9" t="s">
        <v>5</v>
      </c>
      <c r="E196" s="12" t="s">
        <v>150</v>
      </c>
      <c r="F196" s="32" t="str">
        <f t="shared" ca="1" si="9"/>
        <v/>
      </c>
    </row>
    <row r="197" spans="1:7" x14ac:dyDescent="0.25">
      <c r="A197" s="9">
        <v>96</v>
      </c>
      <c r="B197" s="33" t="s">
        <v>589</v>
      </c>
      <c r="C197" s="9" t="s">
        <v>5</v>
      </c>
      <c r="D197" s="9" t="s">
        <v>5</v>
      </c>
      <c r="E197" s="12" t="s">
        <v>150</v>
      </c>
      <c r="F197" s="32" t="str">
        <f t="shared" ca="1" si="9"/>
        <v/>
      </c>
    </row>
    <row r="198" spans="1:7" x14ac:dyDescent="0.25">
      <c r="A198" s="9">
        <v>97</v>
      </c>
      <c r="B198" s="33" t="s">
        <v>1716</v>
      </c>
      <c r="C198" s="9" t="s">
        <v>5</v>
      </c>
      <c r="D198" s="9" t="s">
        <v>5</v>
      </c>
      <c r="E198" s="12" t="s">
        <v>45</v>
      </c>
      <c r="F198" s="32" t="str">
        <f t="shared" ca="1" si="9"/>
        <v/>
      </c>
    </row>
    <row r="199" spans="1:7" x14ac:dyDescent="0.25">
      <c r="A199" s="9">
        <v>98</v>
      </c>
      <c r="B199" s="8" t="s">
        <v>93</v>
      </c>
      <c r="C199" s="9" t="s">
        <v>6</v>
      </c>
      <c r="D199" s="9" t="s">
        <v>6</v>
      </c>
      <c r="E199" s="12" t="s">
        <v>45</v>
      </c>
      <c r="F199" s="32">
        <f t="shared" ca="1" si="9"/>
        <v>46287</v>
      </c>
    </row>
    <row r="200" spans="1:7" x14ac:dyDescent="0.25">
      <c r="A200" s="9">
        <v>99</v>
      </c>
      <c r="B200" s="8" t="s">
        <v>123</v>
      </c>
      <c r="C200" s="9" t="s">
        <v>5</v>
      </c>
      <c r="D200" s="9" t="s">
        <v>6</v>
      </c>
      <c r="E200" s="12" t="s">
        <v>150</v>
      </c>
      <c r="F200" s="32" t="str">
        <f t="shared" ca="1" si="9"/>
        <v/>
      </c>
    </row>
    <row r="201" spans="1:7" x14ac:dyDescent="0.25">
      <c r="A201" s="9">
        <v>100</v>
      </c>
      <c r="B201" s="8" t="s">
        <v>124</v>
      </c>
      <c r="C201" s="9" t="s">
        <v>5</v>
      </c>
      <c r="D201" s="9" t="s">
        <v>6</v>
      </c>
      <c r="E201" s="12" t="s">
        <v>150</v>
      </c>
      <c r="F201" s="32" t="str">
        <f t="shared" ca="1" si="9"/>
        <v/>
      </c>
    </row>
    <row r="202" spans="1:7" x14ac:dyDescent="0.25">
      <c r="A202" s="9">
        <v>101</v>
      </c>
      <c r="B202" s="47" t="s">
        <v>1814</v>
      </c>
      <c r="C202" s="9" t="s">
        <v>6</v>
      </c>
      <c r="D202" s="9" t="s">
        <v>6</v>
      </c>
      <c r="E202" s="12" t="s">
        <v>45</v>
      </c>
      <c r="F202" s="32">
        <f t="shared" ca="1" si="9"/>
        <v>46293</v>
      </c>
      <c r="G202" s="166"/>
    </row>
    <row r="203" spans="1:7" x14ac:dyDescent="0.25">
      <c r="A203" s="9">
        <v>548</v>
      </c>
      <c r="B203" s="8" t="s">
        <v>187</v>
      </c>
      <c r="C203" s="9" t="s">
        <v>6</v>
      </c>
      <c r="D203" s="9" t="s">
        <v>5</v>
      </c>
      <c r="E203" s="12" t="s">
        <v>45</v>
      </c>
      <c r="F203" s="32" t="str">
        <f ca="1">IF(AND(C203="NO",D203="NO"),IF(F203="",TODAY(),F203),"")</f>
        <v/>
      </c>
      <c r="G203" s="169"/>
    </row>
    <row r="204" spans="1:7" x14ac:dyDescent="0.25">
      <c r="A204" s="9">
        <v>102</v>
      </c>
      <c r="B204" s="8" t="s">
        <v>386</v>
      </c>
      <c r="C204" s="9" t="s">
        <v>6</v>
      </c>
      <c r="D204" s="9" t="s">
        <v>6</v>
      </c>
      <c r="E204" s="12" t="s">
        <v>45</v>
      </c>
      <c r="F204" s="32">
        <f t="shared" ca="1" si="9"/>
        <v>46306</v>
      </c>
    </row>
    <row r="205" spans="1:7" x14ac:dyDescent="0.25">
      <c r="A205" s="9">
        <v>103</v>
      </c>
      <c r="B205" s="33" t="s">
        <v>993</v>
      </c>
      <c r="C205" s="9" t="s">
        <v>5</v>
      </c>
      <c r="D205" s="9" t="s">
        <v>6</v>
      </c>
      <c r="E205" s="12" t="s">
        <v>45</v>
      </c>
      <c r="F205" s="32" t="str">
        <f t="shared" ca="1" si="9"/>
        <v/>
      </c>
    </row>
    <row r="206" spans="1:7" x14ac:dyDescent="0.25">
      <c r="A206" s="9">
        <v>104</v>
      </c>
      <c r="B206" s="33" t="s">
        <v>602</v>
      </c>
      <c r="C206" s="9" t="s">
        <v>5</v>
      </c>
      <c r="D206" s="9" t="s">
        <v>6</v>
      </c>
      <c r="E206" s="12" t="s">
        <v>45</v>
      </c>
      <c r="F206" s="32" t="str">
        <f t="shared" ca="1" si="9"/>
        <v/>
      </c>
    </row>
    <row r="207" spans="1:7" x14ac:dyDescent="0.25">
      <c r="A207" s="9">
        <v>105</v>
      </c>
      <c r="B207" s="33" t="s">
        <v>554</v>
      </c>
      <c r="C207" s="9" t="s">
        <v>6</v>
      </c>
      <c r="D207" s="9" t="s">
        <v>6</v>
      </c>
      <c r="E207" s="12" t="s">
        <v>45</v>
      </c>
      <c r="F207" s="32">
        <f t="shared" ca="1" si="9"/>
        <v>46306</v>
      </c>
    </row>
    <row r="208" spans="1:7" x14ac:dyDescent="0.25">
      <c r="A208" s="9">
        <v>106</v>
      </c>
      <c r="B208" s="15" t="s">
        <v>329</v>
      </c>
      <c r="C208" s="9" t="s">
        <v>5</v>
      </c>
      <c r="D208" s="9" t="s">
        <v>5</v>
      </c>
      <c r="E208" s="12" t="s">
        <v>45</v>
      </c>
      <c r="F208" s="32" t="str">
        <f t="shared" ca="1" si="9"/>
        <v/>
      </c>
    </row>
    <row r="209" spans="1:8" x14ac:dyDescent="0.25">
      <c r="A209" s="9">
        <v>107</v>
      </c>
      <c r="B209" s="33" t="s">
        <v>1789</v>
      </c>
      <c r="C209" s="9" t="s">
        <v>5</v>
      </c>
      <c r="D209" s="9" t="s">
        <v>6</v>
      </c>
      <c r="E209" s="12" t="s">
        <v>45</v>
      </c>
      <c r="F209" s="32" t="str">
        <f t="shared" ca="1" si="9"/>
        <v/>
      </c>
    </row>
    <row r="210" spans="1:8" x14ac:dyDescent="0.25">
      <c r="A210" s="9">
        <v>108</v>
      </c>
      <c r="B210" s="33" t="s">
        <v>1483</v>
      </c>
      <c r="C210" s="9" t="s">
        <v>6</v>
      </c>
      <c r="D210" s="9" t="s">
        <v>6</v>
      </c>
      <c r="E210" s="12" t="s">
        <v>150</v>
      </c>
      <c r="F210" s="32">
        <f t="shared" ca="1" si="9"/>
        <v>46306</v>
      </c>
    </row>
    <row r="211" spans="1:8" ht="15" customHeight="1" x14ac:dyDescent="0.25">
      <c r="A211" s="9">
        <v>109</v>
      </c>
      <c r="B211" s="33" t="s">
        <v>1341</v>
      </c>
      <c r="C211" s="9" t="s">
        <v>6</v>
      </c>
      <c r="D211" s="9" t="s">
        <v>6</v>
      </c>
      <c r="E211" s="12" t="s">
        <v>150</v>
      </c>
      <c r="F211" s="32">
        <f t="shared" ca="1" si="9"/>
        <v>46287</v>
      </c>
    </row>
    <row r="212" spans="1:8" ht="15" customHeight="1" x14ac:dyDescent="0.25">
      <c r="A212" s="9">
        <v>110</v>
      </c>
      <c r="B212" s="33" t="s">
        <v>910</v>
      </c>
      <c r="C212" s="9" t="s">
        <v>6</v>
      </c>
      <c r="D212" s="9" t="s">
        <v>6</v>
      </c>
      <c r="E212" s="12" t="s">
        <v>45</v>
      </c>
      <c r="F212" s="32">
        <f t="shared" ca="1" si="9"/>
        <v>46306</v>
      </c>
    </row>
    <row r="213" spans="1:8" x14ac:dyDescent="0.25">
      <c r="A213" s="9">
        <v>111</v>
      </c>
      <c r="B213" s="33" t="s">
        <v>1340</v>
      </c>
      <c r="C213" s="9" t="s">
        <v>6</v>
      </c>
      <c r="D213" s="9" t="s">
        <v>6</v>
      </c>
      <c r="E213" s="12" t="s">
        <v>150</v>
      </c>
      <c r="F213" s="32">
        <f t="shared" ca="1" si="9"/>
        <v>46306</v>
      </c>
    </row>
    <row r="214" spans="1:8" x14ac:dyDescent="0.25">
      <c r="A214" s="9">
        <v>112</v>
      </c>
      <c r="B214" s="33" t="s">
        <v>1339</v>
      </c>
      <c r="C214" s="9" t="s">
        <v>6</v>
      </c>
      <c r="D214" s="9" t="s">
        <v>5</v>
      </c>
      <c r="E214" s="12" t="s">
        <v>150</v>
      </c>
      <c r="F214" s="32" t="str">
        <f t="shared" ca="1" si="9"/>
        <v/>
      </c>
      <c r="H214" s="63"/>
    </row>
    <row r="215" spans="1:8" x14ac:dyDescent="0.25">
      <c r="A215" s="9">
        <v>114</v>
      </c>
      <c r="B215" s="33" t="s">
        <v>1749</v>
      </c>
      <c r="C215" s="9" t="s">
        <v>6</v>
      </c>
      <c r="D215" s="9" t="s">
        <v>5</v>
      </c>
      <c r="E215" s="12" t="s">
        <v>150</v>
      </c>
      <c r="F215" s="32" t="str">
        <f t="shared" ca="1" si="9"/>
        <v/>
      </c>
      <c r="H215" s="69"/>
    </row>
    <row r="216" spans="1:8" x14ac:dyDescent="0.25">
      <c r="A216" s="9">
        <v>115</v>
      </c>
      <c r="B216" s="8" t="s">
        <v>129</v>
      </c>
      <c r="C216" s="9" t="s">
        <v>5</v>
      </c>
      <c r="D216" s="9" t="s">
        <v>5</v>
      </c>
      <c r="E216" s="12" t="s">
        <v>45</v>
      </c>
      <c r="F216" s="32" t="str">
        <f t="shared" ca="1" si="9"/>
        <v/>
      </c>
    </row>
    <row r="217" spans="1:8" x14ac:dyDescent="0.25">
      <c r="A217" s="9">
        <v>116</v>
      </c>
      <c r="B217" s="33" t="s">
        <v>1949</v>
      </c>
      <c r="C217" s="9" t="s">
        <v>5</v>
      </c>
      <c r="D217" s="9" t="s">
        <v>5</v>
      </c>
      <c r="E217" s="12" t="s">
        <v>45</v>
      </c>
      <c r="F217" s="32" t="str">
        <f t="shared" ca="1" si="9"/>
        <v/>
      </c>
      <c r="H217" s="41"/>
    </row>
    <row r="218" spans="1:8" x14ac:dyDescent="0.25">
      <c r="A218" s="9">
        <v>117</v>
      </c>
      <c r="B218" s="8" t="s">
        <v>76</v>
      </c>
      <c r="C218" s="9" t="s">
        <v>5</v>
      </c>
      <c r="D218" s="9" t="s">
        <v>6</v>
      </c>
      <c r="E218" s="12" t="s">
        <v>45</v>
      </c>
      <c r="F218" s="32" t="str">
        <f ca="1">IF(AND(C218="NO",D218="NO"),IF(F218="",TODAY(),F218),"")</f>
        <v/>
      </c>
      <c r="G218" s="169"/>
    </row>
    <row r="219" spans="1:8" x14ac:dyDescent="0.25">
      <c r="A219" s="9">
        <v>118</v>
      </c>
      <c r="B219" s="33" t="s">
        <v>909</v>
      </c>
      <c r="C219" s="9" t="s">
        <v>6</v>
      </c>
      <c r="D219" s="9" t="s">
        <v>6</v>
      </c>
      <c r="E219" s="12" t="s">
        <v>150</v>
      </c>
      <c r="F219" s="32">
        <f t="shared" ca="1" si="9"/>
        <v>46306</v>
      </c>
    </row>
    <row r="220" spans="1:8" x14ac:dyDescent="0.25">
      <c r="A220" s="9">
        <v>119</v>
      </c>
      <c r="B220" s="33" t="s">
        <v>257</v>
      </c>
      <c r="C220" s="9" t="s">
        <v>6</v>
      </c>
      <c r="D220" s="9" t="s">
        <v>6</v>
      </c>
      <c r="E220" s="12" t="s">
        <v>150</v>
      </c>
      <c r="F220" s="32">
        <f t="shared" ca="1" si="9"/>
        <v>46306</v>
      </c>
    </row>
    <row r="221" spans="1:8" x14ac:dyDescent="0.25">
      <c r="A221" s="9">
        <v>120</v>
      </c>
      <c r="B221" s="8" t="s">
        <v>690</v>
      </c>
      <c r="C221" s="9" t="s">
        <v>5</v>
      </c>
      <c r="D221" s="9" t="s">
        <v>6</v>
      </c>
      <c r="E221" s="12" t="s">
        <v>45</v>
      </c>
      <c r="F221" s="32" t="str">
        <f t="shared" ca="1" si="9"/>
        <v/>
      </c>
    </row>
    <row r="222" spans="1:8" x14ac:dyDescent="0.25">
      <c r="A222" s="9">
        <v>121</v>
      </c>
      <c r="B222" s="33" t="s">
        <v>1098</v>
      </c>
      <c r="C222" s="9" t="s">
        <v>6</v>
      </c>
      <c r="D222" s="9" t="s">
        <v>5</v>
      </c>
      <c r="E222" s="12" t="s">
        <v>45</v>
      </c>
      <c r="F222" s="32" t="str">
        <f t="shared" ca="1" si="9"/>
        <v/>
      </c>
      <c r="G222" s="166"/>
    </row>
    <row r="223" spans="1:8" x14ac:dyDescent="0.25">
      <c r="A223" s="9">
        <v>122</v>
      </c>
      <c r="B223" s="33" t="s">
        <v>1753</v>
      </c>
      <c r="C223" s="9" t="s">
        <v>5</v>
      </c>
      <c r="D223" s="9" t="s">
        <v>6</v>
      </c>
      <c r="E223" s="12" t="s">
        <v>45</v>
      </c>
      <c r="F223" s="32" t="str">
        <f t="shared" ca="1" si="9"/>
        <v/>
      </c>
    </row>
    <row r="224" spans="1:8" x14ac:dyDescent="0.25">
      <c r="A224" s="9">
        <v>123</v>
      </c>
      <c r="B224" s="8" t="s">
        <v>63</v>
      </c>
      <c r="C224" s="9" t="s">
        <v>6</v>
      </c>
      <c r="D224" s="9" t="s">
        <v>6</v>
      </c>
      <c r="E224" s="12" t="s">
        <v>45</v>
      </c>
      <c r="F224" s="32">
        <f t="shared" ref="F224:F252" ca="1" si="10">IF(AND(C224="NO",D224="NO"),IF(F224="",TODAY(),F224),"")</f>
        <v>46287</v>
      </c>
    </row>
    <row r="225" spans="1:10" x14ac:dyDescent="0.25">
      <c r="A225" s="9">
        <v>124</v>
      </c>
      <c r="B225" s="8" t="s">
        <v>137</v>
      </c>
      <c r="C225" s="9" t="s">
        <v>5</v>
      </c>
      <c r="D225" s="9" t="s">
        <v>5</v>
      </c>
      <c r="E225" s="12" t="s">
        <v>1248</v>
      </c>
      <c r="F225" s="32" t="str">
        <f t="shared" ca="1" si="10"/>
        <v/>
      </c>
    </row>
    <row r="226" spans="1:10" x14ac:dyDescent="0.25">
      <c r="A226" s="9">
        <v>125</v>
      </c>
      <c r="B226" s="8" t="s">
        <v>75</v>
      </c>
      <c r="C226" s="9" t="s">
        <v>5</v>
      </c>
      <c r="D226" s="9" t="s">
        <v>6</v>
      </c>
      <c r="E226" s="12" t="s">
        <v>337</v>
      </c>
      <c r="F226" s="32" t="str">
        <f t="shared" ca="1" si="10"/>
        <v/>
      </c>
      <c r="H226" s="64"/>
    </row>
    <row r="227" spans="1:10" ht="15" customHeight="1" x14ac:dyDescent="0.25">
      <c r="A227" s="9">
        <v>477</v>
      </c>
      <c r="B227" s="47" t="s">
        <v>806</v>
      </c>
      <c r="C227" s="9" t="s">
        <v>5</v>
      </c>
      <c r="D227" s="9" t="s">
        <v>6</v>
      </c>
      <c r="E227" s="20" t="s">
        <v>45</v>
      </c>
      <c r="F227" s="105"/>
      <c r="G227" s="169"/>
      <c r="I227" s="102"/>
      <c r="J227" s="102"/>
    </row>
    <row r="228" spans="1:10" x14ac:dyDescent="0.25">
      <c r="A228" s="9">
        <v>126</v>
      </c>
      <c r="B228" s="33" t="s">
        <v>1504</v>
      </c>
      <c r="C228" s="9" t="s">
        <v>6</v>
      </c>
      <c r="D228" s="9" t="s">
        <v>6</v>
      </c>
      <c r="E228" s="12" t="s">
        <v>150</v>
      </c>
      <c r="F228" s="32">
        <f t="shared" ca="1" si="10"/>
        <v>46287</v>
      </c>
      <c r="H228" s="64"/>
    </row>
    <row r="229" spans="1:10" x14ac:dyDescent="0.25">
      <c r="A229" s="9">
        <v>127</v>
      </c>
      <c r="B229" s="33" t="s">
        <v>1815</v>
      </c>
      <c r="C229" s="9" t="s">
        <v>6</v>
      </c>
      <c r="D229" s="9" t="s">
        <v>6</v>
      </c>
      <c r="E229" s="12" t="s">
        <v>45</v>
      </c>
      <c r="F229" s="32">
        <f t="shared" ca="1" si="10"/>
        <v>46293</v>
      </c>
      <c r="G229" s="166"/>
    </row>
    <row r="230" spans="1:10" x14ac:dyDescent="0.25">
      <c r="A230" s="9">
        <v>128</v>
      </c>
      <c r="B230" s="33" t="s">
        <v>1379</v>
      </c>
      <c r="C230" s="9" t="s">
        <v>5</v>
      </c>
      <c r="D230" s="9" t="s">
        <v>6</v>
      </c>
      <c r="E230" s="12" t="s">
        <v>45</v>
      </c>
      <c r="F230" s="32" t="str">
        <f t="shared" ca="1" si="10"/>
        <v/>
      </c>
      <c r="G230" s="166"/>
    </row>
    <row r="231" spans="1:10" x14ac:dyDescent="0.25">
      <c r="A231" s="9">
        <v>129</v>
      </c>
      <c r="B231" s="33" t="s">
        <v>1429</v>
      </c>
      <c r="C231" s="9" t="s">
        <v>6</v>
      </c>
      <c r="D231" s="9" t="s">
        <v>6</v>
      </c>
      <c r="E231" s="12" t="s">
        <v>45</v>
      </c>
      <c r="F231" s="32">
        <f t="shared" ca="1" si="10"/>
        <v>46293</v>
      </c>
    </row>
    <row r="232" spans="1:10" x14ac:dyDescent="0.25">
      <c r="A232" s="9">
        <v>130</v>
      </c>
      <c r="B232" s="33" t="s">
        <v>1611</v>
      </c>
      <c r="C232" s="9" t="s">
        <v>5</v>
      </c>
      <c r="D232" s="9" t="s">
        <v>6</v>
      </c>
      <c r="E232" s="12" t="s">
        <v>45</v>
      </c>
      <c r="F232" s="32" t="str">
        <f t="shared" ca="1" si="10"/>
        <v/>
      </c>
    </row>
    <row r="233" spans="1:10" x14ac:dyDescent="0.25">
      <c r="A233" s="9">
        <v>131</v>
      </c>
      <c r="B233" s="33" t="s">
        <v>1662</v>
      </c>
      <c r="C233" s="9" t="s">
        <v>5</v>
      </c>
      <c r="D233" s="9" t="s">
        <v>6</v>
      </c>
      <c r="E233" s="12" t="s">
        <v>45</v>
      </c>
      <c r="F233" s="32" t="str">
        <f t="shared" ca="1" si="10"/>
        <v/>
      </c>
    </row>
    <row r="234" spans="1:10" x14ac:dyDescent="0.25">
      <c r="A234" s="9">
        <v>132</v>
      </c>
      <c r="B234" s="8" t="s">
        <v>85</v>
      </c>
      <c r="C234" s="9" t="s">
        <v>6</v>
      </c>
      <c r="D234" s="9" t="s">
        <v>5</v>
      </c>
      <c r="E234" s="12" t="s">
        <v>45</v>
      </c>
      <c r="F234" s="32" t="str">
        <f t="shared" ca="1" si="10"/>
        <v/>
      </c>
      <c r="G234" s="166"/>
      <c r="H234" s="66"/>
    </row>
    <row r="235" spans="1:10" x14ac:dyDescent="0.25">
      <c r="A235" s="9">
        <v>133</v>
      </c>
      <c r="B235" s="8" t="s">
        <v>69</v>
      </c>
      <c r="C235" s="9" t="s">
        <v>6</v>
      </c>
      <c r="D235" s="9" t="s">
        <v>6</v>
      </c>
      <c r="E235" s="12" t="s">
        <v>45</v>
      </c>
      <c r="F235" s="32">
        <f t="shared" ca="1" si="10"/>
        <v>46287</v>
      </c>
    </row>
    <row r="236" spans="1:10" x14ac:dyDescent="0.25">
      <c r="A236" s="9">
        <v>134</v>
      </c>
      <c r="B236" s="33" t="s">
        <v>1338</v>
      </c>
      <c r="C236" s="9" t="s">
        <v>6</v>
      </c>
      <c r="D236" s="9" t="s">
        <v>6</v>
      </c>
      <c r="E236" s="12" t="s">
        <v>150</v>
      </c>
      <c r="F236" s="32">
        <f t="shared" ca="1" si="10"/>
        <v>46287</v>
      </c>
    </row>
    <row r="237" spans="1:10" x14ac:dyDescent="0.25">
      <c r="A237" s="9">
        <v>135</v>
      </c>
      <c r="B237" s="15" t="s">
        <v>2016</v>
      </c>
      <c r="C237" s="9" t="s">
        <v>6</v>
      </c>
      <c r="D237" s="9" t="s">
        <v>6</v>
      </c>
      <c r="E237" s="12" t="s">
        <v>45</v>
      </c>
      <c r="F237" s="32">
        <f ca="1">IF(AND(C237="NO",D237="NO"),IF(F237="",TODAY(),F237),"")</f>
        <v>46306</v>
      </c>
      <c r="G237" s="169"/>
    </row>
    <row r="238" spans="1:10" x14ac:dyDescent="0.25">
      <c r="A238" s="9">
        <v>136</v>
      </c>
      <c r="B238" s="33" t="s">
        <v>1893</v>
      </c>
      <c r="C238" s="9" t="s">
        <v>6</v>
      </c>
      <c r="D238" s="9" t="s">
        <v>6</v>
      </c>
      <c r="E238" s="12" t="s">
        <v>45</v>
      </c>
      <c r="F238" s="32">
        <f t="shared" ca="1" si="10"/>
        <v>46287</v>
      </c>
      <c r="H238" s="107"/>
      <c r="I238" s="111"/>
    </row>
    <row r="239" spans="1:10" x14ac:dyDescent="0.25">
      <c r="A239" s="9">
        <v>137</v>
      </c>
      <c r="B239" s="8" t="s">
        <v>1139</v>
      </c>
      <c r="C239" s="9" t="s">
        <v>6</v>
      </c>
      <c r="D239" s="9" t="s">
        <v>6</v>
      </c>
      <c r="E239" s="12" t="s">
        <v>45</v>
      </c>
      <c r="F239" s="32">
        <f ca="1">IF(AND(C239="NO",D239="NO"),IF(F239="",TODAY(),F239),"")</f>
        <v>46300</v>
      </c>
      <c r="G239" s="169"/>
    </row>
    <row r="240" spans="1:10" x14ac:dyDescent="0.25">
      <c r="A240" s="9">
        <v>138</v>
      </c>
      <c r="B240" s="33" t="s">
        <v>1978</v>
      </c>
      <c r="C240" s="9" t="s">
        <v>5</v>
      </c>
      <c r="D240" s="9" t="s">
        <v>6</v>
      </c>
      <c r="E240" s="12" t="s">
        <v>45</v>
      </c>
      <c r="F240" s="32" t="str">
        <f t="shared" ca="1" si="10"/>
        <v/>
      </c>
      <c r="H240" s="117"/>
    </row>
    <row r="241" spans="1:9" x14ac:dyDescent="0.25">
      <c r="A241" s="9">
        <v>139</v>
      </c>
      <c r="B241" s="33" t="s">
        <v>1913</v>
      </c>
      <c r="C241" s="9" t="s">
        <v>5</v>
      </c>
      <c r="D241" s="9" t="s">
        <v>5</v>
      </c>
      <c r="E241" s="12" t="s">
        <v>45</v>
      </c>
      <c r="F241" s="32" t="str">
        <f t="shared" ca="1" si="10"/>
        <v/>
      </c>
      <c r="G241" s="166"/>
      <c r="H241" s="120"/>
      <c r="I241" s="111"/>
    </row>
    <row r="242" spans="1:9" x14ac:dyDescent="0.25">
      <c r="A242" s="9">
        <v>140</v>
      </c>
      <c r="B242" s="33" t="s">
        <v>1915</v>
      </c>
      <c r="C242" s="9" t="s">
        <v>5</v>
      </c>
      <c r="D242" s="9" t="s">
        <v>6</v>
      </c>
      <c r="E242" s="12" t="s">
        <v>150</v>
      </c>
      <c r="F242" s="32" t="str">
        <f t="shared" ca="1" si="10"/>
        <v/>
      </c>
      <c r="G242" s="166"/>
    </row>
    <row r="243" spans="1:9" x14ac:dyDescent="0.25">
      <c r="A243" s="9">
        <v>141</v>
      </c>
      <c r="B243" s="33" t="s">
        <v>660</v>
      </c>
      <c r="C243" s="9" t="s">
        <v>5</v>
      </c>
      <c r="D243" s="9" t="s">
        <v>6</v>
      </c>
      <c r="E243" s="12" t="s">
        <v>150</v>
      </c>
      <c r="F243" s="32" t="str">
        <f t="shared" ca="1" si="10"/>
        <v/>
      </c>
    </row>
    <row r="244" spans="1:9" x14ac:dyDescent="0.25">
      <c r="A244" s="9">
        <v>142</v>
      </c>
      <c r="B244" s="17" t="s">
        <v>330</v>
      </c>
      <c r="C244" s="9" t="s">
        <v>6</v>
      </c>
      <c r="D244" s="9" t="s">
        <v>6</v>
      </c>
      <c r="E244" s="12" t="s">
        <v>45</v>
      </c>
      <c r="F244" s="32">
        <f t="shared" ca="1" si="10"/>
        <v>46287</v>
      </c>
    </row>
    <row r="245" spans="1:9" x14ac:dyDescent="0.25">
      <c r="A245" s="9">
        <v>143</v>
      </c>
      <c r="B245" s="8" t="s">
        <v>1066</v>
      </c>
      <c r="C245" s="9" t="s">
        <v>6</v>
      </c>
      <c r="D245" s="9" t="s">
        <v>6</v>
      </c>
      <c r="E245" s="12" t="s">
        <v>258</v>
      </c>
      <c r="F245" s="32">
        <f t="shared" ca="1" si="10"/>
        <v>46300</v>
      </c>
      <c r="H245" s="120"/>
      <c r="I245" s="111"/>
    </row>
    <row r="246" spans="1:9" x14ac:dyDescent="0.25">
      <c r="A246" s="9">
        <v>144</v>
      </c>
      <c r="B246" s="17" t="s">
        <v>303</v>
      </c>
      <c r="C246" s="9" t="s">
        <v>6</v>
      </c>
      <c r="D246" s="9" t="s">
        <v>5</v>
      </c>
      <c r="E246" s="12" t="s">
        <v>45</v>
      </c>
      <c r="F246" s="32" t="str">
        <f t="shared" ca="1" si="10"/>
        <v/>
      </c>
      <c r="G246" s="166"/>
      <c r="H246" s="120"/>
      <c r="I246" s="111"/>
    </row>
    <row r="247" spans="1:9" x14ac:dyDescent="0.25">
      <c r="A247" s="9">
        <v>145</v>
      </c>
      <c r="B247" s="33" t="s">
        <v>256</v>
      </c>
      <c r="C247" s="9" t="s">
        <v>6</v>
      </c>
      <c r="D247" s="9" t="s">
        <v>6</v>
      </c>
      <c r="E247" s="12" t="s">
        <v>45</v>
      </c>
      <c r="F247" s="32">
        <f t="shared" ca="1" si="10"/>
        <v>46300</v>
      </c>
      <c r="G247" s="166"/>
    </row>
    <row r="248" spans="1:9" x14ac:dyDescent="0.25">
      <c r="A248" s="9">
        <v>146</v>
      </c>
      <c r="B248" s="33" t="s">
        <v>2029</v>
      </c>
      <c r="C248" s="9" t="s">
        <v>6</v>
      </c>
      <c r="D248" s="9" t="s">
        <v>6</v>
      </c>
      <c r="E248" s="12" t="s">
        <v>337</v>
      </c>
      <c r="F248" s="32">
        <f t="shared" ca="1" si="10"/>
        <v>46287</v>
      </c>
      <c r="G248" s="166"/>
      <c r="H248" s="120"/>
      <c r="I248" s="111"/>
    </row>
    <row r="249" spans="1:9" x14ac:dyDescent="0.25">
      <c r="A249" s="9">
        <v>147</v>
      </c>
      <c r="B249" s="8" t="s">
        <v>122</v>
      </c>
      <c r="C249" s="9" t="s">
        <v>5</v>
      </c>
      <c r="D249" s="9" t="s">
        <v>6</v>
      </c>
      <c r="E249" s="12" t="s">
        <v>150</v>
      </c>
      <c r="F249" s="32" t="str">
        <f t="shared" ca="1" si="10"/>
        <v/>
      </c>
      <c r="H249" s="120"/>
      <c r="I249" s="111"/>
    </row>
    <row r="250" spans="1:9" x14ac:dyDescent="0.25">
      <c r="A250" s="9">
        <v>148</v>
      </c>
      <c r="B250" s="33" t="s">
        <v>1097</v>
      </c>
      <c r="C250" s="9" t="s">
        <v>6</v>
      </c>
      <c r="D250" s="9" t="s">
        <v>6</v>
      </c>
      <c r="E250" s="12" t="s">
        <v>45</v>
      </c>
      <c r="F250" s="32">
        <f t="shared" ca="1" si="10"/>
        <v>46306</v>
      </c>
      <c r="G250" s="166"/>
      <c r="H250" s="128"/>
      <c r="I250" s="111"/>
    </row>
    <row r="251" spans="1:9" x14ac:dyDescent="0.25">
      <c r="A251" s="9">
        <v>149</v>
      </c>
      <c r="B251" s="33" t="s">
        <v>1373</v>
      </c>
      <c r="C251" s="9" t="s">
        <v>5</v>
      </c>
      <c r="D251" s="9" t="s">
        <v>6</v>
      </c>
      <c r="E251" s="12" t="s">
        <v>45</v>
      </c>
      <c r="F251" s="32" t="str">
        <f t="shared" ca="1" si="10"/>
        <v/>
      </c>
      <c r="G251" s="166"/>
      <c r="H251" s="120"/>
    </row>
    <row r="252" spans="1:9" x14ac:dyDescent="0.25">
      <c r="A252" s="9">
        <v>150</v>
      </c>
      <c r="B252" s="33" t="s">
        <v>2101</v>
      </c>
      <c r="C252" s="9" t="s">
        <v>6</v>
      </c>
      <c r="D252" s="9" t="s">
        <v>6</v>
      </c>
      <c r="E252" s="12" t="s">
        <v>45</v>
      </c>
      <c r="F252" s="32">
        <f t="shared" ca="1" si="10"/>
        <v>46300</v>
      </c>
    </row>
    <row r="253" spans="1:9" x14ac:dyDescent="0.25">
      <c r="A253" s="9">
        <v>151</v>
      </c>
      <c r="B253" s="33" t="s">
        <v>1138</v>
      </c>
      <c r="C253" s="9" t="s">
        <v>6</v>
      </c>
      <c r="D253" s="9" t="s">
        <v>6</v>
      </c>
      <c r="E253" s="12" t="s">
        <v>150</v>
      </c>
      <c r="F253" s="32">
        <f t="shared" ref="F253:F297" ca="1" si="11">IF(AND(C253="NO",D253="NO"),IF(F253="",TODAY(),F253),"")</f>
        <v>46293</v>
      </c>
      <c r="G253" s="166"/>
      <c r="H253" s="127"/>
      <c r="I253" s="111"/>
    </row>
    <row r="254" spans="1:9" x14ac:dyDescent="0.25">
      <c r="A254" s="9">
        <v>152</v>
      </c>
      <c r="B254" s="33" t="s">
        <v>1348</v>
      </c>
      <c r="C254" s="9" t="s">
        <v>6</v>
      </c>
      <c r="D254" s="9" t="s">
        <v>6</v>
      </c>
      <c r="E254" s="12" t="s">
        <v>150</v>
      </c>
      <c r="F254" s="32">
        <f t="shared" ca="1" si="11"/>
        <v>46293</v>
      </c>
      <c r="G254" s="166"/>
    </row>
    <row r="255" spans="1:9" x14ac:dyDescent="0.25">
      <c r="A255" s="9">
        <v>153</v>
      </c>
      <c r="B255" s="8" t="s">
        <v>1186</v>
      </c>
      <c r="C255" s="9" t="s">
        <v>6</v>
      </c>
      <c r="D255" s="9" t="s">
        <v>6</v>
      </c>
      <c r="E255" s="12" t="s">
        <v>337</v>
      </c>
      <c r="F255" s="32">
        <f t="shared" ca="1" si="11"/>
        <v>46306</v>
      </c>
      <c r="G255" s="166"/>
    </row>
    <row r="256" spans="1:9" x14ac:dyDescent="0.25">
      <c r="A256" s="9">
        <v>154</v>
      </c>
      <c r="B256" s="33" t="s">
        <v>1699</v>
      </c>
      <c r="C256" s="9" t="s">
        <v>6</v>
      </c>
      <c r="D256" s="9" t="s">
        <v>6</v>
      </c>
      <c r="E256" s="12" t="s">
        <v>45</v>
      </c>
      <c r="F256" s="32">
        <f ca="1">IF(AND(C256="NO",D256="NO"),IF(F256="",TODAY(),F256),"")</f>
        <v>46293</v>
      </c>
      <c r="G256" s="169"/>
    </row>
    <row r="257" spans="1:10" ht="15" customHeight="1" x14ac:dyDescent="0.25">
      <c r="A257" s="9">
        <v>155</v>
      </c>
      <c r="B257" s="17" t="s">
        <v>484</v>
      </c>
      <c r="C257" s="9" t="s">
        <v>6</v>
      </c>
      <c r="D257" s="9" t="s">
        <v>5</v>
      </c>
      <c r="E257" s="12" t="s">
        <v>45</v>
      </c>
      <c r="F257" s="32" t="str">
        <f t="shared" ref="F257" ca="1" si="12">IF(AND(C257="NO",D257="NO"),IF(F257="",TODAY(),F257),"")</f>
        <v/>
      </c>
      <c r="G257" s="166"/>
      <c r="I257" s="102"/>
      <c r="J257" s="102"/>
    </row>
    <row r="258" spans="1:10" x14ac:dyDescent="0.25">
      <c r="A258" s="9">
        <v>72</v>
      </c>
      <c r="B258" s="8" t="s">
        <v>146</v>
      </c>
      <c r="C258" s="9" t="s">
        <v>6</v>
      </c>
      <c r="D258" s="9" t="s">
        <v>5</v>
      </c>
      <c r="E258" s="12" t="s">
        <v>45</v>
      </c>
      <c r="F258" s="32" t="str">
        <f ca="1">IF(AND(C258="NO",D258="NO"),IF(F258="",TODAY(),F258),"")</f>
        <v/>
      </c>
      <c r="G258" s="169"/>
    </row>
    <row r="259" spans="1:10" ht="15" customHeight="1" x14ac:dyDescent="0.25">
      <c r="A259" s="9">
        <v>156</v>
      </c>
      <c r="B259" s="17" t="s">
        <v>2113</v>
      </c>
      <c r="C259" s="9" t="s">
        <v>6</v>
      </c>
      <c r="D259" s="9" t="s">
        <v>6</v>
      </c>
      <c r="E259" s="12" t="s">
        <v>45</v>
      </c>
      <c r="F259" s="32">
        <f t="shared" ca="1" si="11"/>
        <v>46300</v>
      </c>
      <c r="G259" s="166"/>
      <c r="I259" s="102"/>
      <c r="J259" s="102"/>
    </row>
    <row r="260" spans="1:10" x14ac:dyDescent="0.25">
      <c r="A260" s="9">
        <v>157</v>
      </c>
      <c r="B260" s="33" t="s">
        <v>1941</v>
      </c>
      <c r="C260" s="9" t="s">
        <v>6</v>
      </c>
      <c r="D260" s="9" t="s">
        <v>6</v>
      </c>
      <c r="E260" s="12" t="s">
        <v>337</v>
      </c>
      <c r="F260" s="32">
        <f t="shared" ca="1" si="11"/>
        <v>46287</v>
      </c>
      <c r="G260" s="166"/>
    </row>
    <row r="261" spans="1:10" x14ac:dyDescent="0.25">
      <c r="A261" s="9">
        <v>159</v>
      </c>
      <c r="B261" s="33" t="s">
        <v>1975</v>
      </c>
      <c r="C261" s="9" t="s">
        <v>6</v>
      </c>
      <c r="D261" s="9" t="s">
        <v>6</v>
      </c>
      <c r="E261" s="12" t="s">
        <v>337</v>
      </c>
      <c r="F261" s="32">
        <f t="shared" ref="F261" ca="1" si="13">IF(AND(C261="NO",D261="NO"),IF(F261="",TODAY(),F261),"")</f>
        <v>46287</v>
      </c>
      <c r="G261" s="165">
        <v>584223001072</v>
      </c>
    </row>
    <row r="262" spans="1:10" x14ac:dyDescent="0.25">
      <c r="A262" s="9">
        <v>160</v>
      </c>
      <c r="B262" s="33" t="s">
        <v>2127</v>
      </c>
      <c r="C262" s="9" t="s">
        <v>6</v>
      </c>
      <c r="D262" s="9" t="s">
        <v>6</v>
      </c>
      <c r="E262" s="12" t="s">
        <v>45</v>
      </c>
      <c r="F262" s="32">
        <f t="shared" ca="1" si="11"/>
        <v>46293</v>
      </c>
      <c r="G262" s="165"/>
    </row>
    <row r="263" spans="1:10" x14ac:dyDescent="0.25">
      <c r="A263" s="9">
        <v>161</v>
      </c>
      <c r="B263" s="33" t="s">
        <v>1977</v>
      </c>
      <c r="C263" s="9" t="s">
        <v>5</v>
      </c>
      <c r="D263" s="9" t="s">
        <v>6</v>
      </c>
      <c r="E263" s="12" t="s">
        <v>337</v>
      </c>
      <c r="F263" s="32" t="str">
        <f t="shared" ca="1" si="11"/>
        <v/>
      </c>
      <c r="G263" s="166"/>
    </row>
    <row r="264" spans="1:10" x14ac:dyDescent="0.25">
      <c r="A264" s="9">
        <v>454</v>
      </c>
      <c r="B264" s="8" t="s">
        <v>770</v>
      </c>
      <c r="C264" s="9" t="s">
        <v>5</v>
      </c>
      <c r="D264" s="9" t="s">
        <v>6</v>
      </c>
      <c r="E264" s="82" t="s">
        <v>150</v>
      </c>
      <c r="F264" s="93">
        <v>46095</v>
      </c>
      <c r="G264" s="169"/>
    </row>
    <row r="265" spans="1:10" x14ac:dyDescent="0.25">
      <c r="A265" s="9">
        <v>162</v>
      </c>
      <c r="B265" s="33" t="s">
        <v>2030</v>
      </c>
      <c r="C265" s="9" t="s">
        <v>6</v>
      </c>
      <c r="D265" s="9" t="s">
        <v>6</v>
      </c>
      <c r="E265" s="12" t="s">
        <v>337</v>
      </c>
      <c r="F265" s="32">
        <f t="shared" ca="1" si="11"/>
        <v>46287</v>
      </c>
      <c r="G265" s="165"/>
    </row>
    <row r="266" spans="1:10" x14ac:dyDescent="0.25">
      <c r="A266" s="9">
        <v>163</v>
      </c>
      <c r="B266" s="8" t="s">
        <v>966</v>
      </c>
      <c r="C266" s="9" t="s">
        <v>6</v>
      </c>
      <c r="D266" s="9" t="s">
        <v>6</v>
      </c>
      <c r="E266" s="79" t="s">
        <v>45</v>
      </c>
      <c r="F266" s="32">
        <f t="shared" ca="1" si="11"/>
        <v>46293</v>
      </c>
      <c r="G266" s="165"/>
      <c r="H266" s="139"/>
    </row>
    <row r="267" spans="1:10" x14ac:dyDescent="0.25">
      <c r="A267" s="9">
        <v>164</v>
      </c>
      <c r="B267" s="33" t="s">
        <v>610</v>
      </c>
      <c r="C267" s="9" t="s">
        <v>6</v>
      </c>
      <c r="D267" s="9" t="s">
        <v>6</v>
      </c>
      <c r="E267" s="12" t="s">
        <v>45</v>
      </c>
      <c r="F267" s="32">
        <f ca="1">IF(AND(C267="NO",D267="NO"),IF(F267="",TODAY(),F267),"")</f>
        <v>46300</v>
      </c>
      <c r="G267" s="169"/>
    </row>
    <row r="268" spans="1:10" x14ac:dyDescent="0.25">
      <c r="A268" s="9">
        <v>165</v>
      </c>
      <c r="B268" s="33" t="s">
        <v>2054</v>
      </c>
      <c r="C268" s="9" t="s">
        <v>6</v>
      </c>
      <c r="D268" s="9" t="s">
        <v>6</v>
      </c>
      <c r="E268" s="12" t="s">
        <v>337</v>
      </c>
      <c r="F268" s="32">
        <f t="shared" ca="1" si="11"/>
        <v>46293</v>
      </c>
      <c r="G268" s="165"/>
      <c r="H268" s="144"/>
    </row>
    <row r="269" spans="1:10" x14ac:dyDescent="0.25">
      <c r="A269" s="9">
        <v>166</v>
      </c>
      <c r="B269" s="33" t="s">
        <v>2072</v>
      </c>
      <c r="C269" s="9" t="s">
        <v>5</v>
      </c>
      <c r="D269" s="9" t="s">
        <v>6</v>
      </c>
      <c r="E269" s="12" t="s">
        <v>337</v>
      </c>
      <c r="F269" s="32" t="str">
        <f t="shared" ca="1" si="11"/>
        <v/>
      </c>
      <c r="G269" s="165"/>
      <c r="H269" s="145"/>
    </row>
    <row r="270" spans="1:10" x14ac:dyDescent="0.25">
      <c r="A270" s="9">
        <v>167</v>
      </c>
      <c r="B270" s="33" t="s">
        <v>2073</v>
      </c>
      <c r="C270" s="9" t="s">
        <v>5</v>
      </c>
      <c r="D270" s="9" t="s">
        <v>6</v>
      </c>
      <c r="E270" s="12" t="s">
        <v>337</v>
      </c>
      <c r="F270" s="32" t="str">
        <f t="shared" ca="1" si="11"/>
        <v/>
      </c>
      <c r="G270" s="165"/>
      <c r="H270" s="145"/>
    </row>
    <row r="271" spans="1:10" x14ac:dyDescent="0.25">
      <c r="A271" s="9">
        <v>168</v>
      </c>
      <c r="B271" s="33" t="s">
        <v>2086</v>
      </c>
      <c r="C271" s="9" t="s">
        <v>6</v>
      </c>
      <c r="D271" s="9" t="s">
        <v>6</v>
      </c>
      <c r="E271" s="12" t="s">
        <v>337</v>
      </c>
      <c r="F271" s="32">
        <f t="shared" ca="1" si="11"/>
        <v>46287</v>
      </c>
      <c r="G271" s="165"/>
      <c r="H271" s="132"/>
    </row>
    <row r="272" spans="1:10" x14ac:dyDescent="0.25">
      <c r="A272" s="9">
        <v>169</v>
      </c>
      <c r="B272" s="33" t="s">
        <v>2087</v>
      </c>
      <c r="C272" s="9" t="s">
        <v>6</v>
      </c>
      <c r="D272" s="9" t="s">
        <v>6</v>
      </c>
      <c r="E272" s="12" t="s">
        <v>337</v>
      </c>
      <c r="F272" s="32">
        <f t="shared" ca="1" si="11"/>
        <v>46287</v>
      </c>
      <c r="G272" s="165"/>
      <c r="H272" s="146"/>
    </row>
    <row r="273" spans="1:8" x14ac:dyDescent="0.25">
      <c r="A273" s="9">
        <v>170</v>
      </c>
      <c r="B273" s="33" t="s">
        <v>2088</v>
      </c>
      <c r="C273" s="9" t="s">
        <v>6</v>
      </c>
      <c r="D273" s="9" t="s">
        <v>6</v>
      </c>
      <c r="E273" s="12" t="s">
        <v>337</v>
      </c>
      <c r="F273" s="32">
        <f t="shared" ca="1" si="11"/>
        <v>46287</v>
      </c>
      <c r="G273" s="165"/>
      <c r="H273" s="148"/>
    </row>
    <row r="274" spans="1:8" x14ac:dyDescent="0.25">
      <c r="A274" s="9">
        <v>7</v>
      </c>
      <c r="B274" s="8" t="s">
        <v>1999</v>
      </c>
      <c r="C274" s="9" t="s">
        <v>5</v>
      </c>
      <c r="D274" s="9" t="s">
        <v>6</v>
      </c>
      <c r="E274" s="12" t="s">
        <v>150</v>
      </c>
      <c r="F274" s="32" t="str">
        <f ca="1">IF(AND(C274="NO",D274="NO"),IF(F274="",TODAY(),F274),"")</f>
        <v/>
      </c>
      <c r="G274" s="169"/>
    </row>
    <row r="275" spans="1:8" x14ac:dyDescent="0.25">
      <c r="A275" s="9">
        <v>8</v>
      </c>
      <c r="B275" s="8" t="s">
        <v>2000</v>
      </c>
      <c r="C275" s="9" t="s">
        <v>5</v>
      </c>
      <c r="D275" s="9" t="s">
        <v>6</v>
      </c>
      <c r="E275" s="12" t="s">
        <v>150</v>
      </c>
      <c r="F275" s="32" t="str">
        <f ca="1">IF(AND(C275="NO",D275="NO"),IF(F275="",TODAY(),F275),"")</f>
        <v/>
      </c>
      <c r="G275" s="169"/>
    </row>
    <row r="276" spans="1:8" x14ac:dyDescent="0.25">
      <c r="A276" s="9">
        <v>7</v>
      </c>
      <c r="B276" s="8" t="s">
        <v>2196</v>
      </c>
      <c r="C276" s="9" t="s">
        <v>5</v>
      </c>
      <c r="D276" s="9" t="s">
        <v>6</v>
      </c>
      <c r="E276" s="12" t="s">
        <v>150</v>
      </c>
      <c r="F276" s="32" t="str">
        <f ca="1">IF(AND(C276="NO",D276="NO"),IF(F276="",TODAY(),F276),"")</f>
        <v/>
      </c>
      <c r="G276" s="169"/>
    </row>
    <row r="277" spans="1:8" x14ac:dyDescent="0.25">
      <c r="A277" s="9">
        <v>8</v>
      </c>
      <c r="B277" s="8" t="s">
        <v>2197</v>
      </c>
      <c r="C277" s="9" t="s">
        <v>5</v>
      </c>
      <c r="D277" s="9" t="s">
        <v>6</v>
      </c>
      <c r="E277" s="12" t="s">
        <v>150</v>
      </c>
      <c r="F277" s="32" t="str">
        <f ca="1">IF(AND(C277="NO",D277="NO"),IF(F277="",TODAY(),F277),"")</f>
        <v/>
      </c>
      <c r="G277" s="169"/>
    </row>
    <row r="278" spans="1:8" x14ac:dyDescent="0.25">
      <c r="A278" s="9">
        <v>171</v>
      </c>
      <c r="B278" s="33" t="s">
        <v>2095</v>
      </c>
      <c r="C278" s="9" t="s">
        <v>6</v>
      </c>
      <c r="D278" s="9" t="s">
        <v>6</v>
      </c>
      <c r="E278" s="12" t="s">
        <v>337</v>
      </c>
      <c r="F278" s="32">
        <f t="shared" ca="1" si="11"/>
        <v>46287</v>
      </c>
      <c r="G278" s="165"/>
      <c r="H278" s="148"/>
    </row>
    <row r="279" spans="1:8" x14ac:dyDescent="0.25">
      <c r="A279" s="9">
        <v>172</v>
      </c>
      <c r="B279" s="33" t="s">
        <v>2103</v>
      </c>
      <c r="C279" s="9" t="s">
        <v>6</v>
      </c>
      <c r="D279" s="9" t="s">
        <v>6</v>
      </c>
      <c r="E279" s="12" t="s">
        <v>45</v>
      </c>
      <c r="F279" s="32">
        <f t="shared" ref="F279:F296" ca="1" si="14">IF(AND(C279="NO",D279="NO"),IF(F279="",TODAY(),F279),"")</f>
        <v>46300</v>
      </c>
      <c r="G279" s="165"/>
      <c r="H279" s="154"/>
    </row>
    <row r="280" spans="1:8" x14ac:dyDescent="0.25">
      <c r="A280" s="9">
        <v>173</v>
      </c>
      <c r="B280" s="33" t="s">
        <v>2112</v>
      </c>
      <c r="C280" s="9" t="s">
        <v>6</v>
      </c>
      <c r="D280" s="9" t="s">
        <v>6</v>
      </c>
      <c r="E280" s="12" t="s">
        <v>337</v>
      </c>
      <c r="F280" s="32">
        <f t="shared" ca="1" si="14"/>
        <v>46287</v>
      </c>
      <c r="G280" s="165"/>
      <c r="H280" s="154"/>
    </row>
    <row r="281" spans="1:8" x14ac:dyDescent="0.25">
      <c r="A281" s="9">
        <v>174</v>
      </c>
      <c r="B281" s="33" t="s">
        <v>2114</v>
      </c>
      <c r="C281" s="9" t="s">
        <v>6</v>
      </c>
      <c r="D281" s="9" t="s">
        <v>6</v>
      </c>
      <c r="E281" s="12" t="s">
        <v>337</v>
      </c>
      <c r="F281" s="32">
        <f t="shared" ca="1" si="14"/>
        <v>46287</v>
      </c>
      <c r="G281" s="165">
        <v>584128413787</v>
      </c>
      <c r="H281" s="154"/>
    </row>
    <row r="282" spans="1:8" x14ac:dyDescent="0.25">
      <c r="A282" s="9">
        <v>175</v>
      </c>
      <c r="B282" s="33" t="s">
        <v>2115</v>
      </c>
      <c r="C282" s="9" t="s">
        <v>6</v>
      </c>
      <c r="D282" s="9" t="s">
        <v>6</v>
      </c>
      <c r="E282" s="12" t="s">
        <v>337</v>
      </c>
      <c r="F282" s="32">
        <f t="shared" ref="F282" ca="1" si="15">IF(AND(C282="NO",D282="NO"),IF(F282="",TODAY(),F282),"")</f>
        <v>46300</v>
      </c>
      <c r="G282" s="165">
        <v>584128396516</v>
      </c>
      <c r="H282" s="154"/>
    </row>
    <row r="283" spans="1:8" x14ac:dyDescent="0.25">
      <c r="A283" s="9">
        <v>176</v>
      </c>
      <c r="B283" s="33" t="s">
        <v>1073</v>
      </c>
      <c r="C283" s="9" t="s">
        <v>6</v>
      </c>
      <c r="D283" s="9" t="s">
        <v>6</v>
      </c>
      <c r="E283" s="12" t="s">
        <v>337</v>
      </c>
      <c r="F283" s="32">
        <f t="shared" ca="1" si="14"/>
        <v>46300</v>
      </c>
      <c r="G283" s="165"/>
      <c r="H283" s="154"/>
    </row>
    <row r="284" spans="1:8" x14ac:dyDescent="0.25">
      <c r="A284" s="9">
        <v>177</v>
      </c>
      <c r="B284" s="33" t="s">
        <v>2116</v>
      </c>
      <c r="C284" s="9" t="s">
        <v>6</v>
      </c>
      <c r="D284" s="9" t="s">
        <v>6</v>
      </c>
      <c r="E284" s="12" t="s">
        <v>337</v>
      </c>
      <c r="F284" s="32">
        <f t="shared" ref="F284" ca="1" si="16">IF(AND(C284="NO",D284="NO"),IF(F284="",TODAY(),F284),"")</f>
        <v>46300</v>
      </c>
      <c r="G284" s="165">
        <v>584128396516</v>
      </c>
      <c r="H284" s="154"/>
    </row>
    <row r="285" spans="1:8" x14ac:dyDescent="0.25">
      <c r="A285" s="9">
        <v>178</v>
      </c>
      <c r="B285" s="33" t="s">
        <v>2117</v>
      </c>
      <c r="C285" s="9" t="s">
        <v>6</v>
      </c>
      <c r="D285" s="9" t="s">
        <v>6</v>
      </c>
      <c r="E285" s="12" t="s">
        <v>337</v>
      </c>
      <c r="F285" s="32">
        <f t="shared" ca="1" si="14"/>
        <v>46287</v>
      </c>
      <c r="G285" s="165"/>
      <c r="H285" s="154"/>
    </row>
    <row r="286" spans="1:8" x14ac:dyDescent="0.25">
      <c r="A286" s="9">
        <v>179</v>
      </c>
      <c r="B286" s="33" t="s">
        <v>2118</v>
      </c>
      <c r="C286" s="9" t="s">
        <v>6</v>
      </c>
      <c r="D286" s="9" t="s">
        <v>6</v>
      </c>
      <c r="E286" s="12" t="s">
        <v>337</v>
      </c>
      <c r="F286" s="32">
        <f t="shared" ca="1" si="14"/>
        <v>46300</v>
      </c>
      <c r="G286" s="165"/>
      <c r="H286" s="155"/>
    </row>
    <row r="287" spans="1:8" x14ac:dyDescent="0.25">
      <c r="A287" s="9">
        <v>180</v>
      </c>
      <c r="B287" s="33" t="s">
        <v>2136</v>
      </c>
      <c r="C287" s="9" t="s">
        <v>6</v>
      </c>
      <c r="D287" s="9" t="s">
        <v>6</v>
      </c>
      <c r="E287" s="12" t="s">
        <v>337</v>
      </c>
      <c r="F287" s="32">
        <f t="shared" ca="1" si="14"/>
        <v>46293</v>
      </c>
      <c r="G287" s="165"/>
      <c r="H287" s="168"/>
    </row>
    <row r="288" spans="1:8" x14ac:dyDescent="0.25">
      <c r="A288" s="9">
        <v>181</v>
      </c>
      <c r="B288" s="8" t="s">
        <v>100</v>
      </c>
      <c r="C288" s="9" t="s">
        <v>6</v>
      </c>
      <c r="D288" s="9" t="s">
        <v>6</v>
      </c>
      <c r="E288" s="12" t="s">
        <v>337</v>
      </c>
      <c r="F288" s="32">
        <f t="shared" ca="1" si="14"/>
        <v>46306</v>
      </c>
      <c r="G288" s="169"/>
    </row>
    <row r="289" spans="1:8" x14ac:dyDescent="0.25">
      <c r="A289" s="9">
        <v>182</v>
      </c>
      <c r="B289" s="33" t="s">
        <v>2152</v>
      </c>
      <c r="C289" s="9" t="s">
        <v>6</v>
      </c>
      <c r="D289" s="9" t="s">
        <v>6</v>
      </c>
      <c r="E289" s="12" t="s">
        <v>45</v>
      </c>
      <c r="F289" s="32">
        <f t="shared" ca="1" si="14"/>
        <v>46300</v>
      </c>
      <c r="G289" s="165"/>
      <c r="H289" s="168"/>
    </row>
    <row r="290" spans="1:8" x14ac:dyDescent="0.25">
      <c r="A290" s="9">
        <v>183</v>
      </c>
      <c r="B290" s="33" t="s">
        <v>2153</v>
      </c>
      <c r="C290" s="9" t="s">
        <v>6</v>
      </c>
      <c r="D290" s="9" t="s">
        <v>6</v>
      </c>
      <c r="E290" s="12" t="s">
        <v>45</v>
      </c>
      <c r="F290" s="32">
        <f t="shared" ca="1" si="14"/>
        <v>46300</v>
      </c>
      <c r="G290" s="165"/>
      <c r="H290" s="168"/>
    </row>
    <row r="291" spans="1:8" x14ac:dyDescent="0.25">
      <c r="A291" s="9">
        <v>184</v>
      </c>
      <c r="B291" s="33" t="s">
        <v>2154</v>
      </c>
      <c r="C291" s="9" t="s">
        <v>6</v>
      </c>
      <c r="D291" s="9" t="s">
        <v>6</v>
      </c>
      <c r="E291" s="12" t="s">
        <v>45</v>
      </c>
      <c r="F291" s="32">
        <f t="shared" ca="1" si="14"/>
        <v>46300</v>
      </c>
      <c r="G291" s="165"/>
      <c r="H291" s="168"/>
    </row>
    <row r="292" spans="1:8" x14ac:dyDescent="0.25">
      <c r="A292" s="9">
        <v>185</v>
      </c>
      <c r="B292" s="33" t="s">
        <v>2155</v>
      </c>
      <c r="C292" s="9" t="s">
        <v>6</v>
      </c>
      <c r="D292" s="9" t="s">
        <v>6</v>
      </c>
      <c r="E292" s="12" t="s">
        <v>45</v>
      </c>
      <c r="F292" s="32">
        <f t="shared" ca="1" si="14"/>
        <v>46300</v>
      </c>
      <c r="G292" s="165"/>
      <c r="H292" s="168"/>
    </row>
    <row r="293" spans="1:8" x14ac:dyDescent="0.25">
      <c r="A293" s="9">
        <v>186</v>
      </c>
      <c r="B293" s="33" t="s">
        <v>2160</v>
      </c>
      <c r="C293" s="9" t="s">
        <v>6</v>
      </c>
      <c r="D293" s="9" t="s">
        <v>6</v>
      </c>
      <c r="E293" s="12" t="s">
        <v>45</v>
      </c>
      <c r="F293" s="32">
        <f t="shared" ca="1" si="14"/>
        <v>46300</v>
      </c>
      <c r="G293" s="165"/>
      <c r="H293" s="171"/>
    </row>
    <row r="294" spans="1:8" x14ac:dyDescent="0.25">
      <c r="A294" s="9">
        <v>187</v>
      </c>
      <c r="B294" s="33" t="s">
        <v>2169</v>
      </c>
      <c r="C294" s="9" t="s">
        <v>6</v>
      </c>
      <c r="D294" s="9" t="s">
        <v>6</v>
      </c>
      <c r="E294" s="12" t="s">
        <v>337</v>
      </c>
      <c r="F294" s="32">
        <f t="shared" ca="1" si="14"/>
        <v>46300</v>
      </c>
      <c r="G294" s="165"/>
      <c r="H294" s="171"/>
    </row>
    <row r="295" spans="1:8" x14ac:dyDescent="0.25">
      <c r="A295" s="9">
        <v>188</v>
      </c>
      <c r="B295" s="33" t="s">
        <v>2170</v>
      </c>
      <c r="C295" s="9" t="s">
        <v>6</v>
      </c>
      <c r="D295" s="9" t="s">
        <v>6</v>
      </c>
      <c r="E295" s="12" t="s">
        <v>337</v>
      </c>
      <c r="F295" s="32">
        <f t="shared" ca="1" si="14"/>
        <v>46300</v>
      </c>
      <c r="G295" s="165"/>
      <c r="H295" s="171"/>
    </row>
    <row r="296" spans="1:8" x14ac:dyDescent="0.25">
      <c r="A296" s="9">
        <v>189</v>
      </c>
      <c r="B296" s="33" t="s">
        <v>2171</v>
      </c>
      <c r="C296" s="9" t="s">
        <v>6</v>
      </c>
      <c r="D296" s="9" t="s">
        <v>6</v>
      </c>
      <c r="E296" s="12" t="s">
        <v>337</v>
      </c>
      <c r="F296" s="32">
        <f t="shared" ca="1" si="14"/>
        <v>46300</v>
      </c>
      <c r="G296" s="165"/>
      <c r="H296" s="173"/>
    </row>
    <row r="297" spans="1:8" x14ac:dyDescent="0.25">
      <c r="A297" s="9">
        <v>190</v>
      </c>
      <c r="B297" s="33" t="s">
        <v>2186</v>
      </c>
      <c r="C297" s="9" t="s">
        <v>6</v>
      </c>
      <c r="D297" s="9" t="s">
        <v>6</v>
      </c>
      <c r="E297" s="12" t="s">
        <v>337</v>
      </c>
      <c r="F297" s="32">
        <f t="shared" ca="1" si="11"/>
        <v>46306</v>
      </c>
      <c r="G297" s="165"/>
      <c r="H297" s="149"/>
    </row>
    <row r="298" spans="1:8" x14ac:dyDescent="0.25">
      <c r="F298" s="40"/>
      <c r="G298" s="165"/>
      <c r="H298" s="149"/>
    </row>
    <row r="299" spans="1:8" ht="45" x14ac:dyDescent="0.25">
      <c r="A299" s="190" t="s">
        <v>53</v>
      </c>
      <c r="B299" s="191"/>
      <c r="C299" s="10">
        <f>COUNTIF(C104:C297, "SI")</f>
        <v>83</v>
      </c>
      <c r="D299" s="6" t="s">
        <v>50</v>
      </c>
      <c r="E299" s="27">
        <f>C299/A297*100</f>
        <v>43.684210526315795</v>
      </c>
      <c r="F299" s="160" t="s">
        <v>1806</v>
      </c>
      <c r="G299" s="165"/>
      <c r="H299" s="149"/>
    </row>
    <row r="300" spans="1:8" ht="45" x14ac:dyDescent="0.25">
      <c r="A300" s="190" t="s">
        <v>54</v>
      </c>
      <c r="B300" s="191"/>
      <c r="C300" s="10">
        <f>COUNTIF(C104:C297, "NO")</f>
        <v>111</v>
      </c>
      <c r="D300" s="6" t="s">
        <v>50</v>
      </c>
      <c r="E300" s="27">
        <f>C300/A297*100</f>
        <v>58.421052631578952</v>
      </c>
      <c r="F300" s="160" t="s">
        <v>1807</v>
      </c>
      <c r="G300" s="165"/>
      <c r="H300" s="149"/>
    </row>
    <row r="301" spans="1:8" ht="18" x14ac:dyDescent="0.25">
      <c r="A301" s="22"/>
      <c r="B301" s="22"/>
      <c r="C301" s="23"/>
      <c r="D301" s="24"/>
      <c r="E301" s="25"/>
      <c r="F301" s="26"/>
      <c r="H301" s="150"/>
    </row>
    <row r="302" spans="1:8" ht="45" x14ac:dyDescent="0.25">
      <c r="A302" s="190" t="s">
        <v>55</v>
      </c>
      <c r="B302" s="191"/>
      <c r="C302" s="10">
        <f>COUNTIF(D104:D297, "SI")</f>
        <v>55</v>
      </c>
      <c r="D302" s="6" t="s">
        <v>50</v>
      </c>
      <c r="E302" s="27">
        <f>C302/A297*100</f>
        <v>28.947368421052634</v>
      </c>
      <c r="F302" s="160" t="s">
        <v>57</v>
      </c>
      <c r="H302" s="89"/>
    </row>
    <row r="303" spans="1:8" ht="45" x14ac:dyDescent="0.25">
      <c r="A303" s="190" t="s">
        <v>56</v>
      </c>
      <c r="B303" s="191"/>
      <c r="C303" s="10">
        <f>COUNTIF(D104:D297, "NO")</f>
        <v>139</v>
      </c>
      <c r="D303" s="6" t="s">
        <v>50</v>
      </c>
      <c r="E303" s="27">
        <f>C303/A297*100</f>
        <v>73.15789473684211</v>
      </c>
      <c r="F303" s="160" t="s">
        <v>58</v>
      </c>
      <c r="G303" s="167"/>
    </row>
    <row r="304" spans="1:8" ht="18" x14ac:dyDescent="0.25">
      <c r="A304" s="51"/>
      <c r="B304" s="51"/>
      <c r="C304" s="52"/>
      <c r="D304" s="53"/>
      <c r="E304" s="54"/>
      <c r="F304" s="55"/>
    </row>
    <row r="305" spans="1:10" x14ac:dyDescent="0.25">
      <c r="A305" s="175" t="s">
        <v>1009</v>
      </c>
      <c r="B305" s="176"/>
      <c r="C305" s="179">
        <f>COUNTIFS(C104:C297,"SI",D104:D297,"SI")</f>
        <v>31</v>
      </c>
      <c r="D305" s="230" t="s">
        <v>50</v>
      </c>
      <c r="E305" s="182">
        <f>C305/A297*100</f>
        <v>16.315789473684212</v>
      </c>
      <c r="F305" s="201" t="s">
        <v>1011</v>
      </c>
      <c r="H305" s="31"/>
    </row>
    <row r="306" spans="1:10" x14ac:dyDescent="0.25">
      <c r="A306" s="177"/>
      <c r="B306" s="178"/>
      <c r="C306" s="179"/>
      <c r="D306" s="181"/>
      <c r="E306" s="183"/>
      <c r="F306" s="185"/>
      <c r="H306" s="31"/>
    </row>
    <row r="307" spans="1:10" x14ac:dyDescent="0.25">
      <c r="A307" s="175" t="s">
        <v>1010</v>
      </c>
      <c r="B307" s="176"/>
      <c r="C307" s="179">
        <f>COUNTIFS(C104:C297,"NO",D104:D297,"NO")</f>
        <v>87</v>
      </c>
      <c r="D307" s="180" t="s">
        <v>50</v>
      </c>
      <c r="E307" s="182">
        <f>C307/A297*100</f>
        <v>45.789473684210527</v>
      </c>
      <c r="F307" s="184" t="s">
        <v>1012</v>
      </c>
    </row>
    <row r="308" spans="1:10" x14ac:dyDescent="0.25">
      <c r="A308" s="177"/>
      <c r="B308" s="178"/>
      <c r="C308" s="179"/>
      <c r="D308" s="181"/>
      <c r="E308" s="183"/>
      <c r="F308" s="185"/>
    </row>
    <row r="310" spans="1:10" x14ac:dyDescent="0.25">
      <c r="A310" s="186" t="s">
        <v>1798</v>
      </c>
      <c r="B310" s="187"/>
      <c r="C310" s="187"/>
      <c r="D310" s="187"/>
      <c r="E310" s="188"/>
    </row>
    <row r="311" spans="1:10" x14ac:dyDescent="0.25">
      <c r="A311" s="11" t="s">
        <v>0</v>
      </c>
      <c r="B311" s="11" t="s">
        <v>1</v>
      </c>
      <c r="C311" s="11" t="s">
        <v>2</v>
      </c>
      <c r="D311" s="11" t="s">
        <v>3</v>
      </c>
      <c r="E311" s="115" t="s">
        <v>7</v>
      </c>
      <c r="F311" s="159" t="s">
        <v>1901</v>
      </c>
      <c r="G311" s="140" t="s">
        <v>1902</v>
      </c>
    </row>
    <row r="312" spans="1:10" ht="15" customHeight="1" x14ac:dyDescent="0.25">
      <c r="A312" s="9">
        <v>1</v>
      </c>
      <c r="B312" s="8" t="s">
        <v>153</v>
      </c>
      <c r="C312" s="19" t="s">
        <v>6</v>
      </c>
      <c r="D312" s="112" t="s">
        <v>6</v>
      </c>
      <c r="E312" s="12" t="s">
        <v>258</v>
      </c>
      <c r="F312" s="32">
        <f t="shared" ref="F312:F344" ca="1" si="17">IF(AND(C312="NO",D312="NO"),IF(F312="",TODAY(),F312),"")</f>
        <v>46287</v>
      </c>
      <c r="G312" s="165">
        <v>584145605527</v>
      </c>
    </row>
    <row r="313" spans="1:10" ht="15" customHeight="1" x14ac:dyDescent="0.25">
      <c r="A313" s="9">
        <v>2</v>
      </c>
      <c r="B313" s="8" t="s">
        <v>152</v>
      </c>
      <c r="C313" s="19" t="s">
        <v>6</v>
      </c>
      <c r="D313" s="112" t="s">
        <v>6</v>
      </c>
      <c r="E313" s="12" t="s">
        <v>258</v>
      </c>
      <c r="F313" s="32">
        <f t="shared" ca="1" si="17"/>
        <v>46287</v>
      </c>
      <c r="G313" s="138">
        <v>584128426488</v>
      </c>
    </row>
    <row r="314" spans="1:10" ht="15" customHeight="1" x14ac:dyDescent="0.25">
      <c r="A314" s="9">
        <v>3</v>
      </c>
      <c r="B314" s="8" t="s">
        <v>154</v>
      </c>
      <c r="C314" s="19" t="s">
        <v>5</v>
      </c>
      <c r="D314" s="112" t="s">
        <v>5</v>
      </c>
      <c r="E314" s="12" t="s">
        <v>258</v>
      </c>
      <c r="F314" s="32" t="str">
        <f t="shared" ca="1" si="17"/>
        <v/>
      </c>
      <c r="G314" s="165">
        <v>584146691571</v>
      </c>
    </row>
    <row r="315" spans="1:10" ht="15" customHeight="1" x14ac:dyDescent="0.25">
      <c r="A315" s="9">
        <v>4</v>
      </c>
      <c r="B315" s="8" t="s">
        <v>155</v>
      </c>
      <c r="C315" s="19" t="s">
        <v>5</v>
      </c>
      <c r="D315" s="112" t="s">
        <v>5</v>
      </c>
      <c r="E315" s="12" t="s">
        <v>45</v>
      </c>
      <c r="F315" s="32" t="str">
        <f t="shared" ca="1" si="17"/>
        <v/>
      </c>
    </row>
    <row r="316" spans="1:10" x14ac:dyDescent="0.25">
      <c r="A316" s="9">
        <v>5</v>
      </c>
      <c r="B316" s="8" t="s">
        <v>156</v>
      </c>
      <c r="C316" s="19" t="s">
        <v>5</v>
      </c>
      <c r="D316" s="112" t="s">
        <v>5</v>
      </c>
      <c r="E316" s="12" t="s">
        <v>258</v>
      </c>
      <c r="F316" s="32" t="str">
        <f t="shared" ca="1" si="17"/>
        <v/>
      </c>
      <c r="G316" s="165">
        <v>584121760297</v>
      </c>
    </row>
    <row r="317" spans="1:10" x14ac:dyDescent="0.25">
      <c r="A317" s="9">
        <v>6</v>
      </c>
      <c r="B317" s="8" t="s">
        <v>157</v>
      </c>
      <c r="C317" s="19" t="s">
        <v>5</v>
      </c>
      <c r="D317" s="112" t="s">
        <v>5</v>
      </c>
      <c r="E317" s="12" t="s">
        <v>258</v>
      </c>
      <c r="F317" s="32" t="str">
        <f t="shared" ca="1" si="17"/>
        <v/>
      </c>
      <c r="G317" s="165">
        <v>584121426684</v>
      </c>
    </row>
    <row r="318" spans="1:10" x14ac:dyDescent="0.25">
      <c r="A318" s="9">
        <v>7</v>
      </c>
      <c r="B318" s="8" t="s">
        <v>171</v>
      </c>
      <c r="C318" s="19" t="s">
        <v>6</v>
      </c>
      <c r="D318" s="112" t="s">
        <v>6</v>
      </c>
      <c r="E318" s="12" t="s">
        <v>45</v>
      </c>
      <c r="F318" s="32">
        <f ca="1">IF(AND(C318="NO",D318="NO"),IF(F318="",TODAY(),F318),"")</f>
        <v>46300</v>
      </c>
      <c r="G318" s="169"/>
    </row>
    <row r="319" spans="1:10" ht="15.75" customHeight="1" x14ac:dyDescent="0.25">
      <c r="A319" s="9">
        <v>8</v>
      </c>
      <c r="B319" s="8" t="s">
        <v>158</v>
      </c>
      <c r="C319" s="19" t="s">
        <v>5</v>
      </c>
      <c r="D319" s="112" t="s">
        <v>5</v>
      </c>
      <c r="E319" s="12" t="s">
        <v>45</v>
      </c>
      <c r="F319" s="32" t="str">
        <f t="shared" ca="1" si="17"/>
        <v/>
      </c>
      <c r="G319" s="165">
        <v>584140651044</v>
      </c>
      <c r="I319" s="193" t="s">
        <v>1706</v>
      </c>
      <c r="J319" s="193"/>
    </row>
    <row r="320" spans="1:10" x14ac:dyDescent="0.25">
      <c r="A320" s="9">
        <v>9</v>
      </c>
      <c r="B320" s="8" t="s">
        <v>162</v>
      </c>
      <c r="C320" s="19" t="s">
        <v>5</v>
      </c>
      <c r="D320" s="112" t="s">
        <v>5</v>
      </c>
      <c r="E320" s="12" t="s">
        <v>45</v>
      </c>
      <c r="F320" s="32" t="str">
        <f t="shared" ca="1" si="17"/>
        <v/>
      </c>
      <c r="G320" s="165">
        <v>584129872207</v>
      </c>
      <c r="I320" s="194"/>
      <c r="J320" s="194"/>
    </row>
    <row r="321" spans="1:10" x14ac:dyDescent="0.25">
      <c r="A321" s="9">
        <v>10</v>
      </c>
      <c r="B321" s="8" t="s">
        <v>163</v>
      </c>
      <c r="C321" s="19" t="s">
        <v>6</v>
      </c>
      <c r="D321" s="112" t="s">
        <v>5</v>
      </c>
      <c r="E321" s="12" t="s">
        <v>337</v>
      </c>
      <c r="F321" s="32" t="str">
        <f t="shared" ca="1" si="17"/>
        <v/>
      </c>
      <c r="I321" s="4" t="str" cm="1">
        <f t="array" ref="I321:I342">_xlfn._xlws.FILTER(B312:B423,(C312:C423="SI")*(D312:D423="SI"),"")</f>
        <v>Leonel Moreno</v>
      </c>
      <c r="J321" s="4"/>
    </row>
    <row r="322" spans="1:10" x14ac:dyDescent="0.25">
      <c r="A322" s="9">
        <v>11</v>
      </c>
      <c r="B322" s="8" t="s">
        <v>653</v>
      </c>
      <c r="C322" s="19" t="s">
        <v>5</v>
      </c>
      <c r="D322" s="112" t="s">
        <v>5</v>
      </c>
      <c r="E322" s="12" t="s">
        <v>45</v>
      </c>
      <c r="F322" s="32" t="str">
        <f t="shared" ca="1" si="17"/>
        <v/>
      </c>
      <c r="G322" s="165">
        <v>584120188904</v>
      </c>
      <c r="I322" s="4" t="str">
        <v>Cristian Moreno</v>
      </c>
      <c r="J322" s="4"/>
    </row>
    <row r="323" spans="1:10" x14ac:dyDescent="0.25">
      <c r="A323" s="9">
        <v>12</v>
      </c>
      <c r="B323" s="8" t="s">
        <v>169</v>
      </c>
      <c r="C323" s="19" t="s">
        <v>5</v>
      </c>
      <c r="D323" s="112" t="s">
        <v>6</v>
      </c>
      <c r="E323" s="12" t="s">
        <v>45</v>
      </c>
      <c r="F323" s="32" t="str">
        <f t="shared" ca="1" si="17"/>
        <v/>
      </c>
      <c r="G323" s="165">
        <v>584246796253</v>
      </c>
      <c r="I323" s="4" t="str">
        <v>Yanina Villasmil</v>
      </c>
      <c r="J323" s="4"/>
    </row>
    <row r="324" spans="1:10" x14ac:dyDescent="0.25">
      <c r="A324" s="9">
        <v>13</v>
      </c>
      <c r="B324" s="8" t="s">
        <v>1930</v>
      </c>
      <c r="C324" s="19" t="s">
        <v>6</v>
      </c>
      <c r="D324" s="112" t="s">
        <v>6</v>
      </c>
      <c r="E324" s="12" t="s">
        <v>45</v>
      </c>
      <c r="F324" s="32">
        <f t="shared" ca="1" si="17"/>
        <v>46300</v>
      </c>
      <c r="G324" s="165">
        <v>584246495866</v>
      </c>
      <c r="I324" s="4" t="str">
        <v>Adela González</v>
      </c>
      <c r="J324" s="4"/>
    </row>
    <row r="325" spans="1:10" x14ac:dyDescent="0.25">
      <c r="A325" s="9">
        <v>14</v>
      </c>
      <c r="B325" s="8" t="s">
        <v>1929</v>
      </c>
      <c r="C325" s="19" t="s">
        <v>5</v>
      </c>
      <c r="D325" s="112" t="s">
        <v>6</v>
      </c>
      <c r="E325" s="12" t="s">
        <v>45</v>
      </c>
      <c r="F325" s="32" t="str">
        <f t="shared" ca="1" si="17"/>
        <v/>
      </c>
      <c r="G325" s="165">
        <v>584246050573</v>
      </c>
      <c r="I325" s="4" t="str">
        <v xml:space="preserve">Minerva Morán    </v>
      </c>
      <c r="J325" s="4"/>
    </row>
    <row r="326" spans="1:10" x14ac:dyDescent="0.25">
      <c r="A326" s="9">
        <v>15</v>
      </c>
      <c r="B326" s="8" t="s">
        <v>1883</v>
      </c>
      <c r="C326" s="19" t="s">
        <v>5</v>
      </c>
      <c r="D326" s="112" t="s">
        <v>6</v>
      </c>
      <c r="E326" s="12" t="s">
        <v>45</v>
      </c>
      <c r="F326" s="32" t="str">
        <f t="shared" ca="1" si="17"/>
        <v/>
      </c>
      <c r="I326" s="4" t="str">
        <v>Nola González</v>
      </c>
      <c r="J326" s="4"/>
    </row>
    <row r="327" spans="1:10" x14ac:dyDescent="0.25">
      <c r="A327" s="9">
        <v>16</v>
      </c>
      <c r="B327" s="8" t="s">
        <v>170</v>
      </c>
      <c r="C327" s="19" t="s">
        <v>5</v>
      </c>
      <c r="D327" s="112" t="s">
        <v>6</v>
      </c>
      <c r="E327" s="12" t="s">
        <v>45</v>
      </c>
      <c r="F327" s="32" t="str">
        <f t="shared" ca="1" si="17"/>
        <v/>
      </c>
      <c r="G327" s="165">
        <v>584243188137</v>
      </c>
      <c r="I327" s="4" t="str">
        <v>Maritza Bohórquez</v>
      </c>
      <c r="J327" s="4"/>
    </row>
    <row r="328" spans="1:10" x14ac:dyDescent="0.25">
      <c r="A328" s="9">
        <v>17</v>
      </c>
      <c r="B328" s="8" t="s">
        <v>190</v>
      </c>
      <c r="C328" s="19" t="s">
        <v>6</v>
      </c>
      <c r="D328" s="112" t="s">
        <v>6</v>
      </c>
      <c r="E328" s="81" t="s">
        <v>45</v>
      </c>
      <c r="F328" s="32">
        <f t="shared" ca="1" si="17"/>
        <v>46287</v>
      </c>
      <c r="G328" s="166"/>
      <c r="I328" s="4" t="str">
        <v>Lucas Rossel</v>
      </c>
      <c r="J328" s="4"/>
    </row>
    <row r="329" spans="1:10" s="41" customFormat="1" ht="17.25" customHeight="1" x14ac:dyDescent="0.25">
      <c r="A329" s="9">
        <v>18</v>
      </c>
      <c r="B329" s="17" t="s">
        <v>1331</v>
      </c>
      <c r="C329" s="19" t="s">
        <v>5</v>
      </c>
      <c r="D329" s="112" t="s">
        <v>6</v>
      </c>
      <c r="E329" s="12" t="s">
        <v>45</v>
      </c>
      <c r="F329" s="32" t="str">
        <f t="shared" ca="1" si="17"/>
        <v/>
      </c>
      <c r="G329" s="163"/>
      <c r="H329"/>
      <c r="I329" s="4" t="str">
        <v>Yajaira Viloria</v>
      </c>
      <c r="J329" s="109"/>
    </row>
    <row r="330" spans="1:10" x14ac:dyDescent="0.25">
      <c r="A330" s="9">
        <v>19</v>
      </c>
      <c r="B330" s="8" t="s">
        <v>1801</v>
      </c>
      <c r="C330" s="19" t="s">
        <v>5</v>
      </c>
      <c r="D330" s="112" t="s">
        <v>6</v>
      </c>
      <c r="E330" s="12" t="s">
        <v>45</v>
      </c>
      <c r="F330" s="32" t="str">
        <f t="shared" ca="1" si="17"/>
        <v/>
      </c>
      <c r="I330" s="4" t="str">
        <v>Gisela Betancourt</v>
      </c>
    </row>
    <row r="331" spans="1:10" x14ac:dyDescent="0.25">
      <c r="A331" s="9">
        <v>20</v>
      </c>
      <c r="B331" s="8" t="s">
        <v>2105</v>
      </c>
      <c r="C331" s="19" t="s">
        <v>6</v>
      </c>
      <c r="D331" s="112" t="s">
        <v>6</v>
      </c>
      <c r="E331" s="12" t="s">
        <v>45</v>
      </c>
      <c r="F331" s="32">
        <f t="shared" ca="1" si="17"/>
        <v>46279</v>
      </c>
      <c r="I331" s="147" t="str">
        <v>Isael Albornoz</v>
      </c>
      <c r="J331" s="4"/>
    </row>
    <row r="332" spans="1:10" x14ac:dyDescent="0.25">
      <c r="A332" s="9">
        <v>21</v>
      </c>
      <c r="B332" s="17" t="s">
        <v>1468</v>
      </c>
      <c r="C332" s="19" t="s">
        <v>5</v>
      </c>
      <c r="D332" s="112" t="s">
        <v>6</v>
      </c>
      <c r="E332" s="12" t="s">
        <v>150</v>
      </c>
      <c r="F332" s="32" t="str">
        <f t="shared" ca="1" si="17"/>
        <v/>
      </c>
      <c r="G332" s="165">
        <v>584243188137</v>
      </c>
      <c r="I332" s="147" t="str">
        <v>Osmary Vilchez</v>
      </c>
    </row>
    <row r="333" spans="1:10" ht="17.25" customHeight="1" x14ac:dyDescent="0.25">
      <c r="A333" s="9">
        <v>22</v>
      </c>
      <c r="B333" s="33" t="s">
        <v>1968</v>
      </c>
      <c r="C333" s="19" t="s">
        <v>6</v>
      </c>
      <c r="D333" s="112" t="s">
        <v>6</v>
      </c>
      <c r="E333" s="12" t="s">
        <v>45</v>
      </c>
      <c r="F333" s="32">
        <f t="shared" ca="1" si="17"/>
        <v>46306</v>
      </c>
      <c r="I333" s="147" t="str">
        <v>Paola Ruiz</v>
      </c>
    </row>
    <row r="334" spans="1:10" ht="13.5" customHeight="1" x14ac:dyDescent="0.25">
      <c r="A334" s="9">
        <v>23</v>
      </c>
      <c r="B334" s="17" t="s">
        <v>1802</v>
      </c>
      <c r="C334" s="19" t="s">
        <v>5</v>
      </c>
      <c r="D334" s="112" t="s">
        <v>6</v>
      </c>
      <c r="E334" s="12" t="s">
        <v>45</v>
      </c>
      <c r="F334" s="32" t="str">
        <f t="shared" ca="1" si="17"/>
        <v/>
      </c>
      <c r="H334" s="70"/>
      <c r="I334" s="147" t="str">
        <v>Mariangel González</v>
      </c>
      <c r="J334" s="4"/>
    </row>
    <row r="335" spans="1:10" ht="14.25" customHeight="1" x14ac:dyDescent="0.25">
      <c r="A335" s="9">
        <v>24</v>
      </c>
      <c r="B335" s="17" t="s">
        <v>467</v>
      </c>
      <c r="C335" s="19" t="s">
        <v>6</v>
      </c>
      <c r="D335" s="112" t="s">
        <v>5</v>
      </c>
      <c r="E335" s="12" t="s">
        <v>45</v>
      </c>
      <c r="F335" s="32" t="str">
        <f t="shared" ca="1" si="17"/>
        <v/>
      </c>
      <c r="G335" s="166"/>
      <c r="I335" s="147" t="str">
        <v>Josefa Mora</v>
      </c>
    </row>
    <row r="336" spans="1:10" ht="14.25" customHeight="1" x14ac:dyDescent="0.25">
      <c r="A336" s="9">
        <v>25</v>
      </c>
      <c r="B336" s="8" t="s">
        <v>1688</v>
      </c>
      <c r="C336" s="19" t="s">
        <v>6</v>
      </c>
      <c r="D336" s="112" t="s">
        <v>6</v>
      </c>
      <c r="E336" s="12" t="s">
        <v>45</v>
      </c>
      <c r="F336" s="32">
        <f t="shared" ca="1" si="17"/>
        <v>46287</v>
      </c>
      <c r="I336" s="147" t="str">
        <v>Franglis Andará</v>
      </c>
    </row>
    <row r="337" spans="1:10" ht="15" customHeight="1" x14ac:dyDescent="0.25">
      <c r="A337" s="9">
        <v>26</v>
      </c>
      <c r="B337" s="8" t="s">
        <v>172</v>
      </c>
      <c r="C337" s="19" t="s">
        <v>5</v>
      </c>
      <c r="D337" s="112" t="s">
        <v>5</v>
      </c>
      <c r="E337" s="12" t="s">
        <v>258</v>
      </c>
      <c r="F337" s="32" t="str">
        <f t="shared" ca="1" si="17"/>
        <v/>
      </c>
      <c r="G337" s="138">
        <v>584121713283</v>
      </c>
      <c r="I337" s="147" t="str">
        <v>Elsy Cañizales</v>
      </c>
      <c r="J337" s="4"/>
    </row>
    <row r="338" spans="1:10" x14ac:dyDescent="0.25">
      <c r="A338" s="9">
        <v>27</v>
      </c>
      <c r="B338" s="33" t="s">
        <v>408</v>
      </c>
      <c r="C338" s="19" t="s">
        <v>6</v>
      </c>
      <c r="D338" s="112" t="s">
        <v>6</v>
      </c>
      <c r="E338" s="12" t="s">
        <v>45</v>
      </c>
      <c r="F338" s="32">
        <f t="shared" ca="1" si="17"/>
        <v>46287</v>
      </c>
      <c r="G338" s="166"/>
      <c r="I338" s="147" t="str">
        <v>Nathaly Moreno</v>
      </c>
      <c r="J338" s="4"/>
    </row>
    <row r="339" spans="1:10" x14ac:dyDescent="0.25">
      <c r="A339" s="9">
        <v>28</v>
      </c>
      <c r="B339" s="8" t="s">
        <v>176</v>
      </c>
      <c r="C339" s="19" t="s">
        <v>5</v>
      </c>
      <c r="D339" s="112" t="s">
        <v>5</v>
      </c>
      <c r="E339" s="12" t="s">
        <v>45</v>
      </c>
      <c r="F339" s="32" t="str">
        <f t="shared" ca="1" si="17"/>
        <v/>
      </c>
      <c r="G339" s="165">
        <v>584146017902</v>
      </c>
      <c r="I339" s="147" t="str">
        <v>Pedro Rondón</v>
      </c>
      <c r="J339" s="4"/>
    </row>
    <row r="340" spans="1:10" ht="15" customHeight="1" x14ac:dyDescent="0.25">
      <c r="A340" s="9">
        <v>29</v>
      </c>
      <c r="B340" s="8" t="s">
        <v>178</v>
      </c>
      <c r="C340" s="19" t="s">
        <v>5</v>
      </c>
      <c r="D340" s="112" t="s">
        <v>5</v>
      </c>
      <c r="E340" s="12" t="s">
        <v>258</v>
      </c>
      <c r="F340" s="32" t="str">
        <f t="shared" ca="1" si="17"/>
        <v/>
      </c>
      <c r="G340" s="165">
        <v>584246502712</v>
      </c>
      <c r="I340" s="147" t="str">
        <v>Angelina Marin</v>
      </c>
      <c r="J340" s="4"/>
    </row>
    <row r="341" spans="1:10" x14ac:dyDescent="0.25">
      <c r="A341" s="9">
        <v>30</v>
      </c>
      <c r="B341" s="8" t="s">
        <v>179</v>
      </c>
      <c r="C341" s="19" t="s">
        <v>5</v>
      </c>
      <c r="D341" s="112" t="s">
        <v>5</v>
      </c>
      <c r="E341" s="12" t="s">
        <v>45</v>
      </c>
      <c r="F341" s="32" t="str">
        <f t="shared" ca="1" si="17"/>
        <v/>
      </c>
      <c r="G341" s="165">
        <v>584143623526</v>
      </c>
      <c r="I341" s="147" t="str">
        <v>Milagros Rosales</v>
      </c>
    </row>
    <row r="342" spans="1:10" x14ac:dyDescent="0.25">
      <c r="A342" s="9">
        <v>31</v>
      </c>
      <c r="B342" s="8" t="s">
        <v>1741</v>
      </c>
      <c r="C342" s="19" t="s">
        <v>6</v>
      </c>
      <c r="D342" s="112" t="s">
        <v>5</v>
      </c>
      <c r="E342" s="12" t="s">
        <v>258</v>
      </c>
      <c r="F342" s="32" t="str">
        <f t="shared" ca="1" si="17"/>
        <v/>
      </c>
      <c r="G342" s="165">
        <v>584246694208</v>
      </c>
      <c r="I342" s="147" t="str">
        <v>Julia Prado</v>
      </c>
    </row>
    <row r="343" spans="1:10" x14ac:dyDescent="0.25">
      <c r="A343" s="9">
        <v>32</v>
      </c>
      <c r="B343" s="8" t="s">
        <v>181</v>
      </c>
      <c r="C343" s="19" t="s">
        <v>5</v>
      </c>
      <c r="D343" s="112" t="s">
        <v>5</v>
      </c>
      <c r="E343" s="12" t="s">
        <v>45</v>
      </c>
      <c r="F343" s="32" t="str">
        <f t="shared" ca="1" si="17"/>
        <v/>
      </c>
      <c r="G343" s="165">
        <v>584149790649</v>
      </c>
      <c r="I343" s="147"/>
    </row>
    <row r="344" spans="1:10" x14ac:dyDescent="0.25">
      <c r="A344" s="9">
        <v>33</v>
      </c>
      <c r="B344" s="8" t="s">
        <v>1013</v>
      </c>
      <c r="C344" s="19" t="s">
        <v>6</v>
      </c>
      <c r="D344" s="112" t="s">
        <v>6</v>
      </c>
      <c r="E344" s="12" t="s">
        <v>337</v>
      </c>
      <c r="F344" s="32">
        <f t="shared" ca="1" si="17"/>
        <v>46293</v>
      </c>
      <c r="G344" s="166"/>
      <c r="I344" s="147"/>
    </row>
    <row r="345" spans="1:10" x14ac:dyDescent="0.25">
      <c r="A345" s="9">
        <v>37</v>
      </c>
      <c r="B345" s="8" t="s">
        <v>183</v>
      </c>
      <c r="C345" s="19" t="s">
        <v>6</v>
      </c>
      <c r="D345" s="112" t="s">
        <v>6</v>
      </c>
      <c r="E345" s="12" t="s">
        <v>45</v>
      </c>
      <c r="F345" s="32">
        <f t="shared" ref="F345:F374" ca="1" si="18">IF(AND(C345="NO",D345="NO"),IF(F345="",TODAY(),F345),"")</f>
        <v>46300</v>
      </c>
      <c r="G345" s="138">
        <v>584246580645</v>
      </c>
      <c r="H345" s="88"/>
      <c r="I345" s="4"/>
      <c r="J345" s="4"/>
    </row>
    <row r="346" spans="1:10" x14ac:dyDescent="0.25">
      <c r="A346" s="9">
        <v>38</v>
      </c>
      <c r="B346" s="8" t="s">
        <v>184</v>
      </c>
      <c r="C346" s="19" t="s">
        <v>6</v>
      </c>
      <c r="D346" s="112" t="s">
        <v>5</v>
      </c>
      <c r="E346" s="12" t="s">
        <v>45</v>
      </c>
      <c r="F346" s="32" t="str">
        <f t="shared" ca="1" si="18"/>
        <v/>
      </c>
      <c r="G346" s="165">
        <v>584146055216</v>
      </c>
      <c r="I346" s="4"/>
    </row>
    <row r="347" spans="1:10" x14ac:dyDescent="0.25">
      <c r="A347" s="9">
        <v>39</v>
      </c>
      <c r="B347" s="8" t="s">
        <v>1055</v>
      </c>
      <c r="C347" s="19" t="s">
        <v>5</v>
      </c>
      <c r="D347" s="112" t="s">
        <v>5</v>
      </c>
      <c r="E347" s="12" t="s">
        <v>45</v>
      </c>
      <c r="F347" s="32" t="str">
        <f t="shared" ca="1" si="18"/>
        <v/>
      </c>
      <c r="G347" s="165">
        <v>584246567206</v>
      </c>
      <c r="I347" s="4"/>
      <c r="J347" s="4"/>
    </row>
    <row r="348" spans="1:10" x14ac:dyDescent="0.25">
      <c r="A348" s="9">
        <v>40</v>
      </c>
      <c r="B348" s="8" t="s">
        <v>180</v>
      </c>
      <c r="C348" s="19" t="s">
        <v>6</v>
      </c>
      <c r="D348" s="112" t="s">
        <v>6</v>
      </c>
      <c r="E348" s="12" t="s">
        <v>45</v>
      </c>
      <c r="F348" s="32">
        <f t="shared" ca="1" si="18"/>
        <v>46293</v>
      </c>
      <c r="G348" s="165">
        <v>584126413050</v>
      </c>
    </row>
    <row r="349" spans="1:10" x14ac:dyDescent="0.25">
      <c r="A349" s="9">
        <v>41</v>
      </c>
      <c r="B349" s="8" t="s">
        <v>185</v>
      </c>
      <c r="C349" s="19" t="s">
        <v>6</v>
      </c>
      <c r="D349" s="112" t="s">
        <v>6</v>
      </c>
      <c r="E349" s="12" t="s">
        <v>45</v>
      </c>
      <c r="F349" s="32">
        <f t="shared" ca="1" si="18"/>
        <v>46287</v>
      </c>
      <c r="G349" s="165">
        <v>584246656207</v>
      </c>
    </row>
    <row r="350" spans="1:10" x14ac:dyDescent="0.25">
      <c r="A350" s="9">
        <v>42</v>
      </c>
      <c r="B350" s="17" t="s">
        <v>1803</v>
      </c>
      <c r="C350" s="19" t="s">
        <v>5</v>
      </c>
      <c r="D350" s="112" t="s">
        <v>6</v>
      </c>
      <c r="E350" s="12" t="s">
        <v>150</v>
      </c>
      <c r="F350" s="32" t="str">
        <f t="shared" ca="1" si="18"/>
        <v/>
      </c>
      <c r="G350" s="165">
        <v>584243188138</v>
      </c>
    </row>
    <row r="351" spans="1:10" x14ac:dyDescent="0.25">
      <c r="A351" s="9">
        <v>43</v>
      </c>
      <c r="B351" s="8" t="s">
        <v>192</v>
      </c>
      <c r="C351" s="19" t="s">
        <v>6</v>
      </c>
      <c r="D351" s="112" t="s">
        <v>6</v>
      </c>
      <c r="E351" s="12" t="s">
        <v>45</v>
      </c>
      <c r="F351" s="32">
        <f t="shared" ca="1" si="18"/>
        <v>46287</v>
      </c>
    </row>
    <row r="352" spans="1:10" x14ac:dyDescent="0.25">
      <c r="A352" s="9">
        <v>44</v>
      </c>
      <c r="B352" s="8" t="s">
        <v>1731</v>
      </c>
      <c r="C352" s="19" t="s">
        <v>5</v>
      </c>
      <c r="D352" s="112" t="s">
        <v>5</v>
      </c>
      <c r="E352" s="12" t="s">
        <v>45</v>
      </c>
      <c r="F352" s="32" t="str">
        <f t="shared" ca="1" si="18"/>
        <v/>
      </c>
    </row>
    <row r="353" spans="1:8" x14ac:dyDescent="0.25">
      <c r="A353" s="9">
        <v>45</v>
      </c>
      <c r="B353" s="8" t="s">
        <v>195</v>
      </c>
      <c r="C353" s="19" t="s">
        <v>5</v>
      </c>
      <c r="D353" s="112" t="s">
        <v>6</v>
      </c>
      <c r="E353" s="12" t="s">
        <v>298</v>
      </c>
      <c r="F353" s="32" t="str">
        <f t="shared" ca="1" si="18"/>
        <v/>
      </c>
      <c r="G353" s="165">
        <v>584146560819</v>
      </c>
    </row>
    <row r="354" spans="1:8" x14ac:dyDescent="0.25">
      <c r="A354" s="9">
        <v>46</v>
      </c>
      <c r="B354" s="8" t="s">
        <v>196</v>
      </c>
      <c r="C354" s="19" t="s">
        <v>5</v>
      </c>
      <c r="D354" s="112" t="s">
        <v>5</v>
      </c>
      <c r="E354" s="12" t="s">
        <v>298</v>
      </c>
      <c r="F354" s="32" t="str">
        <f t="shared" ca="1" si="18"/>
        <v/>
      </c>
      <c r="G354" s="165">
        <v>584246690701</v>
      </c>
    </row>
    <row r="355" spans="1:8" x14ac:dyDescent="0.25">
      <c r="A355" s="9">
        <v>47</v>
      </c>
      <c r="B355" s="8" t="s">
        <v>1733</v>
      </c>
      <c r="C355" s="19" t="s">
        <v>5</v>
      </c>
      <c r="D355" s="112" t="s">
        <v>5</v>
      </c>
      <c r="E355" s="12" t="s">
        <v>298</v>
      </c>
      <c r="F355" s="32" t="str">
        <f t="shared" ca="1" si="18"/>
        <v/>
      </c>
      <c r="G355" s="165">
        <v>584143701532</v>
      </c>
    </row>
    <row r="356" spans="1:8" x14ac:dyDescent="0.25">
      <c r="A356" s="9">
        <v>48</v>
      </c>
      <c r="B356" s="8" t="s">
        <v>470</v>
      </c>
      <c r="C356" s="19" t="s">
        <v>6</v>
      </c>
      <c r="D356" s="112" t="s">
        <v>6</v>
      </c>
      <c r="E356" s="12" t="s">
        <v>45</v>
      </c>
      <c r="F356" s="32">
        <f t="shared" ca="1" si="18"/>
        <v>46287</v>
      </c>
      <c r="G356" s="138">
        <v>584246333827</v>
      </c>
      <c r="H356" s="68"/>
    </row>
    <row r="357" spans="1:8" x14ac:dyDescent="0.25">
      <c r="A357" s="9">
        <v>49</v>
      </c>
      <c r="B357" s="8" t="s">
        <v>1932</v>
      </c>
      <c r="C357" s="19" t="s">
        <v>5</v>
      </c>
      <c r="D357" s="112" t="s">
        <v>6</v>
      </c>
      <c r="E357" s="12" t="s">
        <v>45</v>
      </c>
      <c r="F357" s="32" t="str">
        <f t="shared" ca="1" si="18"/>
        <v/>
      </c>
      <c r="G357" s="165">
        <v>584243188137</v>
      </c>
    </row>
    <row r="358" spans="1:8" x14ac:dyDescent="0.25">
      <c r="A358" s="9">
        <v>114</v>
      </c>
      <c r="B358" s="42" t="s">
        <v>1074</v>
      </c>
      <c r="C358" s="16" t="s">
        <v>5</v>
      </c>
      <c r="D358" s="16" t="s">
        <v>6</v>
      </c>
      <c r="E358" s="79" t="s">
        <v>45</v>
      </c>
      <c r="F358" s="32" t="str">
        <f t="shared" ca="1" si="18"/>
        <v/>
      </c>
      <c r="G358" s="169"/>
    </row>
    <row r="359" spans="1:8" x14ac:dyDescent="0.25">
      <c r="A359" s="9">
        <v>50</v>
      </c>
      <c r="B359" s="17" t="s">
        <v>444</v>
      </c>
      <c r="C359" s="19" t="s">
        <v>6</v>
      </c>
      <c r="D359" s="112" t="s">
        <v>6</v>
      </c>
      <c r="E359" s="12" t="s">
        <v>150</v>
      </c>
      <c r="F359" s="32">
        <f t="shared" ca="1" si="18"/>
        <v>46287</v>
      </c>
    </row>
    <row r="360" spans="1:8" ht="15" customHeight="1" x14ac:dyDescent="0.25">
      <c r="A360" s="9">
        <v>51</v>
      </c>
      <c r="B360" s="8" t="s">
        <v>1216</v>
      </c>
      <c r="C360" s="19" t="s">
        <v>5</v>
      </c>
      <c r="D360" s="112" t="s">
        <v>6</v>
      </c>
      <c r="E360" s="12" t="s">
        <v>150</v>
      </c>
      <c r="F360" s="32" t="str">
        <f t="shared" ca="1" si="18"/>
        <v/>
      </c>
    </row>
    <row r="361" spans="1:8" x14ac:dyDescent="0.25">
      <c r="A361" s="9">
        <v>52</v>
      </c>
      <c r="B361" s="8" t="s">
        <v>1884</v>
      </c>
      <c r="C361" s="19" t="s">
        <v>6</v>
      </c>
      <c r="D361" s="112" t="s">
        <v>6</v>
      </c>
      <c r="E361" s="12" t="s">
        <v>45</v>
      </c>
      <c r="F361" s="32">
        <f ca="1">IF(AND(C361="NO",D361="NO"),IF(F361="",TODAY(),F361),"")</f>
        <v>46300</v>
      </c>
      <c r="G361" s="169"/>
    </row>
    <row r="362" spans="1:8" x14ac:dyDescent="0.25">
      <c r="A362" s="9">
        <v>53</v>
      </c>
      <c r="B362" s="8" t="s">
        <v>159</v>
      </c>
      <c r="C362" s="19" t="s">
        <v>6</v>
      </c>
      <c r="D362" s="112" t="s">
        <v>6</v>
      </c>
      <c r="E362" s="12" t="s">
        <v>258</v>
      </c>
      <c r="F362" s="32">
        <f t="shared" ca="1" si="18"/>
        <v>46293</v>
      </c>
      <c r="G362" s="166"/>
    </row>
    <row r="363" spans="1:8" x14ac:dyDescent="0.25">
      <c r="A363" s="9">
        <v>54</v>
      </c>
      <c r="B363" s="8" t="s">
        <v>1701</v>
      </c>
      <c r="C363" s="19" t="s">
        <v>6</v>
      </c>
      <c r="D363" s="112" t="s">
        <v>6</v>
      </c>
      <c r="E363" s="12" t="s">
        <v>45</v>
      </c>
      <c r="F363" s="32">
        <f t="shared" ca="1" si="18"/>
        <v>46287</v>
      </c>
      <c r="G363" s="165">
        <v>584126934596</v>
      </c>
    </row>
    <row r="364" spans="1:8" x14ac:dyDescent="0.25">
      <c r="A364" s="9">
        <v>55</v>
      </c>
      <c r="B364" s="8" t="s">
        <v>1967</v>
      </c>
      <c r="C364" s="19" t="s">
        <v>5</v>
      </c>
      <c r="D364" s="112" t="s">
        <v>6</v>
      </c>
      <c r="E364" s="12" t="s">
        <v>45</v>
      </c>
      <c r="F364" s="32" t="str">
        <f t="shared" ca="1" si="18"/>
        <v/>
      </c>
      <c r="G364" s="165">
        <v>584143108633</v>
      </c>
    </row>
    <row r="365" spans="1:8" x14ac:dyDescent="0.25">
      <c r="A365" s="9">
        <v>56</v>
      </c>
      <c r="B365" s="8" t="s">
        <v>1784</v>
      </c>
      <c r="C365" s="19" t="s">
        <v>5</v>
      </c>
      <c r="D365" s="112" t="s">
        <v>6</v>
      </c>
      <c r="E365" s="12" t="s">
        <v>45</v>
      </c>
      <c r="F365" s="32" t="str">
        <f t="shared" ca="1" si="18"/>
        <v/>
      </c>
      <c r="G365" s="165">
        <v>584246001018</v>
      </c>
    </row>
    <row r="366" spans="1:8" x14ac:dyDescent="0.25">
      <c r="A366" s="9">
        <v>57</v>
      </c>
      <c r="B366" s="33" t="s">
        <v>1548</v>
      </c>
      <c r="C366" s="19" t="s">
        <v>6</v>
      </c>
      <c r="D366" s="112" t="s">
        <v>6</v>
      </c>
      <c r="E366" s="79" t="s">
        <v>337</v>
      </c>
      <c r="F366" s="32">
        <f t="shared" ca="1" si="18"/>
        <v>46287</v>
      </c>
      <c r="G366" s="166"/>
    </row>
    <row r="367" spans="1:8" x14ac:dyDescent="0.25">
      <c r="A367" s="9">
        <v>58</v>
      </c>
      <c r="B367" s="8" t="s">
        <v>1770</v>
      </c>
      <c r="C367" s="19" t="s">
        <v>6</v>
      </c>
      <c r="D367" s="112" t="s">
        <v>6</v>
      </c>
      <c r="E367" s="12" t="s">
        <v>45</v>
      </c>
      <c r="F367" s="32">
        <f t="shared" ca="1" si="18"/>
        <v>46287</v>
      </c>
      <c r="G367" s="165">
        <v>584120898262</v>
      </c>
    </row>
    <row r="368" spans="1:8" x14ac:dyDescent="0.25">
      <c r="A368" s="9">
        <v>59</v>
      </c>
      <c r="B368" s="17" t="s">
        <v>1582</v>
      </c>
      <c r="C368" s="19" t="s">
        <v>6</v>
      </c>
      <c r="D368" s="112" t="s">
        <v>6</v>
      </c>
      <c r="E368" s="12" t="s">
        <v>45</v>
      </c>
      <c r="F368" s="32">
        <f t="shared" ca="1" si="18"/>
        <v>46279</v>
      </c>
    </row>
    <row r="369" spans="1:8" x14ac:dyDescent="0.25">
      <c r="A369" s="9">
        <v>60</v>
      </c>
      <c r="B369" s="8" t="s">
        <v>1734</v>
      </c>
      <c r="C369" s="19" t="s">
        <v>5</v>
      </c>
      <c r="D369" s="112" t="s">
        <v>5</v>
      </c>
      <c r="E369" s="12" t="s">
        <v>45</v>
      </c>
      <c r="F369" s="32" t="str">
        <f t="shared" ca="1" si="18"/>
        <v/>
      </c>
      <c r="G369" s="165">
        <v>584121250554</v>
      </c>
    </row>
    <row r="370" spans="1:8" x14ac:dyDescent="0.25">
      <c r="A370" s="9">
        <v>61</v>
      </c>
      <c r="B370" s="8" t="s">
        <v>173</v>
      </c>
      <c r="C370" s="19" t="s">
        <v>6</v>
      </c>
      <c r="D370" s="112" t="s">
        <v>5</v>
      </c>
      <c r="E370" s="12" t="s">
        <v>45</v>
      </c>
      <c r="F370" s="32" t="str">
        <f t="shared" ca="1" si="18"/>
        <v/>
      </c>
      <c r="G370" s="165">
        <v>584244279049</v>
      </c>
    </row>
    <row r="371" spans="1:8" x14ac:dyDescent="0.25">
      <c r="A371" s="9">
        <v>62</v>
      </c>
      <c r="B371" s="8" t="s">
        <v>1905</v>
      </c>
      <c r="C371" s="19" t="s">
        <v>5</v>
      </c>
      <c r="D371" s="112" t="s">
        <v>5</v>
      </c>
      <c r="E371" s="12" t="s">
        <v>150</v>
      </c>
      <c r="F371" s="32" t="str">
        <f t="shared" ca="1" si="18"/>
        <v/>
      </c>
    </row>
    <row r="372" spans="1:8" x14ac:dyDescent="0.25">
      <c r="A372" s="9">
        <v>63</v>
      </c>
      <c r="B372" s="8" t="s">
        <v>198</v>
      </c>
      <c r="C372" s="19" t="s">
        <v>5</v>
      </c>
      <c r="D372" s="112" t="s">
        <v>6</v>
      </c>
      <c r="E372" s="12" t="s">
        <v>150</v>
      </c>
      <c r="F372" s="32" t="str">
        <f t="shared" ca="1" si="18"/>
        <v/>
      </c>
    </row>
    <row r="373" spans="1:8" x14ac:dyDescent="0.25">
      <c r="A373" s="9">
        <v>64</v>
      </c>
      <c r="B373" s="8" t="s">
        <v>265</v>
      </c>
      <c r="C373" s="19" t="s">
        <v>6</v>
      </c>
      <c r="D373" s="112" t="s">
        <v>6</v>
      </c>
      <c r="E373" s="12" t="s">
        <v>45</v>
      </c>
      <c r="F373" s="32">
        <f t="shared" ca="1" si="18"/>
        <v>46279</v>
      </c>
    </row>
    <row r="374" spans="1:8" x14ac:dyDescent="0.25">
      <c r="A374" s="9">
        <v>65</v>
      </c>
      <c r="B374" s="17" t="s">
        <v>286</v>
      </c>
      <c r="C374" s="19" t="s">
        <v>6</v>
      </c>
      <c r="D374" s="112" t="s">
        <v>6</v>
      </c>
      <c r="E374" s="113" t="s">
        <v>45</v>
      </c>
      <c r="F374" s="32">
        <f t="shared" ca="1" si="18"/>
        <v>46300</v>
      </c>
      <c r="G374" s="138">
        <v>584140657645</v>
      </c>
    </row>
    <row r="375" spans="1:8" x14ac:dyDescent="0.25">
      <c r="A375" s="9">
        <v>66</v>
      </c>
      <c r="B375" s="17" t="s">
        <v>1732</v>
      </c>
      <c r="C375" s="19" t="s">
        <v>5</v>
      </c>
      <c r="D375" s="112" t="s">
        <v>5</v>
      </c>
      <c r="E375" s="12" t="s">
        <v>45</v>
      </c>
      <c r="F375" s="32" t="str">
        <f t="shared" ref="F375:F402" ca="1" si="19">IF(AND(C375="NO",D375="NO"),IF(F375="",TODAY(),F375),"")</f>
        <v/>
      </c>
    </row>
    <row r="376" spans="1:8" x14ac:dyDescent="0.25">
      <c r="A376" s="9">
        <v>67</v>
      </c>
      <c r="B376" s="8" t="s">
        <v>1969</v>
      </c>
      <c r="C376" s="19" t="s">
        <v>6</v>
      </c>
      <c r="D376" s="112" t="s">
        <v>6</v>
      </c>
      <c r="E376" s="12" t="s">
        <v>150</v>
      </c>
      <c r="F376" s="32">
        <f t="shared" ca="1" si="19"/>
        <v>46287</v>
      </c>
    </row>
    <row r="377" spans="1:8" x14ac:dyDescent="0.25">
      <c r="A377" s="9">
        <v>68</v>
      </c>
      <c r="B377" s="8" t="s">
        <v>348</v>
      </c>
      <c r="C377" s="19" t="s">
        <v>5</v>
      </c>
      <c r="D377" s="112" t="s">
        <v>6</v>
      </c>
      <c r="E377" s="12" t="s">
        <v>45</v>
      </c>
      <c r="F377" s="32" t="str">
        <f t="shared" ca="1" si="19"/>
        <v/>
      </c>
      <c r="G377" s="165">
        <v>584146030430</v>
      </c>
    </row>
    <row r="378" spans="1:8" x14ac:dyDescent="0.25">
      <c r="A378" s="9">
        <v>69</v>
      </c>
      <c r="B378" s="17" t="s">
        <v>388</v>
      </c>
      <c r="C378" s="19" t="s">
        <v>6</v>
      </c>
      <c r="D378" s="112" t="s">
        <v>6</v>
      </c>
      <c r="E378" s="12" t="s">
        <v>45</v>
      </c>
      <c r="F378" s="32">
        <f t="shared" ca="1" si="19"/>
        <v>46287</v>
      </c>
      <c r="G378" s="166"/>
      <c r="H378" s="49"/>
    </row>
    <row r="379" spans="1:8" x14ac:dyDescent="0.25">
      <c r="A379" s="9">
        <v>70</v>
      </c>
      <c r="B379" s="8" t="s">
        <v>1740</v>
      </c>
      <c r="C379" s="19" t="s">
        <v>6</v>
      </c>
      <c r="D379" s="112" t="s">
        <v>6</v>
      </c>
      <c r="E379" s="12" t="s">
        <v>383</v>
      </c>
      <c r="F379" s="32">
        <f t="shared" ca="1" si="19"/>
        <v>46287</v>
      </c>
      <c r="G379" s="165">
        <v>584146572023</v>
      </c>
    </row>
    <row r="380" spans="1:8" x14ac:dyDescent="0.25">
      <c r="A380" s="9">
        <v>71</v>
      </c>
      <c r="B380" s="17" t="s">
        <v>2099</v>
      </c>
      <c r="C380" s="19" t="s">
        <v>6</v>
      </c>
      <c r="D380" s="112" t="s">
        <v>6</v>
      </c>
      <c r="E380" s="12" t="s">
        <v>45</v>
      </c>
      <c r="F380" s="32">
        <f t="shared" ca="1" si="19"/>
        <v>46300</v>
      </c>
    </row>
    <row r="381" spans="1:8" x14ac:dyDescent="0.25">
      <c r="A381" s="9">
        <v>72</v>
      </c>
      <c r="B381" s="17" t="s">
        <v>1885</v>
      </c>
      <c r="C381" s="19" t="s">
        <v>6</v>
      </c>
      <c r="D381" s="112" t="s">
        <v>6</v>
      </c>
      <c r="E381" s="12" t="s">
        <v>150</v>
      </c>
      <c r="F381" s="32">
        <f t="shared" ca="1" si="19"/>
        <v>46287</v>
      </c>
    </row>
    <row r="382" spans="1:8" x14ac:dyDescent="0.25">
      <c r="A382" s="9">
        <v>73</v>
      </c>
      <c r="B382" s="8" t="s">
        <v>165</v>
      </c>
      <c r="C382" s="19" t="s">
        <v>6</v>
      </c>
      <c r="D382" s="112" t="s">
        <v>6</v>
      </c>
      <c r="E382" s="12" t="s">
        <v>45</v>
      </c>
      <c r="F382" s="32">
        <f t="shared" ca="1" si="19"/>
        <v>46306</v>
      </c>
      <c r="G382" s="165">
        <v>584146416825</v>
      </c>
      <c r="H382" s="49"/>
    </row>
    <row r="383" spans="1:8" x14ac:dyDescent="0.25">
      <c r="A383" s="9">
        <v>74</v>
      </c>
      <c r="B383" s="8" t="s">
        <v>1933</v>
      </c>
      <c r="C383" s="19" t="s">
        <v>6</v>
      </c>
      <c r="D383" s="112" t="s">
        <v>6</v>
      </c>
      <c r="E383" s="12" t="s">
        <v>45</v>
      </c>
      <c r="F383" s="32">
        <f t="shared" ca="1" si="19"/>
        <v>46293</v>
      </c>
      <c r="G383" s="165">
        <v>584125143332</v>
      </c>
    </row>
    <row r="384" spans="1:8" ht="15.75" customHeight="1" x14ac:dyDescent="0.25">
      <c r="A384" s="9">
        <v>75</v>
      </c>
      <c r="B384" s="8" t="s">
        <v>1735</v>
      </c>
      <c r="C384" s="19" t="s">
        <v>6</v>
      </c>
      <c r="D384" s="112" t="s">
        <v>6</v>
      </c>
      <c r="E384" s="12" t="s">
        <v>45</v>
      </c>
      <c r="F384" s="32">
        <f t="shared" ca="1" si="19"/>
        <v>46287</v>
      </c>
    </row>
    <row r="385" spans="1:7" x14ac:dyDescent="0.25">
      <c r="A385" s="9">
        <v>76</v>
      </c>
      <c r="B385" s="8" t="s">
        <v>1691</v>
      </c>
      <c r="C385" s="19" t="s">
        <v>6</v>
      </c>
      <c r="D385" s="112" t="s">
        <v>6</v>
      </c>
      <c r="E385" s="12" t="s">
        <v>45</v>
      </c>
      <c r="F385" s="32">
        <f t="shared" ca="1" si="19"/>
        <v>46287</v>
      </c>
    </row>
    <row r="386" spans="1:7" x14ac:dyDescent="0.25">
      <c r="A386" s="9">
        <v>77</v>
      </c>
      <c r="B386" s="47" t="s">
        <v>803</v>
      </c>
      <c r="C386" s="19" t="s">
        <v>5</v>
      </c>
      <c r="D386" s="112" t="s">
        <v>6</v>
      </c>
      <c r="E386" s="12" t="s">
        <v>45</v>
      </c>
      <c r="F386" s="32" t="str">
        <f t="shared" ca="1" si="19"/>
        <v/>
      </c>
      <c r="G386" s="169"/>
    </row>
    <row r="387" spans="1:7" x14ac:dyDescent="0.25">
      <c r="A387" s="9">
        <v>79</v>
      </c>
      <c r="B387" s="8" t="s">
        <v>1825</v>
      </c>
      <c r="C387" s="19"/>
      <c r="D387" s="112" t="s">
        <v>6</v>
      </c>
      <c r="E387" s="12" t="s">
        <v>45</v>
      </c>
      <c r="F387" s="32" t="str">
        <f t="shared" ca="1" si="19"/>
        <v/>
      </c>
      <c r="G387" s="138">
        <v>584146470677</v>
      </c>
    </row>
    <row r="388" spans="1:7" ht="13.5" customHeight="1" x14ac:dyDescent="0.25">
      <c r="A388" s="9">
        <v>80</v>
      </c>
      <c r="B388" s="8" t="s">
        <v>1954</v>
      </c>
      <c r="C388" s="19" t="s">
        <v>6</v>
      </c>
      <c r="D388" s="112" t="s">
        <v>5</v>
      </c>
      <c r="E388" s="12" t="s">
        <v>45</v>
      </c>
      <c r="F388" s="32" t="str">
        <f t="shared" ca="1" si="19"/>
        <v/>
      </c>
      <c r="G388" s="166"/>
    </row>
    <row r="389" spans="1:7" ht="13.5" customHeight="1" x14ac:dyDescent="0.25">
      <c r="A389" s="9">
        <v>81</v>
      </c>
      <c r="B389" s="8" t="s">
        <v>1981</v>
      </c>
      <c r="C389" s="19" t="s">
        <v>6</v>
      </c>
      <c r="D389" s="112" t="s">
        <v>6</v>
      </c>
      <c r="E389" s="12" t="s">
        <v>45</v>
      </c>
      <c r="F389" s="32">
        <f t="shared" ca="1" si="19"/>
        <v>46293</v>
      </c>
      <c r="G389" s="165">
        <v>584149651533</v>
      </c>
    </row>
    <row r="390" spans="1:7" x14ac:dyDescent="0.25">
      <c r="A390" s="9">
        <v>82</v>
      </c>
      <c r="B390" s="17" t="s">
        <v>1934</v>
      </c>
      <c r="C390" s="19" t="s">
        <v>6</v>
      </c>
      <c r="D390" s="112" t="s">
        <v>6</v>
      </c>
      <c r="E390" s="12" t="s">
        <v>45</v>
      </c>
      <c r="F390" s="32">
        <f t="shared" ca="1" si="19"/>
        <v>46287</v>
      </c>
      <c r="G390" s="138">
        <v>584147377958</v>
      </c>
    </row>
    <row r="391" spans="1:7" ht="13.5" customHeight="1" x14ac:dyDescent="0.25">
      <c r="A391" s="9">
        <v>83</v>
      </c>
      <c r="B391" s="8" t="s">
        <v>1879</v>
      </c>
      <c r="C391" s="19" t="s">
        <v>6</v>
      </c>
      <c r="D391" s="112" t="s">
        <v>6</v>
      </c>
      <c r="E391" s="12" t="s">
        <v>45</v>
      </c>
      <c r="F391" s="32">
        <f t="shared" ca="1" si="19"/>
        <v>46293</v>
      </c>
      <c r="G391" s="165">
        <v>584120764187</v>
      </c>
    </row>
    <row r="392" spans="1:7" x14ac:dyDescent="0.25">
      <c r="A392" s="9">
        <v>293</v>
      </c>
      <c r="B392" s="33" t="s">
        <v>1665</v>
      </c>
      <c r="C392" s="19" t="s">
        <v>5</v>
      </c>
      <c r="D392" s="19" t="s">
        <v>6</v>
      </c>
      <c r="E392" s="12" t="s">
        <v>45</v>
      </c>
      <c r="F392" s="32" t="str">
        <f ca="1">IF(AND(C392="NO",D392="NO"),IF(F392="",TODAY(),F392),"")</f>
        <v/>
      </c>
      <c r="G392" s="169"/>
    </row>
    <row r="393" spans="1:7" ht="13.5" customHeight="1" x14ac:dyDescent="0.25">
      <c r="A393" s="9">
        <v>84</v>
      </c>
      <c r="B393" s="8" t="s">
        <v>193</v>
      </c>
      <c r="C393" s="19" t="s">
        <v>5</v>
      </c>
      <c r="D393" s="112" t="s">
        <v>6</v>
      </c>
      <c r="E393" s="12" t="s">
        <v>45</v>
      </c>
      <c r="F393" s="32" t="str">
        <f t="shared" ca="1" si="19"/>
        <v/>
      </c>
      <c r="G393" s="166"/>
    </row>
    <row r="394" spans="1:7" ht="17.25" customHeight="1" x14ac:dyDescent="0.25">
      <c r="A394" s="9">
        <v>85</v>
      </c>
      <c r="B394" s="8" t="s">
        <v>1904</v>
      </c>
      <c r="C394" s="19" t="s">
        <v>6</v>
      </c>
      <c r="D394" s="112" t="s">
        <v>6</v>
      </c>
      <c r="E394" s="12" t="s">
        <v>45</v>
      </c>
      <c r="F394" s="32">
        <f t="shared" ca="1" si="19"/>
        <v>46287</v>
      </c>
      <c r="G394" s="165">
        <v>584146277173</v>
      </c>
    </row>
    <row r="395" spans="1:7" x14ac:dyDescent="0.25">
      <c r="A395" s="9">
        <v>86</v>
      </c>
      <c r="B395" s="8" t="s">
        <v>1927</v>
      </c>
      <c r="C395" s="19" t="s">
        <v>6</v>
      </c>
      <c r="D395" s="112" t="s">
        <v>6</v>
      </c>
      <c r="E395" s="12" t="s">
        <v>337</v>
      </c>
      <c r="F395" s="32">
        <f t="shared" ca="1" si="19"/>
        <v>46300</v>
      </c>
      <c r="G395" s="165">
        <v>584246760885</v>
      </c>
    </row>
    <row r="396" spans="1:7" ht="12.75" customHeight="1" x14ac:dyDescent="0.25">
      <c r="A396" s="9">
        <v>87</v>
      </c>
      <c r="B396" s="17" t="s">
        <v>856</v>
      </c>
      <c r="C396" s="19" t="s">
        <v>6</v>
      </c>
      <c r="D396" s="112" t="s">
        <v>6</v>
      </c>
      <c r="E396" s="14" t="s">
        <v>45</v>
      </c>
      <c r="F396" s="32">
        <f t="shared" ca="1" si="19"/>
        <v>46293</v>
      </c>
      <c r="G396" s="166"/>
    </row>
    <row r="397" spans="1:7" x14ac:dyDescent="0.25">
      <c r="A397" s="9">
        <v>88</v>
      </c>
      <c r="B397" s="8" t="s">
        <v>1966</v>
      </c>
      <c r="C397" s="19" t="s">
        <v>5</v>
      </c>
      <c r="D397" s="112" t="s">
        <v>5</v>
      </c>
      <c r="E397" s="12" t="s">
        <v>337</v>
      </c>
      <c r="F397" s="32" t="str">
        <f t="shared" ca="1" si="19"/>
        <v/>
      </c>
      <c r="G397" s="166"/>
    </row>
    <row r="398" spans="1:7" x14ac:dyDescent="0.25">
      <c r="A398" s="9">
        <v>89</v>
      </c>
      <c r="B398" s="8" t="s">
        <v>2173</v>
      </c>
      <c r="C398" s="19" t="s">
        <v>6</v>
      </c>
      <c r="D398" s="112" t="s">
        <v>6</v>
      </c>
      <c r="E398" s="12" t="s">
        <v>45</v>
      </c>
      <c r="F398" s="32">
        <v>46287</v>
      </c>
      <c r="G398" s="169"/>
    </row>
    <row r="399" spans="1:7" ht="13.5" customHeight="1" x14ac:dyDescent="0.25">
      <c r="A399" s="9">
        <v>91</v>
      </c>
      <c r="B399" s="8" t="s">
        <v>1982</v>
      </c>
      <c r="C399" s="19" t="s">
        <v>6</v>
      </c>
      <c r="D399" s="112" t="s">
        <v>6</v>
      </c>
      <c r="E399" s="12" t="s">
        <v>337</v>
      </c>
      <c r="F399" s="32">
        <f t="shared" ca="1" si="19"/>
        <v>46279</v>
      </c>
      <c r="G399" s="165"/>
    </row>
    <row r="400" spans="1:7" x14ac:dyDescent="0.25">
      <c r="A400" s="9">
        <v>92</v>
      </c>
      <c r="B400" s="17" t="s">
        <v>620</v>
      </c>
      <c r="C400" s="19" t="s">
        <v>6</v>
      </c>
      <c r="D400" s="112" t="s">
        <v>6</v>
      </c>
      <c r="E400" s="12" t="s">
        <v>150</v>
      </c>
      <c r="F400" s="32">
        <f t="shared" ca="1" si="19"/>
        <v>46293</v>
      </c>
      <c r="G400" s="166"/>
    </row>
    <row r="401" spans="1:7" ht="13.5" customHeight="1" x14ac:dyDescent="0.25">
      <c r="A401" s="9">
        <v>93</v>
      </c>
      <c r="B401" s="17" t="s">
        <v>1586</v>
      </c>
      <c r="C401" s="19" t="s">
        <v>6</v>
      </c>
      <c r="D401" s="112" t="s">
        <v>6</v>
      </c>
      <c r="E401" s="12" t="s">
        <v>1587</v>
      </c>
      <c r="F401" s="32">
        <f t="shared" ca="1" si="19"/>
        <v>46279</v>
      </c>
      <c r="G401" s="166"/>
    </row>
    <row r="402" spans="1:7" ht="13.5" customHeight="1" x14ac:dyDescent="0.25">
      <c r="A402" s="9">
        <v>94</v>
      </c>
      <c r="B402" s="8" t="s">
        <v>1997</v>
      </c>
      <c r="C402" s="19" t="s">
        <v>6</v>
      </c>
      <c r="D402" s="112" t="s">
        <v>6</v>
      </c>
      <c r="E402" s="12" t="s">
        <v>45</v>
      </c>
      <c r="F402" s="32">
        <f t="shared" ca="1" si="19"/>
        <v>46287</v>
      </c>
      <c r="G402" s="165">
        <v>584146912012</v>
      </c>
    </row>
    <row r="403" spans="1:7" ht="15.75" x14ac:dyDescent="0.25">
      <c r="A403" s="9">
        <v>95</v>
      </c>
      <c r="B403" s="33" t="s">
        <v>2106</v>
      </c>
      <c r="C403" s="19" t="s">
        <v>6</v>
      </c>
      <c r="D403" s="112" t="s">
        <v>6</v>
      </c>
      <c r="E403" s="80" t="s">
        <v>45</v>
      </c>
      <c r="F403" s="32">
        <f t="shared" ref="F403:F423" ca="1" si="20">IF(AND(C403="NO",D403="NO"),IF(F403="",TODAY(),F403),"")</f>
        <v>46279</v>
      </c>
      <c r="G403" s="165"/>
    </row>
    <row r="404" spans="1:7" ht="13.5" customHeight="1" x14ac:dyDescent="0.25">
      <c r="A404" s="9">
        <v>96</v>
      </c>
      <c r="B404" s="8" t="s">
        <v>2023</v>
      </c>
      <c r="C404" s="19" t="s">
        <v>6</v>
      </c>
      <c r="D404" s="112" t="s">
        <v>6</v>
      </c>
      <c r="E404" s="12" t="s">
        <v>337</v>
      </c>
      <c r="F404" s="32">
        <f t="shared" ca="1" si="20"/>
        <v>46293</v>
      </c>
      <c r="G404" s="165"/>
    </row>
    <row r="405" spans="1:7" ht="13.5" customHeight="1" x14ac:dyDescent="0.25">
      <c r="A405" s="9">
        <v>97</v>
      </c>
      <c r="B405" s="17" t="s">
        <v>1531</v>
      </c>
      <c r="C405" s="19" t="s">
        <v>6</v>
      </c>
      <c r="D405" s="112" t="s">
        <v>6</v>
      </c>
      <c r="E405" s="85" t="s">
        <v>45</v>
      </c>
      <c r="F405" s="32">
        <f t="shared" ca="1" si="20"/>
        <v>46293</v>
      </c>
      <c r="G405" s="138">
        <v>584125068237</v>
      </c>
    </row>
    <row r="406" spans="1:7" x14ac:dyDescent="0.25">
      <c r="A406" s="9">
        <v>98</v>
      </c>
      <c r="B406" s="8" t="s">
        <v>2068</v>
      </c>
      <c r="C406" s="19" t="s">
        <v>6</v>
      </c>
      <c r="D406" s="112" t="s">
        <v>6</v>
      </c>
      <c r="E406" s="12" t="s">
        <v>45</v>
      </c>
      <c r="F406" s="32">
        <f t="shared" ca="1" si="20"/>
        <v>46287</v>
      </c>
      <c r="G406" s="165"/>
    </row>
    <row r="407" spans="1:7" ht="13.5" customHeight="1" x14ac:dyDescent="0.25">
      <c r="A407" s="9">
        <v>99</v>
      </c>
      <c r="B407" s="17" t="s">
        <v>389</v>
      </c>
      <c r="C407" s="19" t="s">
        <v>6</v>
      </c>
      <c r="D407" s="112" t="s">
        <v>6</v>
      </c>
      <c r="E407" s="12" t="s">
        <v>45</v>
      </c>
      <c r="F407" s="32">
        <f t="shared" ca="1" si="20"/>
        <v>46287</v>
      </c>
      <c r="G407" s="138">
        <v>584126431417</v>
      </c>
    </row>
    <row r="408" spans="1:7" ht="13.5" customHeight="1" x14ac:dyDescent="0.25">
      <c r="A408" s="9">
        <v>100</v>
      </c>
      <c r="B408" s="8" t="s">
        <v>2061</v>
      </c>
      <c r="C408" s="19" t="s">
        <v>6</v>
      </c>
      <c r="D408" s="112" t="s">
        <v>6</v>
      </c>
      <c r="E408" s="12" t="s">
        <v>337</v>
      </c>
      <c r="F408" s="32">
        <f t="shared" ca="1" si="20"/>
        <v>46279</v>
      </c>
      <c r="G408" s="165"/>
    </row>
    <row r="409" spans="1:7" x14ac:dyDescent="0.25">
      <c r="A409" s="9">
        <v>101</v>
      </c>
      <c r="B409" s="8" t="s">
        <v>131</v>
      </c>
      <c r="C409" s="19" t="s">
        <v>5</v>
      </c>
      <c r="D409" s="112" t="s">
        <v>6</v>
      </c>
      <c r="E409" s="12" t="s">
        <v>45</v>
      </c>
      <c r="F409" s="32" t="str">
        <f ca="1">IF(AND(C409="NO",D409="NO"),IF(F409="",TODAY(),F409),"")</f>
        <v/>
      </c>
      <c r="G409" s="169"/>
    </row>
    <row r="410" spans="1:7" ht="13.5" customHeight="1" x14ac:dyDescent="0.25">
      <c r="A410" s="9">
        <v>103</v>
      </c>
      <c r="B410" s="8" t="s">
        <v>2084</v>
      </c>
      <c r="C410" s="19" t="s">
        <v>6</v>
      </c>
      <c r="D410" s="112" t="s">
        <v>6</v>
      </c>
      <c r="E410" s="12" t="s">
        <v>45</v>
      </c>
      <c r="F410" s="32">
        <f t="shared" ca="1" si="20"/>
        <v>46287</v>
      </c>
      <c r="G410" s="165"/>
    </row>
    <row r="411" spans="1:7" ht="13.5" customHeight="1" x14ac:dyDescent="0.25">
      <c r="A411" s="9">
        <v>105</v>
      </c>
      <c r="B411" s="8" t="s">
        <v>2094</v>
      </c>
      <c r="C411" s="19" t="s">
        <v>5</v>
      </c>
      <c r="D411" s="112" t="s">
        <v>5</v>
      </c>
      <c r="E411" s="12" t="s">
        <v>337</v>
      </c>
      <c r="F411" s="32" t="str">
        <f t="shared" ca="1" si="20"/>
        <v/>
      </c>
      <c r="G411" s="165" t="s">
        <v>2190</v>
      </c>
    </row>
    <row r="412" spans="1:7" ht="13.5" customHeight="1" x14ac:dyDescent="0.25">
      <c r="A412" s="9">
        <v>106</v>
      </c>
      <c r="B412" s="8" t="s">
        <v>2100</v>
      </c>
      <c r="C412" s="19" t="s">
        <v>6</v>
      </c>
      <c r="D412" s="112" t="s">
        <v>6</v>
      </c>
      <c r="E412" s="12" t="s">
        <v>337</v>
      </c>
      <c r="F412" s="32">
        <f t="shared" ca="1" si="20"/>
        <v>46279</v>
      </c>
    </row>
    <row r="413" spans="1:7" ht="13.5" customHeight="1" x14ac:dyDescent="0.25">
      <c r="A413" s="9">
        <v>107</v>
      </c>
      <c r="B413" s="8" t="s">
        <v>2110</v>
      </c>
      <c r="C413" s="19" t="s">
        <v>6</v>
      </c>
      <c r="D413" s="112" t="s">
        <v>6</v>
      </c>
      <c r="E413" s="12" t="s">
        <v>45</v>
      </c>
      <c r="F413" s="32">
        <f t="shared" ca="1" si="20"/>
        <v>46287</v>
      </c>
    </row>
    <row r="414" spans="1:7" ht="13.5" customHeight="1" x14ac:dyDescent="0.25">
      <c r="A414" s="9">
        <v>108</v>
      </c>
      <c r="B414" s="8" t="s">
        <v>2111</v>
      </c>
      <c r="C414" s="19" t="s">
        <v>6</v>
      </c>
      <c r="D414" s="112" t="s">
        <v>6</v>
      </c>
      <c r="E414" s="12" t="s">
        <v>45</v>
      </c>
      <c r="F414" s="32">
        <f t="shared" ref="F414:F422" ca="1" si="21">IF(AND(C414="NO",D414="NO"),IF(F414="",TODAY(),F414),"")</f>
        <v>46287</v>
      </c>
    </row>
    <row r="415" spans="1:7" ht="13.5" customHeight="1" x14ac:dyDescent="0.25">
      <c r="A415" s="9">
        <v>109</v>
      </c>
      <c r="B415" s="8" t="s">
        <v>2119</v>
      </c>
      <c r="C415" s="19" t="s">
        <v>5</v>
      </c>
      <c r="D415" s="112" t="s">
        <v>6</v>
      </c>
      <c r="E415" s="12" t="s">
        <v>45</v>
      </c>
      <c r="F415" s="32" t="str">
        <f t="shared" ca="1" si="21"/>
        <v/>
      </c>
    </row>
    <row r="416" spans="1:7" x14ac:dyDescent="0.25">
      <c r="A416" s="9">
        <v>110</v>
      </c>
      <c r="B416" s="42" t="s">
        <v>526</v>
      </c>
      <c r="C416" s="19" t="s">
        <v>6</v>
      </c>
      <c r="D416" s="112" t="s">
        <v>6</v>
      </c>
      <c r="E416" s="12" t="s">
        <v>45</v>
      </c>
      <c r="F416" s="32">
        <f ca="1">IF(AND(C416="NO",D416="NO"),IF(F416="",TODAY(),F416),"")</f>
        <v>46306</v>
      </c>
      <c r="G416" s="169"/>
    </row>
    <row r="417" spans="1:8" ht="13.5" customHeight="1" x14ac:dyDescent="0.25">
      <c r="A417" s="9">
        <v>111</v>
      </c>
      <c r="B417" s="8" t="s">
        <v>2151</v>
      </c>
      <c r="C417" s="19" t="s">
        <v>6</v>
      </c>
      <c r="D417" s="112" t="s">
        <v>6</v>
      </c>
      <c r="E417" s="12" t="s">
        <v>45</v>
      </c>
      <c r="F417" s="32">
        <f t="shared" ca="1" si="21"/>
        <v>46300</v>
      </c>
    </row>
    <row r="418" spans="1:8" ht="13.5" customHeight="1" x14ac:dyDescent="0.25">
      <c r="A418" s="9">
        <v>112</v>
      </c>
      <c r="B418" s="8" t="s">
        <v>2172</v>
      </c>
      <c r="C418" s="19" t="s">
        <v>5</v>
      </c>
      <c r="D418" s="112" t="s">
        <v>5</v>
      </c>
      <c r="E418" s="12" t="s">
        <v>337</v>
      </c>
      <c r="F418" s="32" t="str">
        <f t="shared" ref="F418" ca="1" si="22">IF(AND(C418="NO",D418="NO"),IF(F418="",TODAY(),F418),"")</f>
        <v/>
      </c>
    </row>
    <row r="419" spans="1:8" ht="12" customHeight="1" x14ac:dyDescent="0.25">
      <c r="A419" s="9">
        <v>113</v>
      </c>
      <c r="B419" s="8" t="s">
        <v>2174</v>
      </c>
      <c r="C419" s="19" t="s">
        <v>6</v>
      </c>
      <c r="D419" s="112" t="s">
        <v>5</v>
      </c>
      <c r="E419" s="12" t="s">
        <v>337</v>
      </c>
      <c r="F419" s="32" t="str">
        <f t="shared" ca="1" si="21"/>
        <v/>
      </c>
    </row>
    <row r="420" spans="1:8" ht="13.5" customHeight="1" x14ac:dyDescent="0.25">
      <c r="A420" s="9">
        <v>114</v>
      </c>
      <c r="B420" s="8" t="s">
        <v>2175</v>
      </c>
      <c r="C420" s="19" t="s">
        <v>6</v>
      </c>
      <c r="D420" s="112" t="s">
        <v>5</v>
      </c>
      <c r="E420" s="12" t="s">
        <v>337</v>
      </c>
      <c r="F420" s="32" t="str">
        <f t="shared" ca="1" si="21"/>
        <v/>
      </c>
    </row>
    <row r="421" spans="1:8" ht="13.5" customHeight="1" x14ac:dyDescent="0.25">
      <c r="A421" s="9">
        <v>115</v>
      </c>
      <c r="B421" s="8" t="s">
        <v>2176</v>
      </c>
      <c r="C421" s="19" t="s">
        <v>5</v>
      </c>
      <c r="D421" s="112" t="s">
        <v>6</v>
      </c>
      <c r="E421" s="12" t="s">
        <v>337</v>
      </c>
      <c r="F421" s="32" t="str">
        <f t="shared" ca="1" si="21"/>
        <v/>
      </c>
    </row>
    <row r="422" spans="1:8" ht="13.5" customHeight="1" x14ac:dyDescent="0.25">
      <c r="A422" s="9">
        <v>116</v>
      </c>
      <c r="B422" s="8" t="s">
        <v>2183</v>
      </c>
      <c r="C422" s="19" t="s">
        <v>6</v>
      </c>
      <c r="D422" s="112" t="s">
        <v>6</v>
      </c>
      <c r="E422" s="12" t="s">
        <v>337</v>
      </c>
      <c r="F422" s="32">
        <f t="shared" ca="1" si="21"/>
        <v>46306</v>
      </c>
    </row>
    <row r="423" spans="1:8" ht="13.5" customHeight="1" x14ac:dyDescent="0.25">
      <c r="A423" s="9">
        <v>116</v>
      </c>
      <c r="B423" s="8" t="s">
        <v>2194</v>
      </c>
      <c r="C423" s="19" t="s">
        <v>2195</v>
      </c>
      <c r="D423" s="112" t="s">
        <v>6</v>
      </c>
      <c r="E423" s="12" t="s">
        <v>1707</v>
      </c>
      <c r="F423" s="32" t="str">
        <f t="shared" ca="1" si="20"/>
        <v/>
      </c>
    </row>
    <row r="424" spans="1:8" ht="13.5" customHeight="1" x14ac:dyDescent="0.25">
      <c r="G424" s="165"/>
    </row>
    <row r="425" spans="1:8" ht="45" x14ac:dyDescent="0.25">
      <c r="A425" s="190" t="s">
        <v>53</v>
      </c>
      <c r="B425" s="191"/>
      <c r="C425" s="10">
        <f>COUNTIF(C312:C423, "SI")</f>
        <v>46</v>
      </c>
      <c r="D425" s="6" t="s">
        <v>50</v>
      </c>
      <c r="E425" s="27">
        <f>C425/A423*100</f>
        <v>39.655172413793103</v>
      </c>
      <c r="F425" s="160" t="s">
        <v>1806</v>
      </c>
      <c r="G425" s="165"/>
    </row>
    <row r="426" spans="1:8" ht="45" x14ac:dyDescent="0.25">
      <c r="A426" s="190" t="s">
        <v>54</v>
      </c>
      <c r="B426" s="191"/>
      <c r="C426" s="10">
        <f>COUNTIF(C312:C423, "NO")</f>
        <v>65</v>
      </c>
      <c r="D426" s="6" t="s">
        <v>50</v>
      </c>
      <c r="E426" s="27">
        <f>C426/A423*100</f>
        <v>56.034482758620683</v>
      </c>
      <c r="F426" s="160" t="s">
        <v>1807</v>
      </c>
      <c r="G426" s="165"/>
    </row>
    <row r="427" spans="1:8" ht="13.5" customHeight="1" x14ac:dyDescent="0.25">
      <c r="A427" s="22"/>
      <c r="B427" s="22"/>
      <c r="C427" s="23"/>
      <c r="D427" s="24"/>
      <c r="E427" s="25"/>
      <c r="F427" s="26"/>
    </row>
    <row r="428" spans="1:8" ht="45" x14ac:dyDescent="0.25">
      <c r="A428" s="190" t="s">
        <v>55</v>
      </c>
      <c r="B428" s="191"/>
      <c r="C428" s="10">
        <f>COUNTIF(D312:D423, "SI")</f>
        <v>30</v>
      </c>
      <c r="D428" s="6" t="s">
        <v>50</v>
      </c>
      <c r="E428" s="27">
        <f>C428/A423*100</f>
        <v>25.862068965517242</v>
      </c>
      <c r="F428" s="160" t="s">
        <v>57</v>
      </c>
      <c r="G428" s="167"/>
    </row>
    <row r="429" spans="1:8" ht="45" x14ac:dyDescent="0.25">
      <c r="A429" s="190" t="s">
        <v>56</v>
      </c>
      <c r="B429" s="191"/>
      <c r="C429" s="10">
        <f>COUNTIF(D312:D423, "NO")</f>
        <v>82</v>
      </c>
      <c r="D429" s="6" t="s">
        <v>50</v>
      </c>
      <c r="E429" s="27">
        <f>C429/A423*100</f>
        <v>70.689655172413794</v>
      </c>
      <c r="F429" s="160" t="s">
        <v>58</v>
      </c>
    </row>
    <row r="430" spans="1:8" ht="13.5" customHeight="1" x14ac:dyDescent="0.25"/>
    <row r="431" spans="1:8" ht="13.5" customHeight="1" x14ac:dyDescent="0.25">
      <c r="A431" s="175" t="s">
        <v>1009</v>
      </c>
      <c r="B431" s="176"/>
      <c r="C431" s="179">
        <f>COUNTIFS(C312:C423,"SI",D312:D423,"SI")</f>
        <v>22</v>
      </c>
      <c r="D431" s="180" t="s">
        <v>50</v>
      </c>
      <c r="E431" s="182">
        <f>C431/A423*100</f>
        <v>18.96551724137931</v>
      </c>
      <c r="F431" s="184" t="s">
        <v>1011</v>
      </c>
    </row>
    <row r="432" spans="1:8" x14ac:dyDescent="0.25">
      <c r="A432" s="177"/>
      <c r="B432" s="178"/>
      <c r="C432" s="179"/>
      <c r="D432" s="181"/>
      <c r="E432" s="183"/>
      <c r="F432" s="185"/>
      <c r="H432" s="90"/>
    </row>
    <row r="433" spans="1:10" x14ac:dyDescent="0.25">
      <c r="A433" s="175" t="s">
        <v>1010</v>
      </c>
      <c r="B433" s="176"/>
      <c r="C433" s="179">
        <f>COUNTIFS(C307:C423,"NO",D307:D423,"NO")</f>
        <v>57</v>
      </c>
      <c r="D433" s="180" t="s">
        <v>50</v>
      </c>
      <c r="E433" s="182">
        <f>C433/A423*100</f>
        <v>49.137931034482754</v>
      </c>
      <c r="F433" s="184" t="s">
        <v>1012</v>
      </c>
      <c r="H433" s="37"/>
    </row>
    <row r="434" spans="1:10" x14ac:dyDescent="0.25">
      <c r="A434" s="177"/>
      <c r="B434" s="178"/>
      <c r="C434" s="179"/>
      <c r="D434" s="181"/>
      <c r="E434" s="183"/>
      <c r="F434" s="185"/>
    </row>
    <row r="436" spans="1:10" x14ac:dyDescent="0.25">
      <c r="A436" s="186" t="s">
        <v>1797</v>
      </c>
      <c r="B436" s="187"/>
      <c r="C436" s="187"/>
      <c r="D436" s="187"/>
      <c r="E436" s="188"/>
    </row>
    <row r="437" spans="1:10" x14ac:dyDescent="0.25">
      <c r="A437" s="11" t="s">
        <v>0</v>
      </c>
      <c r="B437" s="11" t="s">
        <v>1</v>
      </c>
      <c r="C437" s="11" t="s">
        <v>2</v>
      </c>
      <c r="D437" s="11" t="s">
        <v>3</v>
      </c>
      <c r="E437" s="11" t="s">
        <v>7</v>
      </c>
      <c r="F437" s="159" t="s">
        <v>1901</v>
      </c>
      <c r="G437" s="140" t="s">
        <v>1902</v>
      </c>
    </row>
    <row r="438" spans="1:10" x14ac:dyDescent="0.25">
      <c r="A438" s="9">
        <v>1</v>
      </c>
      <c r="B438" s="8" t="s">
        <v>215</v>
      </c>
      <c r="C438" s="19" t="s">
        <v>6</v>
      </c>
      <c r="D438" s="19" t="s">
        <v>5</v>
      </c>
      <c r="E438" s="12" t="s">
        <v>258</v>
      </c>
      <c r="F438" s="32" t="str">
        <f t="shared" ref="F438:F478" ca="1" si="23">IF(AND(C438="NO",D438="NO"),IF(F438="",TODAY(),F438),"")</f>
        <v/>
      </c>
      <c r="G438" s="165">
        <v>584121411139</v>
      </c>
    </row>
    <row r="439" spans="1:10" x14ac:dyDescent="0.25">
      <c r="A439" s="9">
        <v>2</v>
      </c>
      <c r="B439" s="8" t="s">
        <v>216</v>
      </c>
      <c r="C439" s="19" t="s">
        <v>5</v>
      </c>
      <c r="D439" s="19" t="s">
        <v>5</v>
      </c>
      <c r="E439" s="12" t="s">
        <v>258</v>
      </c>
      <c r="F439" s="32" t="str">
        <f t="shared" ca="1" si="23"/>
        <v/>
      </c>
      <c r="G439" s="165">
        <v>584246218157</v>
      </c>
    </row>
    <row r="440" spans="1:10" x14ac:dyDescent="0.25">
      <c r="A440" s="9">
        <v>3</v>
      </c>
      <c r="B440" s="8" t="s">
        <v>217</v>
      </c>
      <c r="C440" s="19" t="s">
        <v>5</v>
      </c>
      <c r="D440" s="19" t="s">
        <v>5</v>
      </c>
      <c r="E440" s="12" t="s">
        <v>258</v>
      </c>
      <c r="F440" s="32" t="str">
        <f t="shared" ca="1" si="23"/>
        <v/>
      </c>
      <c r="G440" s="165">
        <v>584246747917</v>
      </c>
    </row>
    <row r="441" spans="1:10" x14ac:dyDescent="0.25">
      <c r="A441" s="9">
        <v>4</v>
      </c>
      <c r="B441" s="8" t="s">
        <v>218</v>
      </c>
      <c r="C441" s="19" t="s">
        <v>6</v>
      </c>
      <c r="D441" s="19" t="s">
        <v>5</v>
      </c>
      <c r="E441" s="12" t="s">
        <v>258</v>
      </c>
      <c r="F441" s="32" t="str">
        <f t="shared" ca="1" si="23"/>
        <v/>
      </c>
      <c r="G441" s="165">
        <v>584128679534</v>
      </c>
    </row>
    <row r="442" spans="1:10" ht="15" customHeight="1" x14ac:dyDescent="0.25">
      <c r="A442" s="9">
        <v>5</v>
      </c>
      <c r="B442" s="8" t="s">
        <v>219</v>
      </c>
      <c r="C442" s="19" t="s">
        <v>6</v>
      </c>
      <c r="D442" s="19" t="s">
        <v>5</v>
      </c>
      <c r="E442" s="12" t="s">
        <v>258</v>
      </c>
      <c r="F442" s="32" t="str">
        <f t="shared" ca="1" si="23"/>
        <v/>
      </c>
      <c r="G442" s="165">
        <v>584146588884</v>
      </c>
    </row>
    <row r="443" spans="1:10" ht="15" customHeight="1" x14ac:dyDescent="0.25">
      <c r="A443" s="9">
        <v>6</v>
      </c>
      <c r="B443" s="8" t="s">
        <v>220</v>
      </c>
      <c r="C443" s="19" t="s">
        <v>5</v>
      </c>
      <c r="D443" s="19" t="s">
        <v>5</v>
      </c>
      <c r="E443" s="12" t="s">
        <v>45</v>
      </c>
      <c r="F443" s="32" t="str">
        <f t="shared" ca="1" si="23"/>
        <v/>
      </c>
      <c r="G443" s="165">
        <v>584146588884</v>
      </c>
    </row>
    <row r="444" spans="1:10" ht="15" customHeight="1" x14ac:dyDescent="0.25">
      <c r="A444" s="9">
        <v>7</v>
      </c>
      <c r="B444" s="8" t="s">
        <v>221</v>
      </c>
      <c r="C444" s="19" t="s">
        <v>5</v>
      </c>
      <c r="D444" s="19" t="s">
        <v>5</v>
      </c>
      <c r="E444" s="12" t="s">
        <v>258</v>
      </c>
      <c r="F444" s="32" t="str">
        <f t="shared" ca="1" si="23"/>
        <v/>
      </c>
    </row>
    <row r="445" spans="1:10" x14ac:dyDescent="0.25">
      <c r="A445" s="9">
        <v>8</v>
      </c>
      <c r="B445" s="8" t="s">
        <v>225</v>
      </c>
      <c r="C445" s="19" t="s">
        <v>6</v>
      </c>
      <c r="D445" s="19" t="s">
        <v>5</v>
      </c>
      <c r="E445" s="12" t="s">
        <v>258</v>
      </c>
      <c r="F445" s="32" t="str">
        <f t="shared" ca="1" si="23"/>
        <v/>
      </c>
      <c r="G445" s="165">
        <v>584246413439</v>
      </c>
      <c r="I445" s="193" t="s">
        <v>1797</v>
      </c>
      <c r="J445" s="193"/>
    </row>
    <row r="446" spans="1:10" ht="15" customHeight="1" x14ac:dyDescent="0.25">
      <c r="A446" s="9">
        <v>9</v>
      </c>
      <c r="B446" s="8" t="s">
        <v>226</v>
      </c>
      <c r="C446" s="19" t="s">
        <v>5</v>
      </c>
      <c r="D446" s="19" t="s">
        <v>6</v>
      </c>
      <c r="E446" s="12" t="s">
        <v>45</v>
      </c>
      <c r="F446" s="32" t="str">
        <f t="shared" ca="1" si="23"/>
        <v/>
      </c>
      <c r="G446" s="165">
        <v>584129935281</v>
      </c>
      <c r="I446" s="194"/>
      <c r="J446" s="194"/>
    </row>
    <row r="447" spans="1:10" ht="15" customHeight="1" x14ac:dyDescent="0.25">
      <c r="A447" s="9">
        <v>10</v>
      </c>
      <c r="B447" s="15" t="s">
        <v>1819</v>
      </c>
      <c r="C447" s="19" t="s">
        <v>6</v>
      </c>
      <c r="D447" s="19" t="s">
        <v>6</v>
      </c>
      <c r="E447" s="12" t="s">
        <v>150</v>
      </c>
      <c r="F447" s="32">
        <f t="shared" ca="1" si="23"/>
        <v>46293</v>
      </c>
      <c r="I447" s="147" t="str" cm="1">
        <f t="array" ref="I447:I462">_xlfn._xlws.FILTER(B438:B543,(C438:C543="SI")*(D438:D543="SI"),"")</f>
        <v xml:space="preserve">Gabriela marcano </v>
      </c>
      <c r="J447" s="110"/>
    </row>
    <row r="448" spans="1:10" x14ac:dyDescent="0.25">
      <c r="A448" s="9">
        <v>11</v>
      </c>
      <c r="B448" s="8" t="s">
        <v>1015</v>
      </c>
      <c r="C448" s="19" t="s">
        <v>6</v>
      </c>
      <c r="D448" s="19" t="s">
        <v>6</v>
      </c>
      <c r="E448" s="12" t="s">
        <v>45</v>
      </c>
      <c r="F448" s="32">
        <f ca="1">IF(AND(C448="NO",D448="NO"),IF(F448="",TODAY(),F448),"")</f>
        <v>46300</v>
      </c>
      <c r="G448" s="169"/>
      <c r="I448" t="str">
        <v xml:space="preserve">Alejandra marcano </v>
      </c>
    </row>
    <row r="449" spans="1:10" ht="15.75" customHeight="1" x14ac:dyDescent="0.25">
      <c r="A449" s="9">
        <v>12</v>
      </c>
      <c r="B449" s="8" t="s">
        <v>409</v>
      </c>
      <c r="C449" s="19" t="s">
        <v>6</v>
      </c>
      <c r="D449" s="19" t="s">
        <v>6</v>
      </c>
      <c r="E449" s="12" t="s">
        <v>45</v>
      </c>
      <c r="F449" s="32">
        <f t="shared" ca="1" si="23"/>
        <v>46287</v>
      </c>
      <c r="I449" s="147" t="str">
        <v xml:space="preserve">Paola reyes </v>
      </c>
      <c r="J449" s="110"/>
    </row>
    <row r="450" spans="1:10" x14ac:dyDescent="0.25">
      <c r="A450" s="9">
        <v>13</v>
      </c>
      <c r="B450" s="8" t="s">
        <v>1757</v>
      </c>
      <c r="C450" s="19" t="s">
        <v>6</v>
      </c>
      <c r="D450" s="19" t="s">
        <v>6</v>
      </c>
      <c r="E450" s="12" t="s">
        <v>258</v>
      </c>
      <c r="F450" s="32">
        <f t="shared" ca="1" si="23"/>
        <v>46306</v>
      </c>
      <c r="I450" s="147" t="str">
        <v xml:space="preserve">Dan finol </v>
      </c>
      <c r="J450" s="110"/>
    </row>
    <row r="451" spans="1:10" x14ac:dyDescent="0.25">
      <c r="A451" s="9">
        <v>14</v>
      </c>
      <c r="B451" s="8" t="s">
        <v>1708</v>
      </c>
      <c r="C451" s="19" t="s">
        <v>6</v>
      </c>
      <c r="D451" s="19" t="s">
        <v>5</v>
      </c>
      <c r="E451" s="12" t="s">
        <v>258</v>
      </c>
      <c r="F451" s="32" t="str">
        <f t="shared" ca="1" si="23"/>
        <v/>
      </c>
      <c r="G451" s="165">
        <v>584246476973</v>
      </c>
      <c r="I451" s="147" t="str">
        <v>OrLANdo Marcano</v>
      </c>
      <c r="J451" s="110"/>
    </row>
    <row r="452" spans="1:10" x14ac:dyDescent="0.25">
      <c r="A452" s="9">
        <v>15</v>
      </c>
      <c r="B452" s="8" t="s">
        <v>1758</v>
      </c>
      <c r="C452" s="19" t="s">
        <v>6</v>
      </c>
      <c r="D452" s="19" t="s">
        <v>5</v>
      </c>
      <c r="E452" s="12" t="s">
        <v>258</v>
      </c>
      <c r="F452" s="32" t="str">
        <f t="shared" ca="1" si="23"/>
        <v/>
      </c>
      <c r="G452" s="165">
        <v>584246476973</v>
      </c>
      <c r="I452" s="147" t="str">
        <v>Jonathan Godoy</v>
      </c>
      <c r="J452" s="110"/>
    </row>
    <row r="453" spans="1:10" x14ac:dyDescent="0.25">
      <c r="A453" s="9">
        <v>16</v>
      </c>
      <c r="B453" s="17" t="s">
        <v>879</v>
      </c>
      <c r="C453" s="19" t="s">
        <v>6</v>
      </c>
      <c r="D453" s="19" t="s">
        <v>5</v>
      </c>
      <c r="E453" s="12" t="s">
        <v>45</v>
      </c>
      <c r="F453" s="32" t="str">
        <f t="shared" ca="1" si="23"/>
        <v/>
      </c>
      <c r="G453" s="165">
        <v>584122243095</v>
      </c>
      <c r="I453" s="147" t="str">
        <v>Mayerlin Acosta</v>
      </c>
      <c r="J453" s="110"/>
    </row>
    <row r="454" spans="1:10" x14ac:dyDescent="0.25">
      <c r="A454" s="9">
        <v>17</v>
      </c>
      <c r="B454" s="8" t="s">
        <v>1816</v>
      </c>
      <c r="C454" s="19" t="s">
        <v>5</v>
      </c>
      <c r="D454" s="19" t="s">
        <v>5</v>
      </c>
      <c r="E454" s="12" t="s">
        <v>337</v>
      </c>
      <c r="F454" s="32" t="str">
        <f t="shared" ca="1" si="23"/>
        <v/>
      </c>
      <c r="G454" s="165">
        <v>584246765278</v>
      </c>
      <c r="I454" s="147" t="str">
        <v>Karla Castrillón</v>
      </c>
      <c r="J454" s="110"/>
    </row>
    <row r="455" spans="1:10" ht="15.75" customHeight="1" x14ac:dyDescent="0.25">
      <c r="A455" s="9">
        <v>18</v>
      </c>
      <c r="B455" s="17" t="s">
        <v>1762</v>
      </c>
      <c r="C455" s="19" t="s">
        <v>6</v>
      </c>
      <c r="D455" s="19" t="s">
        <v>6</v>
      </c>
      <c r="E455" s="12" t="s">
        <v>150</v>
      </c>
      <c r="F455" s="32">
        <f t="shared" ca="1" si="23"/>
        <v>46287</v>
      </c>
      <c r="I455" s="147" t="str">
        <v xml:space="preserve">Gabriel Rosales </v>
      </c>
      <c r="J455" s="110"/>
    </row>
    <row r="456" spans="1:10" x14ac:dyDescent="0.25">
      <c r="A456" s="9">
        <v>19</v>
      </c>
      <c r="B456" s="33" t="s">
        <v>1709</v>
      </c>
      <c r="C456" s="19" t="s">
        <v>6</v>
      </c>
      <c r="D456" s="19" t="s">
        <v>5</v>
      </c>
      <c r="E456" s="12" t="s">
        <v>150</v>
      </c>
      <c r="F456" s="32" t="str">
        <f t="shared" ca="1" si="23"/>
        <v/>
      </c>
      <c r="G456" s="138">
        <v>584127643433</v>
      </c>
      <c r="I456" s="147" t="str">
        <v xml:space="preserve">Jonathan Cordero </v>
      </c>
      <c r="J456" s="110"/>
    </row>
    <row r="457" spans="1:10" ht="15" customHeight="1" x14ac:dyDescent="0.25">
      <c r="A457" s="9">
        <v>20</v>
      </c>
      <c r="B457" s="33" t="s">
        <v>646</v>
      </c>
      <c r="C457" s="19" t="s">
        <v>6</v>
      </c>
      <c r="D457" s="19" t="s">
        <v>6</v>
      </c>
      <c r="E457" s="12" t="s">
        <v>45</v>
      </c>
      <c r="F457" s="32">
        <f t="shared" ca="1" si="23"/>
        <v>46300</v>
      </c>
      <c r="G457" s="165">
        <v>584127643433</v>
      </c>
      <c r="H457" s="68"/>
      <c r="I457" s="147" t="str">
        <v>Yadniel Osechas</v>
      </c>
      <c r="J457" s="110"/>
    </row>
    <row r="458" spans="1:10" x14ac:dyDescent="0.25">
      <c r="A458" s="9">
        <v>21</v>
      </c>
      <c r="B458" s="8" t="s">
        <v>235</v>
      </c>
      <c r="C458" s="19" t="s">
        <v>5</v>
      </c>
      <c r="D458" s="19" t="s">
        <v>5</v>
      </c>
      <c r="E458" s="12" t="s">
        <v>1248</v>
      </c>
      <c r="F458" s="32" t="str">
        <f t="shared" ca="1" si="23"/>
        <v/>
      </c>
      <c r="G458" s="165">
        <v>584128546744</v>
      </c>
      <c r="I458" s="147" t="str">
        <v>Maria Gonzalez</v>
      </c>
      <c r="J458" s="110"/>
    </row>
    <row r="459" spans="1:10" x14ac:dyDescent="0.25">
      <c r="A459" s="9">
        <v>22</v>
      </c>
      <c r="B459" s="8" t="s">
        <v>1720</v>
      </c>
      <c r="C459" s="19" t="s">
        <v>5</v>
      </c>
      <c r="D459" s="19" t="s">
        <v>5</v>
      </c>
      <c r="E459" s="12" t="s">
        <v>1248</v>
      </c>
      <c r="F459" s="32" t="str">
        <f t="shared" ca="1" si="23"/>
        <v/>
      </c>
      <c r="G459" s="165">
        <v>584121238249</v>
      </c>
      <c r="I459" s="147" t="str">
        <v>Abraham Castrillon</v>
      </c>
    </row>
    <row r="460" spans="1:10" x14ac:dyDescent="0.25">
      <c r="A460" s="9">
        <v>23</v>
      </c>
      <c r="B460" s="43" t="s">
        <v>260</v>
      </c>
      <c r="C460" s="19" t="s">
        <v>5</v>
      </c>
      <c r="D460" s="19" t="s">
        <v>6</v>
      </c>
      <c r="E460" s="12" t="s">
        <v>45</v>
      </c>
      <c r="F460" s="32" t="str">
        <f t="shared" ca="1" si="23"/>
        <v/>
      </c>
      <c r="G460" s="165">
        <v>584126485373</v>
      </c>
      <c r="H460" s="41"/>
      <c r="I460" s="147" t="str">
        <v>Milagros García</v>
      </c>
      <c r="J460" s="110"/>
    </row>
    <row r="461" spans="1:10" x14ac:dyDescent="0.25">
      <c r="A461" s="9">
        <v>24</v>
      </c>
      <c r="B461" s="8" t="s">
        <v>142</v>
      </c>
      <c r="C461" s="19" t="s">
        <v>6</v>
      </c>
      <c r="D461" s="19" t="s">
        <v>6</v>
      </c>
      <c r="E461" s="12" t="s">
        <v>150</v>
      </c>
      <c r="F461" s="32">
        <f t="shared" ca="1" si="23"/>
        <v>46287</v>
      </c>
      <c r="I461" s="147" t="str">
        <v>Johelys Gutiérrez</v>
      </c>
      <c r="J461" s="4"/>
    </row>
    <row r="462" spans="1:10" x14ac:dyDescent="0.25">
      <c r="A462" s="9">
        <v>25</v>
      </c>
      <c r="B462" s="8" t="s">
        <v>344</v>
      </c>
      <c r="C462" s="19" t="s">
        <v>6</v>
      </c>
      <c r="D462" s="19" t="s">
        <v>5</v>
      </c>
      <c r="E462" s="12" t="s">
        <v>337</v>
      </c>
      <c r="F462" s="32" t="str">
        <f t="shared" ca="1" si="23"/>
        <v/>
      </c>
      <c r="I462" s="147" t="str">
        <v xml:space="preserve">Arianna pabolis </v>
      </c>
    </row>
    <row r="463" spans="1:10" x14ac:dyDescent="0.25">
      <c r="A463" s="9">
        <v>26</v>
      </c>
      <c r="B463" s="33" t="s">
        <v>1453</v>
      </c>
      <c r="C463" s="19" t="s">
        <v>6</v>
      </c>
      <c r="D463" s="19" t="s">
        <v>6</v>
      </c>
      <c r="E463" s="12" t="s">
        <v>45</v>
      </c>
      <c r="F463" s="32">
        <f t="shared" ca="1" si="23"/>
        <v>46287</v>
      </c>
      <c r="G463" s="138">
        <v>584121741688</v>
      </c>
      <c r="I463" s="147"/>
    </row>
    <row r="464" spans="1:10" ht="14.25" customHeight="1" x14ac:dyDescent="0.25">
      <c r="A464" s="9">
        <v>27</v>
      </c>
      <c r="B464" s="8" t="s">
        <v>237</v>
      </c>
      <c r="C464" s="19" t="s">
        <v>5</v>
      </c>
      <c r="D464" s="19" t="s">
        <v>6</v>
      </c>
      <c r="E464" s="12" t="s">
        <v>150</v>
      </c>
      <c r="F464" s="32" t="str">
        <f t="shared" ca="1" si="23"/>
        <v/>
      </c>
      <c r="I464" s="147"/>
    </row>
    <row r="465" spans="1:10" x14ac:dyDescent="0.25">
      <c r="A465" s="9">
        <v>28</v>
      </c>
      <c r="B465" s="17" t="s">
        <v>290</v>
      </c>
      <c r="C465" s="19" t="s">
        <v>5</v>
      </c>
      <c r="D465" s="19" t="s">
        <v>5</v>
      </c>
      <c r="E465" s="12" t="s">
        <v>45</v>
      </c>
      <c r="F465" s="32" t="str">
        <f t="shared" ca="1" si="23"/>
        <v/>
      </c>
      <c r="G465" s="138">
        <v>584246274271</v>
      </c>
      <c r="I465" s="147"/>
      <c r="J465" s="4"/>
    </row>
    <row r="466" spans="1:10" x14ac:dyDescent="0.25">
      <c r="A466" s="9">
        <v>29</v>
      </c>
      <c r="B466" s="33" t="s">
        <v>1086</v>
      </c>
      <c r="C466" s="19" t="s">
        <v>6</v>
      </c>
      <c r="D466" s="19" t="s">
        <v>6</v>
      </c>
      <c r="E466" s="12" t="s">
        <v>45</v>
      </c>
      <c r="F466" s="32">
        <f t="shared" ca="1" si="23"/>
        <v>46287</v>
      </c>
      <c r="G466" s="138">
        <v>584121741688</v>
      </c>
      <c r="I466" s="147"/>
      <c r="J466" s="4"/>
    </row>
    <row r="467" spans="1:10" x14ac:dyDescent="0.25">
      <c r="A467" s="9">
        <v>31</v>
      </c>
      <c r="B467" s="8" t="s">
        <v>230</v>
      </c>
      <c r="C467" s="19" t="s">
        <v>6</v>
      </c>
      <c r="D467" s="19" t="s">
        <v>6</v>
      </c>
      <c r="E467" s="12" t="s">
        <v>45</v>
      </c>
      <c r="F467" s="32">
        <f t="shared" ca="1" si="23"/>
        <v>46293</v>
      </c>
      <c r="G467" s="138">
        <v>584246939443</v>
      </c>
      <c r="I467" s="147"/>
    </row>
    <row r="468" spans="1:10" x14ac:dyDescent="0.25">
      <c r="A468" s="9">
        <v>32</v>
      </c>
      <c r="B468" s="33" t="s">
        <v>1381</v>
      </c>
      <c r="C468" s="19" t="s">
        <v>6</v>
      </c>
      <c r="D468" s="19" t="s">
        <v>6</v>
      </c>
      <c r="E468" s="12" t="s">
        <v>150</v>
      </c>
      <c r="F468" s="32">
        <f t="shared" ca="1" si="23"/>
        <v>46293</v>
      </c>
      <c r="G468" s="166"/>
      <c r="I468" s="147"/>
    </row>
    <row r="469" spans="1:10" x14ac:dyDescent="0.25">
      <c r="A469" s="9">
        <v>33</v>
      </c>
      <c r="B469" s="33" t="s">
        <v>1371</v>
      </c>
      <c r="C469" s="19" t="s">
        <v>5</v>
      </c>
      <c r="D469" s="19" t="s">
        <v>6</v>
      </c>
      <c r="E469" s="12" t="s">
        <v>45</v>
      </c>
      <c r="F469" s="32" t="str">
        <f ca="1">IF(AND(C469="NO",D469="NO"),IF(F469="",TODAY(),F469),"")</f>
        <v/>
      </c>
      <c r="G469" s="169"/>
    </row>
    <row r="470" spans="1:10" ht="21" x14ac:dyDescent="0.25">
      <c r="A470" s="9">
        <v>34</v>
      </c>
      <c r="B470" s="8" t="s">
        <v>2080</v>
      </c>
      <c r="C470" s="19" t="s">
        <v>6</v>
      </c>
      <c r="D470" s="19" t="s">
        <v>6</v>
      </c>
      <c r="E470" s="12" t="s">
        <v>45</v>
      </c>
      <c r="F470" s="32">
        <f t="shared" ca="1" si="23"/>
        <v>46287</v>
      </c>
      <c r="G470" s="138">
        <v>584246939443</v>
      </c>
      <c r="I470" s="147"/>
      <c r="J470" s="108">
        <f>C551</f>
        <v>16</v>
      </c>
    </row>
    <row r="471" spans="1:10" x14ac:dyDescent="0.25">
      <c r="A471" s="9">
        <v>35</v>
      </c>
      <c r="B471" s="42" t="s">
        <v>1597</v>
      </c>
      <c r="C471" s="19" t="s">
        <v>6</v>
      </c>
      <c r="D471" s="19" t="s">
        <v>6</v>
      </c>
      <c r="E471" s="20" t="s">
        <v>45</v>
      </c>
      <c r="F471" s="32">
        <f t="shared" ca="1" si="23"/>
        <v>46300</v>
      </c>
      <c r="G471" s="169"/>
    </row>
    <row r="472" spans="1:10" x14ac:dyDescent="0.25">
      <c r="A472" s="9">
        <v>36</v>
      </c>
      <c r="B472" s="33" t="s">
        <v>1711</v>
      </c>
      <c r="C472" s="19" t="s">
        <v>5</v>
      </c>
      <c r="D472" s="19" t="s">
        <v>6</v>
      </c>
      <c r="E472" s="12" t="s">
        <v>45</v>
      </c>
      <c r="F472" s="32" t="str">
        <f t="shared" ca="1" si="23"/>
        <v/>
      </c>
      <c r="I472" s="147"/>
    </row>
    <row r="473" spans="1:10" x14ac:dyDescent="0.25">
      <c r="A473" s="9">
        <v>37</v>
      </c>
      <c r="B473" s="17" t="s">
        <v>293</v>
      </c>
      <c r="C473" s="19" t="s">
        <v>5</v>
      </c>
      <c r="D473" s="19" t="s">
        <v>5</v>
      </c>
      <c r="E473" s="12" t="s">
        <v>45</v>
      </c>
      <c r="F473" s="32" t="str">
        <f t="shared" ca="1" si="23"/>
        <v/>
      </c>
      <c r="G473" s="165" t="s">
        <v>2188</v>
      </c>
      <c r="I473" s="147"/>
    </row>
    <row r="474" spans="1:10" x14ac:dyDescent="0.25">
      <c r="A474" s="9">
        <v>38</v>
      </c>
      <c r="B474" s="8" t="s">
        <v>264</v>
      </c>
      <c r="C474" s="19" t="s">
        <v>5</v>
      </c>
      <c r="D474" s="19" t="s">
        <v>6</v>
      </c>
      <c r="E474" s="12" t="s">
        <v>45</v>
      </c>
      <c r="F474" s="32" t="str">
        <f t="shared" ca="1" si="23"/>
        <v/>
      </c>
      <c r="I474" s="147"/>
    </row>
    <row r="475" spans="1:10" x14ac:dyDescent="0.25">
      <c r="A475" s="9">
        <v>39</v>
      </c>
      <c r="B475" s="8" t="s">
        <v>224</v>
      </c>
      <c r="C475" s="19" t="s">
        <v>5</v>
      </c>
      <c r="D475" s="19" t="s">
        <v>6</v>
      </c>
      <c r="E475" s="12" t="s">
        <v>337</v>
      </c>
      <c r="F475" s="32" t="str">
        <f ca="1">IF(AND(C475="NO",D475="NO"),IF(F475="",TODAY(),F475),"")</f>
        <v/>
      </c>
      <c r="G475" s="122">
        <v>584146711447</v>
      </c>
    </row>
    <row r="476" spans="1:10" x14ac:dyDescent="0.25">
      <c r="A476" s="9">
        <v>328</v>
      </c>
      <c r="B476" s="33" t="s">
        <v>828</v>
      </c>
      <c r="C476" s="19" t="s">
        <v>5</v>
      </c>
      <c r="D476" s="19" t="s">
        <v>6</v>
      </c>
      <c r="E476" s="12" t="s">
        <v>150</v>
      </c>
      <c r="F476" s="32" t="str">
        <f ca="1">IF(AND(C476="NO",D476="NO"),IF(F476="",TODAY(),F476),"")</f>
        <v/>
      </c>
      <c r="G476" s="169"/>
    </row>
    <row r="477" spans="1:10" x14ac:dyDescent="0.25">
      <c r="A477" s="9">
        <v>40</v>
      </c>
      <c r="B477" s="8" t="s">
        <v>239</v>
      </c>
      <c r="C477" s="19" t="s">
        <v>6</v>
      </c>
      <c r="D477" s="19" t="s">
        <v>6</v>
      </c>
      <c r="E477" s="12" t="s">
        <v>45</v>
      </c>
      <c r="F477" s="32">
        <f t="shared" ca="1" si="23"/>
        <v>46306</v>
      </c>
      <c r="G477" s="165">
        <v>584246370439</v>
      </c>
      <c r="I477" s="4"/>
      <c r="J477" s="4"/>
    </row>
    <row r="478" spans="1:10" x14ac:dyDescent="0.25">
      <c r="A478" s="9">
        <v>41</v>
      </c>
      <c r="B478" s="8" t="s">
        <v>214</v>
      </c>
      <c r="C478" s="19" t="s">
        <v>6</v>
      </c>
      <c r="D478" s="19" t="s">
        <v>5</v>
      </c>
      <c r="E478" s="12" t="s">
        <v>258</v>
      </c>
      <c r="F478" s="32" t="str">
        <f t="shared" ca="1" si="23"/>
        <v/>
      </c>
      <c r="G478" s="165">
        <v>584246567451</v>
      </c>
    </row>
    <row r="479" spans="1:10" x14ac:dyDescent="0.25">
      <c r="A479" s="9">
        <v>42</v>
      </c>
      <c r="B479" s="8" t="s">
        <v>1547</v>
      </c>
      <c r="C479" s="19" t="s">
        <v>6</v>
      </c>
      <c r="D479" s="19" t="s">
        <v>6</v>
      </c>
      <c r="E479" s="82" t="s">
        <v>45</v>
      </c>
      <c r="F479" s="161"/>
    </row>
    <row r="480" spans="1:10" x14ac:dyDescent="0.25">
      <c r="A480" s="9">
        <v>43</v>
      </c>
      <c r="B480" s="33" t="s">
        <v>495</v>
      </c>
      <c r="C480" s="19" t="s">
        <v>6</v>
      </c>
      <c r="D480" s="19" t="s">
        <v>6</v>
      </c>
      <c r="E480" s="12" t="s">
        <v>45</v>
      </c>
      <c r="F480" s="32">
        <f t="shared" ref="F480:F506" ca="1" si="24">IF(AND(C480="NO",D480="NO"),IF(F480="",TODAY(),F480),"")</f>
        <v>46293</v>
      </c>
      <c r="G480" s="165">
        <v>584146119220</v>
      </c>
    </row>
    <row r="481" spans="1:7" x14ac:dyDescent="0.25">
      <c r="A481" s="9">
        <v>44</v>
      </c>
      <c r="B481" s="33" t="s">
        <v>263</v>
      </c>
      <c r="C481" s="19" t="s">
        <v>6</v>
      </c>
      <c r="D481" s="19" t="s">
        <v>6</v>
      </c>
      <c r="E481" s="12" t="s">
        <v>298</v>
      </c>
      <c r="F481" s="32">
        <f t="shared" ca="1" si="24"/>
        <v>46300</v>
      </c>
      <c r="G481" s="165">
        <v>584246734296</v>
      </c>
    </row>
    <row r="482" spans="1:7" x14ac:dyDescent="0.25">
      <c r="A482" s="9">
        <v>45</v>
      </c>
      <c r="B482" s="17" t="s">
        <v>241</v>
      </c>
      <c r="C482" s="19" t="s">
        <v>5</v>
      </c>
      <c r="D482" s="19" t="s">
        <v>5</v>
      </c>
      <c r="E482" s="12" t="s">
        <v>298</v>
      </c>
      <c r="F482" s="32" t="str">
        <f t="shared" ca="1" si="24"/>
        <v/>
      </c>
      <c r="G482" s="165">
        <v>584128422459</v>
      </c>
    </row>
    <row r="483" spans="1:7" x14ac:dyDescent="0.25">
      <c r="A483" s="9">
        <v>46</v>
      </c>
      <c r="B483" s="33" t="s">
        <v>1311</v>
      </c>
      <c r="C483" s="19" t="s">
        <v>6</v>
      </c>
      <c r="D483" s="19" t="s">
        <v>6</v>
      </c>
      <c r="E483" s="12" t="s">
        <v>45</v>
      </c>
      <c r="F483" s="32">
        <f t="shared" ca="1" si="24"/>
        <v>46293</v>
      </c>
      <c r="G483" s="166"/>
    </row>
    <row r="484" spans="1:7" x14ac:dyDescent="0.25">
      <c r="A484" s="9">
        <v>47</v>
      </c>
      <c r="B484" s="8" t="s">
        <v>1761</v>
      </c>
      <c r="C484" s="19" t="s">
        <v>6</v>
      </c>
      <c r="D484" s="19" t="s">
        <v>6</v>
      </c>
      <c r="E484" s="12" t="s">
        <v>150</v>
      </c>
      <c r="F484" s="32">
        <f t="shared" ca="1" si="24"/>
        <v>46287</v>
      </c>
    </row>
    <row r="485" spans="1:7" x14ac:dyDescent="0.25">
      <c r="A485" s="9">
        <v>48</v>
      </c>
      <c r="B485" s="33" t="s">
        <v>244</v>
      </c>
      <c r="C485" s="19" t="s">
        <v>6</v>
      </c>
      <c r="D485" s="19" t="s">
        <v>6</v>
      </c>
      <c r="E485" s="12" t="s">
        <v>45</v>
      </c>
      <c r="F485" s="32">
        <f t="shared" ca="1" si="24"/>
        <v>46293</v>
      </c>
    </row>
    <row r="486" spans="1:7" x14ac:dyDescent="0.25">
      <c r="A486" s="9">
        <v>49</v>
      </c>
      <c r="B486" s="8" t="s">
        <v>249</v>
      </c>
      <c r="C486" s="19" t="s">
        <v>5</v>
      </c>
      <c r="D486" s="19" t="s">
        <v>5</v>
      </c>
      <c r="E486" s="12" t="s">
        <v>258</v>
      </c>
      <c r="F486" s="32" t="str">
        <f t="shared" ca="1" si="24"/>
        <v/>
      </c>
      <c r="G486" s="165">
        <v>584124881634</v>
      </c>
    </row>
    <row r="487" spans="1:7" x14ac:dyDescent="0.25">
      <c r="A487" s="9">
        <v>50</v>
      </c>
      <c r="B487" s="8" t="s">
        <v>1710</v>
      </c>
      <c r="C487" s="19" t="s">
        <v>6</v>
      </c>
      <c r="D487" s="19" t="s">
        <v>6</v>
      </c>
      <c r="E487" s="12" t="s">
        <v>45</v>
      </c>
      <c r="F487" s="32">
        <f t="shared" ca="1" si="24"/>
        <v>46306</v>
      </c>
      <c r="G487" s="165">
        <v>584246682781</v>
      </c>
    </row>
    <row r="488" spans="1:7" x14ac:dyDescent="0.25">
      <c r="A488" s="9">
        <v>51</v>
      </c>
      <c r="B488" s="47" t="s">
        <v>882</v>
      </c>
      <c r="C488" s="19" t="s">
        <v>6</v>
      </c>
      <c r="D488" s="19" t="s">
        <v>6</v>
      </c>
      <c r="E488" s="12" t="s">
        <v>45</v>
      </c>
      <c r="F488" s="32">
        <f ca="1">IF(AND(C488="NO",D488="NO"),IF(F488="",TODAY(),F488),"")</f>
        <v>46306</v>
      </c>
      <c r="G488" s="169"/>
    </row>
    <row r="489" spans="1:7" x14ac:dyDescent="0.25">
      <c r="A489" s="9">
        <v>52</v>
      </c>
      <c r="B489" s="33" t="s">
        <v>1726</v>
      </c>
      <c r="C489" s="19" t="s">
        <v>5</v>
      </c>
      <c r="D489" s="19" t="s">
        <v>5</v>
      </c>
      <c r="E489" s="12" t="s">
        <v>45</v>
      </c>
      <c r="F489" s="32" t="str">
        <f t="shared" ca="1" si="24"/>
        <v/>
      </c>
    </row>
    <row r="490" spans="1:7" x14ac:dyDescent="0.25">
      <c r="A490" s="9">
        <v>87</v>
      </c>
      <c r="B490" s="17" t="s">
        <v>1060</v>
      </c>
      <c r="C490" s="19" t="s">
        <v>6</v>
      </c>
      <c r="D490" s="112" t="s">
        <v>5</v>
      </c>
      <c r="E490" s="12" t="s">
        <v>150</v>
      </c>
      <c r="F490" s="32" t="str">
        <f ca="1">IF(AND(C490="NO",D490="NO"),IF(F490="",TODAY(),F490),"")</f>
        <v/>
      </c>
      <c r="G490" s="169"/>
    </row>
    <row r="491" spans="1:7" x14ac:dyDescent="0.25">
      <c r="A491" s="9">
        <v>53</v>
      </c>
      <c r="B491" s="33" t="s">
        <v>1769</v>
      </c>
      <c r="C491" s="19" t="s">
        <v>6</v>
      </c>
      <c r="D491" s="19" t="s">
        <v>6</v>
      </c>
      <c r="E491" s="12" t="s">
        <v>45</v>
      </c>
      <c r="F491" s="32">
        <f ca="1">IF(AND(C491="NO",D491="NO"),IF(F491="",TODAY(),F491),"")</f>
        <v>46300</v>
      </c>
      <c r="G491" s="170">
        <v>584220388319</v>
      </c>
    </row>
    <row r="492" spans="1:7" ht="15.75" x14ac:dyDescent="0.25">
      <c r="A492" s="9">
        <v>160</v>
      </c>
      <c r="B492" s="33" t="s">
        <v>1213</v>
      </c>
      <c r="C492" s="19" t="s">
        <v>5</v>
      </c>
      <c r="D492" s="19" t="s">
        <v>6</v>
      </c>
      <c r="E492" s="80" t="s">
        <v>45</v>
      </c>
      <c r="F492" s="32" t="str">
        <f t="shared" ca="1" si="24"/>
        <v/>
      </c>
      <c r="G492" s="169"/>
    </row>
    <row r="493" spans="1:7" x14ac:dyDescent="0.25">
      <c r="A493" s="9">
        <v>320</v>
      </c>
      <c r="B493" s="33" t="s">
        <v>1214</v>
      </c>
      <c r="C493" s="19" t="s">
        <v>5</v>
      </c>
      <c r="D493" s="19" t="s">
        <v>6</v>
      </c>
      <c r="E493" s="12" t="s">
        <v>150</v>
      </c>
      <c r="F493" s="32" t="str">
        <f ca="1">IF(AND(C493="NO",D493="NO"),IF(F493="",TODAY(),F493),"")</f>
        <v/>
      </c>
      <c r="G493" s="169"/>
    </row>
    <row r="494" spans="1:7" x14ac:dyDescent="0.25">
      <c r="A494" s="9">
        <v>54</v>
      </c>
      <c r="B494" s="8" t="s">
        <v>246</v>
      </c>
      <c r="C494" s="19" t="s">
        <v>5</v>
      </c>
      <c r="D494" s="19" t="s">
        <v>5</v>
      </c>
      <c r="E494" s="12" t="s">
        <v>45</v>
      </c>
      <c r="F494" s="32" t="str">
        <f t="shared" ca="1" si="24"/>
        <v/>
      </c>
    </row>
    <row r="495" spans="1:7" x14ac:dyDescent="0.25">
      <c r="A495" s="9">
        <v>55</v>
      </c>
      <c r="B495" s="8" t="s">
        <v>127</v>
      </c>
      <c r="C495" s="19" t="s">
        <v>5</v>
      </c>
      <c r="D495" s="19" t="s">
        <v>5</v>
      </c>
      <c r="E495" s="12" t="s">
        <v>150</v>
      </c>
      <c r="F495" s="32" t="str">
        <f t="shared" ca="1" si="24"/>
        <v/>
      </c>
    </row>
    <row r="496" spans="1:7" x14ac:dyDescent="0.25">
      <c r="A496" s="9">
        <v>56</v>
      </c>
      <c r="B496" s="33" t="s">
        <v>956</v>
      </c>
      <c r="C496" s="19" t="s">
        <v>5</v>
      </c>
      <c r="D496" s="19" t="s">
        <v>6</v>
      </c>
      <c r="E496" s="12" t="s">
        <v>45</v>
      </c>
      <c r="F496" s="32" t="str">
        <f t="shared" ca="1" si="24"/>
        <v/>
      </c>
      <c r="G496" s="170">
        <v>584123244935</v>
      </c>
    </row>
    <row r="497" spans="1:8" x14ac:dyDescent="0.25">
      <c r="A497" s="9">
        <v>57</v>
      </c>
      <c r="B497" s="8" t="s">
        <v>346</v>
      </c>
      <c r="C497" s="19" t="s">
        <v>6</v>
      </c>
      <c r="D497" s="19" t="s">
        <v>5</v>
      </c>
      <c r="E497" s="12" t="s">
        <v>45</v>
      </c>
      <c r="F497" s="32" t="str">
        <f t="shared" ca="1" si="24"/>
        <v/>
      </c>
      <c r="G497" s="165">
        <v>584265610098</v>
      </c>
    </row>
    <row r="498" spans="1:8" x14ac:dyDescent="0.25">
      <c r="A498" s="9">
        <v>58</v>
      </c>
      <c r="B498" s="8" t="s">
        <v>250</v>
      </c>
      <c r="C498" s="19" t="s">
        <v>6</v>
      </c>
      <c r="D498" s="19" t="s">
        <v>5</v>
      </c>
      <c r="E498" s="12" t="s">
        <v>45</v>
      </c>
      <c r="F498" s="32" t="str">
        <f t="shared" ca="1" si="24"/>
        <v/>
      </c>
      <c r="G498" s="165">
        <v>584129021980</v>
      </c>
    </row>
    <row r="499" spans="1:8" x14ac:dyDescent="0.25">
      <c r="A499" s="9">
        <v>59</v>
      </c>
      <c r="B499" s="17" t="s">
        <v>1962</v>
      </c>
      <c r="C499" s="19" t="s">
        <v>5</v>
      </c>
      <c r="D499" s="19" t="s">
        <v>5</v>
      </c>
      <c r="E499" s="12" t="s">
        <v>45</v>
      </c>
      <c r="F499" s="32" t="str">
        <f t="shared" ca="1" si="24"/>
        <v/>
      </c>
    </row>
    <row r="500" spans="1:8" x14ac:dyDescent="0.25">
      <c r="A500" s="9">
        <v>60</v>
      </c>
      <c r="B500" s="33" t="s">
        <v>1963</v>
      </c>
      <c r="C500" s="19" t="s">
        <v>6</v>
      </c>
      <c r="D500" s="19" t="s">
        <v>6</v>
      </c>
      <c r="E500" s="12" t="s">
        <v>383</v>
      </c>
      <c r="F500" s="32">
        <f t="shared" ca="1" si="24"/>
        <v>46287</v>
      </c>
      <c r="G500" s="165">
        <v>584123580423</v>
      </c>
    </row>
    <row r="501" spans="1:8" x14ac:dyDescent="0.25">
      <c r="A501" s="9">
        <v>61</v>
      </c>
      <c r="B501" s="33" t="s">
        <v>1712</v>
      </c>
      <c r="C501" s="19" t="s">
        <v>5</v>
      </c>
      <c r="D501" s="19" t="s">
        <v>5</v>
      </c>
      <c r="E501" s="12" t="s">
        <v>150</v>
      </c>
      <c r="F501" s="32" t="str">
        <f t="shared" ca="1" si="24"/>
        <v/>
      </c>
    </row>
    <row r="502" spans="1:8" x14ac:dyDescent="0.25">
      <c r="A502" s="9">
        <v>62</v>
      </c>
      <c r="B502" s="33" t="s">
        <v>1321</v>
      </c>
      <c r="C502" s="19" t="s">
        <v>6</v>
      </c>
      <c r="D502" s="19" t="s">
        <v>6</v>
      </c>
      <c r="E502" s="12" t="s">
        <v>45</v>
      </c>
      <c r="F502" s="32">
        <f t="shared" ca="1" si="24"/>
        <v>46300</v>
      </c>
      <c r="G502" s="165" t="s">
        <v>2138</v>
      </c>
    </row>
    <row r="503" spans="1:8" x14ac:dyDescent="0.25">
      <c r="A503" s="9">
        <v>63</v>
      </c>
      <c r="B503" s="8" t="s">
        <v>1964</v>
      </c>
      <c r="C503" s="19" t="s">
        <v>6</v>
      </c>
      <c r="D503" s="19" t="s">
        <v>6</v>
      </c>
      <c r="E503" s="12" t="s">
        <v>150</v>
      </c>
      <c r="F503" s="32">
        <f t="shared" ca="1" si="24"/>
        <v>46306</v>
      </c>
      <c r="G503" s="165">
        <v>584246977305</v>
      </c>
    </row>
    <row r="504" spans="1:8" ht="15" customHeight="1" x14ac:dyDescent="0.25">
      <c r="A504" s="9">
        <v>64</v>
      </c>
      <c r="B504" s="8" t="s">
        <v>1965</v>
      </c>
      <c r="C504" s="19" t="s">
        <v>6</v>
      </c>
      <c r="D504" s="19" t="s">
        <v>6</v>
      </c>
      <c r="E504" s="12" t="s">
        <v>150</v>
      </c>
      <c r="F504" s="32">
        <f t="shared" ca="1" si="24"/>
        <v>46306</v>
      </c>
      <c r="G504" s="165">
        <v>584246977305</v>
      </c>
    </row>
    <row r="505" spans="1:8" x14ac:dyDescent="0.25">
      <c r="A505" s="9">
        <v>65</v>
      </c>
      <c r="B505" s="33" t="s">
        <v>588</v>
      </c>
      <c r="C505" s="19" t="s">
        <v>6</v>
      </c>
      <c r="D505" s="19" t="s">
        <v>5</v>
      </c>
      <c r="E505" s="12" t="s">
        <v>150</v>
      </c>
      <c r="F505" s="32" t="str">
        <f t="shared" ca="1" si="24"/>
        <v/>
      </c>
    </row>
    <row r="506" spans="1:8" x14ac:dyDescent="0.25">
      <c r="A506" s="9">
        <v>66</v>
      </c>
      <c r="B506" s="33" t="s">
        <v>1450</v>
      </c>
      <c r="C506" s="19" t="s">
        <v>6</v>
      </c>
      <c r="D506" s="19" t="s">
        <v>5</v>
      </c>
      <c r="E506" s="12" t="s">
        <v>45</v>
      </c>
      <c r="F506" s="32" t="str">
        <f t="shared" ca="1" si="24"/>
        <v/>
      </c>
      <c r="G506" s="165">
        <v>584144229712</v>
      </c>
      <c r="H506" s="70"/>
    </row>
    <row r="507" spans="1:8" x14ac:dyDescent="0.25">
      <c r="A507" s="9">
        <v>67</v>
      </c>
      <c r="B507" s="33" t="s">
        <v>1820</v>
      </c>
      <c r="C507" s="19" t="s">
        <v>6</v>
      </c>
      <c r="D507" s="19" t="s">
        <v>6</v>
      </c>
      <c r="E507" s="12" t="s">
        <v>45</v>
      </c>
      <c r="F507" s="32">
        <f t="shared" ref="F507:F519" ca="1" si="25">IF(AND(C507="NO",D507="NO"),IF(F507="",TODAY(),F507),"")</f>
        <v>46306</v>
      </c>
    </row>
    <row r="508" spans="1:8" x14ac:dyDescent="0.25">
      <c r="A508" s="9">
        <v>68</v>
      </c>
      <c r="B508" s="33" t="s">
        <v>1511</v>
      </c>
      <c r="C508" s="19" t="s">
        <v>6</v>
      </c>
      <c r="D508" s="19" t="s">
        <v>5</v>
      </c>
      <c r="E508" s="12" t="s">
        <v>150</v>
      </c>
      <c r="F508" s="32" t="str">
        <f t="shared" ca="1" si="25"/>
        <v/>
      </c>
    </row>
    <row r="509" spans="1:8" ht="13.5" customHeight="1" x14ac:dyDescent="0.25">
      <c r="A509" s="9">
        <v>69</v>
      </c>
      <c r="B509" s="33" t="s">
        <v>1760</v>
      </c>
      <c r="C509" s="19" t="s">
        <v>6</v>
      </c>
      <c r="D509" s="19" t="s">
        <v>5</v>
      </c>
      <c r="E509" s="12" t="s">
        <v>45</v>
      </c>
      <c r="F509" s="32" t="str">
        <f t="shared" ca="1" si="25"/>
        <v/>
      </c>
    </row>
    <row r="510" spans="1:8" x14ac:dyDescent="0.25">
      <c r="A510" s="9">
        <v>70</v>
      </c>
      <c r="B510" s="17" t="s">
        <v>186</v>
      </c>
      <c r="C510" s="19" t="s">
        <v>6</v>
      </c>
      <c r="D510" s="19" t="s">
        <v>6</v>
      </c>
      <c r="E510" s="12" t="s">
        <v>337</v>
      </c>
      <c r="F510" s="32">
        <f t="shared" ca="1" si="25"/>
        <v>46300</v>
      </c>
    </row>
    <row r="511" spans="1:8" x14ac:dyDescent="0.25">
      <c r="A511" s="9">
        <v>71</v>
      </c>
      <c r="B511" s="33" t="s">
        <v>1783</v>
      </c>
      <c r="C511" s="19" t="s">
        <v>6</v>
      </c>
      <c r="D511" s="19" t="s">
        <v>5</v>
      </c>
      <c r="E511" s="12" t="s">
        <v>337</v>
      </c>
      <c r="F511" s="32" t="str">
        <f t="shared" ca="1" si="25"/>
        <v/>
      </c>
    </row>
    <row r="512" spans="1:8" ht="15" customHeight="1" x14ac:dyDescent="0.25">
      <c r="A512" s="9">
        <v>72</v>
      </c>
      <c r="B512" s="33" t="s">
        <v>953</v>
      </c>
      <c r="C512" s="19" t="s">
        <v>5</v>
      </c>
      <c r="D512" s="19" t="s">
        <v>6</v>
      </c>
      <c r="E512" s="12" t="s">
        <v>150</v>
      </c>
      <c r="F512" s="32" t="str">
        <f t="shared" ca="1" si="25"/>
        <v/>
      </c>
      <c r="G512" s="166"/>
      <c r="H512" s="67"/>
    </row>
    <row r="513" spans="1:9" ht="15" customHeight="1" x14ac:dyDescent="0.25">
      <c r="A513" s="9">
        <v>73</v>
      </c>
      <c r="B513" s="33" t="s">
        <v>1791</v>
      </c>
      <c r="C513" s="19" t="s">
        <v>6</v>
      </c>
      <c r="D513" s="19" t="s">
        <v>6</v>
      </c>
      <c r="E513" s="12" t="s">
        <v>45</v>
      </c>
      <c r="F513" s="32">
        <f t="shared" ca="1" si="25"/>
        <v>46300</v>
      </c>
    </row>
    <row r="514" spans="1:9" ht="15" customHeight="1" x14ac:dyDescent="0.25">
      <c r="A514" s="9">
        <v>74</v>
      </c>
      <c r="B514" s="33" t="s">
        <v>1881</v>
      </c>
      <c r="C514" s="19" t="s">
        <v>5</v>
      </c>
      <c r="D514" s="19" t="s">
        <v>6</v>
      </c>
      <c r="E514" s="12" t="s">
        <v>45</v>
      </c>
      <c r="F514" s="32" t="str">
        <f t="shared" ca="1" si="25"/>
        <v/>
      </c>
      <c r="H514" s="73"/>
    </row>
    <row r="515" spans="1:9" ht="14.25" customHeight="1" x14ac:dyDescent="0.25">
      <c r="A515" s="9">
        <v>75</v>
      </c>
      <c r="B515" s="33" t="s">
        <v>2001</v>
      </c>
      <c r="C515" s="19" t="s">
        <v>5</v>
      </c>
      <c r="D515" s="19" t="s">
        <v>6</v>
      </c>
      <c r="E515" s="12" t="s">
        <v>337</v>
      </c>
      <c r="F515" s="32" t="str">
        <f t="shared" ca="1" si="25"/>
        <v/>
      </c>
      <c r="G515" s="165"/>
      <c r="H515" s="92"/>
    </row>
    <row r="516" spans="1:9" ht="15" customHeight="1" x14ac:dyDescent="0.25">
      <c r="A516" s="9">
        <v>76</v>
      </c>
      <c r="B516" s="33" t="s">
        <v>2002</v>
      </c>
      <c r="C516" s="19" t="s">
        <v>5</v>
      </c>
      <c r="D516" s="19" t="s">
        <v>6</v>
      </c>
      <c r="E516" s="12" t="s">
        <v>337</v>
      </c>
      <c r="F516" s="32" t="str">
        <f t="shared" ca="1" si="25"/>
        <v/>
      </c>
      <c r="G516" s="165"/>
      <c r="H516" s="100"/>
      <c r="I516" s="111"/>
    </row>
    <row r="517" spans="1:9" x14ac:dyDescent="0.25">
      <c r="A517" s="9">
        <v>77</v>
      </c>
      <c r="B517" s="33" t="s">
        <v>1212</v>
      </c>
      <c r="C517" s="19" t="s">
        <v>6</v>
      </c>
      <c r="D517" s="19" t="s">
        <v>6</v>
      </c>
      <c r="E517" s="12" t="s">
        <v>45</v>
      </c>
      <c r="F517" s="32">
        <f t="shared" ca="1" si="25"/>
        <v>46300</v>
      </c>
      <c r="G517" s="166"/>
    </row>
    <row r="518" spans="1:9" ht="15" customHeight="1" x14ac:dyDescent="0.25">
      <c r="A518" s="9">
        <v>78</v>
      </c>
      <c r="B518" s="8" t="s">
        <v>1566</v>
      </c>
      <c r="C518" s="19" t="s">
        <v>6</v>
      </c>
      <c r="D518" s="19" t="s">
        <v>6</v>
      </c>
      <c r="E518" s="12" t="s">
        <v>45</v>
      </c>
      <c r="F518" s="32">
        <f t="shared" ca="1" si="25"/>
        <v>46293</v>
      </c>
      <c r="G518" s="166"/>
      <c r="H518" s="37"/>
    </row>
    <row r="519" spans="1:9" ht="15" customHeight="1" x14ac:dyDescent="0.25">
      <c r="A519" s="9">
        <v>79</v>
      </c>
      <c r="B519" s="33" t="s">
        <v>2065</v>
      </c>
      <c r="C519" s="19" t="s">
        <v>6</v>
      </c>
      <c r="D519" s="19" t="s">
        <v>6</v>
      </c>
      <c r="E519" s="12" t="s">
        <v>45</v>
      </c>
      <c r="F519" s="32">
        <f t="shared" ca="1" si="25"/>
        <v>46287</v>
      </c>
      <c r="G519" s="165"/>
      <c r="H519" s="37"/>
    </row>
    <row r="520" spans="1:9" x14ac:dyDescent="0.25">
      <c r="A520" s="9">
        <v>80</v>
      </c>
      <c r="B520" s="33" t="s">
        <v>2071</v>
      </c>
      <c r="C520" s="19" t="s">
        <v>6</v>
      </c>
      <c r="D520" s="19" t="s">
        <v>5</v>
      </c>
      <c r="E520" s="12" t="s">
        <v>45</v>
      </c>
      <c r="F520" s="32" t="str">
        <f t="shared" ref="F520:F543" ca="1" si="26">IF(AND(C520="NO",D520="NO"),IF(F520="",TODAY(),F520),"")</f>
        <v/>
      </c>
      <c r="G520" s="165"/>
    </row>
    <row r="521" spans="1:9" ht="15" customHeight="1" x14ac:dyDescent="0.25">
      <c r="A521" s="9">
        <v>81</v>
      </c>
      <c r="B521" s="33" t="s">
        <v>2090</v>
      </c>
      <c r="C521" s="19" t="s">
        <v>6</v>
      </c>
      <c r="D521" s="19" t="s">
        <v>5</v>
      </c>
      <c r="E521" s="12" t="s">
        <v>337</v>
      </c>
      <c r="F521" s="32" t="str">
        <f t="shared" ca="1" si="26"/>
        <v/>
      </c>
      <c r="G521" s="165"/>
      <c r="H521" s="37"/>
    </row>
    <row r="522" spans="1:9" x14ac:dyDescent="0.25">
      <c r="A522" s="9">
        <v>82</v>
      </c>
      <c r="B522" s="33" t="s">
        <v>2098</v>
      </c>
      <c r="C522" s="19" t="s">
        <v>6</v>
      </c>
      <c r="D522" s="19" t="s">
        <v>6</v>
      </c>
      <c r="E522" s="12" t="s">
        <v>45</v>
      </c>
      <c r="F522" s="32">
        <f t="shared" ca="1" si="26"/>
        <v>46293</v>
      </c>
    </row>
    <row r="523" spans="1:9" x14ac:dyDescent="0.25">
      <c r="A523" s="9">
        <v>83</v>
      </c>
      <c r="B523" s="33" t="s">
        <v>2121</v>
      </c>
      <c r="C523" s="19" t="s">
        <v>6</v>
      </c>
      <c r="D523" s="19" t="s">
        <v>6</v>
      </c>
      <c r="E523" s="12" t="s">
        <v>45</v>
      </c>
      <c r="F523" s="32">
        <f t="shared" ref="F523" ca="1" si="27">IF(AND(C523="NO",D523="NO"),IF(F523="",TODAY(),F523),"")</f>
        <v>46293</v>
      </c>
    </row>
    <row r="524" spans="1:9" x14ac:dyDescent="0.25">
      <c r="A524" s="9">
        <v>84</v>
      </c>
      <c r="B524" s="33" t="s">
        <v>2122</v>
      </c>
      <c r="C524" s="19" t="s">
        <v>6</v>
      </c>
      <c r="D524" s="19" t="s">
        <v>6</v>
      </c>
      <c r="E524" s="12" t="s">
        <v>45</v>
      </c>
      <c r="F524" s="32">
        <f t="shared" ref="F524:F542" ca="1" si="28">IF(AND(C524="NO",D524="NO"),IF(F524="",TODAY(),F524),"")</f>
        <v>46293</v>
      </c>
    </row>
    <row r="525" spans="1:9" x14ac:dyDescent="0.25">
      <c r="A525" s="9">
        <v>85</v>
      </c>
      <c r="B525" s="33" t="s">
        <v>2123</v>
      </c>
      <c r="C525" s="19" t="s">
        <v>6</v>
      </c>
      <c r="D525" s="19" t="s">
        <v>6</v>
      </c>
      <c r="E525" s="12" t="s">
        <v>45</v>
      </c>
      <c r="F525" s="32">
        <f t="shared" ca="1" si="28"/>
        <v>46293</v>
      </c>
    </row>
    <row r="526" spans="1:9" x14ac:dyDescent="0.25">
      <c r="A526" s="9">
        <v>86</v>
      </c>
      <c r="B526" s="33" t="s">
        <v>2132</v>
      </c>
      <c r="C526" s="19" t="s">
        <v>6</v>
      </c>
      <c r="D526" s="19" t="s">
        <v>6</v>
      </c>
      <c r="E526" s="12" t="s">
        <v>45</v>
      </c>
      <c r="F526" s="32">
        <f t="shared" ca="1" si="28"/>
        <v>46293</v>
      </c>
    </row>
    <row r="527" spans="1:9" x14ac:dyDescent="0.25">
      <c r="A527" s="9">
        <v>87</v>
      </c>
      <c r="B527" s="33" t="s">
        <v>2133</v>
      </c>
      <c r="C527" s="19" t="s">
        <v>6</v>
      </c>
      <c r="D527" s="19" t="s">
        <v>6</v>
      </c>
      <c r="E527" s="12" t="s">
        <v>45</v>
      </c>
      <c r="F527" s="32">
        <f t="shared" ca="1" si="28"/>
        <v>46293</v>
      </c>
    </row>
    <row r="528" spans="1:9" x14ac:dyDescent="0.25">
      <c r="A528" s="9">
        <v>88</v>
      </c>
      <c r="B528" s="33" t="s">
        <v>2134</v>
      </c>
      <c r="C528" s="19" t="s">
        <v>6</v>
      </c>
      <c r="D528" s="19" t="s">
        <v>6</v>
      </c>
      <c r="E528" s="12" t="s">
        <v>337</v>
      </c>
      <c r="F528" s="32">
        <f t="shared" ca="1" si="28"/>
        <v>46300</v>
      </c>
    </row>
    <row r="529" spans="1:7" x14ac:dyDescent="0.25">
      <c r="A529" s="9">
        <v>89</v>
      </c>
      <c r="B529" s="33" t="s">
        <v>2139</v>
      </c>
      <c r="C529" s="19" t="s">
        <v>6</v>
      </c>
      <c r="D529" s="19" t="s">
        <v>6</v>
      </c>
      <c r="E529" s="12" t="s">
        <v>45</v>
      </c>
      <c r="F529" s="32">
        <f t="shared" ca="1" si="28"/>
        <v>46306</v>
      </c>
    </row>
    <row r="530" spans="1:7" x14ac:dyDescent="0.25">
      <c r="A530" s="9">
        <v>90</v>
      </c>
      <c r="B530" s="33" t="s">
        <v>2140</v>
      </c>
      <c r="C530" s="19" t="s">
        <v>5</v>
      </c>
      <c r="D530" s="19" t="s">
        <v>6</v>
      </c>
      <c r="E530" s="12" t="s">
        <v>45</v>
      </c>
      <c r="F530" s="32" t="str">
        <f t="shared" ref="F530:F532" ca="1" si="29">IF(AND(C530="NO",D530="NO"),IF(F530="",TODAY(),F530),"")</f>
        <v/>
      </c>
      <c r="G530" s="165">
        <v>584123357800</v>
      </c>
    </row>
    <row r="531" spans="1:7" x14ac:dyDescent="0.25">
      <c r="A531" s="9">
        <v>91</v>
      </c>
      <c r="B531" s="33" t="s">
        <v>2156</v>
      </c>
      <c r="C531" s="19" t="s">
        <v>6</v>
      </c>
      <c r="D531" s="19" t="s">
        <v>6</v>
      </c>
      <c r="E531" s="12" t="s">
        <v>45</v>
      </c>
      <c r="F531" s="32">
        <f t="shared" ref="F531" ca="1" si="30">IF(AND(C531="NO",D531="NO"),IF(F531="",TODAY(),F531),"")</f>
        <v>46300</v>
      </c>
    </row>
    <row r="532" spans="1:7" x14ac:dyDescent="0.25">
      <c r="A532" s="9">
        <v>92</v>
      </c>
      <c r="B532" s="33" t="s">
        <v>2180</v>
      </c>
      <c r="C532" s="19" t="s">
        <v>5</v>
      </c>
      <c r="D532" s="19" t="s">
        <v>6</v>
      </c>
      <c r="E532" s="12" t="s">
        <v>45</v>
      </c>
      <c r="F532" s="32" t="str">
        <f t="shared" ca="1" si="29"/>
        <v/>
      </c>
    </row>
    <row r="533" spans="1:7" x14ac:dyDescent="0.25">
      <c r="A533" s="9">
        <v>93</v>
      </c>
      <c r="B533" s="33" t="s">
        <v>2157</v>
      </c>
      <c r="C533" s="19" t="s">
        <v>5</v>
      </c>
      <c r="D533" s="19" t="s">
        <v>6</v>
      </c>
      <c r="E533" s="12" t="s">
        <v>45</v>
      </c>
      <c r="F533" s="32" t="str">
        <f t="shared" ca="1" si="28"/>
        <v/>
      </c>
    </row>
    <row r="534" spans="1:7" x14ac:dyDescent="0.25">
      <c r="A534" s="9">
        <v>338</v>
      </c>
      <c r="B534" s="33" t="s">
        <v>952</v>
      </c>
      <c r="C534" s="19" t="s">
        <v>5</v>
      </c>
      <c r="D534" s="19" t="s">
        <v>6</v>
      </c>
      <c r="E534" s="12" t="s">
        <v>150</v>
      </c>
      <c r="F534" s="32" t="str">
        <f ca="1">IF(AND(C534="NO",D534="NO"),IF(F534="",TODAY(),F534),"")</f>
        <v/>
      </c>
      <c r="G534" s="169"/>
    </row>
    <row r="535" spans="1:7" x14ac:dyDescent="0.25">
      <c r="A535" s="9">
        <v>94</v>
      </c>
      <c r="B535" s="33" t="s">
        <v>2158</v>
      </c>
      <c r="C535" s="19" t="s">
        <v>6</v>
      </c>
      <c r="D535" s="19" t="s">
        <v>6</v>
      </c>
      <c r="E535" s="12" t="s">
        <v>45</v>
      </c>
      <c r="F535" s="32">
        <f t="shared" ref="F535" ca="1" si="31">IF(AND(C535="NO",D535="NO"),IF(F535="",TODAY(),F535),"")</f>
        <v>46300</v>
      </c>
    </row>
    <row r="536" spans="1:7" x14ac:dyDescent="0.25">
      <c r="A536" s="9">
        <v>95</v>
      </c>
      <c r="B536" s="33" t="s">
        <v>2166</v>
      </c>
      <c r="C536" s="19" t="s">
        <v>6</v>
      </c>
      <c r="D536" s="19" t="s">
        <v>6</v>
      </c>
      <c r="E536" s="12" t="s">
        <v>337</v>
      </c>
      <c r="F536" s="32">
        <f t="shared" ca="1" si="28"/>
        <v>46306</v>
      </c>
    </row>
    <row r="537" spans="1:7" x14ac:dyDescent="0.25">
      <c r="A537" s="9">
        <v>323</v>
      </c>
      <c r="B537" s="33" t="s">
        <v>2193</v>
      </c>
      <c r="C537" s="19" t="s">
        <v>5</v>
      </c>
      <c r="D537" s="19" t="s">
        <v>6</v>
      </c>
      <c r="E537" s="12" t="s">
        <v>337</v>
      </c>
      <c r="F537" s="32" t="str">
        <f ca="1">IF(AND(C537="NO",D537="NO"),IF(F537="",TODAY(),F537),"")</f>
        <v/>
      </c>
      <c r="G537" s="169"/>
    </row>
    <row r="538" spans="1:7" x14ac:dyDescent="0.25">
      <c r="A538" s="9">
        <v>322</v>
      </c>
      <c r="B538" s="33" t="s">
        <v>2047</v>
      </c>
      <c r="C538" s="19" t="s">
        <v>5</v>
      </c>
      <c r="D538" s="19" t="s">
        <v>6</v>
      </c>
      <c r="E538" s="12" t="s">
        <v>337</v>
      </c>
      <c r="F538" s="32" t="str">
        <f ca="1">IF(AND(C538="NO",D538="NO"),IF(F538="",TODAY(),F538),"")</f>
        <v/>
      </c>
      <c r="G538" s="169"/>
    </row>
    <row r="539" spans="1:7" x14ac:dyDescent="0.25">
      <c r="A539" s="9">
        <v>96</v>
      </c>
      <c r="B539" s="33" t="s">
        <v>2167</v>
      </c>
      <c r="C539" s="19" t="s">
        <v>6</v>
      </c>
      <c r="D539" s="19" t="s">
        <v>6</v>
      </c>
      <c r="E539" s="12" t="s">
        <v>337</v>
      </c>
      <c r="F539" s="32">
        <f t="shared" ca="1" si="28"/>
        <v>46300</v>
      </c>
    </row>
    <row r="540" spans="1:7" x14ac:dyDescent="0.25">
      <c r="A540" s="9">
        <v>96</v>
      </c>
      <c r="B540" s="33" t="s">
        <v>2191</v>
      </c>
      <c r="C540" s="19" t="s">
        <v>5</v>
      </c>
      <c r="D540" s="19" t="s">
        <v>6</v>
      </c>
      <c r="E540" s="12" t="s">
        <v>1707</v>
      </c>
      <c r="F540" s="32" t="str">
        <f t="shared" ca="1" si="28"/>
        <v/>
      </c>
    </row>
    <row r="541" spans="1:7" x14ac:dyDescent="0.25">
      <c r="A541" s="9">
        <v>96</v>
      </c>
      <c r="B541" s="33" t="s">
        <v>2192</v>
      </c>
      <c r="C541" s="19" t="s">
        <v>5</v>
      </c>
      <c r="D541" s="19" t="s">
        <v>6</v>
      </c>
      <c r="E541" s="12" t="s">
        <v>1707</v>
      </c>
      <c r="F541" s="32" t="str">
        <f t="shared" ca="1" si="28"/>
        <v/>
      </c>
    </row>
    <row r="542" spans="1:7" x14ac:dyDescent="0.25">
      <c r="A542" s="9">
        <v>96</v>
      </c>
      <c r="B542" s="33" t="s">
        <v>2200</v>
      </c>
      <c r="C542" s="19" t="s">
        <v>1707</v>
      </c>
      <c r="D542" s="19" t="s">
        <v>5</v>
      </c>
      <c r="E542" s="12" t="s">
        <v>337</v>
      </c>
      <c r="F542" s="32" t="str">
        <f t="shared" ca="1" si="28"/>
        <v/>
      </c>
    </row>
    <row r="543" spans="1:7" x14ac:dyDescent="0.25">
      <c r="A543" s="9">
        <v>96</v>
      </c>
      <c r="B543" s="33" t="s">
        <v>2201</v>
      </c>
      <c r="C543" s="19" t="s">
        <v>1707</v>
      </c>
      <c r="D543" s="19" t="s">
        <v>5</v>
      </c>
      <c r="E543" s="12" t="s">
        <v>337</v>
      </c>
      <c r="F543" s="32" t="str">
        <f t="shared" ca="1" si="26"/>
        <v/>
      </c>
    </row>
    <row r="544" spans="1:7" ht="15" customHeight="1" x14ac:dyDescent="0.25">
      <c r="G544" s="165"/>
    </row>
    <row r="545" spans="1:9" ht="45" x14ac:dyDescent="0.25">
      <c r="A545" s="190" t="s">
        <v>53</v>
      </c>
      <c r="B545" s="191"/>
      <c r="C545" s="10">
        <f>COUNTIF(C438:C543, "SI")</f>
        <v>39</v>
      </c>
      <c r="D545" s="6" t="s">
        <v>50</v>
      </c>
      <c r="E545" s="27">
        <f>C545/A543*100</f>
        <v>40.625</v>
      </c>
      <c r="F545" s="160" t="s">
        <v>1806</v>
      </c>
      <c r="G545" s="166"/>
    </row>
    <row r="546" spans="1:9" ht="45" x14ac:dyDescent="0.25">
      <c r="A546" s="190" t="s">
        <v>54</v>
      </c>
      <c r="B546" s="191"/>
      <c r="C546" s="10">
        <f>COUNTIF(C438:C543, "NO")</f>
        <v>65</v>
      </c>
      <c r="D546" s="6" t="s">
        <v>50</v>
      </c>
      <c r="E546" s="27">
        <f>C546/A543*100</f>
        <v>67.708333333333343</v>
      </c>
      <c r="F546" s="160" t="s">
        <v>1807</v>
      </c>
      <c r="G546" s="165"/>
    </row>
    <row r="547" spans="1:9" ht="15" customHeight="1" x14ac:dyDescent="0.25">
      <c r="A547" s="22"/>
      <c r="B547" s="22"/>
      <c r="C547" s="23"/>
      <c r="D547" s="24"/>
      <c r="E547" s="25"/>
      <c r="F547" s="26"/>
    </row>
    <row r="548" spans="1:9" ht="45" x14ac:dyDescent="0.25">
      <c r="A548" s="190" t="s">
        <v>55</v>
      </c>
      <c r="B548" s="191"/>
      <c r="C548" s="10">
        <f>COUNTIF(D438:D543, "SI")</f>
        <v>38</v>
      </c>
      <c r="D548" s="6" t="s">
        <v>50</v>
      </c>
      <c r="E548" s="27">
        <f>C548/A543*100</f>
        <v>39.583333333333329</v>
      </c>
      <c r="F548" s="160" t="s">
        <v>57</v>
      </c>
      <c r="G548" s="167"/>
    </row>
    <row r="549" spans="1:9" ht="45" x14ac:dyDescent="0.25">
      <c r="A549" s="190" t="s">
        <v>56</v>
      </c>
      <c r="B549" s="191"/>
      <c r="C549" s="10">
        <f>COUNTIF(D438:D543, "NO")</f>
        <v>68</v>
      </c>
      <c r="D549" s="6" t="s">
        <v>50</v>
      </c>
      <c r="E549" s="27">
        <f>C549/A543*100</f>
        <v>70.833333333333343</v>
      </c>
      <c r="F549" s="160" t="s">
        <v>58</v>
      </c>
    </row>
    <row r="550" spans="1:9" ht="15" customHeight="1" x14ac:dyDescent="0.25"/>
    <row r="551" spans="1:9" ht="15" customHeight="1" x14ac:dyDescent="0.25">
      <c r="A551" s="175" t="s">
        <v>1009</v>
      </c>
      <c r="B551" s="176"/>
      <c r="C551" s="179">
        <f>COUNTIFS(C438:C543,"SI",D438:D543,"SI")</f>
        <v>16</v>
      </c>
      <c r="D551" s="180" t="s">
        <v>50</v>
      </c>
      <c r="E551" s="182">
        <f>C551/A543*100</f>
        <v>16.666666666666664</v>
      </c>
      <c r="F551" s="184" t="s">
        <v>1011</v>
      </c>
    </row>
    <row r="552" spans="1:9" ht="14.25" customHeight="1" x14ac:dyDescent="0.25">
      <c r="A552" s="177"/>
      <c r="B552" s="178"/>
      <c r="C552" s="179"/>
      <c r="D552" s="181"/>
      <c r="E552" s="183"/>
      <c r="F552" s="185"/>
    </row>
    <row r="553" spans="1:9" ht="15" customHeight="1" x14ac:dyDescent="0.25">
      <c r="A553" s="175" t="s">
        <v>1010</v>
      </c>
      <c r="B553" s="176"/>
      <c r="C553" s="179">
        <f>COUNTIFS(C438:C543,"NO",D438:D543,"NO")</f>
        <v>45</v>
      </c>
      <c r="D553" s="180" t="s">
        <v>50</v>
      </c>
      <c r="E553" s="182">
        <f>C553/A543*100</f>
        <v>46.875</v>
      </c>
      <c r="F553" s="184" t="s">
        <v>1012</v>
      </c>
    </row>
    <row r="554" spans="1:9" x14ac:dyDescent="0.25">
      <c r="A554" s="177"/>
      <c r="B554" s="178"/>
      <c r="C554" s="179"/>
      <c r="D554" s="181"/>
      <c r="E554" s="183"/>
      <c r="F554" s="185"/>
      <c r="H554" s="37"/>
    </row>
    <row r="555" spans="1:9" ht="15.75" x14ac:dyDescent="0.25">
      <c r="A555" s="59"/>
      <c r="B555" s="59"/>
      <c r="C555" s="34"/>
      <c r="D555" s="34"/>
    </row>
    <row r="556" spans="1:9" s="65" customFormat="1" x14ac:dyDescent="0.25">
      <c r="A556" s="186" t="s">
        <v>1960</v>
      </c>
      <c r="B556" s="187"/>
      <c r="C556" s="187"/>
      <c r="D556" s="187"/>
      <c r="E556" s="188"/>
      <c r="F556"/>
      <c r="G556" s="163"/>
      <c r="H556"/>
      <c r="I556"/>
    </row>
    <row r="557" spans="1:9" s="65" customFormat="1" x14ac:dyDescent="0.25">
      <c r="A557" s="11" t="s">
        <v>0</v>
      </c>
      <c r="B557" s="11" t="s">
        <v>1</v>
      </c>
      <c r="C557" s="11" t="s">
        <v>2</v>
      </c>
      <c r="D557" s="11" t="s">
        <v>3</v>
      </c>
      <c r="E557" s="11" t="s">
        <v>7</v>
      </c>
      <c r="F557" s="159" t="s">
        <v>1901</v>
      </c>
      <c r="G557" s="140" t="s">
        <v>1902</v>
      </c>
      <c r="H557"/>
      <c r="I557"/>
    </row>
    <row r="558" spans="1:9" x14ac:dyDescent="0.25">
      <c r="A558" s="9">
        <v>1</v>
      </c>
      <c r="B558" s="8" t="s">
        <v>1714</v>
      </c>
      <c r="C558" s="19" t="s">
        <v>5</v>
      </c>
      <c r="D558" s="19" t="s">
        <v>6</v>
      </c>
      <c r="E558" s="12" t="s">
        <v>45</v>
      </c>
      <c r="F558" s="32" t="str">
        <f t="shared" ref="F558:F582" ca="1" si="32">IF(AND(C558="NO",D558="NO"),IF(F558="",TODAY(),F558),"")</f>
        <v/>
      </c>
      <c r="G558" s="165">
        <v>584246056875</v>
      </c>
    </row>
    <row r="559" spans="1:9" x14ac:dyDescent="0.25">
      <c r="A559" s="9">
        <v>2</v>
      </c>
      <c r="B559" s="8" t="s">
        <v>333</v>
      </c>
      <c r="C559" s="19" t="s">
        <v>6</v>
      </c>
      <c r="D559" s="19" t="s">
        <v>6</v>
      </c>
      <c r="E559" s="12" t="s">
        <v>45</v>
      </c>
      <c r="F559" s="32">
        <f t="shared" ca="1" si="32"/>
        <v>46306</v>
      </c>
      <c r="G559" s="165">
        <v>584140687509</v>
      </c>
      <c r="I559" t="str">
        <f t="shared" ref="I559:I565" si="33">IF(AND(C544="SI",D544="SI"),B544,"")</f>
        <v/>
      </c>
    </row>
    <row r="560" spans="1:9" x14ac:dyDescent="0.25">
      <c r="A560" s="9">
        <v>3</v>
      </c>
      <c r="B560" s="8" t="s">
        <v>167</v>
      </c>
      <c r="C560" s="19" t="s">
        <v>5</v>
      </c>
      <c r="D560" s="19" t="s">
        <v>6</v>
      </c>
      <c r="E560" s="12" t="s">
        <v>45</v>
      </c>
      <c r="F560" s="32" t="str">
        <f t="shared" ca="1" si="32"/>
        <v/>
      </c>
      <c r="G560" s="165">
        <v>584122638517</v>
      </c>
      <c r="I560" t="str">
        <f t="shared" si="33"/>
        <v/>
      </c>
    </row>
    <row r="561" spans="1:10" x14ac:dyDescent="0.25">
      <c r="A561" s="9">
        <v>4</v>
      </c>
      <c r="B561" s="17" t="s">
        <v>305</v>
      </c>
      <c r="C561" s="19" t="s">
        <v>6</v>
      </c>
      <c r="D561" s="19" t="s">
        <v>6</v>
      </c>
      <c r="E561" s="12" t="s">
        <v>45</v>
      </c>
      <c r="F561" s="32">
        <f t="shared" ca="1" si="32"/>
        <v>46306</v>
      </c>
      <c r="I561" t="str">
        <f t="shared" si="33"/>
        <v/>
      </c>
    </row>
    <row r="562" spans="1:10" x14ac:dyDescent="0.25">
      <c r="A562" s="9">
        <v>5</v>
      </c>
      <c r="B562" s="8" t="s">
        <v>164</v>
      </c>
      <c r="C562" s="19" t="s">
        <v>5</v>
      </c>
      <c r="D562" s="19" t="s">
        <v>5</v>
      </c>
      <c r="E562" s="12" t="s">
        <v>298</v>
      </c>
      <c r="F562" s="32" t="str">
        <f t="shared" ca="1" si="32"/>
        <v/>
      </c>
      <c r="G562" s="165">
        <v>584246138855</v>
      </c>
      <c r="H562" s="37"/>
      <c r="I562" t="str">
        <f t="shared" si="33"/>
        <v/>
      </c>
    </row>
    <row r="563" spans="1:10" x14ac:dyDescent="0.25">
      <c r="A563" s="9">
        <v>6</v>
      </c>
      <c r="B563" s="8" t="s">
        <v>1713</v>
      </c>
      <c r="C563" s="19" t="s">
        <v>5</v>
      </c>
      <c r="D563" s="19" t="s">
        <v>5</v>
      </c>
      <c r="E563" s="12" t="s">
        <v>298</v>
      </c>
      <c r="F563" s="32" t="str">
        <f t="shared" ca="1" si="32"/>
        <v/>
      </c>
      <c r="G563" s="165">
        <v>584145927007</v>
      </c>
      <c r="I563" t="str">
        <f t="shared" si="33"/>
        <v/>
      </c>
    </row>
    <row r="564" spans="1:10" x14ac:dyDescent="0.25">
      <c r="A564" s="9">
        <v>7</v>
      </c>
      <c r="B564" s="8" t="s">
        <v>1818</v>
      </c>
      <c r="C564" s="19" t="s">
        <v>5</v>
      </c>
      <c r="D564" s="19" t="s">
        <v>6</v>
      </c>
      <c r="E564" s="12" t="s">
        <v>150</v>
      </c>
      <c r="F564" s="32" t="str">
        <f t="shared" ca="1" si="32"/>
        <v/>
      </c>
      <c r="I564" t="str">
        <f t="shared" si="33"/>
        <v/>
      </c>
    </row>
    <row r="565" spans="1:10" x14ac:dyDescent="0.25">
      <c r="A565" s="9">
        <v>8</v>
      </c>
      <c r="B565" s="17" t="s">
        <v>1126</v>
      </c>
      <c r="C565" s="19" t="s">
        <v>5</v>
      </c>
      <c r="D565" s="19" t="s">
        <v>6</v>
      </c>
      <c r="E565" s="12" t="s">
        <v>45</v>
      </c>
      <c r="F565" s="32" t="str">
        <f t="shared" ca="1" si="32"/>
        <v/>
      </c>
      <c r="G565" s="163" t="s">
        <v>2189</v>
      </c>
      <c r="I565" t="str">
        <f t="shared" si="33"/>
        <v/>
      </c>
    </row>
    <row r="566" spans="1:10" ht="15" customHeight="1" x14ac:dyDescent="0.25">
      <c r="A566" s="9">
        <v>9</v>
      </c>
      <c r="B566" s="8" t="s">
        <v>166</v>
      </c>
      <c r="C566" s="19" t="s">
        <v>5</v>
      </c>
      <c r="D566" s="19" t="s">
        <v>5</v>
      </c>
      <c r="E566" s="12" t="s">
        <v>45</v>
      </c>
      <c r="F566" s="32" t="str">
        <f t="shared" ca="1" si="32"/>
        <v/>
      </c>
      <c r="G566" s="165">
        <v>584220396290</v>
      </c>
      <c r="I566" s="231" t="s">
        <v>1960</v>
      </c>
      <c r="J566" s="232"/>
    </row>
    <row r="567" spans="1:10" ht="15" customHeight="1" x14ac:dyDescent="0.25">
      <c r="A567" s="9">
        <v>10</v>
      </c>
      <c r="B567" s="17" t="s">
        <v>1928</v>
      </c>
      <c r="C567" s="19" t="s">
        <v>6</v>
      </c>
      <c r="D567" s="19" t="s">
        <v>6</v>
      </c>
      <c r="E567" s="12" t="s">
        <v>45</v>
      </c>
      <c r="F567" s="32">
        <f t="shared" ca="1" si="32"/>
        <v>46306</v>
      </c>
      <c r="I567" s="147" t="str" cm="1">
        <f t="array" ref="I567:I570">_xlfn._xlws.FILTER(B558:B602,(C558:C602="SI")*(D558:D602="SI"),"")</f>
        <v>Yensi Cañizalez</v>
      </c>
      <c r="J567" s="4"/>
    </row>
    <row r="568" spans="1:10" ht="15" customHeight="1" x14ac:dyDescent="0.25">
      <c r="A568" s="9">
        <v>11</v>
      </c>
      <c r="B568" s="8" t="s">
        <v>23</v>
      </c>
      <c r="C568" s="19" t="s">
        <v>6</v>
      </c>
      <c r="D568" s="19" t="s">
        <v>6</v>
      </c>
      <c r="E568" s="12" t="s">
        <v>312</v>
      </c>
      <c r="F568" s="32">
        <f t="shared" ca="1" si="32"/>
        <v>46287</v>
      </c>
      <c r="I568" s="147" t="str">
        <v>Sorenis Cañizalez</v>
      </c>
      <c r="J568" s="4"/>
    </row>
    <row r="569" spans="1:10" ht="15" customHeight="1" x14ac:dyDescent="0.25">
      <c r="A569" s="9">
        <v>12</v>
      </c>
      <c r="B569" s="17" t="s">
        <v>1536</v>
      </c>
      <c r="C569" s="19" t="s">
        <v>6</v>
      </c>
      <c r="D569" s="19" t="s">
        <v>6</v>
      </c>
      <c r="E569" s="12" t="s">
        <v>45</v>
      </c>
      <c r="F569" s="32">
        <f t="shared" ca="1" si="32"/>
        <v>46306</v>
      </c>
      <c r="G569" s="165">
        <v>584246483933</v>
      </c>
      <c r="I569" s="147" t="str">
        <v>Emiro Ortega</v>
      </c>
      <c r="J569" s="4"/>
    </row>
    <row r="570" spans="1:10" x14ac:dyDescent="0.25">
      <c r="A570" s="9">
        <v>13</v>
      </c>
      <c r="B570" s="17" t="s">
        <v>1579</v>
      </c>
      <c r="C570" s="19" t="s">
        <v>6</v>
      </c>
      <c r="D570" s="19" t="s">
        <v>6</v>
      </c>
      <c r="E570" s="12" t="s">
        <v>45</v>
      </c>
      <c r="F570" s="32">
        <f t="shared" ca="1" si="32"/>
        <v>46306</v>
      </c>
      <c r="I570" s="147" t="str">
        <v>Victoria Colina</v>
      </c>
    </row>
    <row r="571" spans="1:10" x14ac:dyDescent="0.25">
      <c r="A571" s="9">
        <v>14</v>
      </c>
      <c r="B571" s="48" t="s">
        <v>1729</v>
      </c>
      <c r="C571" s="19" t="s">
        <v>5</v>
      </c>
      <c r="D571" s="19" t="s">
        <v>6</v>
      </c>
      <c r="E571" s="12" t="s">
        <v>45</v>
      </c>
      <c r="F571" s="32" t="str">
        <f t="shared" ca="1" si="32"/>
        <v/>
      </c>
      <c r="G571" s="138">
        <v>584246515654</v>
      </c>
      <c r="I571" s="147"/>
    </row>
    <row r="572" spans="1:10" x14ac:dyDescent="0.25">
      <c r="A572" s="9">
        <v>15</v>
      </c>
      <c r="B572" s="8" t="s">
        <v>443</v>
      </c>
      <c r="C572" s="19" t="s">
        <v>6</v>
      </c>
      <c r="D572" s="19" t="s">
        <v>5</v>
      </c>
      <c r="E572" s="12" t="s">
        <v>258</v>
      </c>
      <c r="F572" s="32" t="str">
        <f t="shared" ca="1" si="32"/>
        <v/>
      </c>
      <c r="G572" s="166"/>
      <c r="I572" s="147"/>
    </row>
    <row r="573" spans="1:10" x14ac:dyDescent="0.25">
      <c r="A573" s="9">
        <v>16</v>
      </c>
      <c r="B573" s="48" t="s">
        <v>287</v>
      </c>
      <c r="C573" s="19" t="s">
        <v>5</v>
      </c>
      <c r="D573" s="19" t="s">
        <v>6</v>
      </c>
      <c r="E573" s="12" t="s">
        <v>150</v>
      </c>
      <c r="F573" s="32" t="str">
        <f t="shared" ca="1" si="32"/>
        <v/>
      </c>
      <c r="J573" s="146">
        <f>C610</f>
        <v>4</v>
      </c>
    </row>
    <row r="574" spans="1:10" x14ac:dyDescent="0.25">
      <c r="A574" s="9">
        <v>19</v>
      </c>
      <c r="B574" s="17" t="s">
        <v>2141</v>
      </c>
      <c r="C574" s="19" t="s">
        <v>6</v>
      </c>
      <c r="D574" s="19" t="s">
        <v>6</v>
      </c>
      <c r="E574" s="12" t="s">
        <v>45</v>
      </c>
      <c r="F574" s="32">
        <f t="shared" ca="1" si="32"/>
        <v>46300</v>
      </c>
      <c r="G574" s="166"/>
    </row>
    <row r="575" spans="1:10" x14ac:dyDescent="0.25">
      <c r="A575" s="9">
        <v>21</v>
      </c>
      <c r="B575" s="48" t="s">
        <v>774</v>
      </c>
      <c r="C575" s="19" t="s">
        <v>5</v>
      </c>
      <c r="D575" s="19" t="s">
        <v>6</v>
      </c>
      <c r="E575" s="12" t="s">
        <v>150</v>
      </c>
      <c r="F575" s="32" t="str">
        <f t="shared" ca="1" si="32"/>
        <v/>
      </c>
    </row>
    <row r="576" spans="1:10" x14ac:dyDescent="0.25">
      <c r="A576" s="9">
        <v>23</v>
      </c>
      <c r="B576" s="17" t="s">
        <v>762</v>
      </c>
      <c r="C576" s="19" t="s">
        <v>6</v>
      </c>
      <c r="D576" s="19" t="s">
        <v>6</v>
      </c>
      <c r="E576" s="12" t="s">
        <v>150</v>
      </c>
      <c r="F576" s="32">
        <f t="shared" ca="1" si="32"/>
        <v>46306</v>
      </c>
      <c r="G576" s="166"/>
    </row>
    <row r="577" spans="1:10" x14ac:dyDescent="0.25">
      <c r="A577" s="9">
        <v>24</v>
      </c>
      <c r="B577" s="17" t="s">
        <v>1809</v>
      </c>
      <c r="C577" s="19" t="s">
        <v>5</v>
      </c>
      <c r="D577" s="19" t="s">
        <v>6</v>
      </c>
      <c r="E577" s="12" t="s">
        <v>45</v>
      </c>
      <c r="F577" s="32" t="str">
        <f t="shared" ca="1" si="32"/>
        <v/>
      </c>
      <c r="G577" s="165">
        <v>584142228002</v>
      </c>
    </row>
    <row r="578" spans="1:10" ht="15.75" x14ac:dyDescent="0.25">
      <c r="A578" s="9">
        <v>25</v>
      </c>
      <c r="B578" s="8" t="s">
        <v>18</v>
      </c>
      <c r="C578" s="19" t="s">
        <v>6</v>
      </c>
      <c r="D578" s="19" t="s">
        <v>5</v>
      </c>
      <c r="E578" s="28" t="s">
        <v>45</v>
      </c>
      <c r="F578" s="32" t="str">
        <f t="shared" ca="1" si="32"/>
        <v/>
      </c>
    </row>
    <row r="579" spans="1:10" x14ac:dyDescent="0.25">
      <c r="A579" s="9">
        <v>26</v>
      </c>
      <c r="B579" s="17" t="s">
        <v>1996</v>
      </c>
      <c r="C579" s="19" t="s">
        <v>5</v>
      </c>
      <c r="D579" s="19" t="s">
        <v>6</v>
      </c>
      <c r="E579" s="12" t="s">
        <v>45</v>
      </c>
      <c r="F579" s="32" t="str">
        <f t="shared" ca="1" si="32"/>
        <v/>
      </c>
      <c r="G579" s="166"/>
    </row>
    <row r="580" spans="1:10" x14ac:dyDescent="0.25">
      <c r="A580" s="9">
        <v>27</v>
      </c>
      <c r="B580" s="33" t="s">
        <v>2081</v>
      </c>
      <c r="C580" s="19" t="s">
        <v>6</v>
      </c>
      <c r="D580" s="19" t="s">
        <v>6</v>
      </c>
      <c r="E580" s="12" t="s">
        <v>45</v>
      </c>
      <c r="F580" s="32">
        <f t="shared" ref="F580:F602" ca="1" si="34">IF(AND(C580="NO",D580="NO"),IF(F580="",TODAY(),F580),"")</f>
        <v>46306</v>
      </c>
      <c r="G580" s="138">
        <v>584127281859</v>
      </c>
    </row>
    <row r="581" spans="1:10" x14ac:dyDescent="0.25">
      <c r="A581" s="9">
        <v>28</v>
      </c>
      <c r="B581" s="17" t="s">
        <v>1028</v>
      </c>
      <c r="C581" s="19" t="s">
        <v>6</v>
      </c>
      <c r="D581" s="19" t="s">
        <v>6</v>
      </c>
      <c r="E581" s="12" t="s">
        <v>45</v>
      </c>
      <c r="F581" s="32">
        <f t="shared" ca="1" si="32"/>
        <v>46300</v>
      </c>
      <c r="G581" s="169"/>
    </row>
    <row r="582" spans="1:10" x14ac:dyDescent="0.25">
      <c r="A582" s="9">
        <v>29</v>
      </c>
      <c r="B582" s="17" t="s">
        <v>1029</v>
      </c>
      <c r="C582" s="19" t="s">
        <v>6</v>
      </c>
      <c r="D582" s="19" t="s">
        <v>6</v>
      </c>
      <c r="E582" s="12" t="s">
        <v>45</v>
      </c>
      <c r="F582" s="32">
        <f t="shared" ca="1" si="32"/>
        <v>46300</v>
      </c>
      <c r="G582" s="169"/>
    </row>
    <row r="583" spans="1:10" x14ac:dyDescent="0.25">
      <c r="A583" s="9">
        <v>30</v>
      </c>
      <c r="B583" s="17" t="s">
        <v>2014</v>
      </c>
      <c r="C583" s="19" t="s">
        <v>6</v>
      </c>
      <c r="D583" s="19" t="s">
        <v>6</v>
      </c>
      <c r="E583" s="12" t="s">
        <v>45</v>
      </c>
      <c r="F583" s="32">
        <f t="shared" ca="1" si="34"/>
        <v>46287</v>
      </c>
    </row>
    <row r="584" spans="1:10" x14ac:dyDescent="0.25">
      <c r="A584" s="9">
        <v>31</v>
      </c>
      <c r="B584" s="8" t="s">
        <v>1728</v>
      </c>
      <c r="C584" s="19" t="s">
        <v>6</v>
      </c>
      <c r="D584" s="19" t="s">
        <v>5</v>
      </c>
      <c r="E584" s="12" t="s">
        <v>45</v>
      </c>
      <c r="F584" s="32" t="str">
        <f t="shared" ca="1" si="34"/>
        <v/>
      </c>
      <c r="G584" s="165">
        <v>584126546213</v>
      </c>
    </row>
    <row r="585" spans="1:10" x14ac:dyDescent="0.25">
      <c r="A585" s="9">
        <v>32</v>
      </c>
      <c r="B585" s="8" t="s">
        <v>1386</v>
      </c>
      <c r="C585" s="19" t="s">
        <v>6</v>
      </c>
      <c r="D585" s="19" t="s">
        <v>6</v>
      </c>
      <c r="E585" s="12" t="s">
        <v>45</v>
      </c>
      <c r="F585" s="32">
        <f t="shared" ca="1" si="34"/>
        <v>46300</v>
      </c>
    </row>
    <row r="586" spans="1:10" x14ac:dyDescent="0.25">
      <c r="A586" s="9">
        <v>33</v>
      </c>
      <c r="B586" s="17" t="s">
        <v>1684</v>
      </c>
      <c r="C586" s="19" t="s">
        <v>5</v>
      </c>
      <c r="D586" s="19" t="s">
        <v>5</v>
      </c>
      <c r="E586" s="12" t="s">
        <v>45</v>
      </c>
      <c r="F586" s="32" t="str">
        <f t="shared" ca="1" si="34"/>
        <v/>
      </c>
    </row>
    <row r="587" spans="1:10" x14ac:dyDescent="0.25">
      <c r="A587" s="9">
        <v>34</v>
      </c>
      <c r="B587" s="17" t="s">
        <v>1578</v>
      </c>
      <c r="C587" s="19" t="s">
        <v>6</v>
      </c>
      <c r="D587" s="19" t="s">
        <v>6</v>
      </c>
      <c r="E587" s="12" t="s">
        <v>45</v>
      </c>
      <c r="F587" s="32">
        <f ca="1">IF(AND(C587="NO",D587="NO"),IF(F587="",TODAY(),F587),"")</f>
        <v>46306</v>
      </c>
      <c r="G587" s="169"/>
    </row>
    <row r="588" spans="1:10" x14ac:dyDescent="0.25">
      <c r="A588" s="9">
        <v>36</v>
      </c>
      <c r="B588" s="17" t="s">
        <v>2015</v>
      </c>
      <c r="C588" s="19" t="s">
        <v>6</v>
      </c>
      <c r="D588" s="19" t="s">
        <v>6</v>
      </c>
      <c r="E588" s="12" t="s">
        <v>337</v>
      </c>
      <c r="F588" s="32">
        <f t="shared" ca="1" si="34"/>
        <v>46287</v>
      </c>
      <c r="G588" s="165"/>
    </row>
    <row r="589" spans="1:10" x14ac:dyDescent="0.25">
      <c r="A589" s="9">
        <v>37</v>
      </c>
      <c r="B589" s="17" t="s">
        <v>2051</v>
      </c>
      <c r="C589" s="19" t="s">
        <v>6</v>
      </c>
      <c r="D589" s="19" t="s">
        <v>5</v>
      </c>
      <c r="E589" s="12" t="s">
        <v>337</v>
      </c>
      <c r="F589" s="32" t="str">
        <f t="shared" ca="1" si="34"/>
        <v/>
      </c>
      <c r="G589" s="165">
        <v>584146252731</v>
      </c>
    </row>
    <row r="590" spans="1:10" ht="15" customHeight="1" x14ac:dyDescent="0.25">
      <c r="A590" s="9">
        <v>38</v>
      </c>
      <c r="B590" s="8" t="s">
        <v>140</v>
      </c>
      <c r="C590" s="19" t="s">
        <v>6</v>
      </c>
      <c r="D590" s="19" t="s">
        <v>6</v>
      </c>
      <c r="E590" s="12" t="s">
        <v>45</v>
      </c>
      <c r="F590" s="32">
        <f t="shared" ca="1" si="34"/>
        <v>46306</v>
      </c>
      <c r="G590" s="166"/>
      <c r="I590" s="4"/>
      <c r="J590" s="4"/>
    </row>
    <row r="591" spans="1:10" x14ac:dyDescent="0.25">
      <c r="A591" s="9">
        <v>39</v>
      </c>
      <c r="B591" s="17" t="s">
        <v>2083</v>
      </c>
      <c r="C591" s="19" t="s">
        <v>6</v>
      </c>
      <c r="D591" s="19" t="s">
        <v>6</v>
      </c>
      <c r="E591" s="12" t="s">
        <v>45</v>
      </c>
      <c r="F591" s="32">
        <f t="shared" ca="1" si="34"/>
        <v>46293</v>
      </c>
      <c r="G591" s="165"/>
    </row>
    <row r="592" spans="1:10" x14ac:dyDescent="0.25">
      <c r="A592" s="9">
        <v>40</v>
      </c>
      <c r="B592" s="17" t="s">
        <v>2082</v>
      </c>
      <c r="C592" s="19" t="s">
        <v>6</v>
      </c>
      <c r="D592" s="19" t="s">
        <v>6</v>
      </c>
      <c r="E592" s="12" t="s">
        <v>45</v>
      </c>
      <c r="F592" s="32">
        <f t="shared" ca="1" si="34"/>
        <v>46293</v>
      </c>
      <c r="G592" s="165">
        <v>584246045884</v>
      </c>
      <c r="I592" s="111"/>
    </row>
    <row r="593" spans="1:7" x14ac:dyDescent="0.25">
      <c r="A593" s="9">
        <v>41</v>
      </c>
      <c r="B593" s="17" t="s">
        <v>2096</v>
      </c>
      <c r="C593" s="19" t="s">
        <v>6</v>
      </c>
      <c r="D593" s="19" t="s">
        <v>6</v>
      </c>
      <c r="E593" s="12" t="s">
        <v>337</v>
      </c>
      <c r="F593" s="32">
        <f t="shared" ca="1" si="34"/>
        <v>46293</v>
      </c>
    </row>
    <row r="594" spans="1:7" x14ac:dyDescent="0.25">
      <c r="A594" s="9">
        <v>43</v>
      </c>
      <c r="B594" s="17" t="s">
        <v>2120</v>
      </c>
      <c r="C594" s="19" t="s">
        <v>6</v>
      </c>
      <c r="D594" s="19" t="s">
        <v>6</v>
      </c>
      <c r="E594" s="12" t="s">
        <v>337</v>
      </c>
      <c r="F594" s="32">
        <f t="shared" ref="F594:F601" ca="1" si="35">IF(AND(C594="NO",D594="NO"),IF(F594="",TODAY(),F594),"")</f>
        <v>46287</v>
      </c>
      <c r="G594" s="165">
        <v>584262602982</v>
      </c>
    </row>
    <row r="595" spans="1:7" x14ac:dyDescent="0.25">
      <c r="A595" s="9">
        <v>44</v>
      </c>
      <c r="B595" s="17" t="s">
        <v>2124</v>
      </c>
      <c r="C595" s="19" t="s">
        <v>6</v>
      </c>
      <c r="D595" s="19" t="s">
        <v>6</v>
      </c>
      <c r="E595" s="12" t="s">
        <v>337</v>
      </c>
      <c r="F595" s="32">
        <f t="shared" ca="1" si="35"/>
        <v>46293</v>
      </c>
      <c r="G595" s="165"/>
    </row>
    <row r="596" spans="1:7" x14ac:dyDescent="0.25">
      <c r="A596" s="9">
        <v>45</v>
      </c>
      <c r="B596" s="17" t="s">
        <v>2125</v>
      </c>
      <c r="C596" s="19" t="s">
        <v>6</v>
      </c>
      <c r="D596" s="19" t="s">
        <v>6</v>
      </c>
      <c r="E596" s="12" t="s">
        <v>337</v>
      </c>
      <c r="F596" s="32">
        <f t="shared" ca="1" si="35"/>
        <v>46293</v>
      </c>
      <c r="G596" s="165"/>
    </row>
    <row r="597" spans="1:7" x14ac:dyDescent="0.25">
      <c r="A597" s="9">
        <v>19</v>
      </c>
      <c r="B597" s="17" t="s">
        <v>2199</v>
      </c>
      <c r="C597" s="19" t="s">
        <v>5</v>
      </c>
      <c r="D597" s="19" t="s">
        <v>6</v>
      </c>
      <c r="E597" s="12" t="s">
        <v>45</v>
      </c>
      <c r="F597" s="32" t="str">
        <f t="shared" ca="1" si="35"/>
        <v/>
      </c>
      <c r="G597" s="166"/>
    </row>
    <row r="598" spans="1:7" x14ac:dyDescent="0.25">
      <c r="A598" s="9">
        <v>46</v>
      </c>
      <c r="B598" s="17" t="s">
        <v>2142</v>
      </c>
      <c r="C598" s="19" t="s">
        <v>6</v>
      </c>
      <c r="D598" s="19" t="s">
        <v>6</v>
      </c>
      <c r="E598" s="12" t="s">
        <v>45</v>
      </c>
      <c r="F598" s="32">
        <f t="shared" ca="1" si="35"/>
        <v>46300</v>
      </c>
      <c r="G598" s="165"/>
    </row>
    <row r="599" spans="1:7" x14ac:dyDescent="0.25">
      <c r="A599" s="9">
        <v>47</v>
      </c>
      <c r="B599" s="17" t="s">
        <v>2150</v>
      </c>
      <c r="C599" s="19" t="s">
        <v>5</v>
      </c>
      <c r="D599" s="19" t="s">
        <v>6</v>
      </c>
      <c r="E599" s="12" t="s">
        <v>45</v>
      </c>
      <c r="F599" s="32" t="str">
        <f t="shared" ca="1" si="35"/>
        <v/>
      </c>
      <c r="G599" s="165"/>
    </row>
    <row r="600" spans="1:7" x14ac:dyDescent="0.25">
      <c r="A600" s="9">
        <v>48</v>
      </c>
      <c r="B600" s="17" t="s">
        <v>2168</v>
      </c>
      <c r="C600" s="19" t="s">
        <v>6</v>
      </c>
      <c r="D600" s="19" t="s">
        <v>6</v>
      </c>
      <c r="E600" s="12" t="s">
        <v>337</v>
      </c>
      <c r="F600" s="32">
        <f t="shared" ca="1" si="35"/>
        <v>46300</v>
      </c>
      <c r="G600" s="165">
        <v>584246458780</v>
      </c>
    </row>
    <row r="601" spans="1:7" x14ac:dyDescent="0.25">
      <c r="A601" s="9">
        <v>49</v>
      </c>
      <c r="B601" s="17" t="s">
        <v>2181</v>
      </c>
      <c r="C601" s="19" t="s">
        <v>5</v>
      </c>
      <c r="D601" s="19" t="s">
        <v>6</v>
      </c>
      <c r="E601" s="12" t="s">
        <v>45</v>
      </c>
      <c r="F601" s="32" t="str">
        <f t="shared" ca="1" si="35"/>
        <v/>
      </c>
      <c r="G601" s="165"/>
    </row>
    <row r="602" spans="1:7" x14ac:dyDescent="0.25">
      <c r="A602" s="9">
        <v>50</v>
      </c>
      <c r="B602" s="17" t="s">
        <v>2182</v>
      </c>
      <c r="C602" s="19" t="s">
        <v>6</v>
      </c>
      <c r="D602" s="19" t="s">
        <v>6</v>
      </c>
      <c r="E602" s="12" t="s">
        <v>45</v>
      </c>
      <c r="F602" s="32">
        <f t="shared" ca="1" si="34"/>
        <v>46306</v>
      </c>
      <c r="G602" s="165"/>
    </row>
    <row r="603" spans="1:7" ht="21" x14ac:dyDescent="0.25">
      <c r="A603" s="61"/>
      <c r="B603" s="61"/>
      <c r="C603" s="34"/>
      <c r="D603" s="34"/>
    </row>
    <row r="604" spans="1:7" ht="45" x14ac:dyDescent="0.25">
      <c r="A604" s="190" t="s">
        <v>53</v>
      </c>
      <c r="B604" s="191"/>
      <c r="C604" s="10">
        <f>COUNTIF(C558:C602, "SI")</f>
        <v>16</v>
      </c>
      <c r="D604" s="6" t="s">
        <v>50</v>
      </c>
      <c r="E604" s="27">
        <f>C604/A602*100</f>
        <v>32</v>
      </c>
      <c r="F604" s="160" t="s">
        <v>1806</v>
      </c>
      <c r="G604" s="165"/>
    </row>
    <row r="605" spans="1:7" ht="45" x14ac:dyDescent="0.25">
      <c r="A605" s="190" t="s">
        <v>54</v>
      </c>
      <c r="B605" s="191"/>
      <c r="C605" s="10">
        <f>COUNTIF(C558:C602, "NO")</f>
        <v>29</v>
      </c>
      <c r="D605" s="6" t="s">
        <v>50</v>
      </c>
      <c r="E605" s="27">
        <f>C605/A602*100</f>
        <v>57.999999999999993</v>
      </c>
      <c r="F605" s="160" t="s">
        <v>1807</v>
      </c>
      <c r="G605" s="165"/>
    </row>
    <row r="606" spans="1:7" ht="18" x14ac:dyDescent="0.25">
      <c r="A606" s="22"/>
      <c r="B606" s="22"/>
      <c r="C606" s="23"/>
      <c r="D606" s="24"/>
      <c r="E606" s="25"/>
      <c r="F606" s="26"/>
    </row>
    <row r="607" spans="1:7" ht="45" x14ac:dyDescent="0.25">
      <c r="A607" s="190" t="s">
        <v>55</v>
      </c>
      <c r="B607" s="191"/>
      <c r="C607" s="10">
        <f>COUNTIF(D558:D602, "SI")</f>
        <v>8</v>
      </c>
      <c r="D607" s="6" t="s">
        <v>50</v>
      </c>
      <c r="E607" s="27">
        <f>C607/A602*100</f>
        <v>16</v>
      </c>
      <c r="F607" s="160" t="s">
        <v>57</v>
      </c>
    </row>
    <row r="608" spans="1:7" ht="45" x14ac:dyDescent="0.25">
      <c r="A608" s="190" t="s">
        <v>56</v>
      </c>
      <c r="B608" s="191"/>
      <c r="C608" s="10">
        <f>COUNTIF(D558:D602, "NO")</f>
        <v>37</v>
      </c>
      <c r="D608" s="6" t="s">
        <v>50</v>
      </c>
      <c r="E608" s="27">
        <f>C608/A602*100</f>
        <v>74</v>
      </c>
      <c r="F608" s="160" t="s">
        <v>58</v>
      </c>
    </row>
    <row r="610" spans="1:10" x14ac:dyDescent="0.25">
      <c r="A610" s="175" t="s">
        <v>1009</v>
      </c>
      <c r="B610" s="176"/>
      <c r="C610" s="179">
        <f>COUNTIFS(C558:C602,"SI",D558:D602,"SI")</f>
        <v>4</v>
      </c>
      <c r="D610" s="180" t="s">
        <v>50</v>
      </c>
      <c r="E610" s="182">
        <f>C610/A602*100</f>
        <v>8</v>
      </c>
      <c r="F610" s="184" t="s">
        <v>1011</v>
      </c>
    </row>
    <row r="611" spans="1:10" x14ac:dyDescent="0.25">
      <c r="A611" s="177"/>
      <c r="B611" s="178"/>
      <c r="C611" s="179"/>
      <c r="D611" s="181"/>
      <c r="E611" s="183"/>
      <c r="F611" s="185"/>
    </row>
    <row r="612" spans="1:10" x14ac:dyDescent="0.25">
      <c r="A612" s="175" t="s">
        <v>1010</v>
      </c>
      <c r="B612" s="176"/>
      <c r="C612" s="179">
        <f>COUNTIFS(C558:C602,"NO",D558:D602,"NO")</f>
        <v>25</v>
      </c>
      <c r="D612" s="180" t="s">
        <v>50</v>
      </c>
      <c r="E612" s="182">
        <f>C612/A602*100</f>
        <v>50</v>
      </c>
      <c r="F612" s="184" t="s">
        <v>1012</v>
      </c>
    </row>
    <row r="613" spans="1:10" x14ac:dyDescent="0.25">
      <c r="A613" s="177"/>
      <c r="B613" s="178"/>
      <c r="C613" s="179"/>
      <c r="D613" s="181"/>
      <c r="E613" s="183"/>
      <c r="F613" s="185"/>
      <c r="H613" s="62"/>
    </row>
    <row r="614" spans="1:10" ht="15.75" x14ac:dyDescent="0.25">
      <c r="A614" s="60"/>
      <c r="B614" s="60"/>
      <c r="C614" s="60"/>
      <c r="D614" s="34"/>
    </row>
    <row r="615" spans="1:10" x14ac:dyDescent="0.25">
      <c r="A615" s="186" t="s">
        <v>1961</v>
      </c>
      <c r="B615" s="187"/>
      <c r="C615" s="187"/>
      <c r="D615" s="187"/>
      <c r="E615" s="188"/>
    </row>
    <row r="616" spans="1:10" x14ac:dyDescent="0.25">
      <c r="A616" s="11" t="s">
        <v>0</v>
      </c>
      <c r="B616" s="11" t="s">
        <v>1</v>
      </c>
      <c r="C616" s="11" t="s">
        <v>2</v>
      </c>
      <c r="D616" s="11" t="s">
        <v>3</v>
      </c>
      <c r="E616" s="11" t="s">
        <v>7</v>
      </c>
      <c r="F616" s="159" t="s">
        <v>1901</v>
      </c>
      <c r="G616" s="140" t="s">
        <v>1902</v>
      </c>
    </row>
    <row r="617" spans="1:10" x14ac:dyDescent="0.25">
      <c r="A617" s="9">
        <v>1</v>
      </c>
      <c r="B617" s="8" t="s">
        <v>1957</v>
      </c>
      <c r="C617" s="19" t="s">
        <v>6</v>
      </c>
      <c r="D617" s="19" t="s">
        <v>6</v>
      </c>
      <c r="E617" s="12" t="s">
        <v>337</v>
      </c>
      <c r="F617" s="32">
        <f t="shared" ref="F617:F636" ca="1" si="36">IF(AND(C617="NO",D617="NO"),IF(F617="",TODAY(),F617),"")</f>
        <v>46306</v>
      </c>
      <c r="G617" s="165">
        <v>584160651191</v>
      </c>
    </row>
    <row r="618" spans="1:10" x14ac:dyDescent="0.25">
      <c r="A618" s="9">
        <v>2</v>
      </c>
      <c r="B618" s="8" t="s">
        <v>87</v>
      </c>
      <c r="C618" s="19" t="s">
        <v>5</v>
      </c>
      <c r="D618" s="19" t="s">
        <v>5</v>
      </c>
      <c r="E618" s="12" t="s">
        <v>45</v>
      </c>
      <c r="F618" s="32" t="str">
        <f t="shared" ca="1" si="36"/>
        <v/>
      </c>
      <c r="G618" s="165">
        <v>584262624815</v>
      </c>
    </row>
    <row r="619" spans="1:10" x14ac:dyDescent="0.25">
      <c r="A619" s="9">
        <v>3</v>
      </c>
      <c r="B619" s="8" t="s">
        <v>88</v>
      </c>
      <c r="C619" s="19" t="s">
        <v>5</v>
      </c>
      <c r="D619" s="19" t="s">
        <v>6</v>
      </c>
      <c r="E619" s="12" t="s">
        <v>45</v>
      </c>
      <c r="F619" s="32" t="str">
        <f t="shared" ca="1" si="36"/>
        <v/>
      </c>
    </row>
    <row r="620" spans="1:10" ht="36" customHeight="1" x14ac:dyDescent="0.25">
      <c r="A620" s="9">
        <v>4</v>
      </c>
      <c r="B620" s="8" t="s">
        <v>1717</v>
      </c>
      <c r="C620" s="19" t="s">
        <v>5</v>
      </c>
      <c r="D620" s="19" t="s">
        <v>6</v>
      </c>
      <c r="E620" s="12" t="s">
        <v>150</v>
      </c>
      <c r="F620" s="32" t="str">
        <f t="shared" ca="1" si="36"/>
        <v/>
      </c>
    </row>
    <row r="621" spans="1:10" x14ac:dyDescent="0.25">
      <c r="A621" s="9">
        <v>5</v>
      </c>
      <c r="B621" s="17" t="s">
        <v>2038</v>
      </c>
      <c r="C621" s="19" t="s">
        <v>5</v>
      </c>
      <c r="D621" s="19" t="s">
        <v>5</v>
      </c>
      <c r="E621" s="12" t="s">
        <v>150</v>
      </c>
      <c r="F621" s="32" t="str">
        <f t="shared" ca="1" si="36"/>
        <v/>
      </c>
    </row>
    <row r="622" spans="1:10" x14ac:dyDescent="0.25">
      <c r="A622" s="9">
        <v>6</v>
      </c>
      <c r="B622" s="8" t="s">
        <v>1090</v>
      </c>
      <c r="C622" s="19" t="s">
        <v>5</v>
      </c>
      <c r="D622" s="19" t="s">
        <v>6</v>
      </c>
      <c r="E622" s="12" t="s">
        <v>45</v>
      </c>
      <c r="F622" s="32" t="str">
        <f t="shared" ca="1" si="36"/>
        <v/>
      </c>
    </row>
    <row r="623" spans="1:10" ht="22.5" customHeight="1" x14ac:dyDescent="0.25">
      <c r="A623" s="9">
        <v>7</v>
      </c>
      <c r="B623" s="8" t="s">
        <v>2013</v>
      </c>
      <c r="C623" s="19" t="s">
        <v>6</v>
      </c>
      <c r="D623" s="19" t="s">
        <v>6</v>
      </c>
      <c r="E623" s="12" t="s">
        <v>45</v>
      </c>
      <c r="F623" s="32">
        <f t="shared" ca="1" si="36"/>
        <v>46300</v>
      </c>
    </row>
    <row r="624" spans="1:10" x14ac:dyDescent="0.25">
      <c r="A624" s="9">
        <v>8</v>
      </c>
      <c r="B624" s="8" t="s">
        <v>2012</v>
      </c>
      <c r="C624" s="19" t="s">
        <v>6</v>
      </c>
      <c r="D624" s="19" t="s">
        <v>6</v>
      </c>
      <c r="E624" s="12" t="s">
        <v>45</v>
      </c>
      <c r="F624" s="32">
        <f t="shared" ca="1" si="36"/>
        <v>46300</v>
      </c>
      <c r="I624" s="189" t="s">
        <v>1961</v>
      </c>
      <c r="J624" s="189"/>
    </row>
    <row r="625" spans="1:10" ht="15" customHeight="1" x14ac:dyDescent="0.25">
      <c r="A625" s="9">
        <v>9</v>
      </c>
      <c r="B625" s="8" t="s">
        <v>2011</v>
      </c>
      <c r="C625" s="19" t="s">
        <v>5</v>
      </c>
      <c r="D625" s="19" t="s">
        <v>6</v>
      </c>
      <c r="E625" s="12" t="s">
        <v>45</v>
      </c>
      <c r="F625" s="32" t="str">
        <f t="shared" ca="1" si="36"/>
        <v/>
      </c>
      <c r="G625" s="165">
        <v>584122993944</v>
      </c>
      <c r="I625" s="189"/>
      <c r="J625" s="189"/>
    </row>
    <row r="626" spans="1:10" ht="13.5" customHeight="1" x14ac:dyDescent="0.25">
      <c r="A626" s="9">
        <v>10</v>
      </c>
      <c r="B626" s="8" t="s">
        <v>2010</v>
      </c>
      <c r="C626" s="19" t="s">
        <v>6</v>
      </c>
      <c r="D626" s="19" t="s">
        <v>6</v>
      </c>
      <c r="E626" s="12" t="s">
        <v>45</v>
      </c>
      <c r="F626" s="32">
        <f t="shared" ca="1" si="36"/>
        <v>46287</v>
      </c>
      <c r="G626" s="165">
        <v>584121239797</v>
      </c>
      <c r="I626" s="4" t="str" cm="1">
        <f t="array" ref="I626:I627">_xlfn._xlws.FILTER(B617:B645,(C617:C645="SI")*(D617:D645="SI"),"")</f>
        <v xml:space="preserve">Anais Montilla </v>
      </c>
    </row>
    <row r="627" spans="1:10" x14ac:dyDescent="0.25">
      <c r="A627" s="9">
        <v>12</v>
      </c>
      <c r="B627" s="8" t="s">
        <v>2008</v>
      </c>
      <c r="C627" s="19" t="s">
        <v>6</v>
      </c>
      <c r="D627" s="19" t="s">
        <v>6</v>
      </c>
      <c r="E627" s="12" t="s">
        <v>45</v>
      </c>
      <c r="F627" s="32">
        <f t="shared" ca="1" si="36"/>
        <v>46306</v>
      </c>
      <c r="I627" s="4" t="str">
        <v>Valentina Rangel</v>
      </c>
    </row>
    <row r="628" spans="1:10" x14ac:dyDescent="0.25">
      <c r="A628" s="9">
        <v>13</v>
      </c>
      <c r="B628" s="8" t="s">
        <v>2007</v>
      </c>
      <c r="C628" s="19" t="s">
        <v>5</v>
      </c>
      <c r="D628" s="19" t="s">
        <v>6</v>
      </c>
      <c r="E628" s="12" t="s">
        <v>45</v>
      </c>
      <c r="F628" s="32" t="str">
        <f t="shared" ca="1" si="36"/>
        <v/>
      </c>
    </row>
    <row r="629" spans="1:10" x14ac:dyDescent="0.25">
      <c r="A629" s="9">
        <v>14</v>
      </c>
      <c r="B629" s="8" t="s">
        <v>2006</v>
      </c>
      <c r="C629" s="19" t="s">
        <v>5</v>
      </c>
      <c r="D629" s="19" t="s">
        <v>6</v>
      </c>
      <c r="E629" s="12" t="s">
        <v>45</v>
      </c>
      <c r="F629" s="32" t="str">
        <f t="shared" ca="1" si="36"/>
        <v/>
      </c>
    </row>
    <row r="630" spans="1:10" x14ac:dyDescent="0.25">
      <c r="A630" s="9">
        <v>17</v>
      </c>
      <c r="B630" s="8" t="s">
        <v>2005</v>
      </c>
      <c r="C630" s="19" t="s">
        <v>6</v>
      </c>
      <c r="D630" s="19" t="s">
        <v>6</v>
      </c>
      <c r="E630" s="12" t="s">
        <v>150</v>
      </c>
      <c r="F630" s="32">
        <f t="shared" ca="1" si="36"/>
        <v>46306</v>
      </c>
    </row>
    <row r="631" spans="1:10" x14ac:dyDescent="0.25">
      <c r="A631" s="9">
        <v>19</v>
      </c>
      <c r="B631" s="33" t="s">
        <v>1503</v>
      </c>
      <c r="C631" s="19" t="s">
        <v>6</v>
      </c>
      <c r="D631" s="19" t="s">
        <v>6</v>
      </c>
      <c r="E631" s="12" t="s">
        <v>45</v>
      </c>
      <c r="F631" s="32">
        <f t="shared" ca="1" si="36"/>
        <v>46306</v>
      </c>
    </row>
    <row r="632" spans="1:10" x14ac:dyDescent="0.25">
      <c r="A632" s="9">
        <v>20</v>
      </c>
      <c r="B632" s="8" t="s">
        <v>2040</v>
      </c>
      <c r="C632" s="19" t="s">
        <v>6</v>
      </c>
      <c r="D632" s="19" t="s">
        <v>6</v>
      </c>
      <c r="E632" s="12" t="s">
        <v>45</v>
      </c>
      <c r="F632" s="32">
        <f t="shared" ca="1" si="36"/>
        <v>46306</v>
      </c>
    </row>
    <row r="633" spans="1:10" x14ac:dyDescent="0.25">
      <c r="A633" s="9">
        <v>21</v>
      </c>
      <c r="B633" s="8" t="s">
        <v>2041</v>
      </c>
      <c r="C633" s="19" t="s">
        <v>5</v>
      </c>
      <c r="D633" s="19" t="s">
        <v>6</v>
      </c>
      <c r="E633" s="12" t="s">
        <v>45</v>
      </c>
      <c r="F633" s="32" t="str">
        <f t="shared" ca="1" si="36"/>
        <v/>
      </c>
    </row>
    <row r="634" spans="1:10" x14ac:dyDescent="0.25">
      <c r="A634" s="9">
        <v>23</v>
      </c>
      <c r="B634" s="8" t="s">
        <v>2003</v>
      </c>
      <c r="C634" s="19" t="s">
        <v>6</v>
      </c>
      <c r="D634" s="19" t="s">
        <v>6</v>
      </c>
      <c r="E634" s="12" t="s">
        <v>150</v>
      </c>
      <c r="F634" s="32">
        <f t="shared" ca="1" si="36"/>
        <v>46287</v>
      </c>
    </row>
    <row r="635" spans="1:10" x14ac:dyDescent="0.25">
      <c r="A635" s="9">
        <v>24</v>
      </c>
      <c r="B635" s="8" t="s">
        <v>2056</v>
      </c>
      <c r="C635" s="19" t="s">
        <v>6</v>
      </c>
      <c r="D635" s="19" t="s">
        <v>6</v>
      </c>
      <c r="E635" s="12" t="s">
        <v>45</v>
      </c>
      <c r="F635" s="32">
        <f t="shared" ca="1" si="36"/>
        <v>46306</v>
      </c>
      <c r="J635" s="145">
        <f>C650</f>
        <v>2</v>
      </c>
    </row>
    <row r="636" spans="1:10" x14ac:dyDescent="0.25">
      <c r="A636" s="9">
        <v>25</v>
      </c>
      <c r="B636" s="8" t="s">
        <v>2058</v>
      </c>
      <c r="C636" s="19" t="s">
        <v>6</v>
      </c>
      <c r="D636" s="19" t="s">
        <v>6</v>
      </c>
      <c r="E636" s="12" t="s">
        <v>45</v>
      </c>
      <c r="F636" s="32">
        <f t="shared" ca="1" si="36"/>
        <v>46306</v>
      </c>
    </row>
    <row r="637" spans="1:10" x14ac:dyDescent="0.25">
      <c r="A637" s="9">
        <v>26</v>
      </c>
      <c r="B637" s="8" t="s">
        <v>1958</v>
      </c>
      <c r="C637" s="19" t="s">
        <v>6</v>
      </c>
      <c r="D637" s="19" t="s">
        <v>6</v>
      </c>
      <c r="E637" s="12" t="s">
        <v>150</v>
      </c>
      <c r="F637" s="32"/>
    </row>
    <row r="638" spans="1:10" x14ac:dyDescent="0.25">
      <c r="A638" s="9">
        <v>27</v>
      </c>
      <c r="B638" s="8" t="s">
        <v>2050</v>
      </c>
      <c r="C638" s="19" t="s">
        <v>5</v>
      </c>
      <c r="D638" s="19" t="s">
        <v>6</v>
      </c>
      <c r="E638" s="12" t="s">
        <v>337</v>
      </c>
      <c r="F638" s="32" t="str">
        <f t="shared" ref="F638:F645" ca="1" si="37">IF(AND(C638="NO",D638="NO"),IF(F638="",TODAY(),F638),"")</f>
        <v/>
      </c>
      <c r="G638" s="165">
        <v>584246005684</v>
      </c>
    </row>
    <row r="639" spans="1:10" x14ac:dyDescent="0.25">
      <c r="A639" s="9">
        <v>28</v>
      </c>
      <c r="B639" s="8" t="s">
        <v>2143</v>
      </c>
      <c r="C639" s="19" t="s">
        <v>6</v>
      </c>
      <c r="D639" s="19" t="s">
        <v>6</v>
      </c>
      <c r="E639" s="12" t="s">
        <v>45</v>
      </c>
      <c r="F639" s="32">
        <f t="shared" ca="1" si="37"/>
        <v>46300</v>
      </c>
      <c r="G639" s="165">
        <v>584127332558</v>
      </c>
    </row>
    <row r="640" spans="1:10" x14ac:dyDescent="0.25">
      <c r="A640" s="9">
        <v>29</v>
      </c>
      <c r="B640" s="8" t="s">
        <v>2144</v>
      </c>
      <c r="C640" s="19" t="s">
        <v>6</v>
      </c>
      <c r="D640" s="19" t="s">
        <v>6</v>
      </c>
      <c r="E640" s="12" t="s">
        <v>45</v>
      </c>
      <c r="F640" s="32">
        <f t="shared" ca="1" si="37"/>
        <v>46300</v>
      </c>
      <c r="G640" s="165"/>
    </row>
    <row r="641" spans="1:8" x14ac:dyDescent="0.25">
      <c r="A641" s="9">
        <v>30</v>
      </c>
      <c r="B641" s="8" t="s">
        <v>2145</v>
      </c>
      <c r="C641" s="19" t="s">
        <v>6</v>
      </c>
      <c r="D641" s="19" t="s">
        <v>6</v>
      </c>
      <c r="E641" s="12" t="s">
        <v>45</v>
      </c>
      <c r="F641" s="32">
        <f t="shared" ca="1" si="37"/>
        <v>46300</v>
      </c>
      <c r="G641" s="165"/>
    </row>
    <row r="642" spans="1:8" x14ac:dyDescent="0.25">
      <c r="A642" s="9">
        <v>31</v>
      </c>
      <c r="B642" s="8" t="s">
        <v>2146</v>
      </c>
      <c r="C642" s="19" t="s">
        <v>6</v>
      </c>
      <c r="D642" s="19" t="s">
        <v>6</v>
      </c>
      <c r="E642" s="12" t="s">
        <v>45</v>
      </c>
      <c r="F642" s="32">
        <f t="shared" ca="1" si="37"/>
        <v>46300</v>
      </c>
      <c r="G642" s="165"/>
    </row>
    <row r="643" spans="1:8" x14ac:dyDescent="0.25">
      <c r="A643" s="9">
        <v>32</v>
      </c>
      <c r="B643" s="8" t="s">
        <v>2147</v>
      </c>
      <c r="C643" s="19" t="s">
        <v>6</v>
      </c>
      <c r="D643" s="19" t="s">
        <v>6</v>
      </c>
      <c r="E643" s="12" t="s">
        <v>45</v>
      </c>
      <c r="F643" s="32">
        <f t="shared" ca="1" si="37"/>
        <v>46300</v>
      </c>
      <c r="G643" s="165"/>
    </row>
    <row r="644" spans="1:8" x14ac:dyDescent="0.25">
      <c r="A644" s="9">
        <v>33</v>
      </c>
      <c r="B644" s="8" t="s">
        <v>2148</v>
      </c>
      <c r="C644" s="19" t="s">
        <v>6</v>
      </c>
      <c r="D644" s="19" t="s">
        <v>6</v>
      </c>
      <c r="E644" s="12" t="s">
        <v>45</v>
      </c>
      <c r="F644" s="32">
        <f t="shared" ca="1" si="37"/>
        <v>46300</v>
      </c>
      <c r="G644" s="165"/>
    </row>
    <row r="645" spans="1:8" x14ac:dyDescent="0.25">
      <c r="A645" s="9">
        <v>34</v>
      </c>
      <c r="B645" s="8" t="s">
        <v>2149</v>
      </c>
      <c r="C645" s="19" t="s">
        <v>6</v>
      </c>
      <c r="D645" s="19" t="s">
        <v>6</v>
      </c>
      <c r="E645" s="12" t="s">
        <v>45</v>
      </c>
      <c r="F645" s="32">
        <f t="shared" ca="1" si="37"/>
        <v>46300</v>
      </c>
      <c r="G645" s="165"/>
    </row>
    <row r="646" spans="1:8" x14ac:dyDescent="0.25">
      <c r="H646" s="87"/>
    </row>
    <row r="647" spans="1:8" ht="45" x14ac:dyDescent="0.25">
      <c r="A647" s="190" t="s">
        <v>53</v>
      </c>
      <c r="B647" s="191"/>
      <c r="C647" s="131">
        <f>COUNTIF(C617:C645, "SI")</f>
        <v>10</v>
      </c>
      <c r="D647" s="6" t="s">
        <v>50</v>
      </c>
      <c r="E647" s="27">
        <f>C647/A645*100</f>
        <v>29.411764705882355</v>
      </c>
      <c r="F647" s="160" t="s">
        <v>1806</v>
      </c>
      <c r="H647" s="143"/>
    </row>
    <row r="648" spans="1:8" ht="45" x14ac:dyDescent="0.25">
      <c r="A648" s="190" t="s">
        <v>54</v>
      </c>
      <c r="B648" s="191"/>
      <c r="C648" s="131">
        <f>COUNTIF(C617:C645, "NO")</f>
        <v>19</v>
      </c>
      <c r="D648" s="6" t="s">
        <v>50</v>
      </c>
      <c r="E648" s="27">
        <f>C648/A645*100</f>
        <v>55.882352941176471</v>
      </c>
      <c r="F648" s="160" t="s">
        <v>1807</v>
      </c>
      <c r="H648" s="143"/>
    </row>
    <row r="649" spans="1:8" ht="18" x14ac:dyDescent="0.25">
      <c r="A649" s="133"/>
      <c r="B649" s="133"/>
      <c r="C649" s="134"/>
      <c r="D649" s="135"/>
      <c r="E649" s="136"/>
      <c r="F649" s="137"/>
    </row>
    <row r="650" spans="1:8" ht="45" x14ac:dyDescent="0.25">
      <c r="A650" s="190" t="s">
        <v>55</v>
      </c>
      <c r="B650" s="191"/>
      <c r="C650" s="131">
        <f>COUNTIF(D617:D645, "SI")</f>
        <v>2</v>
      </c>
      <c r="D650" s="6" t="s">
        <v>50</v>
      </c>
      <c r="E650" s="27">
        <f>C650/A645*100</f>
        <v>5.8823529411764701</v>
      </c>
      <c r="F650" s="160" t="s">
        <v>57</v>
      </c>
      <c r="H650" s="125"/>
    </row>
    <row r="651" spans="1:8" ht="45" x14ac:dyDescent="0.25">
      <c r="A651" s="190" t="s">
        <v>56</v>
      </c>
      <c r="B651" s="191"/>
      <c r="C651" s="131">
        <f>COUNTIF(D617:D645, "NO")</f>
        <v>27</v>
      </c>
      <c r="D651" s="6" t="s">
        <v>50</v>
      </c>
      <c r="E651" s="27">
        <f>C651/A645*100</f>
        <v>79.411764705882348</v>
      </c>
      <c r="F651" s="160" t="s">
        <v>58</v>
      </c>
      <c r="H651" s="125"/>
    </row>
    <row r="652" spans="1:8" x14ac:dyDescent="0.25">
      <c r="H652" s="125"/>
    </row>
    <row r="653" spans="1:8" x14ac:dyDescent="0.25">
      <c r="A653" s="175" t="s">
        <v>1009</v>
      </c>
      <c r="B653" s="176"/>
      <c r="C653" s="179">
        <f>COUNTIFS(C617:C645,"SI",D617:D645,"SI")</f>
        <v>2</v>
      </c>
      <c r="D653" s="180" t="s">
        <v>50</v>
      </c>
      <c r="E653" s="182">
        <f>C653/A645*100</f>
        <v>5.8823529411764701</v>
      </c>
      <c r="F653" s="184" t="s">
        <v>1011</v>
      </c>
      <c r="H653" s="125"/>
    </row>
    <row r="654" spans="1:8" x14ac:dyDescent="0.25">
      <c r="A654" s="177"/>
      <c r="B654" s="178"/>
      <c r="C654" s="179"/>
      <c r="D654" s="181"/>
      <c r="E654" s="183"/>
      <c r="F654" s="185"/>
    </row>
    <row r="655" spans="1:8" x14ac:dyDescent="0.25">
      <c r="A655" s="175" t="s">
        <v>1010</v>
      </c>
      <c r="B655" s="176"/>
      <c r="C655" s="179">
        <f>COUNTIFS(C617:C645,"NO",D617:D645,"NO")</f>
        <v>19</v>
      </c>
      <c r="D655" s="180" t="s">
        <v>50</v>
      </c>
      <c r="E655" s="182">
        <f>C655/A645*100</f>
        <v>55.882352941176471</v>
      </c>
      <c r="F655" s="184" t="s">
        <v>1012</v>
      </c>
    </row>
    <row r="656" spans="1:8" x14ac:dyDescent="0.25">
      <c r="A656" s="177"/>
      <c r="B656" s="178"/>
      <c r="C656" s="179"/>
      <c r="D656" s="181"/>
      <c r="E656" s="183"/>
      <c r="F656" s="185"/>
    </row>
    <row r="666" ht="15" customHeight="1" x14ac:dyDescent="0.25"/>
    <row r="667" ht="28.5" customHeight="1" x14ac:dyDescent="0.25"/>
  </sheetData>
  <sortState xmlns:xlrd2="http://schemas.microsoft.com/office/spreadsheetml/2017/richdata2" ref="A513:H573">
    <sortCondition ref="G479"/>
  </sortState>
  <mergeCells count="126">
    <mergeCell ref="A90:B90"/>
    <mergeCell ref="D96:D97"/>
    <mergeCell ref="C98:C99"/>
    <mergeCell ref="E98:E99"/>
    <mergeCell ref="A302:B302"/>
    <mergeCell ref="A428:B428"/>
    <mergeCell ref="A429:B429"/>
    <mergeCell ref="A431:B432"/>
    <mergeCell ref="C431:C432"/>
    <mergeCell ref="D431:D432"/>
    <mergeCell ref="F551:F552"/>
    <mergeCell ref="D305:D306"/>
    <mergeCell ref="E431:E432"/>
    <mergeCell ref="A548:B548"/>
    <mergeCell ref="A546:B546"/>
    <mergeCell ref="C551:C552"/>
    <mergeCell ref="A433:B434"/>
    <mergeCell ref="A551:B552"/>
    <mergeCell ref="I566:J566"/>
    <mergeCell ref="F612:F613"/>
    <mergeCell ref="A610:B611"/>
    <mergeCell ref="C610:C611"/>
    <mergeCell ref="D610:D611"/>
    <mergeCell ref="E610:E611"/>
    <mergeCell ref="F610:F611"/>
    <mergeCell ref="A608:B608"/>
    <mergeCell ref="F553:F554"/>
    <mergeCell ref="A604:B604"/>
    <mergeCell ref="A605:B605"/>
    <mergeCell ref="A607:B607"/>
    <mergeCell ref="A553:B554"/>
    <mergeCell ref="C553:C554"/>
    <mergeCell ref="D553:D554"/>
    <mergeCell ref="E553:E554"/>
    <mergeCell ref="A612:B613"/>
    <mergeCell ref="C612:C613"/>
    <mergeCell ref="D612:D613"/>
    <mergeCell ref="E612:E613"/>
    <mergeCell ref="A1:G1"/>
    <mergeCell ref="A2:G2"/>
    <mergeCell ref="F96:F97"/>
    <mergeCell ref="A91:B91"/>
    <mergeCell ref="E96:E97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6:B97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33:C434"/>
    <mergeCell ref="D433:D434"/>
    <mergeCell ref="E433:E434"/>
    <mergeCell ref="F307:F308"/>
    <mergeCell ref="E305:E306"/>
    <mergeCell ref="A425:B425"/>
    <mergeCell ref="F431:F432"/>
    <mergeCell ref="E307:E308"/>
    <mergeCell ref="F433:F434"/>
    <mergeCell ref="F305:F306"/>
    <mergeCell ref="A426:B426"/>
    <mergeCell ref="C8:D8"/>
    <mergeCell ref="A299:B299"/>
    <mergeCell ref="A300:B300"/>
    <mergeCell ref="A17:B17"/>
    <mergeCell ref="F98:F99"/>
    <mergeCell ref="I21:J22"/>
    <mergeCell ref="J8:K8"/>
    <mergeCell ref="A21:E21"/>
    <mergeCell ref="C305:C306"/>
    <mergeCell ref="D98:D99"/>
    <mergeCell ref="D551:D552"/>
    <mergeCell ref="E551:E552"/>
    <mergeCell ref="A556:E556"/>
    <mergeCell ref="A310:E310"/>
    <mergeCell ref="A307:B308"/>
    <mergeCell ref="A303:B303"/>
    <mergeCell ref="A305:B306"/>
    <mergeCell ref="C307:C308"/>
    <mergeCell ref="D307:D308"/>
    <mergeCell ref="C96:C97"/>
    <mergeCell ref="A102:E102"/>
    <mergeCell ref="A98:B99"/>
    <mergeCell ref="A549:B549"/>
    <mergeCell ref="A436:E436"/>
    <mergeCell ref="A545:B545"/>
    <mergeCell ref="A94:B94"/>
    <mergeCell ref="I101:J102"/>
    <mergeCell ref="I319:J320"/>
    <mergeCell ref="I445:J446"/>
    <mergeCell ref="A93:B93"/>
    <mergeCell ref="A655:B656"/>
    <mergeCell ref="C655:C656"/>
    <mergeCell ref="D655:D656"/>
    <mergeCell ref="E655:E656"/>
    <mergeCell ref="F655:F656"/>
    <mergeCell ref="A615:E615"/>
    <mergeCell ref="I624:J625"/>
    <mergeCell ref="A647:B647"/>
    <mergeCell ref="A648:B648"/>
    <mergeCell ref="A650:B650"/>
    <mergeCell ref="A651:B651"/>
    <mergeCell ref="A653:B654"/>
    <mergeCell ref="C653:C654"/>
    <mergeCell ref="D653:D654"/>
    <mergeCell ref="E653:E654"/>
    <mergeCell ref="F653:F654"/>
  </mergeCells>
  <phoneticPr fontId="21" type="noConversion"/>
  <conditionalFormatting sqref="C614:D645 C102:D157 C310:D357 C555:D596 C23:D86 C543:D543 C494:D533 C477:D489 C535:D536 C423:D423 C359:D391 C265:D273 C228:D257 C278:D297 C88:D88 C598:D602 C491:D491 C393:D421 C436:D475 C204:D226 C159:D202 C259:D263">
    <cfRule type="containsText" dxfId="9731" priority="17478" operator="containsText" text="NO+$D$4:$D$10">
      <formula>NOT(ISERROR(SEARCH("NO+$D$4:$D$10",C23)))</formula>
    </cfRule>
  </conditionalFormatting>
  <conditionalFormatting sqref="C614:D645 C102:D157 C310:D357 C555:D596 C23:D86 C543:D543 C494:D533 C477:D489 C535:D536 C423:D423 C359:D391 C265:D273 C228:D257 C278:D297 C88:D88 C598:D602 C491:D491 C393:D421 C436:D475 C204:D226 C159:D202 C259:D263">
    <cfRule type="containsText" dxfId="9730" priority="17475" operator="containsText" text="SI">
      <formula>NOT(ISERROR(SEARCH("SI",C23)))</formula>
    </cfRule>
    <cfRule type="containsText" dxfId="9729" priority="17477" operator="containsText" text="NO">
      <formula>NOT(ISERROR(SEARCH("NO",C23)))</formula>
    </cfRule>
  </conditionalFormatting>
  <conditionalFormatting sqref="E184 E23:E30 E504 E35 E37:E38 E51:E65 E32:E33 E186:E187 E40:E49 E193:E195 E207:E209 E148">
    <cfRule type="containsText" dxfId="9728" priority="17467" operator="containsText" text="Sin información">
      <formula>NOT(ISERROR(SEARCH("Sin información",E23)))</formula>
    </cfRule>
  </conditionalFormatting>
  <conditionalFormatting sqref="C102:E102 E166 E349:E350 E508 E24:E30 E260 E341 E331:E332 E170 E478 E446 E575 E562:E565 E35 E37:E38 E327:E328 E579:E580 E631:E632 E180:E184 C614:E615 E104:E110 E118 E245 E360 E320:E325 E451 E137 E616:E629 E51:E65 E32:E33 E122:E123 E262 E133:E135 E112:E116 E345:E347 E489 E248 E233:E236 E399 E497:E498 E186:E187 E367 C23:E23 E362:E365 E381:E386 E140:E143 E40:E49 E192:E197 E159:E162 E200:E202 E147:E148 E125:E130 E369:E370 E406:E408 E486 E567 E583 E150:E151 E501:E505 E517:E520 E436:E440 C616:D645 E215 E172:E175 C103:D157 C310:D357 C555:D596 C24:D86 C543:D543 C494:D533 C477:D489 C535:D536 C423:D423 C359:D391 C265:D273 C228:D257 C278:D297 C88:D88 C598:D602 C491:D491 C393:D421 C436:D475 C204:D226 E204:E209 C159:D202 C259:D263">
    <cfRule type="containsText" dxfId="9727" priority="17466" operator="containsText" text="NUEVO">
      <formula>NOT(ISERROR(SEARCH("NUEVO",C23)))</formula>
    </cfRule>
  </conditionalFormatting>
  <conditionalFormatting sqref="E55:E56 E102 E166 E349:E350 E508 E260 E341 E331:E332 E170 E478 E446 E575 E562:E565 E327:E328 E579:E580 E631:E632 E180:E184 E104:E110 E118 E245 E360 E320:E325 E451 E137 E614:E629 E122:E123 E262 E133:E135 E112:E116 E345:E347 E489 E248 E233:E236 E399 E497:E498 E186:E187 E367 E362:E365 E381:E386 E140:E143 E192:E197 E159:E162 E200:E202 E147:E148 E125:E130 E369:E370 E406:E408 E486 E567 E583 E150:E151 E501:E505 E517:E520 E436:E440 E215 E172:E175 E204:E209">
    <cfRule type="containsText" dxfId="9726" priority="17458" operator="containsText" text="Sin Información">
      <formula>NOT(ISERROR(SEARCH("Sin Información",E55)))</formula>
    </cfRule>
  </conditionalFormatting>
  <conditionalFormatting sqref="E544">
    <cfRule type="colorScale" priority="1747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717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500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03">
    <cfRule type="colorScale" priority="996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108">
    <cfRule type="containsText" dxfId="9725" priority="9926" operator="containsText" text="NUEVO">
      <formula>NOT(ISERROR(SEARCH("NUEVO",E108)))</formula>
    </cfRule>
  </conditionalFormatting>
  <conditionalFormatting sqref="E108">
    <cfRule type="containsText" dxfId="9724" priority="9925" operator="containsText" text="Sin Información">
      <formula>NOT(ISERROR(SEARCH("Sin Información",E108)))</formula>
    </cfRule>
  </conditionalFormatting>
  <conditionalFormatting sqref="N129:O129">
    <cfRule type="containsText" dxfId="9723" priority="9722" operator="containsText" text="NO+$D$4:$D$10">
      <formula>NOT(ISERROR(SEARCH("NO+$D$4:$D$10",N129)))</formula>
    </cfRule>
  </conditionalFormatting>
  <conditionalFormatting sqref="N129:O129">
    <cfRule type="containsText" dxfId="9722" priority="9720" operator="containsText" text="SI">
      <formula>NOT(ISERROR(SEARCH("SI",N129)))</formula>
    </cfRule>
    <cfRule type="containsText" dxfId="9721" priority="9721" operator="containsText" text="NO">
      <formula>NOT(ISERROR(SEARCH("NO",N129)))</formula>
    </cfRule>
  </conditionalFormatting>
  <conditionalFormatting sqref="N129:P129">
    <cfRule type="containsText" dxfId="9720" priority="9719" operator="containsText" text="NUEVO">
      <formula>NOT(ISERROR(SEARCH("NUEVO",N129)))</formula>
    </cfRule>
  </conditionalFormatting>
  <conditionalFormatting sqref="P129">
    <cfRule type="containsText" dxfId="9719" priority="9718" operator="containsText" text="Sin Información">
      <formula>NOT(ISERROR(SEARCH("Sin Información",P129)))</formula>
    </cfRule>
  </conditionalFormatting>
  <conditionalFormatting sqref="E220 E226">
    <cfRule type="containsText" dxfId="9718" priority="8997" operator="containsText" text="NUEVO">
      <formula>NOT(ISERROR(SEARCH("NUEVO",E220)))</formula>
    </cfRule>
  </conditionalFormatting>
  <conditionalFormatting sqref="E220 E226">
    <cfRule type="containsText" dxfId="9717" priority="8996" operator="containsText" text="Sin Información">
      <formula>NOT(ISERROR(SEARCH("Sin Información",E220)))</formula>
    </cfRule>
  </conditionalFormatting>
  <conditionalFormatting sqref="E192">
    <cfRule type="containsText" dxfId="9716" priority="8936" operator="containsText" text="NUEVO">
      <formula>NOT(ISERROR(SEARCH("NUEVO",E192)))</formula>
    </cfRule>
  </conditionalFormatting>
  <conditionalFormatting sqref="E192">
    <cfRule type="containsText" dxfId="9715" priority="8935" operator="containsText" text="Sin Información">
      <formula>NOT(ISERROR(SEARCH("Sin Información",E192)))</formula>
    </cfRule>
  </conditionalFormatting>
  <conditionalFormatting sqref="E229">
    <cfRule type="containsText" dxfId="9714" priority="8532" operator="containsText" text="Sin Información">
      <formula>NOT(ISERROR(SEARCH("Sin Información",E229)))</formula>
    </cfRule>
  </conditionalFormatting>
  <conditionalFormatting sqref="E229">
    <cfRule type="containsText" dxfId="9713" priority="8533" operator="containsText" text="NUEVO">
      <formula>NOT(ISERROR(SEARCH("NUEVO",E229)))</formula>
    </cfRule>
  </conditionalFormatting>
  <conditionalFormatting sqref="E219">
    <cfRule type="containsText" dxfId="9712" priority="7982" operator="containsText" text="NUEVO">
      <formula>NOT(ISERROR(SEARCH("NUEVO",E219)))</formula>
    </cfRule>
  </conditionalFormatting>
  <conditionalFormatting sqref="E219">
    <cfRule type="containsText" dxfId="9711" priority="7981" operator="containsText" text="Sin Información">
      <formula>NOT(ISERROR(SEARCH("Sin Información",E219)))</formula>
    </cfRule>
  </conditionalFormatting>
  <conditionalFormatting sqref="E210">
    <cfRule type="containsText" dxfId="9710" priority="6780" operator="containsText" text="NUEVO">
      <formula>NOT(ISERROR(SEARCH("NUEVO",E210)))</formula>
    </cfRule>
  </conditionalFormatting>
  <conditionalFormatting sqref="E210">
    <cfRule type="containsText" dxfId="9709" priority="6779" operator="containsText" text="Sin Información">
      <formula>NOT(ISERROR(SEARCH("Sin Información",E210)))</formula>
    </cfRule>
  </conditionalFormatting>
  <conditionalFormatting sqref="E114">
    <cfRule type="containsText" dxfId="9708" priority="5336" operator="containsText" text="NUEVO">
      <formula>NOT(ISERROR(SEARCH("NUEVO",E1197)))</formula>
    </cfRule>
  </conditionalFormatting>
  <conditionalFormatting sqref="E114">
    <cfRule type="containsText" dxfId="9707" priority="5337" operator="containsText" text="Sin información">
      <formula>NOT(ISERROR(SEARCH("Sin información",E1197)))</formula>
    </cfRule>
  </conditionalFormatting>
  <conditionalFormatting sqref="E115">
    <cfRule type="containsText" dxfId="9706" priority="5326" operator="containsText" text="Sin Información">
      <formula>NOT(ISERROR(SEARCH("Sin Información",E115)))</formula>
    </cfRule>
  </conditionalFormatting>
  <conditionalFormatting sqref="E115">
    <cfRule type="containsText" dxfId="9705" priority="5327" operator="containsText" text="NUEVO">
      <formula>NOT(ISERROR(SEARCH("NUEVO",E115)))</formula>
    </cfRule>
  </conditionalFormatting>
  <conditionalFormatting sqref="E170">
    <cfRule type="containsText" dxfId="9704" priority="5311" operator="containsText" text="NUEVO">
      <formula>NOT(ISERROR(SEARCH("NUEVO",E170)))</formula>
    </cfRule>
  </conditionalFormatting>
  <conditionalFormatting sqref="E170">
    <cfRule type="containsText" dxfId="9703" priority="5310" operator="containsText" text="Sin Información">
      <formula>NOT(ISERROR(SEARCH("Sin Información",E170)))</formula>
    </cfRule>
  </conditionalFormatting>
  <conditionalFormatting sqref="E235">
    <cfRule type="containsText" dxfId="9702" priority="5279" operator="containsText" text="Sin Información">
      <formula>NOT(ISERROR(SEARCH("Sin Información",E235)))</formula>
    </cfRule>
  </conditionalFormatting>
  <conditionalFormatting sqref="E235">
    <cfRule type="containsText" dxfId="9701" priority="5280" operator="containsText" text="NUEVO">
      <formula>NOT(ISERROR(SEARCH("NUEVO",E235)))</formula>
    </cfRule>
  </conditionalFormatting>
  <conditionalFormatting sqref="E236">
    <cfRule type="containsText" dxfId="9700" priority="5142" operator="containsText" text="Sin Información">
      <formula>NOT(ISERROR(SEARCH("Sin Información",E236)))</formula>
    </cfRule>
  </conditionalFormatting>
  <conditionalFormatting sqref="E236">
    <cfRule type="containsText" dxfId="9699" priority="5143" operator="containsText" text="NUEVO">
      <formula>NOT(ISERROR(SEARCH("NUEVO",E236)))</formula>
    </cfRule>
  </conditionalFormatting>
  <conditionalFormatting sqref="E221">
    <cfRule type="containsText" dxfId="9698" priority="5138" operator="containsText" text="NUEVO">
      <formula>NOT(ISERROR(SEARCH("NUEVO",E221)))</formula>
    </cfRule>
  </conditionalFormatting>
  <conditionalFormatting sqref="E221">
    <cfRule type="containsText" dxfId="9697" priority="5137" operator="containsText" text="Sin Información">
      <formula>NOT(ISERROR(SEARCH("Sin Información",E221)))</formula>
    </cfRule>
  </conditionalFormatting>
  <conditionalFormatting sqref="E228">
    <cfRule type="containsText" dxfId="9696" priority="5126" operator="containsText" text="NUEVO">
      <formula>NOT(ISERROR(SEARCH("NUEVO",E228)))</formula>
    </cfRule>
  </conditionalFormatting>
  <conditionalFormatting sqref="E228">
    <cfRule type="containsText" dxfId="9695" priority="5125" operator="containsText" text="Sin Información">
      <formula>NOT(ISERROR(SEARCH("Sin Información",E228)))</formula>
    </cfRule>
  </conditionalFormatting>
  <conditionalFormatting sqref="E172">
    <cfRule type="containsText" dxfId="9694" priority="5096" operator="containsText" text="NUEVO">
      <formula>NOT(ISERROR(SEARCH("NUEVO",E172)))</formula>
    </cfRule>
  </conditionalFormatting>
  <conditionalFormatting sqref="E172">
    <cfRule type="containsText" dxfId="9693" priority="5095" operator="containsText" text="Sin Información">
      <formula>NOT(ISERROR(SEARCH("Sin Información",E172)))</formula>
    </cfRule>
  </conditionalFormatting>
  <conditionalFormatting sqref="E234">
    <cfRule type="containsText" dxfId="9692" priority="5005" operator="containsText" text="NUEVO">
      <formula>NOT(ISERROR(SEARCH("NUEVO",E234)))</formula>
    </cfRule>
  </conditionalFormatting>
  <conditionalFormatting sqref="E234">
    <cfRule type="containsText" dxfId="9691" priority="5004" operator="containsText" text="Sin Información">
      <formula>NOT(ISERROR(SEARCH("Sin Información",E234)))</formula>
    </cfRule>
  </conditionalFormatting>
  <conditionalFormatting sqref="E233">
    <cfRule type="containsText" dxfId="9690" priority="5000" operator="containsText" text="NUEVO">
      <formula>NOT(ISERROR(SEARCH("NUEVO",E233)))</formula>
    </cfRule>
  </conditionalFormatting>
  <conditionalFormatting sqref="E233">
    <cfRule type="containsText" dxfId="9689" priority="4999" operator="containsText" text="Sin Información">
      <formula>NOT(ISERROR(SEARCH("Sin Información",E233)))</formula>
    </cfRule>
  </conditionalFormatting>
  <conditionalFormatting sqref="E102:F102 F211:F213 F216:F217 E23:F24 E226:F226 E349:E350 E508:F508 F334 E341 F120 E170 F324:F325 F478:F480 E478 E446 E562:E565 E35:G35 E37:G38 E180:E183 E47:F47 G130:G133 G377:G378 E118:F118 E48:G49 E320:E325 G312:G317 E451 E125:F125 E575 E51:G65 E32:E33 F25:F33 G23:G33 G242:G244 E122 E262 E233:F236 E192:F193 E112:F116 E345:E347 E399 E489:F489 F336 G387 F357:G357 E504:F504 F468:G468 F555:F566 G465:G466 F466 E327:G328 G337:G341 G251 E579:G580 F456 E631:F632 G181 G171:G172 F168:F170 G183:G184 F180:F184 F572:G572 F355:G355 F460:G460 E245:F245 E360:G360 F373:G376 G168:G169 F122:F123 E137:F137 G136:G137 E133:F135 F345:G353 F462:G464 G380:G385 G575 G102:G121 E126:E130 G389 F391:G391 F511:G511 E260:F260 E248:G248 G160:G162 F338:F341 E330:G332 G513 F499 E497:F498 F186:F187 G186:G190 G223:G225 E367:G367 F366 F470:G470 E362:G365 E381:F386 G262:G263 G477:G480 F472:G474 F471 E156:G156 F449:G454 E219:G221 G319:G325 E40:G46 F265 F194:F198 E194:E197 G194:G201 E159:F162 G124:G127 F240 G234:G236 E200:F202 G154 G141:G148 F140:F148 E148 E104:F110 F369:G371 E369:E370 E406:E408 E505 E486 F485:F486 G483:G486 F458:G458 E567:F567 G557:G567 E583:F583 G583:G585 G238 F150:F151 G150:G152 E501:E503 E517:E520 F501:F506 G497:G508 F436:F447 G437:G447 E436:E440 F634:G634 E614:F629 G616:G632 F165:G166 E214:F215 G204:G217 G174:G178 E172:F175 F574:F575 E228:F229 E204:F210">
    <cfRule type="expression" dxfId="9688" priority="4984">
      <formula>E23&lt;&gt;""</formula>
    </cfRule>
  </conditionalFormatting>
  <conditionalFormatting sqref="E123 E147 E184 E166 E150:E151 E186:E187 E140:E143">
    <cfRule type="expression" dxfId="9687" priority="4981">
      <formula>E123&lt;&gt;""</formula>
    </cfRule>
  </conditionalFormatting>
  <conditionalFormatting sqref="E25:E30">
    <cfRule type="expression" dxfId="9686" priority="4980">
      <formula>E25&lt;&gt;""</formula>
    </cfRule>
  </conditionalFormatting>
  <conditionalFormatting sqref="I319:J327 I624:J624 I129:J129 I38:J38 I101:J101 I480:J481 I24:J24 J25 J23 I35:J35 I230:J230 I345:J345 I365:J365 I334:J334 I623 I625 I473:J473 I332:J332 I507:J507 I445:J447 I575:J575 I160:J160 I470:J470 I252:J252 I460:J460 I572:J573 I184:J184 I577:J578 I363:J363 I342:J342 I389:J391 I132:J134 I175:J178 I110:J110 I220:J221 I329:J329 I372:J373 I516:J517 I380:J382 I585:J585 I635:I637 I336:J338 I26:J32 I166:J168 I195:J202 I112:J119 I110:I118 I51:J65 I41:J49 I232:J232 I162:J162 I501:J501 I495:J495 I223:J226 I367:J367 I262:J262 I646:I651 I140:J140 I449:J456 I235:J236 I137:J137 I127 I121:J121 I207:J208 I186:J190 I154:J154 I143:J148 I123:J126 I103:J108 I102:I108 I370:J370 I375:J378 I352:J357 I463:J465 I509:J513 I484:J486 I458:J458 I565:I569 I589:J593 I150:J152 I503:J503 I505:J505 I626:J632 I210:J216 I170:J173 I359:J360 I204:J204">
    <cfRule type="expression" dxfId="9685" priority="4979">
      <formula>OR(I23&lt;&gt;"", J23&lt;&gt;"")</formula>
    </cfRule>
  </conditionalFormatting>
  <conditionalFormatting sqref="I387:J387">
    <cfRule type="expression" dxfId="9684" priority="4977">
      <formula>OR(I387&lt;&gt;"", J387&lt;&gt;"")</formula>
    </cfRule>
  </conditionalFormatting>
  <conditionalFormatting sqref="J467">
    <cfRule type="expression" dxfId="9683" priority="32081">
      <formula>OR(J467&lt;&gt;"", K477&lt;&gt;"")</formula>
    </cfRule>
  </conditionalFormatting>
  <conditionalFormatting sqref="F127:F130">
    <cfRule type="expression" dxfId="9682" priority="4636">
      <formula>F127&lt;&gt;""</formula>
    </cfRule>
  </conditionalFormatting>
  <conditionalFormatting sqref="F310 F312:F317 F319:F323">
    <cfRule type="expression" dxfId="9681" priority="4635">
      <formula>F310&lt;&gt;""</formula>
    </cfRule>
  </conditionalFormatting>
  <conditionalFormatting sqref="F380">
    <cfRule type="expression" dxfId="9680" priority="4582">
      <formula>F380&lt;&gt;""</formula>
    </cfRule>
  </conditionalFormatting>
  <conditionalFormatting sqref="F389">
    <cfRule type="expression" dxfId="9679" priority="4574">
      <formula>F389&lt;&gt;""</formula>
    </cfRule>
  </conditionalFormatting>
  <conditionalFormatting sqref="F126">
    <cfRule type="expression" dxfId="9678" priority="4522">
      <formula>F126&lt;&gt;""</formula>
    </cfRule>
  </conditionalFormatting>
  <conditionalFormatting sqref="F584">
    <cfRule type="expression" dxfId="9677" priority="4496">
      <formula>F584&lt;&gt;""</formula>
    </cfRule>
  </conditionalFormatting>
  <conditionalFormatting sqref="F585">
    <cfRule type="expression" dxfId="9676" priority="4488">
      <formula>F585&lt;&gt;""</formula>
    </cfRule>
  </conditionalFormatting>
  <conditionalFormatting sqref="I328">
    <cfRule type="expression" dxfId="9675" priority="4479">
      <formula>OR(I328&lt;&gt;"", J328&lt;&gt;"")</formula>
    </cfRule>
  </conditionalFormatting>
  <conditionalFormatting sqref="F224">
    <cfRule type="expression" dxfId="9674" priority="4450">
      <formula>F224&lt;&gt;""</formula>
    </cfRule>
  </conditionalFormatting>
  <conditionalFormatting sqref="E224 E216:E217 E211:E213 E198 E453 E617:E618 E169 E165 E146 E144 E460">
    <cfRule type="containsText" dxfId="9673" priority="4351" operator="containsText" text="Sin Información">
      <formula>NOT(ISERROR(SEARCH("Sin Información",E144)))</formula>
    </cfRule>
  </conditionalFormatting>
  <conditionalFormatting sqref="E224 E216:E217 E211:E213 E198 E453 E617:E618 E169 E165 E146 E144 E460">
    <cfRule type="containsText" dxfId="9672" priority="4352" operator="containsText" text="NUEVO">
      <formula>NOT(ISERROR(SEARCH("NUEVO",E144)))</formula>
    </cfRule>
  </conditionalFormatting>
  <conditionalFormatting sqref="I122">
    <cfRule type="expression" dxfId="9671" priority="4449">
      <formula>OR(I122&lt;&gt;"", J122&lt;&gt;"")</formula>
    </cfRule>
  </conditionalFormatting>
  <conditionalFormatting sqref="F119">
    <cfRule type="expression" dxfId="9670" priority="4442">
      <formula>F119&lt;&gt;""</formula>
    </cfRule>
  </conditionalFormatting>
  <conditionalFormatting sqref="I120">
    <cfRule type="expression" dxfId="9669" priority="4441">
      <formula>OR(I120&lt;&gt;"", J120&lt;&gt;"")</formula>
    </cfRule>
  </conditionalFormatting>
  <conditionalFormatting sqref="E24">
    <cfRule type="expression" dxfId="9668" priority="4374">
      <formula>E24&lt;&gt;""</formula>
    </cfRule>
  </conditionalFormatting>
  <conditionalFormatting sqref="E24">
    <cfRule type="expression" dxfId="9667" priority="4375">
      <formula>E24&lt;&gt;""</formula>
    </cfRule>
  </conditionalFormatting>
  <conditionalFormatting sqref="F500">
    <cfRule type="expression" dxfId="9666" priority="4405">
      <formula>F500&lt;&gt;""</formula>
    </cfRule>
  </conditionalFormatting>
  <conditionalFormatting sqref="E49">
    <cfRule type="expression" dxfId="9665" priority="4398">
      <formula>E49&lt;&gt;""</formula>
    </cfRule>
  </conditionalFormatting>
  <conditionalFormatting sqref="E55:E56">
    <cfRule type="expression" dxfId="9664" priority="4395">
      <formula>E55&lt;&gt;""</formula>
    </cfRule>
  </conditionalFormatting>
  <conditionalFormatting sqref="E25:E27 E31">
    <cfRule type="expression" dxfId="9663" priority="4393">
      <formula>E25&lt;&gt;""</formula>
    </cfRule>
  </conditionalFormatting>
  <conditionalFormatting sqref="E25:E27 E31:E33 E41">
    <cfRule type="expression" dxfId="9662" priority="4392">
      <formula>E25&lt;&gt;""</formula>
    </cfRule>
  </conditionalFormatting>
  <conditionalFormatting sqref="E31">
    <cfRule type="containsText" dxfId="9661" priority="4391" operator="containsText" text="Sin información">
      <formula>NOT(ISERROR(SEARCH("Sin información",E31)))</formula>
    </cfRule>
  </conditionalFormatting>
  <conditionalFormatting sqref="E31">
    <cfRule type="containsText" dxfId="9660" priority="4390" operator="containsText" text="NUEVO">
      <formula>NOT(ISERROR(SEARCH("NUEVO",E31)))</formula>
    </cfRule>
  </conditionalFormatting>
  <conditionalFormatting sqref="E31">
    <cfRule type="containsText" dxfId="9659" priority="4389" operator="containsText" text="Sin información">
      <formula>NOT(ISERROR(SEARCH("Sin información",E31)))</formula>
    </cfRule>
  </conditionalFormatting>
  <conditionalFormatting sqref="E31">
    <cfRule type="containsText" dxfId="9658" priority="4388" operator="containsText" text="NUEVO">
      <formula>NOT(ISERROR(SEARCH("NUEVO",E31)))</formula>
    </cfRule>
  </conditionalFormatting>
  <conditionalFormatting sqref="E41 E31:E33">
    <cfRule type="expression" dxfId="9657" priority="4387">
      <formula>E31&lt;&gt;""</formula>
    </cfRule>
  </conditionalFormatting>
  <conditionalFormatting sqref="E41 E32:E33">
    <cfRule type="expression" dxfId="9656" priority="4386">
      <formula>E32&lt;&gt;""</formula>
    </cfRule>
  </conditionalFormatting>
  <conditionalFormatting sqref="E42">
    <cfRule type="expression" dxfId="9655" priority="4385">
      <formula>E42&lt;&gt;""</formula>
    </cfRule>
  </conditionalFormatting>
  <conditionalFormatting sqref="E42">
    <cfRule type="expression" dxfId="9654" priority="4384">
      <formula>E42&lt;&gt;""</formula>
    </cfRule>
  </conditionalFormatting>
  <conditionalFormatting sqref="E42">
    <cfRule type="expression" dxfId="9653" priority="4383">
      <formula>E42&lt;&gt;""</formula>
    </cfRule>
  </conditionalFormatting>
  <conditionalFormatting sqref="E43">
    <cfRule type="expression" dxfId="9652" priority="4382">
      <formula>E43&lt;&gt;""</formula>
    </cfRule>
  </conditionalFormatting>
  <conditionalFormatting sqref="E43">
    <cfRule type="expression" dxfId="9651" priority="4381">
      <formula>E43&lt;&gt;""</formula>
    </cfRule>
  </conditionalFormatting>
  <conditionalFormatting sqref="E43">
    <cfRule type="expression" dxfId="9650" priority="4380">
      <formula>E43&lt;&gt;""</formula>
    </cfRule>
  </conditionalFormatting>
  <conditionalFormatting sqref="E23">
    <cfRule type="expression" dxfId="9649" priority="4379">
      <formula>E23&lt;&gt;""</formula>
    </cfRule>
  </conditionalFormatting>
  <conditionalFormatting sqref="E23">
    <cfRule type="expression" dxfId="9648" priority="4378">
      <formula>E23&lt;&gt;""</formula>
    </cfRule>
  </conditionalFormatting>
  <conditionalFormatting sqref="E23">
    <cfRule type="expression" dxfId="9647" priority="4377">
      <formula>E23&lt;&gt;""</formula>
    </cfRule>
  </conditionalFormatting>
  <conditionalFormatting sqref="E24">
    <cfRule type="expression" dxfId="9646" priority="4376">
      <formula>E24&lt;&gt;""</formula>
    </cfRule>
  </conditionalFormatting>
  <conditionalFormatting sqref="E226 E219:E221 E210 E168 E145 E119:E120 E228:E229">
    <cfRule type="containsText" dxfId="9645" priority="4370" operator="containsText" text="NUEVO">
      <formula>NOT(ISERROR(SEARCH("NUEVO",E119)))</formula>
    </cfRule>
  </conditionalFormatting>
  <conditionalFormatting sqref="E226 E219:E221 E210 E168 E145 E119:E120 E228:E229">
    <cfRule type="containsText" dxfId="9644" priority="4369" operator="containsText" text="Sin Información">
      <formula>NOT(ISERROR(SEARCH("Sin Información",E119)))</formula>
    </cfRule>
  </conditionalFormatting>
  <conditionalFormatting sqref="E187 E168 E150:E151 E145 E119:E120 E140:E141">
    <cfRule type="expression" dxfId="9643" priority="4368">
      <formula>E119&lt;&gt;""</formula>
    </cfRule>
  </conditionalFormatting>
  <conditionalFormatting sqref="E147 E142:E143 E123">
    <cfRule type="expression" dxfId="9642" priority="4367">
      <formula>E123&lt;&gt;""</formula>
    </cfRule>
  </conditionalFormatting>
  <conditionalFormatting sqref="E147 E142:E143 E123">
    <cfRule type="expression" dxfId="9641" priority="4364">
      <formula>E123&lt;&gt;""</formula>
    </cfRule>
  </conditionalFormatting>
  <conditionalFormatting sqref="E184">
    <cfRule type="expression" dxfId="9640" priority="4361">
      <formula>E184&lt;&gt;""</formula>
    </cfRule>
  </conditionalFormatting>
  <conditionalFormatting sqref="E186">
    <cfRule type="expression" dxfId="9639" priority="4360">
      <formula>E186&lt;&gt;""</formula>
    </cfRule>
  </conditionalFormatting>
  <conditionalFormatting sqref="E166">
    <cfRule type="containsText" dxfId="9638" priority="4359" operator="containsText" text="Sin información">
      <formula>NOT(ISERROR(SEARCH("Sin información",E166)))</formula>
    </cfRule>
  </conditionalFormatting>
  <conditionalFormatting sqref="E166">
    <cfRule type="expression" dxfId="9637" priority="4358">
      <formula>E166&lt;&gt;""</formula>
    </cfRule>
  </conditionalFormatting>
  <conditionalFormatting sqref="E224 E216:E217 E211:E213 E198 E453 E617:E618 E169 E165 E146 E144 E460">
    <cfRule type="expression" dxfId="9636" priority="4350">
      <formula>E144&lt;&gt;""</formula>
    </cfRule>
  </conditionalFormatting>
  <conditionalFormatting sqref="E224 E216:E217 E211:E213 E198 E453 E617:E618 E169 E165 E146 E144 E460">
    <cfRule type="containsText" dxfId="9635" priority="4349" operator="containsText" text="Sin información">
      <formula>NOT(ISERROR(SEARCH("Sin información",E144)))</formula>
    </cfRule>
  </conditionalFormatting>
  <conditionalFormatting sqref="E224 E216:E217 E211:E213 E198 E453 E617:E618 E169 E165 E146 E144 E460">
    <cfRule type="expression" dxfId="9634" priority="4348">
      <formula>E144&lt;&gt;""</formula>
    </cfRule>
  </conditionalFormatting>
  <conditionalFormatting sqref="E506 E468">
    <cfRule type="expression" dxfId="9633" priority="4269">
      <formula>E468&lt;&gt;""</formula>
    </cfRule>
  </conditionalFormatting>
  <conditionalFormatting sqref="E313 E316:E317 E338:E339 E355 E371 E375:E376 E334 E373">
    <cfRule type="containsText" dxfId="9632" priority="4334" operator="containsText" text="NUEVO">
      <formula>NOT(ISERROR(SEARCH("NUEVO",E313)))</formula>
    </cfRule>
  </conditionalFormatting>
  <conditionalFormatting sqref="E313 E316:E317 E338:E339 E355 E371 E375:E376 E334 E373">
    <cfRule type="containsText" dxfId="9631" priority="4333" operator="containsText" text="Sin Información">
      <formula>NOT(ISERROR(SEARCH("Sin Información",E313)))</formula>
    </cfRule>
  </conditionalFormatting>
  <conditionalFormatting sqref="E313 E316:E317 E338:E339 E355 E371 E375:E376 E334 E373">
    <cfRule type="expression" dxfId="9630" priority="4332">
      <formula>E313&lt;&gt;""</formula>
    </cfRule>
  </conditionalFormatting>
  <conditionalFormatting sqref="E319">
    <cfRule type="containsText" dxfId="9629" priority="4331" operator="containsText" text="NUEVO">
      <formula>NOT(ISERROR(SEARCH("NUEVO",E319)))</formula>
    </cfRule>
  </conditionalFormatting>
  <conditionalFormatting sqref="E319">
    <cfRule type="containsText" dxfId="9628" priority="4330" operator="containsText" text="Sin Información">
      <formula>NOT(ISERROR(SEARCH("Sin Información",E319)))</formula>
    </cfRule>
  </conditionalFormatting>
  <conditionalFormatting sqref="E319">
    <cfRule type="expression" dxfId="9627" priority="4329">
      <formula>E319&lt;&gt;""</formula>
    </cfRule>
  </conditionalFormatting>
  <conditionalFormatting sqref="E584:E585">
    <cfRule type="containsText" dxfId="9626" priority="4262" operator="containsText" text="NUEVO">
      <formula>NOT(ISERROR(SEARCH("NUEVO",E584)))</formula>
    </cfRule>
  </conditionalFormatting>
  <conditionalFormatting sqref="E584:E585">
    <cfRule type="containsText" dxfId="9625" priority="4261" operator="containsText" text="Sin Información">
      <formula>NOT(ISERROR(SEARCH("Sin Información",E584)))</formula>
    </cfRule>
  </conditionalFormatting>
  <conditionalFormatting sqref="E584:E585">
    <cfRule type="expression" dxfId="9624" priority="4260">
      <formula>E584&lt;&gt;""</formula>
    </cfRule>
  </conditionalFormatting>
  <conditionalFormatting sqref="E389">
    <cfRule type="containsText" dxfId="9623" priority="4325" operator="containsText" text="NUEVO">
      <formula>NOT(ISERROR(SEARCH("NUEVO",E389)))</formula>
    </cfRule>
  </conditionalFormatting>
  <conditionalFormatting sqref="E389">
    <cfRule type="containsText" dxfId="9622" priority="4324" operator="containsText" text="Sin Información">
      <formula>NOT(ISERROR(SEARCH("Sin Información",E389)))</formula>
    </cfRule>
  </conditionalFormatting>
  <conditionalFormatting sqref="E389">
    <cfRule type="expression" dxfId="9621" priority="4323">
      <formula>E389&lt;&gt;""</formula>
    </cfRule>
  </conditionalFormatting>
  <conditionalFormatting sqref="E336">
    <cfRule type="containsText" dxfId="9620" priority="4322" operator="containsText" text="NUEVO">
      <formula>NOT(ISERROR(SEARCH("NUEVO",E336)))</formula>
    </cfRule>
  </conditionalFormatting>
  <conditionalFormatting sqref="E336">
    <cfRule type="containsText" dxfId="9619" priority="4321" operator="containsText" text="Sin Información">
      <formula>NOT(ISERROR(SEARCH("Sin Información",E336)))</formula>
    </cfRule>
  </conditionalFormatting>
  <conditionalFormatting sqref="E336">
    <cfRule type="expression" dxfId="9618" priority="4320">
      <formula>E336&lt;&gt;""</formula>
    </cfRule>
  </conditionalFormatting>
  <conditionalFormatting sqref="E561 E572">
    <cfRule type="containsText" dxfId="9617" priority="4253" operator="containsText" text="NUEVO">
      <formula>NOT(ISERROR(SEARCH("NUEVO",E561)))</formula>
    </cfRule>
  </conditionalFormatting>
  <conditionalFormatting sqref="E561 E572">
    <cfRule type="containsText" dxfId="9616" priority="4252" operator="containsText" text="Sin Información">
      <formula>NOT(ISERROR(SEARCH("Sin Información",E561)))</formula>
    </cfRule>
  </conditionalFormatting>
  <conditionalFormatting sqref="E561 E572">
    <cfRule type="expression" dxfId="9615" priority="4251">
      <formula>E561&lt;&gt;""</formula>
    </cfRule>
  </conditionalFormatting>
  <conditionalFormatting sqref="E340 E314:E315 E310 E312">
    <cfRule type="containsText" dxfId="9614" priority="4316" operator="containsText" text="NUEVO">
      <formula>NOT(ISERROR(SEARCH("NUEVO",E310)))</formula>
    </cfRule>
  </conditionalFormatting>
  <conditionalFormatting sqref="E340 E314:E315 E310 E312">
    <cfRule type="containsText" dxfId="9613" priority="4315" operator="containsText" text="Sin Información">
      <formula>NOT(ISERROR(SEARCH("Sin Información",E310)))</formula>
    </cfRule>
  </conditionalFormatting>
  <conditionalFormatting sqref="E340 E314:E315 E310 E312">
    <cfRule type="expression" dxfId="9612" priority="4314">
      <formula>E310&lt;&gt;""</formula>
    </cfRule>
  </conditionalFormatting>
  <conditionalFormatting sqref="E351:E353">
    <cfRule type="containsText" dxfId="9611" priority="4313" operator="containsText" text="NUEVO">
      <formula>NOT(ISERROR(SEARCH("NUEVO",E351)))</formula>
    </cfRule>
  </conditionalFormatting>
  <conditionalFormatting sqref="E351:E353">
    <cfRule type="containsText" dxfId="9610" priority="4312" operator="containsText" text="Sin Información">
      <formula>NOT(ISERROR(SEARCH("Sin Información",E351)))</formula>
    </cfRule>
  </conditionalFormatting>
  <conditionalFormatting sqref="E351:E353">
    <cfRule type="expression" dxfId="9609" priority="4311">
      <formula>E351&lt;&gt;""</formula>
    </cfRule>
  </conditionalFormatting>
  <conditionalFormatting sqref="E348">
    <cfRule type="containsText" dxfId="9608" priority="4310" operator="containsText" text="NUEVO">
      <formula>NOT(ISERROR(SEARCH("NUEVO",E348)))</formula>
    </cfRule>
  </conditionalFormatting>
  <conditionalFormatting sqref="E348">
    <cfRule type="containsText" dxfId="9607" priority="4309" operator="containsText" text="Sin Información">
      <formula>NOT(ISERROR(SEARCH("Sin Información",E348)))</formula>
    </cfRule>
  </conditionalFormatting>
  <conditionalFormatting sqref="E348">
    <cfRule type="expression" dxfId="9606" priority="4308">
      <formula>E348&lt;&gt;""</formula>
    </cfRule>
  </conditionalFormatting>
  <conditionalFormatting sqref="E380 E374 E357">
    <cfRule type="containsText" dxfId="9605" priority="4307" operator="containsText" text="NUEVO">
      <formula>NOT(ISERROR(SEARCH("NUEVO",E357)))</formula>
    </cfRule>
  </conditionalFormatting>
  <conditionalFormatting sqref="E380 E374 E357">
    <cfRule type="containsText" dxfId="9604" priority="4306" operator="containsText" text="Sin Información">
      <formula>NOT(ISERROR(SEARCH("Sin Información",E357)))</formula>
    </cfRule>
  </conditionalFormatting>
  <conditionalFormatting sqref="E380 E374 E357">
    <cfRule type="expression" dxfId="9603" priority="4305">
      <formula>E357&lt;&gt;""</formula>
    </cfRule>
  </conditionalFormatting>
  <conditionalFormatting sqref="E441 E470 E511 E458 E464 E499 E460 E472:E473">
    <cfRule type="containsText" dxfId="9602" priority="4295" operator="containsText" text="NUEVO">
      <formula>NOT(ISERROR(SEARCH("NUEVO",E441)))</formula>
    </cfRule>
  </conditionalFormatting>
  <conditionalFormatting sqref="E441 E470 E511 E458 E464 E499 E460 E472:E473">
    <cfRule type="containsText" dxfId="9601" priority="4294" operator="containsText" text="Sin Información">
      <formula>NOT(ISERROR(SEARCH("Sin Información",E441)))</formula>
    </cfRule>
  </conditionalFormatting>
  <conditionalFormatting sqref="E441 E470 E511 E458 E464 E499 E460 E472:E473">
    <cfRule type="expression" dxfId="9600" priority="4293">
      <formula>E441&lt;&gt;""</formula>
    </cfRule>
  </conditionalFormatting>
  <conditionalFormatting sqref="E500 E452:E453 E443">
    <cfRule type="containsText" dxfId="9599" priority="4292" operator="containsText" text="NUEVO">
      <formula>NOT(ISERROR(SEARCH("NUEVO",E443)))</formula>
    </cfRule>
  </conditionalFormatting>
  <conditionalFormatting sqref="E500 E452:E453 E443">
    <cfRule type="containsText" dxfId="9598" priority="4291" operator="containsText" text="Sin Información">
      <formula>NOT(ISERROR(SEARCH("Sin Información",E443)))</formula>
    </cfRule>
  </conditionalFormatting>
  <conditionalFormatting sqref="E500 E452:E453 E443">
    <cfRule type="expression" dxfId="9597" priority="4290">
      <formula>E443&lt;&gt;""</formula>
    </cfRule>
  </conditionalFormatting>
  <conditionalFormatting sqref="E485 E474 E447 E444 E442 E449:E450">
    <cfRule type="containsText" dxfId="9596" priority="4289" operator="containsText" text="NUEVO">
      <formula>NOT(ISERROR(SEARCH("NUEVO",E442)))</formula>
    </cfRule>
  </conditionalFormatting>
  <conditionalFormatting sqref="E485 E474 E447 E444 E442 E449:E450">
    <cfRule type="containsText" dxfId="9595" priority="4288" operator="containsText" text="Sin Información">
      <formula>NOT(ISERROR(SEARCH("Sin Información",E442)))</formula>
    </cfRule>
  </conditionalFormatting>
  <conditionalFormatting sqref="E485 E474 E447 E444 E442 E449:E450">
    <cfRule type="expression" dxfId="9594" priority="4287">
      <formula>E442&lt;&gt;""</formula>
    </cfRule>
  </conditionalFormatting>
  <conditionalFormatting sqref="E479">
    <cfRule type="containsText" dxfId="9593" priority="4286" operator="containsText" text="NUEVO">
      <formula>NOT(ISERROR(SEARCH("NUEVO",E479)))</formula>
    </cfRule>
  </conditionalFormatting>
  <conditionalFormatting sqref="E479">
    <cfRule type="containsText" dxfId="9592" priority="4285" operator="containsText" text="Sin Información">
      <formula>NOT(ISERROR(SEARCH("Sin Información",E479)))</formula>
    </cfRule>
  </conditionalFormatting>
  <conditionalFormatting sqref="E479">
    <cfRule type="expression" dxfId="9591" priority="4284">
      <formula>E479&lt;&gt;""</formula>
    </cfRule>
  </conditionalFormatting>
  <conditionalFormatting sqref="E480">
    <cfRule type="containsText" dxfId="9590" priority="4283" operator="containsText" text="NUEVO">
      <formula>NOT(ISERROR(SEARCH("NUEVO",E480)))</formula>
    </cfRule>
  </conditionalFormatting>
  <conditionalFormatting sqref="E480">
    <cfRule type="containsText" dxfId="9589" priority="4282" operator="containsText" text="Sin Información">
      <formula>NOT(ISERROR(SEARCH("Sin Información",E480)))</formula>
    </cfRule>
  </conditionalFormatting>
  <conditionalFormatting sqref="E480">
    <cfRule type="expression" dxfId="9588" priority="4281">
      <formula>E480&lt;&gt;""</formula>
    </cfRule>
  </conditionalFormatting>
  <conditionalFormatting sqref="E445">
    <cfRule type="containsText" dxfId="9587" priority="4277" operator="containsText" text="NUEVO">
      <formula>NOT(ISERROR(SEARCH("NUEVO",E445)))</formula>
    </cfRule>
  </conditionalFormatting>
  <conditionalFormatting sqref="E445">
    <cfRule type="containsText" dxfId="9586" priority="4276" operator="containsText" text="Sin Información">
      <formula>NOT(ISERROR(SEARCH("Sin Información",E445)))</formula>
    </cfRule>
  </conditionalFormatting>
  <conditionalFormatting sqref="E445">
    <cfRule type="expression" dxfId="9585" priority="4275">
      <formula>E445&lt;&gt;""</formula>
    </cfRule>
  </conditionalFormatting>
  <conditionalFormatting sqref="E248 E466 E462 E454 E456">
    <cfRule type="containsText" dxfId="9584" priority="4274" operator="containsText" text="NUEVO">
      <formula>NOT(ISERROR(SEARCH("NUEVO",E248)))</formula>
    </cfRule>
  </conditionalFormatting>
  <conditionalFormatting sqref="E248 E466 E462 E454 E456">
    <cfRule type="containsText" dxfId="9583" priority="4273" operator="containsText" text="Sin Información">
      <formula>NOT(ISERROR(SEARCH("Sin Información",E248)))</formula>
    </cfRule>
  </conditionalFormatting>
  <conditionalFormatting sqref="E248 E466 E462 E454 E456">
    <cfRule type="expression" dxfId="9582" priority="4272">
      <formula>E248&lt;&gt;""</formula>
    </cfRule>
  </conditionalFormatting>
  <conditionalFormatting sqref="E506 E468">
    <cfRule type="containsText" dxfId="9581" priority="4271" operator="containsText" text="NUEVO">
      <formula>NOT(ISERROR(SEARCH("NUEVO",E468)))</formula>
    </cfRule>
  </conditionalFormatting>
  <conditionalFormatting sqref="E506 E468">
    <cfRule type="containsText" dxfId="9580" priority="4270" operator="containsText" text="Sin Información">
      <formula>NOT(ISERROR(SEARCH("Sin Información",E468)))</formula>
    </cfRule>
  </conditionalFormatting>
  <conditionalFormatting sqref="E555">
    <cfRule type="containsText" dxfId="9579" priority="4268" operator="containsText" text="NUEVO">
      <formula>NOT(ISERROR(SEARCH("NUEVO",E555)))</formula>
    </cfRule>
  </conditionalFormatting>
  <conditionalFormatting sqref="E555">
    <cfRule type="containsText" dxfId="9578" priority="4267" operator="containsText" text="Sin Información">
      <formula>NOT(ISERROR(SEARCH("Sin Información",E555)))</formula>
    </cfRule>
  </conditionalFormatting>
  <conditionalFormatting sqref="E555">
    <cfRule type="expression" dxfId="9577" priority="4266">
      <formula>E555&lt;&gt;""</formula>
    </cfRule>
  </conditionalFormatting>
  <conditionalFormatting sqref="E556:E558">
    <cfRule type="containsText" dxfId="9576" priority="4265" operator="containsText" text="NUEVO">
      <formula>NOT(ISERROR(SEARCH("NUEVO",E556)))</formula>
    </cfRule>
  </conditionalFormatting>
  <conditionalFormatting sqref="E556:E558">
    <cfRule type="containsText" dxfId="9575" priority="4264" operator="containsText" text="Sin Información">
      <formula>NOT(ISERROR(SEARCH("Sin Información",E556)))</formula>
    </cfRule>
  </conditionalFormatting>
  <conditionalFormatting sqref="E556:E558">
    <cfRule type="expression" dxfId="9574" priority="4263">
      <formula>E556&lt;&gt;""</formula>
    </cfRule>
  </conditionalFormatting>
  <conditionalFormatting sqref="E559:E560">
    <cfRule type="containsText" dxfId="9573" priority="4256" operator="containsText" text="NUEVO">
      <formula>NOT(ISERROR(SEARCH("NUEVO",E559)))</formula>
    </cfRule>
  </conditionalFormatting>
  <conditionalFormatting sqref="E559:E560">
    <cfRule type="containsText" dxfId="9572" priority="4255" operator="containsText" text="Sin Información">
      <formula>NOT(ISERROR(SEARCH("Sin Información",E559)))</formula>
    </cfRule>
  </conditionalFormatting>
  <conditionalFormatting sqref="E559:E560">
    <cfRule type="expression" dxfId="9571" priority="4254">
      <formula>E559&lt;&gt;""</formula>
    </cfRule>
  </conditionalFormatting>
  <conditionalFormatting sqref="E566">
    <cfRule type="containsText" dxfId="9570" priority="4250" operator="containsText" text="NUEVO">
      <formula>NOT(ISERROR(SEARCH("NUEVO",E566)))</formula>
    </cfRule>
  </conditionalFormatting>
  <conditionalFormatting sqref="E566">
    <cfRule type="containsText" dxfId="9569" priority="4249" operator="containsText" text="Sin Información">
      <formula>NOT(ISERROR(SEARCH("Sin Información",E566)))</formula>
    </cfRule>
  </conditionalFormatting>
  <conditionalFormatting sqref="E566">
    <cfRule type="expression" dxfId="9568" priority="4248">
      <formula>E566&lt;&gt;""</formula>
    </cfRule>
  </conditionalFormatting>
  <conditionalFormatting sqref="F333">
    <cfRule type="expression" dxfId="9567" priority="4235">
      <formula>F333&lt;&gt;""</formula>
    </cfRule>
  </conditionalFormatting>
  <conditionalFormatting sqref="E333">
    <cfRule type="containsText" dxfId="9566" priority="4234" operator="containsText" text="NUEVO">
      <formula>NOT(ISERROR(SEARCH("NUEVO",E333)))</formula>
    </cfRule>
  </conditionalFormatting>
  <conditionalFormatting sqref="E333">
    <cfRule type="containsText" dxfId="9565" priority="4233" operator="containsText" text="Sin Información">
      <formula>NOT(ISERROR(SEARCH("Sin Información",E333)))</formula>
    </cfRule>
  </conditionalFormatting>
  <conditionalFormatting sqref="E333">
    <cfRule type="expression" dxfId="9564" priority="4232">
      <formula>E333&lt;&gt;""</formula>
    </cfRule>
  </conditionalFormatting>
  <conditionalFormatting sqref="F507">
    <cfRule type="expression" dxfId="9563" priority="4171">
      <formula>F507&lt;&gt;""</formula>
    </cfRule>
  </conditionalFormatting>
  <conditionalFormatting sqref="E507">
    <cfRule type="expression" dxfId="9562" priority="4168">
      <formula>E507&lt;&gt;""</formula>
    </cfRule>
  </conditionalFormatting>
  <conditionalFormatting sqref="E507">
    <cfRule type="containsText" dxfId="9561" priority="4170" operator="containsText" text="NUEVO">
      <formula>NOT(ISERROR(SEARCH("NUEVO",E507)))</formula>
    </cfRule>
  </conditionalFormatting>
  <conditionalFormatting sqref="E507">
    <cfRule type="containsText" dxfId="9560" priority="4169" operator="containsText" text="Sin Información">
      <formula>NOT(ISERROR(SEARCH("Sin Información",E507)))</formula>
    </cfRule>
  </conditionalFormatting>
  <conditionalFormatting sqref="E483">
    <cfRule type="containsText" dxfId="9559" priority="4159" operator="containsText" text="Sin Información">
      <formula>NOT(ISERROR(SEARCH("Sin Información",E483)))</formula>
    </cfRule>
  </conditionalFormatting>
  <conditionalFormatting sqref="E483">
    <cfRule type="expression" dxfId="9558" priority="4158">
      <formula>E483&lt;&gt;""</formula>
    </cfRule>
  </conditionalFormatting>
  <conditionalFormatting sqref="E483">
    <cfRule type="containsText" dxfId="9557" priority="4160" operator="containsText" text="NUEVO">
      <formula>NOT(ISERROR(SEARCH("NUEVO",E483)))</formula>
    </cfRule>
  </conditionalFormatting>
  <conditionalFormatting sqref="F483">
    <cfRule type="expression" dxfId="9556" priority="4157">
      <formula>F483&lt;&gt;""</formula>
    </cfRule>
  </conditionalFormatting>
  <conditionalFormatting sqref="E484">
    <cfRule type="containsText" dxfId="9555" priority="4152" operator="containsText" text="Sin información">
      <formula>NOT(ISERROR(SEARCH("Sin información",E484)))</formula>
    </cfRule>
  </conditionalFormatting>
  <conditionalFormatting sqref="E484">
    <cfRule type="containsText" dxfId="9554" priority="4151" operator="containsText" text="NUEVO">
      <formula>NOT(ISERROR(SEARCH("NUEVO",E484)))</formula>
    </cfRule>
  </conditionalFormatting>
  <conditionalFormatting sqref="E484">
    <cfRule type="containsText" dxfId="9553" priority="4150" operator="containsText" text="Sin Información">
      <formula>NOT(ISERROR(SEARCH("Sin Información",E484)))</formula>
    </cfRule>
  </conditionalFormatting>
  <conditionalFormatting sqref="F484">
    <cfRule type="expression" dxfId="9552" priority="4149">
      <formula>F484&lt;&gt;""</formula>
    </cfRule>
  </conditionalFormatting>
  <conditionalFormatting sqref="E513">
    <cfRule type="containsText" dxfId="9551" priority="4140" operator="containsText" text="NUEVO">
      <formula>NOT(ISERROR(SEARCH("NUEVO",E513)))</formula>
    </cfRule>
  </conditionalFormatting>
  <conditionalFormatting sqref="E513">
    <cfRule type="containsText" dxfId="9550" priority="4139" operator="containsText" text="Sin Información">
      <formula>NOT(ISERROR(SEARCH("Sin Información",E513)))</formula>
    </cfRule>
  </conditionalFormatting>
  <conditionalFormatting sqref="E513">
    <cfRule type="expression" dxfId="9549" priority="4138">
      <formula>E513&lt;&gt;""</formula>
    </cfRule>
  </conditionalFormatting>
  <conditionalFormatting sqref="F513">
    <cfRule type="expression" dxfId="9548" priority="4137">
      <formula>F513&lt;&gt;""</formula>
    </cfRule>
  </conditionalFormatting>
  <conditionalFormatting sqref="E240">
    <cfRule type="containsText" dxfId="9547" priority="4125" operator="containsText" text="NUEVO">
      <formula>NOT(ISERROR(SEARCH("NUEVO",E240)))</formula>
    </cfRule>
  </conditionalFormatting>
  <conditionalFormatting sqref="E240">
    <cfRule type="containsText" dxfId="9546" priority="4124" operator="containsText" text="Sin Información">
      <formula>NOT(ISERROR(SEARCH("Sin Información",E240)))</formula>
    </cfRule>
  </conditionalFormatting>
  <conditionalFormatting sqref="E240">
    <cfRule type="expression" dxfId="9545" priority="4123">
      <formula>E240&lt;&gt;""</formula>
    </cfRule>
  </conditionalFormatting>
  <conditionalFormatting sqref="I23">
    <cfRule type="expression" dxfId="9544" priority="32395">
      <formula>OR(I23&lt;&gt;"", J25&lt;&gt;"")</formula>
    </cfRule>
  </conditionalFormatting>
  <conditionalFormatting sqref="I25">
    <cfRule type="expression" dxfId="9543" priority="4121">
      <formula>OR(I25&lt;&gt;"", J25&lt;&gt;"")</formula>
    </cfRule>
  </conditionalFormatting>
  <conditionalFormatting sqref="F377:F378">
    <cfRule type="expression" dxfId="9542" priority="4107">
      <formula>F377&lt;&gt;""</formula>
    </cfRule>
  </conditionalFormatting>
  <conditionalFormatting sqref="E377:E378">
    <cfRule type="containsText" dxfId="9541" priority="4106" operator="containsText" text="NUEVO">
      <formula>NOT(ISERROR(SEARCH("NUEVO",E377)))</formula>
    </cfRule>
  </conditionalFormatting>
  <conditionalFormatting sqref="E377:E378">
    <cfRule type="containsText" dxfId="9540" priority="4105" operator="containsText" text="Sin Información">
      <formula>NOT(ISERROR(SEARCH("Sin Información",E377)))</formula>
    </cfRule>
  </conditionalFormatting>
  <conditionalFormatting sqref="E377:E378">
    <cfRule type="expression" dxfId="9539" priority="4104">
      <formula>E377&lt;&gt;""</formula>
    </cfRule>
  </conditionalFormatting>
  <conditionalFormatting sqref="E111">
    <cfRule type="containsText" dxfId="9538" priority="4079" operator="containsText" text="NUEVO">
      <formula>NOT(ISERROR(SEARCH("NUEVO",E111)))</formula>
    </cfRule>
  </conditionalFormatting>
  <conditionalFormatting sqref="E111">
    <cfRule type="containsText" dxfId="9537" priority="4078" operator="containsText" text="Sin Información">
      <formula>NOT(ISERROR(SEARCH("Sin Información",E111)))</formula>
    </cfRule>
  </conditionalFormatting>
  <conditionalFormatting sqref="F111">
    <cfRule type="expression" dxfId="9536" priority="4077">
      <formula>F111&lt;&gt;""</formula>
    </cfRule>
  </conditionalFormatting>
  <conditionalFormatting sqref="E103">
    <cfRule type="containsText" dxfId="9535" priority="4069" operator="containsText" text="Sin Información">
      <formula>NOT(ISERROR(SEARCH("Sin Información",E103)))</formula>
    </cfRule>
  </conditionalFormatting>
  <conditionalFormatting sqref="F103">
    <cfRule type="expression" dxfId="9534" priority="4071">
      <formula>F103&lt;&gt;""</formula>
    </cfRule>
  </conditionalFormatting>
  <conditionalFormatting sqref="E103">
    <cfRule type="containsText" dxfId="9533" priority="4070" operator="containsText" text="NUEVO">
      <formula>NOT(ISERROR(SEARCH("NUEVO",E103)))</formula>
    </cfRule>
  </conditionalFormatting>
  <conditionalFormatting sqref="E103">
    <cfRule type="expression" dxfId="9532" priority="4068">
      <formula>E103&lt;&gt;""</formula>
    </cfRule>
  </conditionalFormatting>
  <conditionalFormatting sqref="E241">
    <cfRule type="containsText" dxfId="9531" priority="4057" operator="containsText" text="NUEVO">
      <formula>NOT(ISERROR(SEARCH("NUEVO",E241)))</formula>
    </cfRule>
  </conditionalFormatting>
  <conditionalFormatting sqref="E241">
    <cfRule type="containsText" dxfId="9530" priority="4056" operator="containsText" text="Sin Información">
      <formula>NOT(ISERROR(SEARCH("Sin Información",E241)))</formula>
    </cfRule>
  </conditionalFormatting>
  <conditionalFormatting sqref="E241">
    <cfRule type="expression" dxfId="9529" priority="4055">
      <formula>E241&lt;&gt;""</formula>
    </cfRule>
  </conditionalFormatting>
  <conditionalFormatting sqref="F241">
    <cfRule type="expression" dxfId="9528" priority="4054">
      <formula>F241&lt;&gt;""</formula>
    </cfRule>
  </conditionalFormatting>
  <conditionalFormatting sqref="E191">
    <cfRule type="containsText" dxfId="9527" priority="4035" operator="containsText" text="NUEVO">
      <formula>NOT(ISERROR(SEARCH("NUEVO",E191)))</formula>
    </cfRule>
  </conditionalFormatting>
  <conditionalFormatting sqref="E191">
    <cfRule type="containsText" dxfId="9526" priority="4036" operator="containsText" text="Sin información">
      <formula>NOT(ISERROR(SEARCH("Sin información",E191)))</formula>
    </cfRule>
  </conditionalFormatting>
  <conditionalFormatting sqref="E191">
    <cfRule type="containsText" dxfId="9525" priority="4034" operator="containsText" text="Sin Información">
      <formula>NOT(ISERROR(SEARCH("Sin Información",E191)))</formula>
    </cfRule>
  </conditionalFormatting>
  <conditionalFormatting sqref="F191">
    <cfRule type="expression" dxfId="9524" priority="4033">
      <formula>F191&lt;&gt;""</formula>
    </cfRule>
  </conditionalFormatting>
  <conditionalFormatting sqref="E477">
    <cfRule type="containsText" dxfId="9523" priority="4008" operator="containsText" text="Sin información">
      <formula>NOT(ISERROR(SEARCH("Sin información",E477)))</formula>
    </cfRule>
  </conditionalFormatting>
  <conditionalFormatting sqref="E477">
    <cfRule type="containsText" dxfId="9522" priority="4007" operator="containsText" text="NUEVO">
      <formula>NOT(ISERROR(SEARCH("NUEVO",E477)))</formula>
    </cfRule>
  </conditionalFormatting>
  <conditionalFormatting sqref="G228 G241 G230:G231">
    <cfRule type="expression" dxfId="9521" priority="3992">
      <formula>G228&lt;&gt;""</formula>
    </cfRule>
  </conditionalFormatting>
  <conditionalFormatting sqref="F223">
    <cfRule type="expression" dxfId="9520" priority="3980">
      <formula>F223&lt;&gt;""</formula>
    </cfRule>
  </conditionalFormatting>
  <conditionalFormatting sqref="E223">
    <cfRule type="containsText" dxfId="9519" priority="3979" operator="containsText" text="NUEVO">
      <formula>NOT(ISERROR(SEARCH("NUEVO",E223)))</formula>
    </cfRule>
  </conditionalFormatting>
  <conditionalFormatting sqref="E223">
    <cfRule type="containsText" dxfId="9518" priority="3978" operator="containsText" text="Sin Información">
      <formula>NOT(ISERROR(SEARCH("Sin Información",E223)))</formula>
    </cfRule>
  </conditionalFormatting>
  <conditionalFormatting sqref="E223">
    <cfRule type="expression" dxfId="9517" priority="3977">
      <formula>E223&lt;&gt;""</formula>
    </cfRule>
  </conditionalFormatting>
  <conditionalFormatting sqref="E223">
    <cfRule type="containsText" dxfId="9516" priority="3976" operator="containsText" text="NUEVO">
      <formula>NOT(ISERROR(SEARCH("NUEVO",E223)))</formula>
    </cfRule>
  </conditionalFormatting>
  <conditionalFormatting sqref="E223">
    <cfRule type="containsText" dxfId="9515" priority="3975" operator="containsText" text="Sin Información">
      <formula>NOT(ISERROR(SEARCH("Sin Información",E223)))</formula>
    </cfRule>
  </conditionalFormatting>
  <conditionalFormatting sqref="E391">
    <cfRule type="containsText" dxfId="9514" priority="3968" operator="containsText" text="NUEVO">
      <formula>NOT(ISERROR(SEARCH("NUEVO",E391)))</formula>
    </cfRule>
  </conditionalFormatting>
  <conditionalFormatting sqref="E391">
    <cfRule type="containsText" dxfId="9513" priority="3967" operator="containsText" text="Sin Información">
      <formula>NOT(ISERROR(SEARCH("Sin Información",E391)))</formula>
    </cfRule>
  </conditionalFormatting>
  <conditionalFormatting sqref="E391">
    <cfRule type="expression" dxfId="9512" priority="3966">
      <formula>E391&lt;&gt;""</formula>
    </cfRule>
  </conditionalFormatting>
  <conditionalFormatting sqref="F489">
    <cfRule type="expression" dxfId="9511" priority="3957">
      <formula>F489&lt;&gt;""</formula>
    </cfRule>
  </conditionalFormatting>
  <conditionalFormatting sqref="E387:E388">
    <cfRule type="containsText" dxfId="9510" priority="3897" operator="containsText" text="NUEVO">
      <formula>NOT(ISERROR(SEARCH("NUEVO",E387)))</formula>
    </cfRule>
  </conditionalFormatting>
  <conditionalFormatting sqref="E387:E388">
    <cfRule type="containsText" dxfId="9509" priority="3896" operator="containsText" text="Sin Información">
      <formula>NOT(ISERROR(SEARCH("Sin Información",E387)))</formula>
    </cfRule>
  </conditionalFormatting>
  <conditionalFormatting sqref="E387:E388">
    <cfRule type="expression" dxfId="9508" priority="3895">
      <formula>E387&lt;&gt;""</formula>
    </cfRule>
  </conditionalFormatting>
  <conditionalFormatting sqref="F387:F388">
    <cfRule type="expression" dxfId="9507" priority="3894">
      <formula>F387&lt;&gt;""</formula>
    </cfRule>
  </conditionalFormatting>
  <conditionalFormatting sqref="F395">
    <cfRule type="expression" dxfId="9506" priority="3889">
      <formula>F395&lt;&gt;""</formula>
    </cfRule>
  </conditionalFormatting>
  <conditionalFormatting sqref="G250:G251">
    <cfRule type="expression" dxfId="9505" priority="3878">
      <formula>G250&lt;&gt;""</formula>
    </cfRule>
  </conditionalFormatting>
  <conditionalFormatting sqref="E242">
    <cfRule type="containsText" dxfId="9504" priority="3850" operator="containsText" text="NUEVO">
      <formula>NOT(ISERROR(SEARCH("NUEVO",E242)))</formula>
    </cfRule>
  </conditionalFormatting>
  <conditionalFormatting sqref="E494">
    <cfRule type="containsText" dxfId="9503" priority="3871" operator="containsText" text="NUEVO">
      <formula>NOT(ISERROR(SEARCH("NUEVO",E494)))</formula>
    </cfRule>
  </conditionalFormatting>
  <conditionalFormatting sqref="E494">
    <cfRule type="containsText" dxfId="9502" priority="3870" operator="containsText" text="Sin Información">
      <formula>NOT(ISERROR(SEARCH("Sin Información",E494)))</formula>
    </cfRule>
  </conditionalFormatting>
  <conditionalFormatting sqref="E494">
    <cfRule type="expression" dxfId="9501" priority="3869">
      <formula>E494&lt;&gt;""</formula>
    </cfRule>
  </conditionalFormatting>
  <conditionalFormatting sqref="E494">
    <cfRule type="containsText" dxfId="9500" priority="3867" operator="containsText" text="Sin Información">
      <formula>NOT(ISERROR(SEARCH("Sin Información",E494)))</formula>
    </cfRule>
  </conditionalFormatting>
  <conditionalFormatting sqref="E494">
    <cfRule type="containsText" dxfId="9499" priority="3868" operator="containsText" text="NUEVO">
      <formula>NOT(ISERROR(SEARCH("NUEVO",E494)))</formula>
    </cfRule>
  </conditionalFormatting>
  <conditionalFormatting sqref="E494">
    <cfRule type="expression" dxfId="9498" priority="3866">
      <formula>E494&lt;&gt;""</formula>
    </cfRule>
  </conditionalFormatting>
  <conditionalFormatting sqref="F494">
    <cfRule type="expression" dxfId="9497" priority="3865">
      <formula>F494&lt;&gt;""</formula>
    </cfRule>
  </conditionalFormatting>
  <conditionalFormatting sqref="F494">
    <cfRule type="expression" dxfId="9496" priority="3864">
      <formula>F494&lt;&gt;""</formula>
    </cfRule>
  </conditionalFormatting>
  <conditionalFormatting sqref="F246">
    <cfRule type="expression" dxfId="9495" priority="3857">
      <formula>F246&lt;&gt;""</formula>
    </cfRule>
  </conditionalFormatting>
  <conditionalFormatting sqref="E242">
    <cfRule type="containsText" dxfId="9494" priority="3849" operator="containsText" text="Sin Información">
      <formula>NOT(ISERROR(SEARCH("Sin Información",E242)))</formula>
    </cfRule>
  </conditionalFormatting>
  <conditionalFormatting sqref="E242">
    <cfRule type="expression" dxfId="9493" priority="3848">
      <formula>E242&lt;&gt;""</formula>
    </cfRule>
  </conditionalFormatting>
  <conditionalFormatting sqref="F242">
    <cfRule type="expression" dxfId="9492" priority="3847">
      <formula>F242&lt;&gt;""</formula>
    </cfRule>
  </conditionalFormatting>
  <conditionalFormatting sqref="E232:F232">
    <cfRule type="expression" dxfId="9491" priority="3840">
      <formula>E232&lt;&gt;""</formula>
    </cfRule>
  </conditionalFormatting>
  <conditionalFormatting sqref="E232">
    <cfRule type="containsText" dxfId="9490" priority="3839" operator="containsText" text="NUEVO">
      <formula>NOT(ISERROR(SEARCH("NUEVO",E232)))</formula>
    </cfRule>
  </conditionalFormatting>
  <conditionalFormatting sqref="E232">
    <cfRule type="containsText" dxfId="9489" priority="3838" operator="containsText" text="Sin Información">
      <formula>NOT(ISERROR(SEARCH("Sin Información",E232)))</formula>
    </cfRule>
  </conditionalFormatting>
  <conditionalFormatting sqref="F253">
    <cfRule type="expression" dxfId="9488" priority="3831">
      <formula>F253&lt;&gt;""</formula>
    </cfRule>
  </conditionalFormatting>
  <conditionalFormatting sqref="F586">
    <cfRule type="expression" dxfId="9487" priority="3820">
      <formula>F586&lt;&gt;""</formula>
    </cfRule>
  </conditionalFormatting>
  <conditionalFormatting sqref="E586">
    <cfRule type="containsText" dxfId="9486" priority="3819" operator="containsText" text="NUEVO">
      <formula>NOT(ISERROR(SEARCH("NUEVO",E586)))</formula>
    </cfRule>
  </conditionalFormatting>
  <conditionalFormatting sqref="E586">
    <cfRule type="containsText" dxfId="9485" priority="3818" operator="containsText" text="Sin Información">
      <formula>NOT(ISERROR(SEARCH("Sin Información",E586)))</formula>
    </cfRule>
  </conditionalFormatting>
  <conditionalFormatting sqref="E586">
    <cfRule type="expression" dxfId="9484" priority="3817">
      <formula>E586&lt;&gt;""</formula>
    </cfRule>
  </conditionalFormatting>
  <conditionalFormatting sqref="G586">
    <cfRule type="expression" dxfId="9483" priority="3816">
      <formula>G586&lt;&gt;""</formula>
    </cfRule>
  </conditionalFormatting>
  <conditionalFormatting sqref="E176:E177">
    <cfRule type="containsText" dxfId="9482" priority="3756" operator="containsText" text="NUEVO">
      <formula>NOT(ISERROR(SEARCH("NUEVO",E176)))</formula>
    </cfRule>
  </conditionalFormatting>
  <conditionalFormatting sqref="E176:E177">
    <cfRule type="containsText" dxfId="9481" priority="3755" operator="containsText" text="Sin Información">
      <formula>NOT(ISERROR(SEARCH("Sin Información",E176)))</formula>
    </cfRule>
  </conditionalFormatting>
  <conditionalFormatting sqref="F176:F177">
    <cfRule type="expression" dxfId="9480" priority="3757">
      <formula>F176&lt;&gt;""</formula>
    </cfRule>
  </conditionalFormatting>
  <conditionalFormatting sqref="E176:E177">
    <cfRule type="expression" dxfId="9479" priority="3754">
      <formula>E176&lt;&gt;""</formula>
    </cfRule>
  </conditionalFormatting>
  <conditionalFormatting sqref="E230">
    <cfRule type="containsText" dxfId="9478" priority="3724" operator="containsText" text="NUEVO">
      <formula>NOT(ISERROR(SEARCH("NUEVO",E230)))</formula>
    </cfRule>
  </conditionalFormatting>
  <conditionalFormatting sqref="E230">
    <cfRule type="containsText" dxfId="9477" priority="3723" operator="containsText" text="Sin Información">
      <formula>NOT(ISERROR(SEARCH("Sin Información",E230)))</formula>
    </cfRule>
  </conditionalFormatting>
  <conditionalFormatting sqref="E230:F230">
    <cfRule type="expression" dxfId="9476" priority="3722">
      <formula>E230&lt;&gt;""</formula>
    </cfRule>
  </conditionalFormatting>
  <conditionalFormatting sqref="E230">
    <cfRule type="containsText" dxfId="9475" priority="3721" operator="containsText" text="NUEVO">
      <formula>NOT(ISERROR(SEARCH("NUEVO",E230)))</formula>
    </cfRule>
  </conditionalFormatting>
  <conditionalFormatting sqref="E230">
    <cfRule type="containsText" dxfId="9474" priority="3720" operator="containsText" text="Sin Información">
      <formula>NOT(ISERROR(SEARCH("Sin Información",E230)))</formula>
    </cfRule>
  </conditionalFormatting>
  <conditionalFormatting sqref="E231">
    <cfRule type="containsText" dxfId="9473" priority="3709" operator="containsText" text="NUEVO">
      <formula>NOT(ISERROR(SEARCH("NUEVO",E231)))</formula>
    </cfRule>
  </conditionalFormatting>
  <conditionalFormatting sqref="E231">
    <cfRule type="containsText" dxfId="9472" priority="3708" operator="containsText" text="Sin Información">
      <formula>NOT(ISERROR(SEARCH("Sin Información",E231)))</formula>
    </cfRule>
  </conditionalFormatting>
  <conditionalFormatting sqref="E231:F231">
    <cfRule type="expression" dxfId="9471" priority="3707">
      <formula>E231&lt;&gt;""</formula>
    </cfRule>
  </conditionalFormatting>
  <conditionalFormatting sqref="E231">
    <cfRule type="containsText" dxfId="9470" priority="3706" operator="containsText" text="NUEVO">
      <formula>NOT(ISERROR(SEARCH("NUEVO",E231)))</formula>
    </cfRule>
  </conditionalFormatting>
  <conditionalFormatting sqref="E231">
    <cfRule type="containsText" dxfId="9469" priority="3705" operator="containsText" text="Sin Información">
      <formula>NOT(ISERROR(SEARCH("Sin Información",E231)))</formula>
    </cfRule>
  </conditionalFormatting>
  <conditionalFormatting sqref="E189">
    <cfRule type="containsText" dxfId="9468" priority="3680" operator="containsText" text="NUEVO">
      <formula>NOT(ISERROR(SEARCH("NUEVO",E189)))</formula>
    </cfRule>
  </conditionalFormatting>
  <conditionalFormatting sqref="F588">
    <cfRule type="expression" dxfId="9467" priority="3700">
      <formula>F588&lt;&gt;""</formula>
    </cfRule>
  </conditionalFormatting>
  <conditionalFormatting sqref="G588">
    <cfRule type="expression" dxfId="9466" priority="3696">
      <formula>G588&lt;&gt;""</formula>
    </cfRule>
  </conditionalFormatting>
  <conditionalFormatting sqref="F259">
    <cfRule type="expression" dxfId="9465" priority="3690">
      <formula>F259&lt;&gt;""</formula>
    </cfRule>
  </conditionalFormatting>
  <conditionalFormatting sqref="E259:E260">
    <cfRule type="containsText" dxfId="9464" priority="3689" operator="containsText" text="NUEVO">
      <formula>NOT(ISERROR(SEARCH("NUEVO",E259)))</formula>
    </cfRule>
  </conditionalFormatting>
  <conditionalFormatting sqref="E259:E260">
    <cfRule type="containsText" dxfId="9463" priority="3688" operator="containsText" text="Sin Información">
      <formula>NOT(ISERROR(SEARCH("Sin Información",E259)))</formula>
    </cfRule>
  </conditionalFormatting>
  <conditionalFormatting sqref="E259:E260">
    <cfRule type="expression" dxfId="9462" priority="3687">
      <formula>E259&lt;&gt;""</formula>
    </cfRule>
  </conditionalFormatting>
  <conditionalFormatting sqref="E189">
    <cfRule type="containsText" dxfId="9461" priority="3679" operator="containsText" text="Sin Información">
      <formula>NOT(ISERROR(SEARCH("Sin Información",E189)))</formula>
    </cfRule>
  </conditionalFormatting>
  <conditionalFormatting sqref="E189">
    <cfRule type="containsText" dxfId="9460" priority="3681" operator="containsText" text="Sin información">
      <formula>NOT(ISERROR(SEARCH("Sin información",E189)))</formula>
    </cfRule>
  </conditionalFormatting>
  <conditionalFormatting sqref="E189">
    <cfRule type="expression" dxfId="9459" priority="3678">
      <formula>E189&lt;&gt;""</formula>
    </cfRule>
  </conditionalFormatting>
  <conditionalFormatting sqref="E189">
    <cfRule type="containsText" dxfId="9458" priority="3677" operator="containsText" text="Sin Información">
      <formula>NOT(ISERROR(SEARCH("Sin Información",E189)))</formula>
    </cfRule>
  </conditionalFormatting>
  <conditionalFormatting sqref="E189">
    <cfRule type="containsText" dxfId="9457" priority="3676" operator="containsText" text="NUEVO">
      <formula>NOT(ISERROR(SEARCH("NUEVO",E189)))</formula>
    </cfRule>
  </conditionalFormatting>
  <conditionalFormatting sqref="E189">
    <cfRule type="containsText" dxfId="9456" priority="3675" operator="containsText" text="Sin Información">
      <formula>NOT(ISERROR(SEARCH("Sin Información",E189)))</formula>
    </cfRule>
  </conditionalFormatting>
  <conditionalFormatting sqref="E189">
    <cfRule type="containsText" dxfId="9455" priority="3674" operator="containsText" text="NUEVO">
      <formula>NOT(ISERROR(SEARCH("NUEVO",E189)))</formula>
    </cfRule>
  </conditionalFormatting>
  <conditionalFormatting sqref="E356">
    <cfRule type="containsText" dxfId="9454" priority="3637" operator="containsText" text="NUEVO">
      <formula>NOT(ISERROR(SEARCH("NUEVO",E356)))</formula>
    </cfRule>
  </conditionalFormatting>
  <conditionalFormatting sqref="F396">
    <cfRule type="expression" dxfId="9453" priority="3663">
      <formula>F396&lt;&gt;""</formula>
    </cfRule>
  </conditionalFormatting>
  <conditionalFormatting sqref="E344">
    <cfRule type="containsText" dxfId="9452" priority="3652" operator="containsText" text="NUEVO">
      <formula>NOT(ISERROR(SEARCH("NUEVO",E344)))</formula>
    </cfRule>
  </conditionalFormatting>
  <conditionalFormatting sqref="E344">
    <cfRule type="containsText" dxfId="9451" priority="3651" operator="containsText" text="Sin Información">
      <formula>NOT(ISERROR(SEARCH("Sin Información",E344)))</formula>
    </cfRule>
  </conditionalFormatting>
  <conditionalFormatting sqref="E344">
    <cfRule type="expression" dxfId="9450" priority="3650">
      <formula>E344&lt;&gt;""</formula>
    </cfRule>
  </conditionalFormatting>
  <conditionalFormatting sqref="F344">
    <cfRule type="containsText" dxfId="9449" priority="3649" operator="containsText" text="NO+$D$4:$D$10">
      <formula>NOT(ISERROR(SEARCH("NO+$D$4:$D$10",F344)))</formula>
    </cfRule>
  </conditionalFormatting>
  <conditionalFormatting sqref="F344">
    <cfRule type="containsText" dxfId="9448" priority="3647" operator="containsText" text="SI">
      <formula>NOT(ISERROR(SEARCH("SI",F344)))</formula>
    </cfRule>
    <cfRule type="containsText" dxfId="9447" priority="3648" operator="containsText" text="NO">
      <formula>NOT(ISERROR(SEARCH("NO",F344)))</formula>
    </cfRule>
  </conditionalFormatting>
  <conditionalFormatting sqref="F344">
    <cfRule type="containsText" dxfId="9446" priority="3646" operator="containsText" text="NUEVO">
      <formula>NOT(ISERROR(SEARCH("NUEVO",F344)))</formula>
    </cfRule>
  </conditionalFormatting>
  <conditionalFormatting sqref="F344">
    <cfRule type="expression" dxfId="9445" priority="3645">
      <formula>F344&lt;&gt;""</formula>
    </cfRule>
  </conditionalFormatting>
  <conditionalFormatting sqref="F356">
    <cfRule type="expression" dxfId="9444" priority="3638">
      <formula>F356&lt;&gt;""</formula>
    </cfRule>
  </conditionalFormatting>
  <conditionalFormatting sqref="E356">
    <cfRule type="containsText" dxfId="9443" priority="3636" operator="containsText" text="Sin Información">
      <formula>NOT(ISERROR(SEARCH("Sin Información",E356)))</formula>
    </cfRule>
  </conditionalFormatting>
  <conditionalFormatting sqref="E356">
    <cfRule type="expression" dxfId="9442" priority="3635">
      <formula>E356&lt;&gt;""</formula>
    </cfRule>
  </conditionalFormatting>
  <conditionalFormatting sqref="E329">
    <cfRule type="containsText" dxfId="9441" priority="3604" operator="containsText" text="NUEVO">
      <formula>NOT(ISERROR(SEARCH("NUEVO",E329)))</formula>
    </cfRule>
  </conditionalFormatting>
  <conditionalFormatting sqref="F379">
    <cfRule type="expression" dxfId="9440" priority="3626">
      <formula>F379&lt;&gt;""</formula>
    </cfRule>
  </conditionalFormatting>
  <conditionalFormatting sqref="E379">
    <cfRule type="containsText" dxfId="9439" priority="3625" operator="containsText" text="NUEVO">
      <formula>NOT(ISERROR(SEARCH("NUEVO",E379)))</formula>
    </cfRule>
  </conditionalFormatting>
  <conditionalFormatting sqref="E379">
    <cfRule type="containsText" dxfId="9438" priority="3624" operator="containsText" text="Sin Información">
      <formula>NOT(ISERROR(SEARCH("Sin Información",E379)))</formula>
    </cfRule>
  </conditionalFormatting>
  <conditionalFormatting sqref="E379">
    <cfRule type="expression" dxfId="9437" priority="3623">
      <formula>E379&lt;&gt;""</formula>
    </cfRule>
  </conditionalFormatting>
  <conditionalFormatting sqref="F343">
    <cfRule type="expression" dxfId="9436" priority="3617">
      <formula>F343&lt;&gt;""</formula>
    </cfRule>
  </conditionalFormatting>
  <conditionalFormatting sqref="E343">
    <cfRule type="containsText" dxfId="9435" priority="3616" operator="containsText" text="NUEVO">
      <formula>NOT(ISERROR(SEARCH("NUEVO",E343)))</formula>
    </cfRule>
  </conditionalFormatting>
  <conditionalFormatting sqref="E343">
    <cfRule type="containsText" dxfId="9434" priority="3615" operator="containsText" text="Sin Información">
      <formula>NOT(ISERROR(SEARCH("Sin Información",E343)))</formula>
    </cfRule>
  </conditionalFormatting>
  <conditionalFormatting sqref="E343">
    <cfRule type="expression" dxfId="9433" priority="3614">
      <formula>E343&lt;&gt;""</formula>
    </cfRule>
  </conditionalFormatting>
  <conditionalFormatting sqref="E329">
    <cfRule type="expression" dxfId="9432" priority="3602">
      <formula>E329&lt;&gt;""</formula>
    </cfRule>
  </conditionalFormatting>
  <conditionalFormatting sqref="F329">
    <cfRule type="expression" dxfId="9431" priority="3605">
      <formula>F329&lt;&gt;""</formula>
    </cfRule>
  </conditionalFormatting>
  <conditionalFormatting sqref="E329">
    <cfRule type="containsText" dxfId="9430" priority="3603" operator="containsText" text="Sin Información">
      <formula>NOT(ISERROR(SEARCH("Sin Información",E329)))</formula>
    </cfRule>
  </conditionalFormatting>
  <conditionalFormatting sqref="E646">
    <cfRule type="colorScale" priority="353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G271">
    <cfRule type="expression" dxfId="9429" priority="3511">
      <formula>G271&lt;&gt;""</formula>
    </cfRule>
  </conditionalFormatting>
  <conditionalFormatting sqref="E246 E253">
    <cfRule type="containsText" dxfId="9428" priority="3510" operator="containsText" text="NUEVO">
      <formula>NOT(ISERROR(SEARCH("NUEVO",E246)))</formula>
    </cfRule>
  </conditionalFormatting>
  <conditionalFormatting sqref="E246 E253">
    <cfRule type="containsText" dxfId="9427" priority="3509" operator="containsText" text="Sin Información">
      <formula>NOT(ISERROR(SEARCH("Sin Información",E246)))</formula>
    </cfRule>
  </conditionalFormatting>
  <conditionalFormatting sqref="E246 E253">
    <cfRule type="expression" dxfId="9426" priority="3508">
      <formula>E246&lt;&gt;""</formula>
    </cfRule>
  </conditionalFormatting>
  <conditionalFormatting sqref="E395:E396">
    <cfRule type="containsText" dxfId="9425" priority="3506" operator="containsText" text="NUEVO">
      <formula>NOT(ISERROR(SEARCH("NUEVO",E395)))</formula>
    </cfRule>
  </conditionalFormatting>
  <conditionalFormatting sqref="E395:E396">
    <cfRule type="containsText" dxfId="9424" priority="3505" operator="containsText" text="Sin Información">
      <formula>NOT(ISERROR(SEARCH("Sin Información",E395)))</formula>
    </cfRule>
  </conditionalFormatting>
  <conditionalFormatting sqref="E395:E396">
    <cfRule type="expression" dxfId="9423" priority="3504">
      <formula>E395&lt;&gt;""</formula>
    </cfRule>
  </conditionalFormatting>
  <conditionalFormatting sqref="F189">
    <cfRule type="expression" dxfId="9422" priority="3480">
      <formula>F189&lt;&gt;""</formula>
    </cfRule>
  </conditionalFormatting>
  <conditionalFormatting sqref="E509">
    <cfRule type="containsText" dxfId="9421" priority="3478" operator="containsText" text="NUEVO">
      <formula>NOT(ISERROR(SEARCH("NUEVO",E1153)))</formula>
    </cfRule>
  </conditionalFormatting>
  <conditionalFormatting sqref="E509">
    <cfRule type="containsText" dxfId="9420" priority="3479" operator="containsText" text="Sin información">
      <formula>NOT(ISERROR(SEARCH("Sin información",E1153)))</formula>
    </cfRule>
  </conditionalFormatting>
  <conditionalFormatting sqref="F509">
    <cfRule type="expression" dxfId="9419" priority="3473">
      <formula>F509&lt;&gt;""</formula>
    </cfRule>
  </conditionalFormatting>
  <conditionalFormatting sqref="E394">
    <cfRule type="containsText" dxfId="9418" priority="3468" operator="containsText" text="Sin información">
      <formula>NOT(ISERROR(SEARCH("Sin información",E394)))</formula>
    </cfRule>
  </conditionalFormatting>
  <conditionalFormatting sqref="E394">
    <cfRule type="containsText" dxfId="9417" priority="3467" operator="containsText" text="NUEVO">
      <formula>NOT(ISERROR(SEARCH("NUEVO",E394)))</formula>
    </cfRule>
  </conditionalFormatting>
  <conditionalFormatting sqref="F394">
    <cfRule type="expression" dxfId="9416" priority="3460">
      <formula>F394&lt;&gt;""</formula>
    </cfRule>
  </conditionalFormatting>
  <conditionalFormatting sqref="E335">
    <cfRule type="containsText" dxfId="9415" priority="3453" operator="containsText" text="NUEVO">
      <formula>NOT(ISERROR(SEARCH("NUEVO",E335)))</formula>
    </cfRule>
  </conditionalFormatting>
  <conditionalFormatting sqref="E335">
    <cfRule type="containsText" dxfId="9414" priority="3452" operator="containsText" text="Sin Información">
      <formula>NOT(ISERROR(SEARCH("Sin Información",E335)))</formula>
    </cfRule>
  </conditionalFormatting>
  <conditionalFormatting sqref="E335">
    <cfRule type="expression" dxfId="9413" priority="3451">
      <formula>E335&lt;&gt;""</formula>
    </cfRule>
  </conditionalFormatting>
  <conditionalFormatting sqref="F335">
    <cfRule type="expression" dxfId="9412" priority="3450">
      <formula>F335&lt;&gt;""</formula>
    </cfRule>
  </conditionalFormatting>
  <conditionalFormatting sqref="F190">
    <cfRule type="expression" dxfId="9411" priority="3422">
      <formula>F190&lt;&gt;""</formula>
    </cfRule>
  </conditionalFormatting>
  <conditionalFormatting sqref="F487">
    <cfRule type="expression" dxfId="9410" priority="3350">
      <formula>F487&lt;&gt;""</formula>
    </cfRule>
  </conditionalFormatting>
  <conditionalFormatting sqref="F487">
    <cfRule type="expression" dxfId="9409" priority="3349">
      <formula>F487&lt;&gt;""</formula>
    </cfRule>
  </conditionalFormatting>
  <conditionalFormatting sqref="E487">
    <cfRule type="containsText" dxfId="9408" priority="3348" operator="containsText" text="NUEVO">
      <formula>NOT(ISERROR(SEARCH("NUEVO",E487)))</formula>
    </cfRule>
  </conditionalFormatting>
  <conditionalFormatting sqref="E487">
    <cfRule type="containsText" dxfId="9407" priority="3347" operator="containsText" text="Sin Información">
      <formula>NOT(ISERROR(SEARCH("Sin Información",E487)))</formula>
    </cfRule>
  </conditionalFormatting>
  <conditionalFormatting sqref="E487">
    <cfRule type="expression" dxfId="9406" priority="3346">
      <formula>E487&lt;&gt;""</formula>
    </cfRule>
  </conditionalFormatting>
  <conditionalFormatting sqref="F152">
    <cfRule type="expression" dxfId="9405" priority="3330">
      <formula>F152&lt;&gt;""</formula>
    </cfRule>
  </conditionalFormatting>
  <conditionalFormatting sqref="E152">
    <cfRule type="containsText" dxfId="9404" priority="3329" operator="containsText" text="NUEVO">
      <formula>NOT(ISERROR(SEARCH("NUEVO",E152)))</formula>
    </cfRule>
  </conditionalFormatting>
  <conditionalFormatting sqref="E152">
    <cfRule type="containsText" dxfId="9403" priority="3328" operator="containsText" text="Sin Información">
      <formula>NOT(ISERROR(SEARCH("Sin Información",E152)))</formula>
    </cfRule>
  </conditionalFormatting>
  <conditionalFormatting sqref="E152">
    <cfRule type="expression" dxfId="9402" priority="3327">
      <formula>E152&lt;&gt;""</formula>
    </cfRule>
  </conditionalFormatting>
  <conditionalFormatting sqref="E152">
    <cfRule type="expression" dxfId="9401" priority="3326">
      <formula>E152&lt;&gt;""</formula>
    </cfRule>
  </conditionalFormatting>
  <conditionalFormatting sqref="E254">
    <cfRule type="containsText" dxfId="9400" priority="3292" operator="containsText" text="NUEVO">
      <formula>NOT(ISERROR(SEARCH("NUEVO",E254)))</formula>
    </cfRule>
  </conditionalFormatting>
  <conditionalFormatting sqref="E254">
    <cfRule type="containsText" dxfId="9399" priority="3291" operator="containsText" text="Sin Información">
      <formula>NOT(ISERROR(SEARCH("Sin Información",E254)))</formula>
    </cfRule>
  </conditionalFormatting>
  <conditionalFormatting sqref="E254">
    <cfRule type="expression" dxfId="9398" priority="3290">
      <formula>E254&lt;&gt;""</formula>
    </cfRule>
  </conditionalFormatting>
  <conditionalFormatting sqref="F254">
    <cfRule type="expression" dxfId="9397" priority="3289">
      <formula>F254&lt;&gt;""</formula>
    </cfRule>
  </conditionalFormatting>
  <conditionalFormatting sqref="E249">
    <cfRule type="expression" dxfId="9396" priority="3261">
      <formula>E249&lt;&gt;""</formula>
    </cfRule>
  </conditionalFormatting>
  <conditionalFormatting sqref="F249">
    <cfRule type="expression" dxfId="9395" priority="3267">
      <formula>F249&lt;&gt;""</formula>
    </cfRule>
  </conditionalFormatting>
  <conditionalFormatting sqref="E249">
    <cfRule type="containsText" dxfId="9394" priority="3266" operator="containsText" text="NUEVO">
      <formula>NOT(ISERROR(SEARCH("NUEVO",E249)))</formula>
    </cfRule>
  </conditionalFormatting>
  <conditionalFormatting sqref="E249">
    <cfRule type="containsText" dxfId="9393" priority="3265" operator="containsText" text="Sin Información">
      <formula>NOT(ISERROR(SEARCH("Sin Información",E249)))</formula>
    </cfRule>
  </conditionalFormatting>
  <conditionalFormatting sqref="E249">
    <cfRule type="expression" dxfId="9392" priority="3264">
      <formula>E249&lt;&gt;""</formula>
    </cfRule>
  </conditionalFormatting>
  <conditionalFormatting sqref="E249">
    <cfRule type="containsText" dxfId="9391" priority="3263" operator="containsText" text="NUEVO">
      <formula>NOT(ISERROR(SEARCH("NUEVO",E249)))</formula>
    </cfRule>
  </conditionalFormatting>
  <conditionalFormatting sqref="E249">
    <cfRule type="containsText" dxfId="9390" priority="3262" operator="containsText" text="Sin Información">
      <formula>NOT(ISERROR(SEARCH("Sin Información",E249)))</formula>
    </cfRule>
  </conditionalFormatting>
  <conditionalFormatting sqref="F262">
    <cfRule type="expression" dxfId="9389" priority="3253">
      <formula>F262&lt;&gt;""</formula>
    </cfRule>
  </conditionalFormatting>
  <conditionalFormatting sqref="G395">
    <cfRule type="expression" dxfId="9388" priority="3234">
      <formula>G395&lt;&gt;""</formula>
    </cfRule>
  </conditionalFormatting>
  <conditionalFormatting sqref="G396">
    <cfRule type="expression" dxfId="9387" priority="3118">
      <formula>G396&lt;&gt;""</formula>
    </cfRule>
  </conditionalFormatting>
  <conditionalFormatting sqref="G399">
    <cfRule type="expression" dxfId="9386" priority="3083">
      <formula>G399&lt;&gt;""</formula>
    </cfRule>
  </conditionalFormatting>
  <conditionalFormatting sqref="F399">
    <cfRule type="expression" dxfId="9385" priority="3077">
      <formula>F399&lt;&gt;""</formula>
    </cfRule>
  </conditionalFormatting>
  <conditionalFormatting sqref="I331">
    <cfRule type="expression" dxfId="9384" priority="32528">
      <formula>OR(I331&lt;&gt;"", #REF!&lt;&gt;"")</formula>
    </cfRule>
  </conditionalFormatting>
  <conditionalFormatting sqref="J344">
    <cfRule type="expression" dxfId="9383" priority="33067">
      <formula>OR(J344&lt;&gt;"", #REF!&lt;&gt;"")</formula>
    </cfRule>
  </conditionalFormatting>
  <conditionalFormatting sqref="E39">
    <cfRule type="containsText" dxfId="9382" priority="3024" operator="containsText" text="Sin información">
      <formula>NOT(ISERROR(SEARCH("Sin información",E39)))</formula>
    </cfRule>
  </conditionalFormatting>
  <conditionalFormatting sqref="E39">
    <cfRule type="containsText" dxfId="9381" priority="3023" operator="containsText" text="NUEVO">
      <formula>NOT(ISERROR(SEARCH("NUEVO",E39)))</formula>
    </cfRule>
  </conditionalFormatting>
  <conditionalFormatting sqref="E39">
    <cfRule type="expression" dxfId="9380" priority="3022">
      <formula>E39&lt;&gt;""</formula>
    </cfRule>
  </conditionalFormatting>
  <conditionalFormatting sqref="F39">
    <cfRule type="expression" dxfId="9379" priority="3021">
      <formula>F39&lt;&gt;""</formula>
    </cfRule>
  </conditionalFormatting>
  <conditionalFormatting sqref="E461">
    <cfRule type="containsText" dxfId="9378" priority="3015" operator="containsText" text="NUEVO">
      <formula>NOT(ISERROR(SEARCH("NUEVO",E461)))</formula>
    </cfRule>
  </conditionalFormatting>
  <conditionalFormatting sqref="E461">
    <cfRule type="containsText" dxfId="9377" priority="3014" operator="containsText" text="Sin Información">
      <formula>NOT(ISERROR(SEARCH("Sin Información",E461)))</formula>
    </cfRule>
  </conditionalFormatting>
  <conditionalFormatting sqref="E461">
    <cfRule type="expression" dxfId="9376" priority="3013">
      <formula>E461&lt;&gt;""</formula>
    </cfRule>
  </conditionalFormatting>
  <conditionalFormatting sqref="F461">
    <cfRule type="expression" dxfId="9375" priority="3012">
      <formula>F461&lt;&gt;""</formula>
    </cfRule>
  </conditionalFormatting>
  <conditionalFormatting sqref="E465">
    <cfRule type="containsText" dxfId="9374" priority="3000" operator="containsText" text="NUEVO">
      <formula>NOT(ISERROR(SEARCH("NUEVO",E465)))</formula>
    </cfRule>
  </conditionalFormatting>
  <conditionalFormatting sqref="E465">
    <cfRule type="containsText" dxfId="9373" priority="2999" operator="containsText" text="Sin Información">
      <formula>NOT(ISERROR(SEARCH("Sin Información",E465)))</formula>
    </cfRule>
  </conditionalFormatting>
  <conditionalFormatting sqref="E465:F465">
    <cfRule type="expression" dxfId="9372" priority="2998">
      <formula>E465&lt;&gt;""</formula>
    </cfRule>
  </conditionalFormatting>
  <conditionalFormatting sqref="E576">
    <cfRule type="containsText" dxfId="9371" priority="2994" operator="containsText" text="NUEVO">
      <formula>NOT(ISERROR(SEARCH("NUEVO",E576)))</formula>
    </cfRule>
  </conditionalFormatting>
  <conditionalFormatting sqref="E576">
    <cfRule type="containsText" dxfId="9370" priority="2993" operator="containsText" text="Sin Información">
      <formula>NOT(ISERROR(SEARCH("Sin Información",E576)))</formula>
    </cfRule>
  </conditionalFormatting>
  <conditionalFormatting sqref="E576:F576">
    <cfRule type="expression" dxfId="9369" priority="2992">
      <formula>E576&lt;&gt;""</formula>
    </cfRule>
  </conditionalFormatting>
  <conditionalFormatting sqref="E577">
    <cfRule type="containsText" dxfId="9368" priority="2984" operator="containsText" text="NUEVO">
      <formula>NOT(ISERROR(SEARCH("NUEVO",E577)))</formula>
    </cfRule>
  </conditionalFormatting>
  <conditionalFormatting sqref="E577">
    <cfRule type="containsText" dxfId="9367" priority="2983" operator="containsText" text="Sin Información">
      <formula>NOT(ISERROR(SEARCH("Sin Información",E577)))</formula>
    </cfRule>
  </conditionalFormatting>
  <conditionalFormatting sqref="E577">
    <cfRule type="expression" dxfId="9366" priority="2982">
      <formula>E577&lt;&gt;""</formula>
    </cfRule>
  </conditionalFormatting>
  <conditionalFormatting sqref="F577">
    <cfRule type="expression" dxfId="9365" priority="2981">
      <formula>F577&lt;&gt;""</formula>
    </cfRule>
  </conditionalFormatting>
  <conditionalFormatting sqref="E457">
    <cfRule type="containsText" dxfId="9364" priority="2977" operator="containsText" text="NUEVO">
      <formula>NOT(ISERROR(SEARCH("NUEVO",E457)))</formula>
    </cfRule>
  </conditionalFormatting>
  <conditionalFormatting sqref="E457">
    <cfRule type="containsText" dxfId="9363" priority="2976" operator="containsText" text="Sin Información">
      <formula>NOT(ISERROR(SEARCH("Sin Información",E457)))</formula>
    </cfRule>
  </conditionalFormatting>
  <conditionalFormatting sqref="F457">
    <cfRule type="expression" dxfId="9362" priority="2975">
      <formula>F457&lt;&gt;""</formula>
    </cfRule>
  </conditionalFormatting>
  <conditionalFormatting sqref="F34">
    <cfRule type="expression" dxfId="9361" priority="2954">
      <formula>F34&lt;&gt;""</formula>
    </cfRule>
  </conditionalFormatting>
  <conditionalFormatting sqref="E34">
    <cfRule type="expression" dxfId="9360" priority="2953">
      <formula>E34&lt;&gt;""</formula>
    </cfRule>
  </conditionalFormatting>
  <conditionalFormatting sqref="E34">
    <cfRule type="containsText" dxfId="9359" priority="2952" operator="containsText" text="Sin información">
      <formula>NOT(ISERROR(SEARCH("Sin información",E34)))</formula>
    </cfRule>
  </conditionalFormatting>
  <conditionalFormatting sqref="E34">
    <cfRule type="containsText" dxfId="9358" priority="2951" operator="containsText" text="NUEVO">
      <formula>NOT(ISERROR(SEARCH("NUEVO",E34)))</formula>
    </cfRule>
  </conditionalFormatting>
  <conditionalFormatting sqref="E397">
    <cfRule type="containsText" dxfId="9357" priority="2920" operator="containsText" text="NUEVO">
      <formula>NOT(ISERROR(SEARCH("NUEVO",E397)))</formula>
    </cfRule>
  </conditionalFormatting>
  <conditionalFormatting sqref="E397">
    <cfRule type="containsText" dxfId="9356" priority="2919" operator="containsText" text="Sin Información">
      <formula>NOT(ISERROR(SEARCH("Sin Información",E397)))</formula>
    </cfRule>
  </conditionalFormatting>
  <conditionalFormatting sqref="E397:F397">
    <cfRule type="expression" dxfId="9355" priority="2918">
      <formula>E397&lt;&gt;""</formula>
    </cfRule>
  </conditionalFormatting>
  <conditionalFormatting sqref="E156">
    <cfRule type="containsText" dxfId="9354" priority="2896" operator="containsText" text="NUEVO">
      <formula>NOT(ISERROR(SEARCH("NUEVO",E156)))</formula>
    </cfRule>
  </conditionalFormatting>
  <conditionalFormatting sqref="E156">
    <cfRule type="containsText" dxfId="9353" priority="2895" operator="containsText" text="Sin Información">
      <formula>NOT(ISERROR(SEARCH("Sin Información",E156)))</formula>
    </cfRule>
  </conditionalFormatting>
  <conditionalFormatting sqref="I159:J159">
    <cfRule type="expression" dxfId="9352" priority="2893">
      <formula>OR(I159&lt;&gt;"", J159&lt;&gt;"")</formula>
    </cfRule>
  </conditionalFormatting>
  <conditionalFormatting sqref="F510">
    <cfRule type="expression" dxfId="9351" priority="2852">
      <formula>F510&lt;&gt;""</formula>
    </cfRule>
  </conditionalFormatting>
  <conditionalFormatting sqref="E510">
    <cfRule type="containsText" dxfId="9350" priority="2848" operator="containsText" text="NUEVO">
      <formula>NOT(ISERROR(SEARCH("NUEVO",E510)))</formula>
    </cfRule>
  </conditionalFormatting>
  <conditionalFormatting sqref="E510">
    <cfRule type="containsText" dxfId="9349" priority="2847" operator="containsText" text="Sin Información">
      <formula>NOT(ISERROR(SEARCH("Sin Información",E510)))</formula>
    </cfRule>
  </conditionalFormatting>
  <conditionalFormatting sqref="E510">
    <cfRule type="expression" dxfId="9348" priority="2846">
      <formula>E510&lt;&gt;""</formula>
    </cfRule>
  </conditionalFormatting>
  <conditionalFormatting sqref="E631 E628:E629">
    <cfRule type="containsText" dxfId="9347" priority="2844" operator="containsText" text="Sin Información">
      <formula>NOT(ISERROR(SEARCH("Sin Información",E628)))</formula>
    </cfRule>
  </conditionalFormatting>
  <conditionalFormatting sqref="E631 E628:E629">
    <cfRule type="containsText" dxfId="9346" priority="2845" operator="containsText" text="NUEVO">
      <formula>NOT(ISERROR(SEARCH("NUEVO",E628)))</formula>
    </cfRule>
  </conditionalFormatting>
  <conditionalFormatting sqref="E631 E628:E629">
    <cfRule type="expression" dxfId="9345" priority="2843">
      <formula>E628&lt;&gt;""</formula>
    </cfRule>
  </conditionalFormatting>
  <conditionalFormatting sqref="E631 E628:E629">
    <cfRule type="containsText" dxfId="9344" priority="2842" operator="containsText" text="Sin información">
      <formula>NOT(ISERROR(SEARCH("Sin información",E628)))</formula>
    </cfRule>
  </conditionalFormatting>
  <conditionalFormatting sqref="E631 E628:E629">
    <cfRule type="expression" dxfId="9343" priority="2841">
      <formula>E628&lt;&gt;""</formula>
    </cfRule>
  </conditionalFormatting>
  <conditionalFormatting sqref="E632">
    <cfRule type="containsText" dxfId="9342" priority="2839" operator="containsText" text="Sin Información">
      <formula>NOT(ISERROR(SEARCH("Sin Información",E632)))</formula>
    </cfRule>
  </conditionalFormatting>
  <conditionalFormatting sqref="E632">
    <cfRule type="containsText" dxfId="9341" priority="2840" operator="containsText" text="NUEVO">
      <formula>NOT(ISERROR(SEARCH("NUEVO",E632)))</formula>
    </cfRule>
  </conditionalFormatting>
  <conditionalFormatting sqref="E632">
    <cfRule type="expression" dxfId="9340" priority="2838">
      <formula>E632&lt;&gt;""</formula>
    </cfRule>
  </conditionalFormatting>
  <conditionalFormatting sqref="E632">
    <cfRule type="containsText" dxfId="9339" priority="2837" operator="containsText" text="Sin información">
      <formula>NOT(ISERROR(SEARCH("Sin información",E632)))</formula>
    </cfRule>
  </conditionalFormatting>
  <conditionalFormatting sqref="E632">
    <cfRule type="expression" dxfId="9338" priority="2836">
      <formula>E632&lt;&gt;""</formula>
    </cfRule>
  </conditionalFormatting>
  <conditionalFormatting sqref="F569">
    <cfRule type="expression" dxfId="9337" priority="2823">
      <formula>F569&lt;&gt;""</formula>
    </cfRule>
  </conditionalFormatting>
  <conditionalFormatting sqref="E569">
    <cfRule type="containsText" dxfId="9336" priority="2822" operator="containsText" text="NUEVO">
      <formula>NOT(ISERROR(SEARCH("NUEVO",E569)))</formula>
    </cfRule>
  </conditionalFormatting>
  <conditionalFormatting sqref="E569">
    <cfRule type="containsText" dxfId="9335" priority="2821" operator="containsText" text="Sin Información">
      <formula>NOT(ISERROR(SEARCH("Sin Información",E569)))</formula>
    </cfRule>
  </conditionalFormatting>
  <conditionalFormatting sqref="E569">
    <cfRule type="expression" dxfId="9334" priority="2820">
      <formula>E569&lt;&gt;""</formula>
    </cfRule>
  </conditionalFormatting>
  <conditionalFormatting sqref="E570">
    <cfRule type="containsText" dxfId="9333" priority="2815" operator="containsText" text="Sin información">
      <formula>NOT(ISERROR(SEARCH("Sin información",E570)))</formula>
    </cfRule>
  </conditionalFormatting>
  <conditionalFormatting sqref="E570">
    <cfRule type="containsText" dxfId="9332" priority="2814" operator="containsText" text="NUEVO">
      <formula>NOT(ISERROR(SEARCH("NUEVO",E570)))</formula>
    </cfRule>
  </conditionalFormatting>
  <conditionalFormatting sqref="F570">
    <cfRule type="expression" dxfId="9331" priority="2813">
      <formula>F570&lt;&gt;""</formula>
    </cfRule>
  </conditionalFormatting>
  <conditionalFormatting sqref="I209:J209">
    <cfRule type="expression" dxfId="9330" priority="2795">
      <formula>OR(I209&lt;&gt;"", J209&lt;&gt;"")</formula>
    </cfRule>
  </conditionalFormatting>
  <conditionalFormatting sqref="F263">
    <cfRule type="expression" dxfId="9329" priority="2779">
      <formula>F263&lt;&gt;""</formula>
    </cfRule>
  </conditionalFormatting>
  <conditionalFormatting sqref="G265">
    <cfRule type="expression" dxfId="9328" priority="2778">
      <formula>G265&lt;&gt;""</formula>
    </cfRule>
  </conditionalFormatting>
  <conditionalFormatting sqref="F36">
    <cfRule type="expression" dxfId="9327" priority="2759">
      <formula>F36&lt;&gt;""</formula>
    </cfRule>
  </conditionalFormatting>
  <conditionalFormatting sqref="E36">
    <cfRule type="expression" dxfId="9326" priority="2758">
      <formula>E36&lt;&gt;""</formula>
    </cfRule>
  </conditionalFormatting>
  <conditionalFormatting sqref="E36">
    <cfRule type="containsText" dxfId="9325" priority="2757" operator="containsText" text="Sin información">
      <formula>NOT(ISERROR(SEARCH("Sin información",E36)))</formula>
    </cfRule>
  </conditionalFormatting>
  <conditionalFormatting sqref="E36">
    <cfRule type="containsText" dxfId="9324" priority="2756" operator="containsText" text="NUEVO">
      <formula>NOT(ISERROR(SEARCH("NUEVO",E36)))</formula>
    </cfRule>
  </conditionalFormatting>
  <conditionalFormatting sqref="E495">
    <cfRule type="containsText" dxfId="9323" priority="2742" operator="containsText" text="NUEVO">
      <formula>NOT(ISERROR(SEARCH("NUEVO",E495)))</formula>
    </cfRule>
  </conditionalFormatting>
  <conditionalFormatting sqref="E495">
    <cfRule type="containsText" dxfId="9322" priority="2741" operator="containsText" text="Sin Información">
      <formula>NOT(ISERROR(SEARCH("Sin Información",E495)))</formula>
    </cfRule>
  </conditionalFormatting>
  <conditionalFormatting sqref="E495">
    <cfRule type="expression" dxfId="9321" priority="2740">
      <formula>E495&lt;&gt;""</formula>
    </cfRule>
  </conditionalFormatting>
  <conditionalFormatting sqref="E495">
    <cfRule type="containsText" dxfId="9320" priority="2738" operator="containsText" text="Sin Información">
      <formula>NOT(ISERROR(SEARCH("Sin Información",E495)))</formula>
    </cfRule>
  </conditionalFormatting>
  <conditionalFormatting sqref="E495">
    <cfRule type="containsText" dxfId="9319" priority="2739" operator="containsText" text="NUEVO">
      <formula>NOT(ISERROR(SEARCH("NUEVO",E495)))</formula>
    </cfRule>
  </conditionalFormatting>
  <conditionalFormatting sqref="E495">
    <cfRule type="expression" dxfId="9318" priority="2737">
      <formula>E495&lt;&gt;""</formula>
    </cfRule>
  </conditionalFormatting>
  <conditionalFormatting sqref="F495">
    <cfRule type="expression" dxfId="9317" priority="2736">
      <formula>F495&lt;&gt;""</formula>
    </cfRule>
  </conditionalFormatting>
  <conditionalFormatting sqref="F495">
    <cfRule type="expression" dxfId="9316" priority="2735">
      <formula>F495&lt;&gt;""</formula>
    </cfRule>
  </conditionalFormatting>
  <conditionalFormatting sqref="E463">
    <cfRule type="containsText" dxfId="9315" priority="2720" operator="containsText" text="NUEVO">
      <formula>NOT(ISERROR(SEARCH("NUEVO",E463)))</formula>
    </cfRule>
  </conditionalFormatting>
  <conditionalFormatting sqref="E463">
    <cfRule type="containsText" dxfId="9314" priority="2719" operator="containsText" text="Sin Información">
      <formula>NOT(ISERROR(SEARCH("Sin Información",E463)))</formula>
    </cfRule>
  </conditionalFormatting>
  <conditionalFormatting sqref="E463">
    <cfRule type="expression" dxfId="9313" priority="2718">
      <formula>E463&lt;&gt;""</formula>
    </cfRule>
  </conditionalFormatting>
  <conditionalFormatting sqref="I504:J504">
    <cfRule type="expression" dxfId="9312" priority="2712">
      <formula>OR(I504&lt;&gt;"", J504&lt;&gt;"")</formula>
    </cfRule>
  </conditionalFormatting>
  <conditionalFormatting sqref="E402">
    <cfRule type="containsText" dxfId="9311" priority="2681" operator="containsText" text="NUEVO">
      <formula>NOT(ISERROR(SEARCH("NUEVO",E402)))</formula>
    </cfRule>
  </conditionalFormatting>
  <conditionalFormatting sqref="E402">
    <cfRule type="containsText" dxfId="9310" priority="2680" operator="containsText" text="Sin Información">
      <formula>NOT(ISERROR(SEARCH("Sin Información",E402)))</formula>
    </cfRule>
  </conditionalFormatting>
  <conditionalFormatting sqref="G402 E402">
    <cfRule type="expression" dxfId="9309" priority="2679">
      <formula>E402&lt;&gt;""</formula>
    </cfRule>
  </conditionalFormatting>
  <conditionalFormatting sqref="F402">
    <cfRule type="expression" dxfId="9308" priority="2678">
      <formula>F402&lt;&gt;""</formula>
    </cfRule>
  </conditionalFormatting>
  <conditionalFormatting sqref="E404">
    <cfRule type="containsText" dxfId="9307" priority="2667" operator="containsText" text="NUEVO">
      <formula>NOT(ISERROR(SEARCH("NUEVO",E404)))</formula>
    </cfRule>
  </conditionalFormatting>
  <conditionalFormatting sqref="E404">
    <cfRule type="containsText" dxfId="9306" priority="2666" operator="containsText" text="Sin Información">
      <formula>NOT(ISERROR(SEARCH("Sin Información",E404)))</formula>
    </cfRule>
  </conditionalFormatting>
  <conditionalFormatting sqref="E404">
    <cfRule type="expression" dxfId="9305" priority="2665">
      <formula>E404&lt;&gt;""</formula>
    </cfRule>
  </conditionalFormatting>
  <conditionalFormatting sqref="F404">
    <cfRule type="expression" dxfId="9304" priority="2664">
      <formula>F404&lt;&gt;""</formula>
    </cfRule>
  </conditionalFormatting>
  <conditionalFormatting sqref="E311">
    <cfRule type="containsText" dxfId="9303" priority="2660" operator="containsText" text="NUEVO">
      <formula>NOT(ISERROR(SEARCH("NUEVO",E311)))</formula>
    </cfRule>
  </conditionalFormatting>
  <conditionalFormatting sqref="F311">
    <cfRule type="expression" dxfId="9302" priority="2659">
      <formula>F311&lt;&gt;""</formula>
    </cfRule>
  </conditionalFormatting>
  <conditionalFormatting sqref="E311">
    <cfRule type="expression" dxfId="9301" priority="2658">
      <formula>E311&lt;&gt;""</formula>
    </cfRule>
  </conditionalFormatting>
  <conditionalFormatting sqref="E311">
    <cfRule type="expression" dxfId="9300" priority="2657">
      <formula>E311&lt;&gt;""</formula>
    </cfRule>
  </conditionalFormatting>
  <conditionalFormatting sqref="E311">
    <cfRule type="containsText" dxfId="9299" priority="2656" operator="containsText" text="Sin Información">
      <formula>NOT(ISERROR(SEARCH("Sin Información",E311)))</formula>
    </cfRule>
  </conditionalFormatting>
  <conditionalFormatting sqref="E311">
    <cfRule type="expression" dxfId="9298" priority="2655">
      <formula>E311&lt;&gt;""</formula>
    </cfRule>
  </conditionalFormatting>
  <conditionalFormatting sqref="E311">
    <cfRule type="containsText" dxfId="9297" priority="2654" operator="containsText" text="Sin Información">
      <formula>NOT(ISERROR(SEARCH("Sin Información",E311)))</formula>
    </cfRule>
  </conditionalFormatting>
  <conditionalFormatting sqref="E326">
    <cfRule type="containsText" dxfId="9296" priority="2640" operator="containsText" text="Sin información">
      <formula>NOT(ISERROR(SEARCH("Sin información",E326)))</formula>
    </cfRule>
  </conditionalFormatting>
  <conditionalFormatting sqref="E326">
    <cfRule type="containsText" dxfId="9295" priority="2639" operator="containsText" text="NUEVO">
      <formula>NOT(ISERROR(SEARCH("NUEVO",E326)))</formula>
    </cfRule>
  </conditionalFormatting>
  <conditionalFormatting sqref="F326">
    <cfRule type="expression" dxfId="9294" priority="2638">
      <formula>F326&lt;&gt;""</formula>
    </cfRule>
  </conditionalFormatting>
  <conditionalFormatting sqref="E337">
    <cfRule type="containsText" dxfId="9293" priority="2634" operator="containsText" text="NUEVO">
      <formula>NOT(ISERROR(SEARCH("NUEVO",E337)))</formula>
    </cfRule>
  </conditionalFormatting>
  <conditionalFormatting sqref="E337">
    <cfRule type="containsText" dxfId="9292" priority="2633" operator="containsText" text="Sin Información">
      <formula>NOT(ISERROR(SEARCH("Sin Información",E337)))</formula>
    </cfRule>
  </conditionalFormatting>
  <conditionalFormatting sqref="E337:F337">
    <cfRule type="expression" dxfId="9291" priority="2632">
      <formula>E337&lt;&gt;""</formula>
    </cfRule>
  </conditionalFormatting>
  <conditionalFormatting sqref="E247">
    <cfRule type="containsText" dxfId="9290" priority="2603" operator="containsText" text="NUEVO">
      <formula>NOT(ISERROR(SEARCH("NUEVO",E247)))</formula>
    </cfRule>
  </conditionalFormatting>
  <conditionalFormatting sqref="E247">
    <cfRule type="containsText" dxfId="9289" priority="2602" operator="containsText" text="Sin Información">
      <formula>NOT(ISERROR(SEARCH("Sin Información",E247)))</formula>
    </cfRule>
  </conditionalFormatting>
  <conditionalFormatting sqref="E247">
    <cfRule type="expression" dxfId="9288" priority="2601">
      <formula>E247&lt;&gt;""</formula>
    </cfRule>
  </conditionalFormatting>
  <conditionalFormatting sqref="F247">
    <cfRule type="expression" dxfId="9287" priority="2600">
      <formula>F247&lt;&gt;""</formula>
    </cfRule>
  </conditionalFormatting>
  <conditionalFormatting sqref="E121">
    <cfRule type="containsText" dxfId="9286" priority="2568" operator="containsText" text="NUEVO">
      <formula>NOT(ISERROR(SEARCH("NUEVO",E121)))</formula>
    </cfRule>
  </conditionalFormatting>
  <conditionalFormatting sqref="E121">
    <cfRule type="containsText" dxfId="9285" priority="2567" operator="containsText" text="Sin Información">
      <formula>NOT(ISERROR(SEARCH("Sin Información",E121)))</formula>
    </cfRule>
  </conditionalFormatting>
  <conditionalFormatting sqref="F121">
    <cfRule type="expression" dxfId="9284" priority="2566">
      <formula>F121&lt;&gt;""</formula>
    </cfRule>
  </conditionalFormatting>
  <conditionalFormatting sqref="E252">
    <cfRule type="containsText" dxfId="9283" priority="2554" operator="containsText" text="Sin Información">
      <formula>NOT(ISERROR(SEARCH("Sin Información",E252)))</formula>
    </cfRule>
  </conditionalFormatting>
  <conditionalFormatting sqref="E252">
    <cfRule type="containsText" dxfId="9282" priority="2555" operator="containsText" text="NUEVO">
      <formula>NOT(ISERROR(SEARCH("NUEVO",E252)))</formula>
    </cfRule>
  </conditionalFormatting>
  <conditionalFormatting sqref="F252">
    <cfRule type="expression" dxfId="9281" priority="2559">
      <formula>F252&lt;&gt;""</formula>
    </cfRule>
  </conditionalFormatting>
  <conditionalFormatting sqref="E252">
    <cfRule type="containsText" dxfId="9280" priority="2558" operator="containsText" text="NUEVO">
      <formula>NOT(ISERROR(SEARCH("NUEVO",E252)))</formula>
    </cfRule>
  </conditionalFormatting>
  <conditionalFormatting sqref="E252">
    <cfRule type="containsText" dxfId="9279" priority="2557" operator="containsText" text="Sin Información">
      <formula>NOT(ISERROR(SEARCH("Sin Información",E252)))</formula>
    </cfRule>
  </conditionalFormatting>
  <conditionalFormatting sqref="E252">
    <cfRule type="expression" dxfId="9278" priority="2556">
      <formula>E252&lt;&gt;""</formula>
    </cfRule>
  </conditionalFormatting>
  <conditionalFormatting sqref="E252">
    <cfRule type="expression" dxfId="9277" priority="2553">
      <formula>E252&lt;&gt;""</formula>
    </cfRule>
  </conditionalFormatting>
  <conditionalFormatting sqref="E265">
    <cfRule type="containsText" dxfId="9276" priority="2548" operator="containsText" text="NUEVO">
      <formula>NOT(ISERROR(SEARCH("NUEVO",E265)))</formula>
    </cfRule>
  </conditionalFormatting>
  <conditionalFormatting sqref="E265">
    <cfRule type="containsText" dxfId="9275" priority="2547" operator="containsText" text="Sin Información">
      <formula>NOT(ISERROR(SEARCH("Sin Información",E265)))</formula>
    </cfRule>
  </conditionalFormatting>
  <conditionalFormatting sqref="E265">
    <cfRule type="expression" dxfId="9274" priority="2546">
      <formula>E265&lt;&gt;""</formula>
    </cfRule>
  </conditionalFormatting>
  <conditionalFormatting sqref="E263">
    <cfRule type="containsText" dxfId="9273" priority="2469" operator="containsText" text="NUEVO">
      <formula>NOT(ISERROR(SEARCH("NUEVO",E263)))</formula>
    </cfRule>
  </conditionalFormatting>
  <conditionalFormatting sqref="E263">
    <cfRule type="containsText" dxfId="9272" priority="2468" operator="containsText" text="Sin Información">
      <formula>NOT(ISERROR(SEARCH("Sin Información",E263)))</formula>
    </cfRule>
  </conditionalFormatting>
  <conditionalFormatting sqref="E263">
    <cfRule type="expression" dxfId="9271" priority="2467">
      <formula>E263&lt;&gt;""</formula>
    </cfRule>
  </conditionalFormatting>
  <conditionalFormatting sqref="E588">
    <cfRule type="containsText" dxfId="9270" priority="2460" operator="containsText" text="NUEVO">
      <formula>NOT(ISERROR(SEARCH("NUEVO",E588)))</formula>
    </cfRule>
  </conditionalFormatting>
  <conditionalFormatting sqref="E588">
    <cfRule type="containsText" dxfId="9269" priority="2459" operator="containsText" text="Sin Información">
      <formula>NOT(ISERROR(SEARCH("Sin Información",E588)))</formula>
    </cfRule>
  </conditionalFormatting>
  <conditionalFormatting sqref="E588">
    <cfRule type="expression" dxfId="9268" priority="2458">
      <formula>E588&lt;&gt;""</formula>
    </cfRule>
  </conditionalFormatting>
  <conditionalFormatting sqref="F455">
    <cfRule type="expression" dxfId="9267" priority="2453">
      <formula>F455&lt;&gt;""</formula>
    </cfRule>
  </conditionalFormatting>
  <conditionalFormatting sqref="E455">
    <cfRule type="containsText" dxfId="9266" priority="2452" operator="containsText" text="NUEVO">
      <formula>NOT(ISERROR(SEARCH("NUEVO",E455)))</formula>
    </cfRule>
  </conditionalFormatting>
  <conditionalFormatting sqref="E455">
    <cfRule type="containsText" dxfId="9265" priority="2451" operator="containsText" text="Sin Información">
      <formula>NOT(ISERROR(SEARCH("Sin Información",E455)))</formula>
    </cfRule>
  </conditionalFormatting>
  <conditionalFormatting sqref="E455">
    <cfRule type="expression" dxfId="9264" priority="2450">
      <formula>E455&lt;&gt;""</formula>
    </cfRule>
  </conditionalFormatting>
  <conditionalFormatting sqref="H647:H648 H650">
    <cfRule type="expression" dxfId="9263" priority="2445">
      <formula>H647&lt;&gt;""</formula>
    </cfRule>
  </conditionalFormatting>
  <conditionalFormatting sqref="F635">
    <cfRule type="expression" dxfId="9262" priority="2443">
      <formula>F635&lt;&gt;""</formula>
    </cfRule>
  </conditionalFormatting>
  <conditionalFormatting sqref="E635">
    <cfRule type="containsText" dxfId="9261" priority="2442" operator="containsText" text="NUEVO">
      <formula>NOT(ISERROR(SEARCH("NUEVO",E635)))</formula>
    </cfRule>
  </conditionalFormatting>
  <conditionalFormatting sqref="E635">
    <cfRule type="containsText" dxfId="9260" priority="2441" operator="containsText" text="Sin Información">
      <formula>NOT(ISERROR(SEARCH("Sin Información",E635)))</formula>
    </cfRule>
  </conditionalFormatting>
  <conditionalFormatting sqref="E635">
    <cfRule type="expression" dxfId="9259" priority="2440">
      <formula>E635&lt;&gt;""</formula>
    </cfRule>
  </conditionalFormatting>
  <conditionalFormatting sqref="E635">
    <cfRule type="containsText" dxfId="9258" priority="2438" operator="containsText" text="Sin Información">
      <formula>NOT(ISERROR(SEARCH("Sin Información",E635)))</formula>
    </cfRule>
  </conditionalFormatting>
  <conditionalFormatting sqref="E635">
    <cfRule type="containsText" dxfId="9257" priority="2439" operator="containsText" text="NUEVO">
      <formula>NOT(ISERROR(SEARCH("NUEVO",E635)))</formula>
    </cfRule>
  </conditionalFormatting>
  <conditionalFormatting sqref="E635">
    <cfRule type="expression" dxfId="9256" priority="2437">
      <formula>E635&lt;&gt;""</formula>
    </cfRule>
  </conditionalFormatting>
  <conditionalFormatting sqref="E635">
    <cfRule type="containsText" dxfId="9255" priority="2436" operator="containsText" text="Sin información">
      <formula>NOT(ISERROR(SEARCH("Sin información",E635)))</formula>
    </cfRule>
  </conditionalFormatting>
  <conditionalFormatting sqref="E635">
    <cfRule type="expression" dxfId="9254" priority="2435">
      <formula>E635&lt;&gt;""</formula>
    </cfRule>
  </conditionalFormatting>
  <conditionalFormatting sqref="F631">
    <cfRule type="expression" dxfId="9253" priority="2434">
      <formula>F631&lt;&gt;""</formula>
    </cfRule>
  </conditionalFormatting>
  <conditionalFormatting sqref="E573">
    <cfRule type="containsText" dxfId="9252" priority="2427" operator="containsText" text="Sin información">
      <formula>NOT(ISERROR(SEARCH("Sin información",E573)))</formula>
    </cfRule>
  </conditionalFormatting>
  <conditionalFormatting sqref="E573">
    <cfRule type="containsText" dxfId="9251" priority="2426" operator="containsText" text="NUEVO">
      <formula>NOT(ISERROR(SEARCH("NUEVO",E573)))</formula>
    </cfRule>
  </conditionalFormatting>
  <conditionalFormatting sqref="F573">
    <cfRule type="expression" dxfId="9250" priority="2425">
      <formula>F573&lt;&gt;""</formula>
    </cfRule>
  </conditionalFormatting>
  <conditionalFormatting sqref="E568">
    <cfRule type="containsText" dxfId="9249" priority="2411" operator="containsText" text="NUEVO">
      <formula>NOT(ISERROR(SEARCH("NUEVO",E568)))</formula>
    </cfRule>
  </conditionalFormatting>
  <conditionalFormatting sqref="E568">
    <cfRule type="containsText" dxfId="9248" priority="2410" operator="containsText" text="Sin Información">
      <formula>NOT(ISERROR(SEARCH("Sin Información",E568)))</formula>
    </cfRule>
  </conditionalFormatting>
  <conditionalFormatting sqref="E568:F568">
    <cfRule type="expression" dxfId="9247" priority="2409">
      <formula>E568&lt;&gt;""</formula>
    </cfRule>
  </conditionalFormatting>
  <conditionalFormatting sqref="E516">
    <cfRule type="containsText" dxfId="9246" priority="2383" operator="containsText" text="NUEVO">
      <formula>NOT(ISERROR(SEARCH("NUEVO",E516)))</formula>
    </cfRule>
  </conditionalFormatting>
  <conditionalFormatting sqref="G516">
    <cfRule type="expression" dxfId="9245" priority="2385">
      <formula>G516&lt;&gt;""</formula>
    </cfRule>
  </conditionalFormatting>
  <conditionalFormatting sqref="F516">
    <cfRule type="expression" dxfId="9244" priority="2384">
      <formula>F516&lt;&gt;""</formula>
    </cfRule>
  </conditionalFormatting>
  <conditionalFormatting sqref="E516">
    <cfRule type="containsText" dxfId="9243" priority="2382" operator="containsText" text="Sin Información">
      <formula>NOT(ISERROR(SEARCH("Sin Información",E516)))</formula>
    </cfRule>
  </conditionalFormatting>
  <conditionalFormatting sqref="E516">
    <cfRule type="expression" dxfId="9242" priority="2381">
      <formula>E516&lt;&gt;""</formula>
    </cfRule>
  </conditionalFormatting>
  <conditionalFormatting sqref="E514">
    <cfRule type="containsText" dxfId="9241" priority="2373" operator="containsText" text="NUEVO">
      <formula>NOT(ISERROR(SEARCH("NUEVO",E514)))</formula>
    </cfRule>
  </conditionalFormatting>
  <conditionalFormatting sqref="E514">
    <cfRule type="containsText" dxfId="9240" priority="2372" operator="containsText" text="Sin Información">
      <formula>NOT(ISERROR(SEARCH("Sin Información",E514)))</formula>
    </cfRule>
  </conditionalFormatting>
  <conditionalFormatting sqref="E514">
    <cfRule type="expression" dxfId="9239" priority="2371">
      <formula>E514&lt;&gt;""</formula>
    </cfRule>
  </conditionalFormatting>
  <conditionalFormatting sqref="F514">
    <cfRule type="expression" dxfId="9238" priority="2370">
      <formula>F514&lt;&gt;""</formula>
    </cfRule>
  </conditionalFormatting>
  <conditionalFormatting sqref="E630">
    <cfRule type="containsText" dxfId="9237" priority="2366" operator="containsText" text="NUEVO">
      <formula>NOT(ISERROR(SEARCH("NUEVO",E630)))</formula>
    </cfRule>
  </conditionalFormatting>
  <conditionalFormatting sqref="E630">
    <cfRule type="containsText" dxfId="9236" priority="2365" operator="containsText" text="Sin Información">
      <formula>NOT(ISERROR(SEARCH("Sin Información",E630)))</formula>
    </cfRule>
  </conditionalFormatting>
  <conditionalFormatting sqref="E630:F630">
    <cfRule type="expression" dxfId="9235" priority="2364">
      <formula>E630&lt;&gt;""</formula>
    </cfRule>
  </conditionalFormatting>
  <conditionalFormatting sqref="E630">
    <cfRule type="containsText" dxfId="9234" priority="2362" operator="containsText" text="Sin Información">
      <formula>NOT(ISERROR(SEARCH("Sin Información",E630)))</formula>
    </cfRule>
  </conditionalFormatting>
  <conditionalFormatting sqref="E630">
    <cfRule type="containsText" dxfId="9233" priority="2363" operator="containsText" text="NUEVO">
      <formula>NOT(ISERROR(SEARCH("NUEVO",E630)))</formula>
    </cfRule>
  </conditionalFormatting>
  <conditionalFormatting sqref="E630">
    <cfRule type="expression" dxfId="9232" priority="2361">
      <formula>E630&lt;&gt;""</formula>
    </cfRule>
  </conditionalFormatting>
  <conditionalFormatting sqref="E630">
    <cfRule type="containsText" dxfId="9231" priority="2360" operator="containsText" text="Sin información">
      <formula>NOT(ISERROR(SEARCH("Sin información",E630)))</formula>
    </cfRule>
  </conditionalFormatting>
  <conditionalFormatting sqref="E630">
    <cfRule type="expression" dxfId="9230" priority="2359">
      <formula>E630&lt;&gt;""</formula>
    </cfRule>
  </conditionalFormatting>
  <conditionalFormatting sqref="F630">
    <cfRule type="expression" dxfId="9229" priority="2358">
      <formula>F630&lt;&gt;""</formula>
    </cfRule>
  </conditionalFormatting>
  <conditionalFormatting sqref="F132">
    <cfRule type="expression" dxfId="9228" priority="2341">
      <formula>F132&lt;&gt;""</formula>
    </cfRule>
  </conditionalFormatting>
  <conditionalFormatting sqref="E132">
    <cfRule type="containsText" dxfId="9227" priority="2340" operator="containsText" text="NUEVO">
      <formula>NOT(ISERROR(SEARCH("NUEVO",E132)))</formula>
    </cfRule>
  </conditionalFormatting>
  <conditionalFormatting sqref="E132">
    <cfRule type="containsText" dxfId="9226" priority="2339" operator="containsText" text="Sin Información">
      <formula>NOT(ISERROR(SEARCH("Sin Información",E132)))</formula>
    </cfRule>
  </conditionalFormatting>
  <conditionalFormatting sqref="E132">
    <cfRule type="expression" dxfId="9225" priority="2338">
      <formula>E132&lt;&gt;""</formula>
    </cfRule>
  </conditionalFormatting>
  <conditionalFormatting sqref="E243">
    <cfRule type="containsText" dxfId="9224" priority="2322" operator="containsText" text="NUEVO">
      <formula>NOT(ISERROR(SEARCH("NUEVO",E243)))</formula>
    </cfRule>
  </conditionalFormatting>
  <conditionalFormatting sqref="E243">
    <cfRule type="containsText" dxfId="9223" priority="2321" operator="containsText" text="Sin Información">
      <formula>NOT(ISERROR(SEARCH("Sin Información",E243)))</formula>
    </cfRule>
  </conditionalFormatting>
  <conditionalFormatting sqref="E243">
    <cfRule type="expression" dxfId="9222" priority="2320">
      <formula>E243&lt;&gt;""</formula>
    </cfRule>
  </conditionalFormatting>
  <conditionalFormatting sqref="F243">
    <cfRule type="expression" dxfId="9221" priority="2319">
      <formula>F243&lt;&gt;""</formula>
    </cfRule>
  </conditionalFormatting>
  <conditionalFormatting sqref="E167">
    <cfRule type="containsText" dxfId="9220" priority="2312" operator="containsText" text="NUEVO">
      <formula>NOT(ISERROR(SEARCH("NUEVO",E167)))</formula>
    </cfRule>
  </conditionalFormatting>
  <conditionalFormatting sqref="E167">
    <cfRule type="containsText" dxfId="9219" priority="2311" operator="containsText" text="Sin Información">
      <formula>NOT(ISERROR(SEARCH("Sin Información",E167)))</formula>
    </cfRule>
  </conditionalFormatting>
  <conditionalFormatting sqref="E167">
    <cfRule type="expression" dxfId="9218" priority="2310">
      <formula>E167&lt;&gt;""</formula>
    </cfRule>
  </conditionalFormatting>
  <conditionalFormatting sqref="F167">
    <cfRule type="expression" dxfId="9217" priority="2309">
      <formula>F167&lt;&gt;""</formula>
    </cfRule>
  </conditionalFormatting>
  <conditionalFormatting sqref="E190">
    <cfRule type="containsText" dxfId="9216" priority="2293" operator="containsText" text="NUEVO">
      <formula>NOT(ISERROR(SEARCH("NUEVO",E190)))</formula>
    </cfRule>
  </conditionalFormatting>
  <conditionalFormatting sqref="E190">
    <cfRule type="containsText" dxfId="9215" priority="2292" operator="containsText" text="Sin Información">
      <formula>NOT(ISERROR(SEARCH("Sin Información",E190)))</formula>
    </cfRule>
  </conditionalFormatting>
  <conditionalFormatting sqref="E190">
    <cfRule type="containsText" dxfId="9214" priority="2294" operator="containsText" text="Sin información">
      <formula>NOT(ISERROR(SEARCH("Sin información",E190)))</formula>
    </cfRule>
  </conditionalFormatting>
  <conditionalFormatting sqref="E190">
    <cfRule type="expression" dxfId="9213" priority="2291">
      <formula>E190&lt;&gt;""</formula>
    </cfRule>
  </conditionalFormatting>
  <conditionalFormatting sqref="E190">
    <cfRule type="containsText" dxfId="9212" priority="2290" operator="containsText" text="Sin Información">
      <formula>NOT(ISERROR(SEARCH("Sin Información",E190)))</formula>
    </cfRule>
  </conditionalFormatting>
  <conditionalFormatting sqref="E190">
    <cfRule type="containsText" dxfId="9211" priority="2289" operator="containsText" text="NUEVO">
      <formula>NOT(ISERROR(SEARCH("NUEVO",E190)))</formula>
    </cfRule>
  </conditionalFormatting>
  <conditionalFormatting sqref="E190">
    <cfRule type="containsText" dxfId="9210" priority="2288" operator="containsText" text="Sin Información">
      <formula>NOT(ISERROR(SEARCH("Sin Información",E190)))</formula>
    </cfRule>
  </conditionalFormatting>
  <conditionalFormatting sqref="E190">
    <cfRule type="containsText" dxfId="9209" priority="2287" operator="containsText" text="NUEVO">
      <formula>NOT(ISERROR(SEARCH("NUEVO",E190)))</formula>
    </cfRule>
  </conditionalFormatting>
  <conditionalFormatting sqref="E571">
    <cfRule type="containsText" dxfId="9208" priority="2275" operator="containsText" text="NUEVO">
      <formula>NOT(ISERROR(SEARCH("NUEVO",E571)))</formula>
    </cfRule>
  </conditionalFormatting>
  <conditionalFormatting sqref="E571">
    <cfRule type="containsText" dxfId="9207" priority="2274" operator="containsText" text="Sin Información">
      <formula>NOT(ISERROR(SEARCH("Sin Información",E571)))</formula>
    </cfRule>
  </conditionalFormatting>
  <conditionalFormatting sqref="E571:F571">
    <cfRule type="expression" dxfId="9206" priority="2273">
      <formula>E571&lt;&gt;""</formula>
    </cfRule>
  </conditionalFormatting>
  <conditionalFormatting sqref="F124">
    <cfRule type="expression" dxfId="9205" priority="2247">
      <formula>F124&lt;&gt;""</formula>
    </cfRule>
  </conditionalFormatting>
  <conditionalFormatting sqref="E124">
    <cfRule type="containsText" dxfId="9204" priority="2246" operator="containsText" text="NUEVO">
      <formula>NOT(ISERROR(SEARCH("NUEVO",E124)))</formula>
    </cfRule>
  </conditionalFormatting>
  <conditionalFormatting sqref="E124">
    <cfRule type="containsText" dxfId="9203" priority="2245" operator="containsText" text="Sin Información">
      <formula>NOT(ISERROR(SEARCH("Sin Información",E124)))</formula>
    </cfRule>
  </conditionalFormatting>
  <conditionalFormatting sqref="E124">
    <cfRule type="expression" dxfId="9202" priority="2244">
      <formula>E124&lt;&gt;""</formula>
    </cfRule>
  </conditionalFormatting>
  <conditionalFormatting sqref="E354">
    <cfRule type="containsText" dxfId="9201" priority="2228" operator="containsText" text="NUEVO">
      <formula>NOT(ISERROR(SEARCH("NUEVO",E354)))</formula>
    </cfRule>
  </conditionalFormatting>
  <conditionalFormatting sqref="E354">
    <cfRule type="containsText" dxfId="9200" priority="2227" operator="containsText" text="Sin Información">
      <formula>NOT(ISERROR(SEARCH("Sin Información",E354)))</formula>
    </cfRule>
  </conditionalFormatting>
  <conditionalFormatting sqref="E354">
    <cfRule type="expression" dxfId="9199" priority="2226">
      <formula>E354&lt;&gt;""</formula>
    </cfRule>
  </conditionalFormatting>
  <conditionalFormatting sqref="F354">
    <cfRule type="expression" dxfId="9198" priority="2225">
      <formula>F354&lt;&gt;""</formula>
    </cfRule>
  </conditionalFormatting>
  <conditionalFormatting sqref="G403">
    <cfRule type="expression" dxfId="9197" priority="2219">
      <formula>G403&lt;&gt;""</formula>
    </cfRule>
  </conditionalFormatting>
  <conditionalFormatting sqref="E368">
    <cfRule type="containsText" dxfId="9196" priority="2212" operator="containsText" text="NUEVO">
      <formula>NOT(ISERROR(SEARCH("NUEVO",E368)))</formula>
    </cfRule>
  </conditionalFormatting>
  <conditionalFormatting sqref="E368">
    <cfRule type="containsText" dxfId="9195" priority="2211" operator="containsText" text="Sin Información">
      <formula>NOT(ISERROR(SEARCH("Sin Información",E368)))</formula>
    </cfRule>
  </conditionalFormatting>
  <conditionalFormatting sqref="E368">
    <cfRule type="expression" dxfId="9194" priority="2210">
      <formula>E368&lt;&gt;""</formula>
    </cfRule>
  </conditionalFormatting>
  <conditionalFormatting sqref="F368">
    <cfRule type="expression" dxfId="9193" priority="2209">
      <formula>F368&lt;&gt;""</formula>
    </cfRule>
  </conditionalFormatting>
  <conditionalFormatting sqref="F250">
    <cfRule type="expression" dxfId="9192" priority="2155">
      <formula>F250&lt;&gt;""</formula>
    </cfRule>
  </conditionalFormatting>
  <conditionalFormatting sqref="F250">
    <cfRule type="expression" dxfId="9191" priority="2154">
      <formula>F250&lt;&gt;""</formula>
    </cfRule>
  </conditionalFormatting>
  <conditionalFormatting sqref="E250">
    <cfRule type="expression" dxfId="9190" priority="2148">
      <formula>E250&lt;&gt;""</formula>
    </cfRule>
  </conditionalFormatting>
  <conditionalFormatting sqref="E250">
    <cfRule type="containsText" dxfId="9189" priority="2153" operator="containsText" text="NUEVO">
      <formula>NOT(ISERROR(SEARCH("NUEVO",E250)))</formula>
    </cfRule>
  </conditionalFormatting>
  <conditionalFormatting sqref="E250">
    <cfRule type="containsText" dxfId="9188" priority="2152" operator="containsText" text="Sin Información">
      <formula>NOT(ISERROR(SEARCH("Sin Información",E250)))</formula>
    </cfRule>
  </conditionalFormatting>
  <conditionalFormatting sqref="E250">
    <cfRule type="expression" dxfId="9187" priority="2151">
      <formula>E250&lt;&gt;""</formula>
    </cfRule>
  </conditionalFormatting>
  <conditionalFormatting sqref="E250">
    <cfRule type="containsText" dxfId="9186" priority="2150" operator="containsText" text="NUEVO">
      <formula>NOT(ISERROR(SEARCH("NUEVO",E250)))</formula>
    </cfRule>
  </conditionalFormatting>
  <conditionalFormatting sqref="E250">
    <cfRule type="containsText" dxfId="9185" priority="2149" operator="containsText" text="Sin Información">
      <formula>NOT(ISERROR(SEARCH("Sin Información",E250)))</formula>
    </cfRule>
  </conditionalFormatting>
  <conditionalFormatting sqref="E188">
    <cfRule type="expression" dxfId="9184" priority="2136">
      <formula>E188&lt;&gt;""</formula>
    </cfRule>
  </conditionalFormatting>
  <conditionalFormatting sqref="F188">
    <cfRule type="expression" dxfId="9183" priority="2140">
      <formula>F188&lt;&gt;""</formula>
    </cfRule>
  </conditionalFormatting>
  <conditionalFormatting sqref="E188">
    <cfRule type="containsText" dxfId="9182" priority="2139" operator="containsText" text="Sin información">
      <formula>NOT(ISERROR(SEARCH("Sin información",E188)))</formula>
    </cfRule>
  </conditionalFormatting>
  <conditionalFormatting sqref="E188">
    <cfRule type="containsText" dxfId="9181" priority="2138" operator="containsText" text="NUEVO">
      <formula>NOT(ISERROR(SEARCH("NUEVO",E188)))</formula>
    </cfRule>
  </conditionalFormatting>
  <conditionalFormatting sqref="E188">
    <cfRule type="containsText" dxfId="9180" priority="2137" operator="containsText" text="Sin Información">
      <formula>NOT(ISERROR(SEARCH("Sin Información",E188)))</formula>
    </cfRule>
  </conditionalFormatting>
  <conditionalFormatting sqref="E188">
    <cfRule type="expression" dxfId="9179" priority="2135">
      <formula>E188&lt;&gt;""</formula>
    </cfRule>
  </conditionalFormatting>
  <conditionalFormatting sqref="G268">
    <cfRule type="expression" dxfId="9178" priority="2120">
      <formula>G268&lt;&gt;""</formula>
    </cfRule>
  </conditionalFormatting>
  <conditionalFormatting sqref="G517">
    <cfRule type="expression" dxfId="9177" priority="2094">
      <formula>G517&lt;&gt;""</formula>
    </cfRule>
  </conditionalFormatting>
  <conditionalFormatting sqref="F517">
    <cfRule type="expression" dxfId="9176" priority="2093">
      <formula>F517&lt;&gt;""</formula>
    </cfRule>
  </conditionalFormatting>
  <conditionalFormatting sqref="E515">
    <cfRule type="containsText" dxfId="9175" priority="2083" operator="containsText" text="NUEVO">
      <formula>NOT(ISERROR(SEARCH("NUEVO",E515)))</formula>
    </cfRule>
  </conditionalFormatting>
  <conditionalFormatting sqref="E515">
    <cfRule type="containsText" dxfId="9174" priority="2082" operator="containsText" text="Sin Información">
      <formula>NOT(ISERROR(SEARCH("Sin Información",E515)))</formula>
    </cfRule>
  </conditionalFormatting>
  <conditionalFormatting sqref="E515">
    <cfRule type="expression" dxfId="9173" priority="2081">
      <formula>E515&lt;&gt;""</formula>
    </cfRule>
  </conditionalFormatting>
  <conditionalFormatting sqref="F515">
    <cfRule type="expression" dxfId="9172" priority="2080">
      <formula>F515&lt;&gt;""</formula>
    </cfRule>
  </conditionalFormatting>
  <conditionalFormatting sqref="E634">
    <cfRule type="containsText" dxfId="9171" priority="2057" operator="containsText" text="NUEVO">
      <formula>NOT(ISERROR(SEARCH("NUEVO",E634)))</formula>
    </cfRule>
  </conditionalFormatting>
  <conditionalFormatting sqref="E634">
    <cfRule type="containsText" dxfId="9170" priority="2056" operator="containsText" text="Sin Información">
      <formula>NOT(ISERROR(SEARCH("Sin Información",E634)))</formula>
    </cfRule>
  </conditionalFormatting>
  <conditionalFormatting sqref="E634">
    <cfRule type="expression" dxfId="9169" priority="2055">
      <formula>E634&lt;&gt;""</formula>
    </cfRule>
  </conditionalFormatting>
  <conditionalFormatting sqref="E634">
    <cfRule type="containsText" dxfId="9168" priority="2053" operator="containsText" text="Sin Información">
      <formula>NOT(ISERROR(SEARCH("Sin Información",E634)))</formula>
    </cfRule>
  </conditionalFormatting>
  <conditionalFormatting sqref="E634">
    <cfRule type="containsText" dxfId="9167" priority="2054" operator="containsText" text="NUEVO">
      <formula>NOT(ISERROR(SEARCH("NUEVO",E634)))</formula>
    </cfRule>
  </conditionalFormatting>
  <conditionalFormatting sqref="E634">
    <cfRule type="expression" dxfId="9166" priority="2052">
      <formula>E634&lt;&gt;""</formula>
    </cfRule>
  </conditionalFormatting>
  <conditionalFormatting sqref="E634">
    <cfRule type="containsText" dxfId="9165" priority="2051" operator="containsText" text="Sin información">
      <formula>NOT(ISERROR(SEARCH("Sin información",E634)))</formula>
    </cfRule>
  </conditionalFormatting>
  <conditionalFormatting sqref="E634">
    <cfRule type="expression" dxfId="9164" priority="2050">
      <formula>E634&lt;&gt;""</formula>
    </cfRule>
  </conditionalFormatting>
  <conditionalFormatting sqref="F67">
    <cfRule type="expression" dxfId="9163" priority="2044">
      <formula>F67&lt;&gt;""</formula>
    </cfRule>
  </conditionalFormatting>
  <conditionalFormatting sqref="E67">
    <cfRule type="containsText" dxfId="9162" priority="2043" operator="containsText" text="NUEVO">
      <formula>NOT(ISERROR(SEARCH("NUEVO",E67)))</formula>
    </cfRule>
  </conditionalFormatting>
  <conditionalFormatting sqref="E67">
    <cfRule type="containsText" dxfId="9161" priority="2042" operator="containsText" text="Sin Información">
      <formula>NOT(ISERROR(SEARCH("Sin Información",E67)))</formula>
    </cfRule>
  </conditionalFormatting>
  <conditionalFormatting sqref="E67">
    <cfRule type="expression" dxfId="9160" priority="2041">
      <formula>E67&lt;&gt;""</formula>
    </cfRule>
  </conditionalFormatting>
  <conditionalFormatting sqref="E67">
    <cfRule type="containsText" dxfId="9159" priority="2039" operator="containsText" text="Sin Información">
      <formula>NOT(ISERROR(SEARCH("Sin Información",E67)))</formula>
    </cfRule>
  </conditionalFormatting>
  <conditionalFormatting sqref="E67">
    <cfRule type="containsText" dxfId="9158" priority="2040" operator="containsText" text="NUEVO">
      <formula>NOT(ISERROR(SEARCH("NUEVO",E67)))</formula>
    </cfRule>
  </conditionalFormatting>
  <conditionalFormatting sqref="E67">
    <cfRule type="expression" dxfId="9157" priority="2038">
      <formula>E67&lt;&gt;""</formula>
    </cfRule>
  </conditionalFormatting>
  <conditionalFormatting sqref="E67">
    <cfRule type="containsText" dxfId="9156" priority="2037" operator="containsText" text="Sin información">
      <formula>NOT(ISERROR(SEARCH("Sin información",E67)))</formula>
    </cfRule>
  </conditionalFormatting>
  <conditionalFormatting sqref="E67">
    <cfRule type="expression" dxfId="9155" priority="2036">
      <formula>E67&lt;&gt;""</formula>
    </cfRule>
  </conditionalFormatting>
  <conditionalFormatting sqref="J635:J636 J646:J651 J568">
    <cfRule type="expression" dxfId="9154" priority="33273">
      <formula>OR(J568&lt;&gt;"", K569&lt;&gt;"")</formula>
    </cfRule>
  </conditionalFormatting>
  <conditionalFormatting sqref="G404">
    <cfRule type="expression" dxfId="9153" priority="2002">
      <formula>G404&lt;&gt;""</formula>
    </cfRule>
  </conditionalFormatting>
  <conditionalFormatting sqref="E342">
    <cfRule type="containsText" dxfId="9152" priority="1990" operator="containsText" text="NUEVO">
      <formula>NOT(ISERROR(SEARCH("NUEVO",E342)))</formula>
    </cfRule>
  </conditionalFormatting>
  <conditionalFormatting sqref="E342">
    <cfRule type="containsText" dxfId="9151" priority="1989" operator="containsText" text="Sin Información">
      <formula>NOT(ISERROR(SEARCH("Sin Información",E342)))</formula>
    </cfRule>
  </conditionalFormatting>
  <conditionalFormatting sqref="E342">
    <cfRule type="expression" dxfId="9150" priority="1988">
      <formula>E342&lt;&gt;""</formula>
    </cfRule>
  </conditionalFormatting>
  <conditionalFormatting sqref="E342">
    <cfRule type="expression" dxfId="9149" priority="1987">
      <formula>E342&lt;&gt;""</formula>
    </cfRule>
  </conditionalFormatting>
  <conditionalFormatting sqref="F342">
    <cfRule type="expression" dxfId="9148" priority="1986">
      <formula>F342&lt;&gt;""</formula>
    </cfRule>
  </conditionalFormatting>
  <conditionalFormatting sqref="E131">
    <cfRule type="containsText" dxfId="9147" priority="1982" operator="containsText" text="NUEVO">
      <formula>NOT(ISERROR(SEARCH("NUEVO",E131)))</formula>
    </cfRule>
  </conditionalFormatting>
  <conditionalFormatting sqref="E131">
    <cfRule type="containsText" dxfId="9146" priority="1981" operator="containsText" text="Sin Información">
      <formula>NOT(ISERROR(SEARCH("Sin Información",E131)))</formula>
    </cfRule>
  </conditionalFormatting>
  <conditionalFormatting sqref="E131:F131">
    <cfRule type="expression" dxfId="9145" priority="1980">
      <formula>E131&lt;&gt;""</formula>
    </cfRule>
  </conditionalFormatting>
  <conditionalFormatting sqref="F251">
    <cfRule type="expression" dxfId="9144" priority="1975">
      <formula>F251&lt;&gt;""</formula>
    </cfRule>
  </conditionalFormatting>
  <conditionalFormatting sqref="E251">
    <cfRule type="containsText" dxfId="9143" priority="1973" operator="containsText" text="Sin Información">
      <formula>NOT(ISERROR(SEARCH("Sin Información",E251)))</formula>
    </cfRule>
  </conditionalFormatting>
  <conditionalFormatting sqref="E251">
    <cfRule type="containsText" dxfId="9142" priority="1974" operator="containsText" text="NUEVO">
      <formula>NOT(ISERROR(SEARCH("NUEVO",E251)))</formula>
    </cfRule>
  </conditionalFormatting>
  <conditionalFormatting sqref="E251">
    <cfRule type="expression" dxfId="9141" priority="1972">
      <formula>E251&lt;&gt;""</formula>
    </cfRule>
  </conditionalFormatting>
  <conditionalFormatting sqref="E251">
    <cfRule type="containsText" dxfId="9140" priority="1971" operator="containsText" text="Sin información">
      <formula>NOT(ISERROR(SEARCH("Sin información",E251)))</formula>
    </cfRule>
  </conditionalFormatting>
  <conditionalFormatting sqref="E251">
    <cfRule type="expression" dxfId="9139" priority="1970">
      <formula>E251&lt;&gt;""</formula>
    </cfRule>
  </conditionalFormatting>
  <conditionalFormatting sqref="I467:I468">
    <cfRule type="expression" dxfId="9138" priority="33276">
      <formula>OR(I467&lt;&gt;"", #REF!&lt;&gt;"")</formula>
    </cfRule>
  </conditionalFormatting>
  <conditionalFormatting sqref="I472">
    <cfRule type="expression" dxfId="9137" priority="33284">
      <formula>OR(I472&lt;&gt;"", J467&lt;&gt;"")</formula>
    </cfRule>
  </conditionalFormatting>
  <conditionalFormatting sqref="I457">
    <cfRule type="expression" dxfId="9136" priority="33285">
      <formula>OR(I457&lt;&gt;"", J467&lt;&gt;"")</formula>
    </cfRule>
  </conditionalFormatting>
  <conditionalFormatting sqref="I633:J633">
    <cfRule type="expression" dxfId="9135" priority="1934">
      <formula>OR(I633&lt;&gt;"", J633&lt;&gt;"")</formula>
    </cfRule>
  </conditionalFormatting>
  <conditionalFormatting sqref="G633">
    <cfRule type="expression" dxfId="9134" priority="1933">
      <formula>G633&lt;&gt;""</formula>
    </cfRule>
  </conditionalFormatting>
  <conditionalFormatting sqref="H649">
    <cfRule type="expression" dxfId="9133" priority="1931">
      <formula>H649&lt;&gt;""</formula>
    </cfRule>
  </conditionalFormatting>
  <conditionalFormatting sqref="E633">
    <cfRule type="containsText" dxfId="9132" priority="1927" operator="containsText" text="NUEVO">
      <formula>NOT(ISERROR(SEARCH("NUEVO",E633)))</formula>
    </cfRule>
  </conditionalFormatting>
  <conditionalFormatting sqref="E633">
    <cfRule type="containsText" dxfId="9131" priority="1926" operator="containsText" text="Sin Información">
      <formula>NOT(ISERROR(SEARCH("Sin Información",E633)))</formula>
    </cfRule>
  </conditionalFormatting>
  <conditionalFormatting sqref="E633:F633">
    <cfRule type="expression" dxfId="9130" priority="1925">
      <formula>E633&lt;&gt;""</formula>
    </cfRule>
  </conditionalFormatting>
  <conditionalFormatting sqref="E633">
    <cfRule type="containsText" dxfId="9129" priority="1923" operator="containsText" text="Sin Información">
      <formula>NOT(ISERROR(SEARCH("Sin Información",E633)))</formula>
    </cfRule>
  </conditionalFormatting>
  <conditionalFormatting sqref="E633">
    <cfRule type="containsText" dxfId="9128" priority="1924" operator="containsText" text="NUEVO">
      <formula>NOT(ISERROR(SEARCH("NUEVO",E633)))</formula>
    </cfRule>
  </conditionalFormatting>
  <conditionalFormatting sqref="E633">
    <cfRule type="expression" dxfId="9127" priority="1922">
      <formula>E633&lt;&gt;""</formula>
    </cfRule>
  </conditionalFormatting>
  <conditionalFormatting sqref="E633">
    <cfRule type="containsText" dxfId="9126" priority="1921" operator="containsText" text="Sin información">
      <formula>NOT(ISERROR(SEARCH("Sin información",E633)))</formula>
    </cfRule>
  </conditionalFormatting>
  <conditionalFormatting sqref="E633">
    <cfRule type="expression" dxfId="9125" priority="1920">
      <formula>E633&lt;&gt;""</formula>
    </cfRule>
  </conditionalFormatting>
  <conditionalFormatting sqref="G406">
    <cfRule type="expression" dxfId="9124" priority="1907">
      <formula>G406&lt;&gt;""</formula>
    </cfRule>
  </conditionalFormatting>
  <conditionalFormatting sqref="F406">
    <cfRule type="expression" dxfId="9123" priority="1906">
      <formula>F406&lt;&gt;""</formula>
    </cfRule>
  </conditionalFormatting>
  <conditionalFormatting sqref="G407">
    <cfRule type="expression" dxfId="9122" priority="1893">
      <formula>G407&lt;&gt;""</formula>
    </cfRule>
  </conditionalFormatting>
  <conditionalFormatting sqref="F407">
    <cfRule type="expression" dxfId="9121" priority="1892">
      <formula>F407&lt;&gt;""</formula>
    </cfRule>
  </conditionalFormatting>
  <conditionalFormatting sqref="E390">
    <cfRule type="containsText" dxfId="9120" priority="1874" operator="containsText" text="NUEVO">
      <formula>NOT(ISERROR(SEARCH("NUEVO",E390)))</formula>
    </cfRule>
  </conditionalFormatting>
  <conditionalFormatting sqref="E390">
    <cfRule type="containsText" dxfId="9119" priority="1873" operator="containsText" text="Sin Información">
      <formula>NOT(ISERROR(SEARCH("Sin Información",E390)))</formula>
    </cfRule>
  </conditionalFormatting>
  <conditionalFormatting sqref="E390">
    <cfRule type="expression" dxfId="9118" priority="1872">
      <formula>E390&lt;&gt;""</formula>
    </cfRule>
  </conditionalFormatting>
  <conditionalFormatting sqref="F390">
    <cfRule type="expression" dxfId="9117" priority="1871">
      <formula>F390&lt;&gt;""</formula>
    </cfRule>
  </conditionalFormatting>
  <conditionalFormatting sqref="G518">
    <cfRule type="expression" dxfId="9116" priority="1838">
      <formula>G518&lt;&gt;""</formula>
    </cfRule>
  </conditionalFormatting>
  <conditionalFormatting sqref="F518">
    <cfRule type="expression" dxfId="9115" priority="1837">
      <formula>F518&lt;&gt;""</formula>
    </cfRule>
  </conditionalFormatting>
  <conditionalFormatting sqref="G408">
    <cfRule type="expression" dxfId="9114" priority="1800">
      <formula>G408&lt;&gt;""</formula>
    </cfRule>
  </conditionalFormatting>
  <conditionalFormatting sqref="F408">
    <cfRule type="expression" dxfId="9113" priority="1799">
      <formula>F408&lt;&gt;""</formula>
    </cfRule>
  </conditionalFormatting>
  <conditionalFormatting sqref="F481">
    <cfRule type="expression" dxfId="9112" priority="1775">
      <formula>F481&lt;&gt;""</formula>
    </cfRule>
  </conditionalFormatting>
  <conditionalFormatting sqref="E481">
    <cfRule type="containsText" dxfId="9111" priority="1774" operator="containsText" text="NUEVO">
      <formula>NOT(ISERROR(SEARCH("NUEVO",E481)))</formula>
    </cfRule>
  </conditionalFormatting>
  <conditionalFormatting sqref="E481">
    <cfRule type="containsText" dxfId="9110" priority="1773" operator="containsText" text="Sin Información">
      <formula>NOT(ISERROR(SEARCH("Sin Información",E481)))</formula>
    </cfRule>
  </conditionalFormatting>
  <conditionalFormatting sqref="E481">
    <cfRule type="expression" dxfId="9109" priority="1772">
      <formula>E481&lt;&gt;""</formula>
    </cfRule>
  </conditionalFormatting>
  <conditionalFormatting sqref="F482">
    <cfRule type="expression" dxfId="9108" priority="1762">
      <formula>F482&lt;&gt;""</formula>
    </cfRule>
  </conditionalFormatting>
  <conditionalFormatting sqref="E482">
    <cfRule type="containsText" dxfId="9107" priority="1761" operator="containsText" text="NUEVO">
      <formula>NOT(ISERROR(SEARCH("NUEVO",E482)))</formula>
    </cfRule>
  </conditionalFormatting>
  <conditionalFormatting sqref="E482">
    <cfRule type="containsText" dxfId="9106" priority="1760" operator="containsText" text="Sin Información">
      <formula>NOT(ISERROR(SEARCH("Sin Información",E482)))</formula>
    </cfRule>
  </conditionalFormatting>
  <conditionalFormatting sqref="E482">
    <cfRule type="expression" dxfId="9105" priority="1759">
      <formula>E482&lt;&gt;""</formula>
    </cfRule>
  </conditionalFormatting>
  <conditionalFormatting sqref="E459">
    <cfRule type="containsText" dxfId="9104" priority="1721" operator="containsText" text="NUEVO">
      <formula>NOT(ISERROR(SEARCH("NUEVO",E459)))</formula>
    </cfRule>
  </conditionalFormatting>
  <conditionalFormatting sqref="E459">
    <cfRule type="containsText" dxfId="9103" priority="1720" operator="containsText" text="Sin Información">
      <formula>NOT(ISERROR(SEARCH("Sin Información",E459)))</formula>
    </cfRule>
  </conditionalFormatting>
  <conditionalFormatting sqref="E459">
    <cfRule type="expression" dxfId="9102" priority="1719">
      <formula>E459&lt;&gt;""</formula>
    </cfRule>
  </conditionalFormatting>
  <conditionalFormatting sqref="F459">
    <cfRule type="expression" dxfId="9101" priority="1718">
      <formula>F459&lt;&gt;""</formula>
    </cfRule>
  </conditionalFormatting>
  <conditionalFormatting sqref="E512">
    <cfRule type="containsText" dxfId="9100" priority="1711" operator="containsText" text="NUEVO">
      <formula>NOT(ISERROR(SEARCH("NUEVO",E512)))</formula>
    </cfRule>
  </conditionalFormatting>
  <conditionalFormatting sqref="E512">
    <cfRule type="containsText" dxfId="9099" priority="1710" operator="containsText" text="Sin Información">
      <formula>NOT(ISERROR(SEARCH("Sin Información",E512)))</formula>
    </cfRule>
  </conditionalFormatting>
  <conditionalFormatting sqref="E512">
    <cfRule type="expression" dxfId="9098" priority="1709">
      <formula>E512&lt;&gt;""</formula>
    </cfRule>
  </conditionalFormatting>
  <conditionalFormatting sqref="F512">
    <cfRule type="expression" dxfId="9097" priority="1708">
      <formula>F512&lt;&gt;""</formula>
    </cfRule>
  </conditionalFormatting>
  <conditionalFormatting sqref="G269">
    <cfRule type="expression" dxfId="9096" priority="1702">
      <formula>G269&lt;&gt;""</formula>
    </cfRule>
  </conditionalFormatting>
  <conditionalFormatting sqref="F268">
    <cfRule type="expression" dxfId="9095" priority="1694">
      <formula>F268&lt;&gt;""</formula>
    </cfRule>
  </conditionalFormatting>
  <conditionalFormatting sqref="G270">
    <cfRule type="expression" dxfId="9094" priority="1693">
      <formula>G270&lt;&gt;""</formula>
    </cfRule>
  </conditionalFormatting>
  <conditionalFormatting sqref="E238">
    <cfRule type="containsText" dxfId="9093" priority="1662" operator="containsText" text="NUEVO">
      <formula>NOT(ISERROR(SEARCH("NUEVO",E238)))</formula>
    </cfRule>
  </conditionalFormatting>
  <conditionalFormatting sqref="E238">
    <cfRule type="containsText" dxfId="9092" priority="1661" operator="containsText" text="Sin Información">
      <formula>NOT(ISERROR(SEARCH("Sin Información",E238)))</formula>
    </cfRule>
  </conditionalFormatting>
  <conditionalFormatting sqref="F238">
    <cfRule type="expression" dxfId="9091" priority="1663">
      <formula>F238&lt;&gt;""</formula>
    </cfRule>
  </conditionalFormatting>
  <conditionalFormatting sqref="E238">
    <cfRule type="expression" dxfId="9090" priority="1660">
      <formula>E238&lt;&gt;""</formula>
    </cfRule>
  </conditionalFormatting>
  <conditionalFormatting sqref="AD181:AE181">
    <cfRule type="containsText" dxfId="9089" priority="1655" operator="containsText" text="NO+$D$4:$D$10">
      <formula>NOT(ISERROR(SEARCH("NO+$D$4:$D$10",AD181)))</formula>
    </cfRule>
  </conditionalFormatting>
  <conditionalFormatting sqref="AD181:AE181">
    <cfRule type="containsText" dxfId="9088" priority="1653" operator="containsText" text="SI">
      <formula>NOT(ISERROR(SEARCH("SI",AD181)))</formula>
    </cfRule>
    <cfRule type="containsText" dxfId="9087" priority="1654" operator="containsText" text="NO">
      <formula>NOT(ISERROR(SEARCH("NO",AD181)))</formula>
    </cfRule>
  </conditionalFormatting>
  <conditionalFormatting sqref="AD181:AE181">
    <cfRule type="containsText" dxfId="9086" priority="1652" operator="containsText" text="NUEVO">
      <formula>NOT(ISERROR(SEARCH("NUEVO",AD181)))</formula>
    </cfRule>
  </conditionalFormatting>
  <conditionalFormatting sqref="AF181">
    <cfRule type="containsText" dxfId="9085" priority="1651" operator="containsText" text="NUEVO">
      <formula>NOT(ISERROR(SEARCH("NUEVO",AF181)))</formula>
    </cfRule>
  </conditionalFormatting>
  <conditionalFormatting sqref="AF181">
    <cfRule type="containsText" dxfId="9084" priority="1650" operator="containsText" text="Sin Información">
      <formula>NOT(ISERROR(SEARCH("Sin Información",AF181)))</formula>
    </cfRule>
  </conditionalFormatting>
  <conditionalFormatting sqref="I181:J181">
    <cfRule type="expression" dxfId="9083" priority="1649">
      <formula>OR(I181&lt;&gt;"", J181&lt;&gt;"")</formula>
    </cfRule>
  </conditionalFormatting>
  <conditionalFormatting sqref="F178">
    <cfRule type="expression" dxfId="9082" priority="1648">
      <formula>F178&lt;&gt;""</formula>
    </cfRule>
  </conditionalFormatting>
  <conditionalFormatting sqref="E178">
    <cfRule type="containsText" dxfId="9081" priority="1647" operator="containsText" text="NUEVO">
      <formula>NOT(ISERROR(SEARCH("NUEVO",E178)))</formula>
    </cfRule>
  </conditionalFormatting>
  <conditionalFormatting sqref="E178">
    <cfRule type="containsText" dxfId="9080" priority="1646" operator="containsText" text="Sin Información">
      <formula>NOT(ISERROR(SEARCH("Sin Información",E178)))</formula>
    </cfRule>
  </conditionalFormatting>
  <conditionalFormatting sqref="E178">
    <cfRule type="expression" dxfId="9079" priority="1645">
      <formula>E178&lt;&gt;""</formula>
    </cfRule>
  </conditionalFormatting>
  <conditionalFormatting sqref="E359">
    <cfRule type="containsText" dxfId="9078" priority="1634" operator="containsText" text="NUEVO">
      <formula>NOT(ISERROR(SEARCH("NUEVO",E359)))</formula>
    </cfRule>
  </conditionalFormatting>
  <conditionalFormatting sqref="E359">
    <cfRule type="containsText" dxfId="9077" priority="1633" operator="containsText" text="Sin Información">
      <formula>NOT(ISERROR(SEARCH("Sin Información",E359)))</formula>
    </cfRule>
  </conditionalFormatting>
  <conditionalFormatting sqref="E359">
    <cfRule type="expression" dxfId="9076" priority="1632">
      <formula>E359&lt;&gt;""</formula>
    </cfRule>
  </conditionalFormatting>
  <conditionalFormatting sqref="F359">
    <cfRule type="expression" dxfId="9075" priority="1631">
      <formula>F359&lt;&gt;""</formula>
    </cfRule>
  </conditionalFormatting>
  <conditionalFormatting sqref="E171">
    <cfRule type="containsText" dxfId="9074" priority="1607" operator="containsText" text="NUEVO">
      <formula>NOT(ISERROR(SEARCH("NUEVO",E171)))</formula>
    </cfRule>
  </conditionalFormatting>
  <conditionalFormatting sqref="E171">
    <cfRule type="containsText" dxfId="9073" priority="1606" operator="containsText" text="Sin Información">
      <formula>NOT(ISERROR(SEARCH("Sin Información",E171)))</formula>
    </cfRule>
  </conditionalFormatting>
  <conditionalFormatting sqref="E171">
    <cfRule type="expression" dxfId="9072" priority="1605">
      <formula>E171&lt;&gt;""</formula>
    </cfRule>
  </conditionalFormatting>
  <conditionalFormatting sqref="F171">
    <cfRule type="expression" dxfId="9071" priority="1604">
      <formula>F171&lt;&gt;""</formula>
    </cfRule>
  </conditionalFormatting>
  <conditionalFormatting sqref="I109:J109">
    <cfRule type="expression" dxfId="9070" priority="1597">
      <formula>OR(I109&lt;&gt;"", J109&lt;&gt;"")</formula>
    </cfRule>
  </conditionalFormatting>
  <conditionalFormatting sqref="E117">
    <cfRule type="containsText" dxfId="9069" priority="1589" operator="containsText" text="Sin Información">
      <formula>NOT(ISERROR(SEARCH("Sin Información",E117)))</formula>
    </cfRule>
  </conditionalFormatting>
  <conditionalFormatting sqref="F117">
    <cfRule type="expression" dxfId="9068" priority="1591">
      <formula>F117&lt;&gt;""</formula>
    </cfRule>
  </conditionalFormatting>
  <conditionalFormatting sqref="E117">
    <cfRule type="containsText" dxfId="9067" priority="1590" operator="containsText" text="NUEVO">
      <formula>NOT(ISERROR(SEARCH("NUEVO",E117)))</formula>
    </cfRule>
  </conditionalFormatting>
  <conditionalFormatting sqref="E117">
    <cfRule type="expression" dxfId="9066" priority="1588">
      <formula>E117&lt;&gt;""</formula>
    </cfRule>
  </conditionalFormatting>
  <conditionalFormatting sqref="E268">
    <cfRule type="containsText" dxfId="9065" priority="1569" operator="containsText" text="NUEVO">
      <formula>NOT(ISERROR(SEARCH("NUEVO",E268)))</formula>
    </cfRule>
  </conditionalFormatting>
  <conditionalFormatting sqref="E268">
    <cfRule type="containsText" dxfId="9064" priority="1568" operator="containsText" text="Sin Información">
      <formula>NOT(ISERROR(SEARCH("Sin Información",E268)))</formula>
    </cfRule>
  </conditionalFormatting>
  <conditionalFormatting sqref="E268">
    <cfRule type="expression" dxfId="9063" priority="1567">
      <formula>E268&lt;&gt;""</formula>
    </cfRule>
  </conditionalFormatting>
  <conditionalFormatting sqref="E232">
    <cfRule type="containsText" dxfId="9062" priority="33490" operator="containsText" text="Sin Información">
      <formula>NOT(ISERROR(SEARCH("Sin Información",#REF!)))</formula>
    </cfRule>
  </conditionalFormatting>
  <conditionalFormatting sqref="E232">
    <cfRule type="containsText" dxfId="9061" priority="33491" operator="containsText" text="NUEVO">
      <formula>NOT(ISERROR(SEARCH("NUEVO",#REF!)))</formula>
    </cfRule>
  </conditionalFormatting>
  <conditionalFormatting sqref="E467">
    <cfRule type="containsText" dxfId="9060" priority="1544" operator="containsText" text="NUEVO">
      <formula>NOT(ISERROR(SEARCH("NUEVO",E467)))</formula>
    </cfRule>
  </conditionalFormatting>
  <conditionalFormatting sqref="E467">
    <cfRule type="containsText" dxfId="9059" priority="1543" operator="containsText" text="Sin Información">
      <formula>NOT(ISERROR(SEARCH("Sin Información",E467)))</formula>
    </cfRule>
  </conditionalFormatting>
  <conditionalFormatting sqref="E467:F467">
    <cfRule type="expression" dxfId="9058" priority="1542">
      <formula>E467&lt;&gt;""</formula>
    </cfRule>
  </conditionalFormatting>
  <conditionalFormatting sqref="F578">
    <cfRule type="expression" dxfId="9057" priority="1526">
      <formula>F578&lt;&gt;""</formula>
    </cfRule>
  </conditionalFormatting>
  <conditionalFormatting sqref="E578">
    <cfRule type="containsText" dxfId="9056" priority="1529" operator="containsText" text="NUEVO">
      <formula>NOT(ISERROR(SEARCH("NUEVO",E578)))</formula>
    </cfRule>
  </conditionalFormatting>
  <conditionalFormatting sqref="E578">
    <cfRule type="containsText" dxfId="9055" priority="1528" operator="containsText" text="Sin Información">
      <formula>NOT(ISERROR(SEARCH("Sin Información",E578)))</formula>
    </cfRule>
  </conditionalFormatting>
  <conditionalFormatting sqref="E578">
    <cfRule type="expression" dxfId="9054" priority="1527">
      <formula>E578&lt;&gt;""</formula>
    </cfRule>
  </conditionalFormatting>
  <conditionalFormatting sqref="E372">
    <cfRule type="containsText" dxfId="9053" priority="1509" operator="containsText" text="NUEVO">
      <formula>NOT(ISERROR(SEARCH("NUEVO",E372)))</formula>
    </cfRule>
  </conditionalFormatting>
  <conditionalFormatting sqref="E372">
    <cfRule type="containsText" dxfId="9052" priority="1510" operator="containsText" text="Sin información">
      <formula>NOT(ISERROR(SEARCH("Sin información",E372)))</formula>
    </cfRule>
  </conditionalFormatting>
  <conditionalFormatting sqref="E372:F372">
    <cfRule type="expression" dxfId="9051" priority="1508">
      <formula>E372&lt;&gt;""</formula>
    </cfRule>
  </conditionalFormatting>
  <conditionalFormatting sqref="E225">
    <cfRule type="expression" dxfId="9050" priority="1487">
      <formula>E225&lt;&gt;""</formula>
    </cfRule>
  </conditionalFormatting>
  <conditionalFormatting sqref="E225">
    <cfRule type="containsText" dxfId="9049" priority="1486" operator="containsText" text="Sin información">
      <formula>NOT(ISERROR(SEARCH("Sin información",E225)))</formula>
    </cfRule>
  </conditionalFormatting>
  <conditionalFormatting sqref="E225">
    <cfRule type="containsText" dxfId="9048" priority="1490" operator="containsText" text="NUEVO">
      <formula>NOT(ISERROR(SEARCH("NUEVO",E225)))</formula>
    </cfRule>
  </conditionalFormatting>
  <conditionalFormatting sqref="E225">
    <cfRule type="containsText" dxfId="9047" priority="1489" operator="containsText" text="Sin Información">
      <formula>NOT(ISERROR(SEARCH("Sin Información",E225)))</formula>
    </cfRule>
  </conditionalFormatting>
  <conditionalFormatting sqref="F225">
    <cfRule type="expression" dxfId="9046" priority="1488">
      <formula>F225&lt;&gt;""</formula>
    </cfRule>
  </conditionalFormatting>
  <conditionalFormatting sqref="E225">
    <cfRule type="expression" dxfId="9045" priority="1485">
      <formula>E225&lt;&gt;""</formula>
    </cfRule>
  </conditionalFormatting>
  <conditionalFormatting sqref="E269:E270 E297">
    <cfRule type="containsText" dxfId="9044" priority="1477" operator="containsText" text="NUEVO">
      <formula>NOT(ISERROR(SEARCH("NUEVO",E269)))</formula>
    </cfRule>
  </conditionalFormatting>
  <conditionalFormatting sqref="E269:E270 E297">
    <cfRule type="containsText" dxfId="9043" priority="1476" operator="containsText" text="Sin Información">
      <formula>NOT(ISERROR(SEARCH("Sin Información",E269)))</formula>
    </cfRule>
  </conditionalFormatting>
  <conditionalFormatting sqref="E269:E270 E297">
    <cfRule type="expression" dxfId="9042" priority="1475">
      <formula>E269&lt;&gt;""</formula>
    </cfRule>
  </conditionalFormatting>
  <conditionalFormatting sqref="F136">
    <cfRule type="expression" dxfId="9041" priority="1442">
      <formula>F136&lt;&gt;""</formula>
    </cfRule>
  </conditionalFormatting>
  <conditionalFormatting sqref="E136">
    <cfRule type="containsText" dxfId="9040" priority="1441" operator="containsText" text="NUEVO">
      <formula>NOT(ISERROR(SEARCH("NUEVO",E136)))</formula>
    </cfRule>
  </conditionalFormatting>
  <conditionalFormatting sqref="E136">
    <cfRule type="containsText" dxfId="9039" priority="1440" operator="containsText" text="Sin Información">
      <formula>NOT(ISERROR(SEARCH("Sin Información",E136)))</formula>
    </cfRule>
  </conditionalFormatting>
  <conditionalFormatting sqref="E136">
    <cfRule type="expression" dxfId="9038" priority="1439">
      <formula>E136&lt;&gt;""</formula>
    </cfRule>
  </conditionalFormatting>
  <conditionalFormatting sqref="E266">
    <cfRule type="containsText" dxfId="9037" priority="1435" operator="containsText" text="Sin información">
      <formula>NOT(ISERROR(SEARCH("Sin información",E266)))</formula>
    </cfRule>
  </conditionalFormatting>
  <conditionalFormatting sqref="E266">
    <cfRule type="containsText" dxfId="9036" priority="1434" operator="containsText" text="NUEVO">
      <formula>NOT(ISERROR(SEARCH("NUEVO",E266)))</formula>
    </cfRule>
  </conditionalFormatting>
  <conditionalFormatting sqref="E266">
    <cfRule type="containsText" dxfId="9035" priority="1433" operator="containsText" text="Sin Información">
      <formula>NOT(ISERROR(SEARCH("Sin Información",E266)))</formula>
    </cfRule>
  </conditionalFormatting>
  <conditionalFormatting sqref="F266">
    <cfRule type="expression" dxfId="9034" priority="1432">
      <formula>F266&lt;&gt;""</formula>
    </cfRule>
  </conditionalFormatting>
  <conditionalFormatting sqref="E66">
    <cfRule type="containsText" dxfId="9033" priority="1421" operator="containsText" text="Sin información">
      <formula>NOT(ISERROR(SEARCH("Sin información",E66)))</formula>
    </cfRule>
  </conditionalFormatting>
  <conditionalFormatting sqref="E66">
    <cfRule type="containsText" dxfId="9032" priority="1420" operator="containsText" text="NUEVO">
      <formula>NOT(ISERROR(SEARCH("NUEVO",E66)))</formula>
    </cfRule>
  </conditionalFormatting>
  <conditionalFormatting sqref="E66:F66">
    <cfRule type="expression" dxfId="9031" priority="1419">
      <formula>E66&lt;&gt;""</formula>
    </cfRule>
  </conditionalFormatting>
  <conditionalFormatting sqref="E410">
    <cfRule type="containsText" dxfId="9030" priority="1353" operator="containsText" text="NUEVO">
      <formula>NOT(ISERROR(SEARCH("NUEVO",E410)))</formula>
    </cfRule>
  </conditionalFormatting>
  <conditionalFormatting sqref="E410">
    <cfRule type="containsText" dxfId="9029" priority="1352" operator="containsText" text="Sin Información">
      <formula>NOT(ISERROR(SEARCH("Sin Información",E410)))</formula>
    </cfRule>
  </conditionalFormatting>
  <conditionalFormatting sqref="E410">
    <cfRule type="expression" dxfId="9028" priority="1351">
      <formula>E410&lt;&gt;""</formula>
    </cfRule>
  </conditionalFormatting>
  <conditionalFormatting sqref="E68">
    <cfRule type="expression" dxfId="9027" priority="1272">
      <formula>E68&lt;&gt;""</formula>
    </cfRule>
  </conditionalFormatting>
  <conditionalFormatting sqref="E68">
    <cfRule type="containsText" dxfId="9026" priority="1271" operator="containsText" text="Sin información">
      <formula>NOT(ISERROR(SEARCH("Sin información",E68)))</formula>
    </cfRule>
  </conditionalFormatting>
  <conditionalFormatting sqref="E68">
    <cfRule type="containsText" dxfId="9025" priority="1270" operator="containsText" text="NUEVO">
      <formula>NOT(ISERROR(SEARCH("NUEVO",E68)))</formula>
    </cfRule>
  </conditionalFormatting>
  <conditionalFormatting sqref="E271:E273">
    <cfRule type="containsText" dxfId="9024" priority="1269" operator="containsText" text="NUEVO">
      <formula>NOT(ISERROR(SEARCH("NUEVO",E271)))</formula>
    </cfRule>
  </conditionalFormatting>
  <conditionalFormatting sqref="E271:E273">
    <cfRule type="containsText" dxfId="9023" priority="1268" operator="containsText" text="Sin Información">
      <formula>NOT(ISERROR(SEARCH("Sin Información",E271)))</formula>
    </cfRule>
  </conditionalFormatting>
  <conditionalFormatting sqref="E271:E273">
    <cfRule type="expression" dxfId="9022" priority="1267">
      <formula>E271&lt;&gt;""</formula>
    </cfRule>
  </conditionalFormatting>
  <conditionalFormatting sqref="E591">
    <cfRule type="containsText" dxfId="9021" priority="1266" operator="containsText" text="NUEVO">
      <formula>NOT(ISERROR(SEARCH("NUEVO",E591)))</formula>
    </cfRule>
  </conditionalFormatting>
  <conditionalFormatting sqref="E591">
    <cfRule type="containsText" dxfId="9020" priority="1265" operator="containsText" text="Sin Información">
      <formula>NOT(ISERROR(SEARCH("Sin Información",E591)))</formula>
    </cfRule>
  </conditionalFormatting>
  <conditionalFormatting sqref="E591">
    <cfRule type="expression" dxfId="9019" priority="1264">
      <formula>E591&lt;&gt;""</formula>
    </cfRule>
  </conditionalFormatting>
  <conditionalFormatting sqref="E592">
    <cfRule type="containsText" dxfId="9018" priority="1259" operator="containsText" text="NUEVO">
      <formula>NOT(ISERROR(SEARCH("NUEVO",E592)))</formula>
    </cfRule>
  </conditionalFormatting>
  <conditionalFormatting sqref="E592">
    <cfRule type="containsText" dxfId="9017" priority="1258" operator="containsText" text="Sin Información">
      <formula>NOT(ISERROR(SEARCH("Sin Información",E592)))</formula>
    </cfRule>
  </conditionalFormatting>
  <conditionalFormatting sqref="E592">
    <cfRule type="expression" dxfId="9016" priority="1257">
      <formula>E592&lt;&gt;""</formula>
    </cfRule>
  </conditionalFormatting>
  <conditionalFormatting sqref="E593">
    <cfRule type="containsText" dxfId="9015" priority="1252" operator="containsText" text="NUEVO">
      <formula>NOT(ISERROR(SEARCH("NUEVO",E593)))</formula>
    </cfRule>
  </conditionalFormatting>
  <conditionalFormatting sqref="E593">
    <cfRule type="containsText" dxfId="9014" priority="1251" operator="containsText" text="Sin Información">
      <formula>NOT(ISERROR(SEARCH("Sin Información",E593)))</formula>
    </cfRule>
  </conditionalFormatting>
  <conditionalFormatting sqref="E593">
    <cfRule type="expression" dxfId="9013" priority="1250">
      <formula>E593&lt;&gt;""</formula>
    </cfRule>
  </conditionalFormatting>
  <conditionalFormatting sqref="E543">
    <cfRule type="containsText" dxfId="9012" priority="1242" operator="containsText" text="NUEVO">
      <formula>NOT(ISERROR(SEARCH("NUEVO",E543)))</formula>
    </cfRule>
  </conditionalFormatting>
  <conditionalFormatting sqref="E543">
    <cfRule type="containsText" dxfId="9011" priority="1241" operator="containsText" text="Sin Información">
      <formula>NOT(ISERROR(SEARCH("Sin Información",E543)))</formula>
    </cfRule>
  </conditionalFormatting>
  <conditionalFormatting sqref="E543">
    <cfRule type="expression" dxfId="9010" priority="1240">
      <formula>E543&lt;&gt;""</formula>
    </cfRule>
  </conditionalFormatting>
  <conditionalFormatting sqref="E50">
    <cfRule type="containsText" dxfId="9009" priority="1226" operator="containsText" text="NUEVO">
      <formula>NOT(ISERROR(SEARCH("NUEVO",E50)))</formula>
    </cfRule>
  </conditionalFormatting>
  <conditionalFormatting sqref="E50">
    <cfRule type="containsText" dxfId="9008" priority="1227" operator="containsText" text="Sin información">
      <formula>NOT(ISERROR(SEARCH("Sin información",E50)))</formula>
    </cfRule>
  </conditionalFormatting>
  <conditionalFormatting sqref="E50:F50">
    <cfRule type="expression" dxfId="9007" priority="1225">
      <formula>E50&lt;&gt;""</formula>
    </cfRule>
  </conditionalFormatting>
  <conditionalFormatting sqref="E574">
    <cfRule type="containsText" dxfId="9006" priority="1211" operator="containsText" text="NUEVO">
      <formula>NOT(ISERROR(SEARCH("NUEVO",E574)))</formula>
    </cfRule>
  </conditionalFormatting>
  <conditionalFormatting sqref="E574">
    <cfRule type="containsText" dxfId="9005" priority="1210" operator="containsText" text="Sin Información">
      <formula>NOT(ISERROR(SEARCH("Sin Información",E574)))</formula>
    </cfRule>
  </conditionalFormatting>
  <conditionalFormatting sqref="E574">
    <cfRule type="expression" dxfId="9004" priority="1209">
      <formula>E574&lt;&gt;""</formula>
    </cfRule>
  </conditionalFormatting>
  <conditionalFormatting sqref="E411">
    <cfRule type="containsText" dxfId="9003" priority="1201" operator="containsText" text="NUEVO">
      <formula>NOT(ISERROR(SEARCH("NUEVO",E411)))</formula>
    </cfRule>
  </conditionalFormatting>
  <conditionalFormatting sqref="E411">
    <cfRule type="containsText" dxfId="9002" priority="1200" operator="containsText" text="Sin Información">
      <formula>NOT(ISERROR(SEARCH("Sin Información",E411)))</formula>
    </cfRule>
  </conditionalFormatting>
  <conditionalFormatting sqref="E411">
    <cfRule type="expression" dxfId="9001" priority="1199">
      <formula>E411&lt;&gt;""</formula>
    </cfRule>
  </conditionalFormatting>
  <conditionalFormatting sqref="F400">
    <cfRule type="expression" dxfId="9000" priority="1188">
      <formula>F400&lt;&gt;""</formula>
    </cfRule>
  </conditionalFormatting>
  <conditionalFormatting sqref="E400">
    <cfRule type="containsText" dxfId="8999" priority="1187" operator="containsText" text="NUEVO">
      <formula>NOT(ISERROR(SEARCH("NUEVO",E400)))</formula>
    </cfRule>
  </conditionalFormatting>
  <conditionalFormatting sqref="E400">
    <cfRule type="containsText" dxfId="8998" priority="1186" operator="containsText" text="Sin Información">
      <formula>NOT(ISERROR(SEARCH("Sin Información",E400)))</formula>
    </cfRule>
  </conditionalFormatting>
  <conditionalFormatting sqref="E400">
    <cfRule type="expression" dxfId="8997" priority="1185">
      <formula>E400&lt;&gt;""</formula>
    </cfRule>
  </conditionalFormatting>
  <conditionalFormatting sqref="E255">
    <cfRule type="containsText" dxfId="8996" priority="1177" operator="containsText" text="Sin Información">
      <formula>NOT(ISERROR(SEARCH("Sin Información",E255)))</formula>
    </cfRule>
  </conditionalFormatting>
  <conditionalFormatting sqref="F255">
    <cfRule type="expression" dxfId="8995" priority="1179">
      <formula>F255&lt;&gt;""</formula>
    </cfRule>
  </conditionalFormatting>
  <conditionalFormatting sqref="E255">
    <cfRule type="containsText" dxfId="8994" priority="1178" operator="containsText" text="NUEVO">
      <formula>NOT(ISERROR(SEARCH("NUEVO",E255)))</formula>
    </cfRule>
  </conditionalFormatting>
  <conditionalFormatting sqref="E255">
    <cfRule type="expression" dxfId="8993" priority="1176">
      <formula>E255&lt;&gt;""</formula>
    </cfRule>
  </conditionalFormatting>
  <conditionalFormatting sqref="E214">
    <cfRule type="containsText" dxfId="8992" priority="1172" operator="containsText" text="NUEVO">
      <formula>NOT(ISERROR(SEARCH("NUEVO",E214)))</formula>
    </cfRule>
  </conditionalFormatting>
  <conditionalFormatting sqref="E214">
    <cfRule type="containsText" dxfId="8991" priority="1171" operator="containsText" text="Sin Información">
      <formula>NOT(ISERROR(SEARCH("Sin Información",E214)))</formula>
    </cfRule>
  </conditionalFormatting>
  <conditionalFormatting sqref="I219:J219">
    <cfRule type="expression" dxfId="8990" priority="1169">
      <formula>OR(I219&lt;&gt;"", J219&lt;&gt;"")</formula>
    </cfRule>
  </conditionalFormatting>
  <conditionalFormatting sqref="F199">
    <cfRule type="expression" dxfId="8989" priority="1164">
      <formula>F199&lt;&gt;""</formula>
    </cfRule>
  </conditionalFormatting>
  <conditionalFormatting sqref="E199">
    <cfRule type="containsText" dxfId="8988" priority="1163" operator="containsText" text="NUEVO">
      <formula>NOT(ISERROR(SEARCH("NUEVO",E199)))</formula>
    </cfRule>
  </conditionalFormatting>
  <conditionalFormatting sqref="E199">
    <cfRule type="containsText" dxfId="8987" priority="1162" operator="containsText" text="Sin Información">
      <formula>NOT(ISERROR(SEARCH("Sin Información",E199)))</formula>
    </cfRule>
  </conditionalFormatting>
  <conditionalFormatting sqref="E199">
    <cfRule type="expression" dxfId="8986" priority="1161">
      <formula>E199&lt;&gt;""</formula>
    </cfRule>
  </conditionalFormatting>
  <conditionalFormatting sqref="E278">
    <cfRule type="containsText" dxfId="8985" priority="1150" operator="containsText" text="NUEVO">
      <formula>NOT(ISERROR(SEARCH("NUEVO",E278)))</formula>
    </cfRule>
  </conditionalFormatting>
  <conditionalFormatting sqref="E278">
    <cfRule type="containsText" dxfId="8984" priority="1149" operator="containsText" text="Sin Información">
      <formula>NOT(ISERROR(SEARCH("Sin Información",E278)))</formula>
    </cfRule>
  </conditionalFormatting>
  <conditionalFormatting sqref="E278">
    <cfRule type="expression" dxfId="8983" priority="1148">
      <formula>E278&lt;&gt;""</formula>
    </cfRule>
  </conditionalFormatting>
  <conditionalFormatting sqref="E521">
    <cfRule type="containsText" dxfId="8982" priority="1143" operator="containsText" text="NUEVO">
      <formula>NOT(ISERROR(SEARCH("NUEVO",E521)))</formula>
    </cfRule>
  </conditionalFormatting>
  <conditionalFormatting sqref="E521">
    <cfRule type="containsText" dxfId="8981" priority="1142" operator="containsText" text="Sin Información">
      <formula>NOT(ISERROR(SEARCH("Sin Información",E521)))</formula>
    </cfRule>
  </conditionalFormatting>
  <conditionalFormatting sqref="E521">
    <cfRule type="expression" dxfId="8980" priority="1141">
      <formula>E521&lt;&gt;""</formula>
    </cfRule>
  </conditionalFormatting>
  <conditionalFormatting sqref="F590">
    <cfRule type="expression" dxfId="8979" priority="1133">
      <formula>F590&lt;&gt;""</formula>
    </cfRule>
  </conditionalFormatting>
  <conditionalFormatting sqref="E393">
    <cfRule type="containsText" dxfId="8978" priority="1113" operator="containsText" text="NUEVO">
      <formula>NOT(ISERROR(SEARCH("NUEVO",E393)))</formula>
    </cfRule>
  </conditionalFormatting>
  <conditionalFormatting sqref="E393">
    <cfRule type="containsText" dxfId="8977" priority="1112" operator="containsText" text="Sin Información">
      <formula>NOT(ISERROR(SEARCH("Sin Información",E393)))</formula>
    </cfRule>
  </conditionalFormatting>
  <conditionalFormatting sqref="E393:F393">
    <cfRule type="expression" dxfId="8976" priority="1111">
      <formula>E393&lt;&gt;""</formula>
    </cfRule>
  </conditionalFormatting>
  <conditionalFormatting sqref="E330">
    <cfRule type="containsText" dxfId="8975" priority="1107" operator="containsText" text="NUEVO">
      <formula>NOT(ISERROR(SEARCH("NUEVO",E330)))</formula>
    </cfRule>
  </conditionalFormatting>
  <conditionalFormatting sqref="E330">
    <cfRule type="containsText" dxfId="8974" priority="1106" operator="containsText" text="Sin Información">
      <formula>NOT(ISERROR(SEARCH("Sin Información",E330)))</formula>
    </cfRule>
  </conditionalFormatting>
  <conditionalFormatting sqref="I335:J335">
    <cfRule type="expression" dxfId="8973" priority="1104">
      <formula>OR(I335&lt;&gt;"", J335&lt;&gt;"")</formula>
    </cfRule>
  </conditionalFormatting>
  <conditionalFormatting sqref="E405">
    <cfRule type="containsText" dxfId="8972" priority="1098" operator="containsText" text="NUEVO">
      <formula>NOT(ISERROR(SEARCH("NUEVO",E405)))</formula>
    </cfRule>
  </conditionalFormatting>
  <conditionalFormatting sqref="E405">
    <cfRule type="containsText" dxfId="8971" priority="1099" operator="containsText" text="Sin información">
      <formula>NOT(ISERROR(SEARCH("Sin información",E405)))</formula>
    </cfRule>
  </conditionalFormatting>
  <conditionalFormatting sqref="F405">
    <cfRule type="expression" dxfId="8970" priority="1097">
      <formula>F405&lt;&gt;""</formula>
    </cfRule>
  </conditionalFormatting>
  <conditionalFormatting sqref="F401">
    <cfRule type="expression" dxfId="8969" priority="1092">
      <formula>F401&lt;&gt;""</formula>
    </cfRule>
  </conditionalFormatting>
  <conditionalFormatting sqref="E401">
    <cfRule type="containsText" dxfId="8968" priority="1091" operator="containsText" text="NUEVO">
      <formula>NOT(ISERROR(SEARCH("NUEVO",E401)))</formula>
    </cfRule>
  </conditionalFormatting>
  <conditionalFormatting sqref="E401">
    <cfRule type="containsText" dxfId="8967" priority="1090" operator="containsText" text="Sin Información">
      <formula>NOT(ISERROR(SEARCH("Sin Información",E401)))</formula>
    </cfRule>
  </conditionalFormatting>
  <conditionalFormatting sqref="E401">
    <cfRule type="expression" dxfId="8966" priority="1089">
      <formula>E401&lt;&gt;""</formula>
    </cfRule>
  </conditionalFormatting>
  <conditionalFormatting sqref="E403">
    <cfRule type="containsText" dxfId="8965" priority="1084" operator="containsText" text="Sin información">
      <formula>NOT(ISERROR(SEARCH("Sin información",E403)))</formula>
    </cfRule>
  </conditionalFormatting>
  <conditionalFormatting sqref="E403">
    <cfRule type="containsText" dxfId="8964" priority="1083" operator="containsText" text="NUEVO">
      <formula>NOT(ISERROR(SEARCH("NUEVO",E403)))</formula>
    </cfRule>
  </conditionalFormatting>
  <conditionalFormatting sqref="F403">
    <cfRule type="expression" dxfId="8963" priority="1082">
      <formula>F403&lt;&gt;""</formula>
    </cfRule>
  </conditionalFormatting>
  <conditionalFormatting sqref="E179">
    <cfRule type="containsText" dxfId="8962" priority="1077" operator="containsText" text="NUEVO">
      <formula>NOT(ISERROR(SEARCH("NUEVO",E179)))</formula>
    </cfRule>
  </conditionalFormatting>
  <conditionalFormatting sqref="E179">
    <cfRule type="containsText" dxfId="8961" priority="1076" operator="containsText" text="Sin Información">
      <formula>NOT(ISERROR(SEARCH("Sin Información",E179)))</formula>
    </cfRule>
  </conditionalFormatting>
  <conditionalFormatting sqref="F179">
    <cfRule type="expression" dxfId="8960" priority="1075">
      <formula>F179&lt;&gt;""</formula>
    </cfRule>
  </conditionalFormatting>
  <conditionalFormatting sqref="E412">
    <cfRule type="containsText" dxfId="8959" priority="1070" operator="containsText" text="NUEVO">
      <formula>NOT(ISERROR(SEARCH("NUEVO",E412)))</formula>
    </cfRule>
  </conditionalFormatting>
  <conditionalFormatting sqref="E412">
    <cfRule type="containsText" dxfId="8958" priority="1069" operator="containsText" text="Sin Información">
      <formula>NOT(ISERROR(SEARCH("Sin Información",E412)))</formula>
    </cfRule>
  </conditionalFormatting>
  <conditionalFormatting sqref="E412">
    <cfRule type="expression" dxfId="8957" priority="1068">
      <formula>E412&lt;&gt;""</formula>
    </cfRule>
  </conditionalFormatting>
  <conditionalFormatting sqref="F244">
    <cfRule type="expression" dxfId="8956" priority="1055">
      <formula>F244&lt;&gt;""</formula>
    </cfRule>
  </conditionalFormatting>
  <conditionalFormatting sqref="E244">
    <cfRule type="containsText" dxfId="8955" priority="1054" operator="containsText" text="NUEVO">
      <formula>NOT(ISERROR(SEARCH("NUEVO",E244)))</formula>
    </cfRule>
  </conditionalFormatting>
  <conditionalFormatting sqref="E244">
    <cfRule type="containsText" dxfId="8954" priority="1053" operator="containsText" text="Sin Información">
      <formula>NOT(ISERROR(SEARCH("Sin Información",E244)))</formula>
    </cfRule>
  </conditionalFormatting>
  <conditionalFormatting sqref="E244">
    <cfRule type="expression" dxfId="8953" priority="1052">
      <formula>E244&lt;&gt;""</formula>
    </cfRule>
  </conditionalFormatting>
  <conditionalFormatting sqref="F154">
    <cfRule type="expression" dxfId="8952" priority="1042">
      <formula>F154&lt;&gt;""</formula>
    </cfRule>
  </conditionalFormatting>
  <conditionalFormatting sqref="E279">
    <cfRule type="containsText" dxfId="8951" priority="1033" operator="containsText" text="NUEVO">
      <formula>NOT(ISERROR(SEARCH("NUEVO",E279)))</formula>
    </cfRule>
  </conditionalFormatting>
  <conditionalFormatting sqref="E279">
    <cfRule type="containsText" dxfId="8950" priority="1032" operator="containsText" text="Sin Información">
      <formula>NOT(ISERROR(SEARCH("Sin Información",E279)))</formula>
    </cfRule>
  </conditionalFormatting>
  <conditionalFormatting sqref="E279">
    <cfRule type="expression" dxfId="8949" priority="1031">
      <formula>E279&lt;&gt;""</formula>
    </cfRule>
  </conditionalFormatting>
  <conditionalFormatting sqref="E163">
    <cfRule type="containsText" dxfId="8948" priority="1025" operator="containsText" text="NUEVO">
      <formula>NOT(ISERROR(SEARCH("NUEVO",E163)))</formula>
    </cfRule>
  </conditionalFormatting>
  <conditionalFormatting sqref="E163">
    <cfRule type="containsText" dxfId="8947" priority="1024" operator="containsText" text="Sin Información">
      <formula>NOT(ISERROR(SEARCH("Sin Información",E163)))</formula>
    </cfRule>
  </conditionalFormatting>
  <conditionalFormatting sqref="E163:F163">
    <cfRule type="expression" dxfId="8946" priority="1023">
      <formula>E163&lt;&gt;""</formula>
    </cfRule>
  </conditionalFormatting>
  <conditionalFormatting sqref="E163">
    <cfRule type="containsText" dxfId="8945" priority="1029" operator="containsText" text="NUEVO">
      <formula>NOT(ISERROR(SEARCH("NUEVO",E1329)))</formula>
    </cfRule>
  </conditionalFormatting>
  <conditionalFormatting sqref="E163">
    <cfRule type="containsText" dxfId="8944" priority="1030" operator="containsText" text="Sin Información">
      <formula>NOT(ISERROR(SEARCH("Sin Información",E1329)))</formula>
    </cfRule>
  </conditionalFormatting>
  <conditionalFormatting sqref="F257">
    <cfRule type="expression" dxfId="8943" priority="1018">
      <formula>F257&lt;&gt;""</formula>
    </cfRule>
  </conditionalFormatting>
  <conditionalFormatting sqref="E257">
    <cfRule type="containsText" dxfId="8942" priority="1017" operator="containsText" text="NUEVO">
      <formula>NOT(ISERROR(SEARCH("NUEVO",E257)))</formula>
    </cfRule>
  </conditionalFormatting>
  <conditionalFormatting sqref="E257">
    <cfRule type="containsText" dxfId="8941" priority="1016" operator="containsText" text="Sin Información">
      <formula>NOT(ISERROR(SEARCH("Sin Información",E257)))</formula>
    </cfRule>
  </conditionalFormatting>
  <conditionalFormatting sqref="E257">
    <cfRule type="expression" dxfId="8940" priority="1015">
      <formula>E257&lt;&gt;""</formula>
    </cfRule>
  </conditionalFormatting>
  <conditionalFormatting sqref="E280">
    <cfRule type="containsText" dxfId="8939" priority="1010" operator="containsText" text="NUEVO">
      <formula>NOT(ISERROR(SEARCH("NUEVO",E280)))</formula>
    </cfRule>
  </conditionalFormatting>
  <conditionalFormatting sqref="E280">
    <cfRule type="containsText" dxfId="8938" priority="1009" operator="containsText" text="Sin Información">
      <formula>NOT(ISERROR(SEARCH("Sin Información",E280)))</formula>
    </cfRule>
  </conditionalFormatting>
  <conditionalFormatting sqref="E280">
    <cfRule type="expression" dxfId="8937" priority="1008">
      <formula>E280&lt;&gt;""</formula>
    </cfRule>
  </conditionalFormatting>
  <conditionalFormatting sqref="E285">
    <cfRule type="containsText" dxfId="8936" priority="1003" operator="containsText" text="NUEVO">
      <formula>NOT(ISERROR(SEARCH("NUEVO",E285)))</formula>
    </cfRule>
  </conditionalFormatting>
  <conditionalFormatting sqref="E285">
    <cfRule type="containsText" dxfId="8935" priority="1002" operator="containsText" text="Sin Información">
      <formula>NOT(ISERROR(SEARCH("Sin Información",E285)))</formula>
    </cfRule>
  </conditionalFormatting>
  <conditionalFormatting sqref="E285">
    <cfRule type="expression" dxfId="8934" priority="1001">
      <formula>E285&lt;&gt;""</formula>
    </cfRule>
  </conditionalFormatting>
  <conditionalFormatting sqref="E284">
    <cfRule type="containsText" dxfId="8933" priority="996" operator="containsText" text="NUEVO">
      <formula>NOT(ISERROR(SEARCH("NUEVO",E284)))</formula>
    </cfRule>
  </conditionalFormatting>
  <conditionalFormatting sqref="E284">
    <cfRule type="containsText" dxfId="8932" priority="995" operator="containsText" text="Sin Información">
      <formula>NOT(ISERROR(SEARCH("Sin Información",E284)))</formula>
    </cfRule>
  </conditionalFormatting>
  <conditionalFormatting sqref="E284">
    <cfRule type="expression" dxfId="8931" priority="994">
      <formula>E284&lt;&gt;""</formula>
    </cfRule>
  </conditionalFormatting>
  <conditionalFormatting sqref="E283">
    <cfRule type="containsText" dxfId="8930" priority="989" operator="containsText" text="NUEVO">
      <formula>NOT(ISERROR(SEARCH("NUEVO",E283)))</formula>
    </cfRule>
  </conditionalFormatting>
  <conditionalFormatting sqref="E283">
    <cfRule type="containsText" dxfId="8929" priority="988" operator="containsText" text="Sin Información">
      <formula>NOT(ISERROR(SEARCH("Sin Información",E283)))</formula>
    </cfRule>
  </conditionalFormatting>
  <conditionalFormatting sqref="E283">
    <cfRule type="expression" dxfId="8928" priority="987">
      <formula>E283&lt;&gt;""</formula>
    </cfRule>
  </conditionalFormatting>
  <conditionalFormatting sqref="E282">
    <cfRule type="containsText" dxfId="8927" priority="982" operator="containsText" text="NUEVO">
      <formula>NOT(ISERROR(SEARCH("NUEVO",E282)))</formula>
    </cfRule>
  </conditionalFormatting>
  <conditionalFormatting sqref="E282">
    <cfRule type="containsText" dxfId="8926" priority="981" operator="containsText" text="Sin Información">
      <formula>NOT(ISERROR(SEARCH("Sin Información",E282)))</formula>
    </cfRule>
  </conditionalFormatting>
  <conditionalFormatting sqref="E282">
    <cfRule type="expression" dxfId="8925" priority="980">
      <formula>E282&lt;&gt;""</formula>
    </cfRule>
  </conditionalFormatting>
  <conditionalFormatting sqref="E281">
    <cfRule type="containsText" dxfId="8924" priority="975" operator="containsText" text="NUEVO">
      <formula>NOT(ISERROR(SEARCH("NUEVO",E281)))</formula>
    </cfRule>
  </conditionalFormatting>
  <conditionalFormatting sqref="E281">
    <cfRule type="containsText" dxfId="8923" priority="974" operator="containsText" text="Sin Información">
      <formula>NOT(ISERROR(SEARCH("Sin Información",E281)))</formula>
    </cfRule>
  </conditionalFormatting>
  <conditionalFormatting sqref="E281">
    <cfRule type="expression" dxfId="8922" priority="973">
      <formula>E281&lt;&gt;""</formula>
    </cfRule>
  </conditionalFormatting>
  <conditionalFormatting sqref="E185">
    <cfRule type="containsText" dxfId="8921" priority="969" operator="containsText" text="Sin información">
      <formula>NOT(ISERROR(SEARCH("Sin información",E185)))</formula>
    </cfRule>
  </conditionalFormatting>
  <conditionalFormatting sqref="E185">
    <cfRule type="containsText" dxfId="8920" priority="968" operator="containsText" text="NUEVO">
      <formula>NOT(ISERROR(SEARCH("NUEVO",E185)))</formula>
    </cfRule>
  </conditionalFormatting>
  <conditionalFormatting sqref="E185">
    <cfRule type="containsText" dxfId="8919" priority="967" operator="containsText" text="Sin Información">
      <formula>NOT(ISERROR(SEARCH("Sin Información",E185)))</formula>
    </cfRule>
  </conditionalFormatting>
  <conditionalFormatting sqref="E185:F185">
    <cfRule type="expression" dxfId="8918" priority="966">
      <formula>E185&lt;&gt;""</formula>
    </cfRule>
  </conditionalFormatting>
  <conditionalFormatting sqref="E222">
    <cfRule type="containsText" dxfId="8917" priority="959" operator="containsText" text="NUEVO">
      <formula>NOT(ISERROR(SEARCH("NUEVO",E222)))</formula>
    </cfRule>
  </conditionalFormatting>
  <conditionalFormatting sqref="F222">
    <cfRule type="expression" dxfId="8916" priority="960">
      <formula>F222&lt;&gt;""</formula>
    </cfRule>
  </conditionalFormatting>
  <conditionalFormatting sqref="E222">
    <cfRule type="containsText" dxfId="8915" priority="958" operator="containsText" text="Sin Información">
      <formula>NOT(ISERROR(SEARCH("Sin Información",E222)))</formula>
    </cfRule>
  </conditionalFormatting>
  <conditionalFormatting sqref="E222">
    <cfRule type="expression" dxfId="8914" priority="957">
      <formula>E222&lt;&gt;""</formula>
    </cfRule>
  </conditionalFormatting>
  <conditionalFormatting sqref="E222">
    <cfRule type="containsText" dxfId="8913" priority="956" operator="containsText" text="NUEVO">
      <formula>NOT(ISERROR(SEARCH("NUEVO",E222)))</formula>
    </cfRule>
  </conditionalFormatting>
  <conditionalFormatting sqref="E222">
    <cfRule type="containsText" dxfId="8912" priority="955" operator="containsText" text="Sin Información">
      <formula>NOT(ISERROR(SEARCH("Sin Información",E222)))</formula>
    </cfRule>
  </conditionalFormatting>
  <conditionalFormatting sqref="E366">
    <cfRule type="containsText" dxfId="8911" priority="948" operator="containsText" text="NUEVO">
      <formula>NOT(ISERROR(SEARCH("NUEVO",E366)))</formula>
    </cfRule>
  </conditionalFormatting>
  <conditionalFormatting sqref="E366">
    <cfRule type="containsText" dxfId="8910" priority="949" operator="containsText" text="Sin información">
      <formula>NOT(ISERROR(SEARCH("Sin información",E366)))</formula>
    </cfRule>
  </conditionalFormatting>
  <conditionalFormatting sqref="E366">
    <cfRule type="containsText" dxfId="8909" priority="950" operator="containsText" text="Sin información">
      <formula>NOT(ISERROR(SEARCH("Sin información",E366)))</formula>
    </cfRule>
  </conditionalFormatting>
  <conditionalFormatting sqref="E413:E414">
    <cfRule type="containsText" dxfId="8908" priority="933" operator="containsText" text="NUEVO">
      <formula>NOT(ISERROR(SEARCH("NUEVO",E413)))</formula>
    </cfRule>
  </conditionalFormatting>
  <conditionalFormatting sqref="E413:E414">
    <cfRule type="containsText" dxfId="8907" priority="932" operator="containsText" text="Sin Información">
      <formula>NOT(ISERROR(SEARCH("Sin Información",E413)))</formula>
    </cfRule>
  </conditionalFormatting>
  <conditionalFormatting sqref="E413:E414">
    <cfRule type="expression" dxfId="8906" priority="931">
      <formula>E413&lt;&gt;""</formula>
    </cfRule>
  </conditionalFormatting>
  <conditionalFormatting sqref="E522">
    <cfRule type="containsText" dxfId="8905" priority="902" operator="containsText" text="NUEVO">
      <formula>NOT(ISERROR(SEARCH("NUEVO",E522)))</formula>
    </cfRule>
  </conditionalFormatting>
  <conditionalFormatting sqref="E522">
    <cfRule type="containsText" dxfId="8904" priority="901" operator="containsText" text="Sin Información">
      <formula>NOT(ISERROR(SEARCH("Sin Información",E522)))</formula>
    </cfRule>
  </conditionalFormatting>
  <conditionalFormatting sqref="E522">
    <cfRule type="expression" dxfId="8903" priority="900">
      <formula>E522&lt;&gt;""</formula>
    </cfRule>
  </conditionalFormatting>
  <conditionalFormatting sqref="E594">
    <cfRule type="containsText" dxfId="8902" priority="895" operator="containsText" text="NUEVO">
      <formula>NOT(ISERROR(SEARCH("NUEVO",E594)))</formula>
    </cfRule>
  </conditionalFormatting>
  <conditionalFormatting sqref="E594">
    <cfRule type="containsText" dxfId="8901" priority="894" operator="containsText" text="Sin Información">
      <formula>NOT(ISERROR(SEARCH("Sin Información",E594)))</formula>
    </cfRule>
  </conditionalFormatting>
  <conditionalFormatting sqref="E594">
    <cfRule type="expression" dxfId="8900" priority="893">
      <formula>E594&lt;&gt;""</formula>
    </cfRule>
  </conditionalFormatting>
  <conditionalFormatting sqref="E261">
    <cfRule type="containsText" dxfId="8899" priority="859" operator="containsText" text="NUEVO">
      <formula>NOT(ISERROR(SEARCH("NUEVO",E261)))</formula>
    </cfRule>
  </conditionalFormatting>
  <conditionalFormatting sqref="E261">
    <cfRule type="containsText" dxfId="8898" priority="858" operator="containsText" text="Sin Información">
      <formula>NOT(ISERROR(SEARCH("Sin Información",E261)))</formula>
    </cfRule>
  </conditionalFormatting>
  <conditionalFormatting sqref="E261 G261">
    <cfRule type="expression" dxfId="8897" priority="857">
      <formula>E261&lt;&gt;""</formula>
    </cfRule>
  </conditionalFormatting>
  <conditionalFormatting sqref="I261:J261">
    <cfRule type="expression" dxfId="8896" priority="856">
      <formula>OR(I261&lt;&gt;"", J261&lt;&gt;"")</formula>
    </cfRule>
  </conditionalFormatting>
  <conditionalFormatting sqref="F261">
    <cfRule type="expression" dxfId="8895" priority="855">
      <formula>F261&lt;&gt;""</formula>
    </cfRule>
  </conditionalFormatting>
  <conditionalFormatting sqref="F164">
    <cfRule type="expression" dxfId="8894" priority="848">
      <formula>F164&lt;&gt;""</formula>
    </cfRule>
  </conditionalFormatting>
  <conditionalFormatting sqref="E69">
    <cfRule type="expression" dxfId="8893" priority="829">
      <formula>E69&lt;&gt;""</formula>
    </cfRule>
  </conditionalFormatting>
  <conditionalFormatting sqref="E69">
    <cfRule type="containsText" dxfId="8892" priority="828" operator="containsText" text="Sin información">
      <formula>NOT(ISERROR(SEARCH("Sin información",E69)))</formula>
    </cfRule>
  </conditionalFormatting>
  <conditionalFormatting sqref="E69">
    <cfRule type="containsText" dxfId="8891" priority="827" operator="containsText" text="NUEVO">
      <formula>NOT(ISERROR(SEARCH("NUEVO",E69)))</formula>
    </cfRule>
  </conditionalFormatting>
  <conditionalFormatting sqref="E286">
    <cfRule type="expression" dxfId="8890" priority="779">
      <formula>E286&lt;&gt;""</formula>
    </cfRule>
  </conditionalFormatting>
  <conditionalFormatting sqref="E70:E73">
    <cfRule type="containsText" dxfId="8889" priority="778" operator="containsText" text="Sin información">
      <formula>NOT(ISERROR(SEARCH("Sin información",E70)))</formula>
    </cfRule>
  </conditionalFormatting>
  <conditionalFormatting sqref="E70:E73">
    <cfRule type="containsText" dxfId="8888" priority="777" operator="containsText" text="NUEVO">
      <formula>NOT(ISERROR(SEARCH("NUEVO",E70)))</formula>
    </cfRule>
  </conditionalFormatting>
  <conditionalFormatting sqref="E286">
    <cfRule type="containsText" dxfId="8887" priority="781" operator="containsText" text="NUEVO">
      <formula>NOT(ISERROR(SEARCH("NUEVO",E286)))</formula>
    </cfRule>
  </conditionalFormatting>
  <conditionalFormatting sqref="E286">
    <cfRule type="containsText" dxfId="8886" priority="780" operator="containsText" text="Sin Información">
      <formula>NOT(ISERROR(SEARCH("Sin Información",E286)))</formula>
    </cfRule>
  </conditionalFormatting>
  <conditionalFormatting sqref="E70:E73">
    <cfRule type="expression" dxfId="8885" priority="776">
      <formula>E70&lt;&gt;""</formula>
    </cfRule>
  </conditionalFormatting>
  <conditionalFormatting sqref="E523:E527">
    <cfRule type="containsText" dxfId="8884" priority="775" operator="containsText" text="NUEVO">
      <formula>NOT(ISERROR(SEARCH("NUEVO",E523)))</formula>
    </cfRule>
  </conditionalFormatting>
  <conditionalFormatting sqref="E523:E527">
    <cfRule type="containsText" dxfId="8883" priority="774" operator="containsText" text="Sin Información">
      <formula>NOT(ISERROR(SEARCH("Sin Información",E523)))</formula>
    </cfRule>
  </conditionalFormatting>
  <conditionalFormatting sqref="E523:E527">
    <cfRule type="expression" dxfId="8882" priority="773">
      <formula>E523&lt;&gt;""</formula>
    </cfRule>
  </conditionalFormatting>
  <conditionalFormatting sqref="E595">
    <cfRule type="containsText" dxfId="8881" priority="772" operator="containsText" text="NUEVO">
      <formula>NOT(ISERROR(SEARCH("NUEVO",E595)))</formula>
    </cfRule>
  </conditionalFormatting>
  <conditionalFormatting sqref="E595">
    <cfRule type="containsText" dxfId="8880" priority="771" operator="containsText" text="Sin Información">
      <formula>NOT(ISERROR(SEARCH("Sin Información",E595)))</formula>
    </cfRule>
  </conditionalFormatting>
  <conditionalFormatting sqref="E595">
    <cfRule type="expression" dxfId="8879" priority="770">
      <formula>E595&lt;&gt;""</formula>
    </cfRule>
  </conditionalFormatting>
  <conditionalFormatting sqref="E528">
    <cfRule type="containsText" dxfId="8878" priority="765" operator="containsText" text="NUEVO">
      <formula>NOT(ISERROR(SEARCH("NUEVO",E528)))</formula>
    </cfRule>
  </conditionalFormatting>
  <conditionalFormatting sqref="E528">
    <cfRule type="containsText" dxfId="8877" priority="764" operator="containsText" text="Sin Información">
      <formula>NOT(ISERROR(SEARCH("Sin Información",E528)))</formula>
    </cfRule>
  </conditionalFormatting>
  <conditionalFormatting sqref="E528">
    <cfRule type="expression" dxfId="8876" priority="763">
      <formula>E528&lt;&gt;""</formula>
    </cfRule>
  </conditionalFormatting>
  <conditionalFormatting sqref="E475">
    <cfRule type="containsText" dxfId="8875" priority="752" operator="containsText" text="NUEVO">
      <formula>NOT(ISERROR(SEARCH("NUEVO",E502)))</formula>
    </cfRule>
  </conditionalFormatting>
  <conditionalFormatting sqref="E475:G475">
    <cfRule type="expression" dxfId="8874" priority="751">
      <formula>E502&lt;&gt;""</formula>
    </cfRule>
  </conditionalFormatting>
  <conditionalFormatting sqref="E475">
    <cfRule type="containsText" dxfId="8873" priority="750" operator="containsText" text="Sin Información">
      <formula>NOT(ISERROR(SEARCH("Sin Información",E502)))</formula>
    </cfRule>
  </conditionalFormatting>
  <conditionalFormatting sqref="F581:F582">
    <cfRule type="expression" dxfId="8872" priority="732">
      <formula>F581&lt;&gt;""</formula>
    </cfRule>
  </conditionalFormatting>
  <conditionalFormatting sqref="E581:E582">
    <cfRule type="containsText" dxfId="8871" priority="731" operator="containsText" text="NUEVO">
      <formula>NOT(ISERROR(SEARCH("NUEVO",E581)))</formula>
    </cfRule>
  </conditionalFormatting>
  <conditionalFormatting sqref="E581:E582">
    <cfRule type="containsText" dxfId="8870" priority="730" operator="containsText" text="Sin Información">
      <formula>NOT(ISERROR(SEARCH("Sin Información",E581)))</formula>
    </cfRule>
  </conditionalFormatting>
  <conditionalFormatting sqref="E581:E582">
    <cfRule type="expression" dxfId="8869" priority="729">
      <formula>E581&lt;&gt;""</formula>
    </cfRule>
  </conditionalFormatting>
  <conditionalFormatting sqref="E596">
    <cfRule type="containsText" dxfId="8868" priority="716" operator="containsText" text="NUEVO">
      <formula>NOT(ISERROR(SEARCH("NUEVO",E596)))</formula>
    </cfRule>
  </conditionalFormatting>
  <conditionalFormatting sqref="E596">
    <cfRule type="containsText" dxfId="8867" priority="715" operator="containsText" text="Sin Información">
      <formula>NOT(ISERROR(SEARCH("Sin Información",E596)))</formula>
    </cfRule>
  </conditionalFormatting>
  <conditionalFormatting sqref="E596">
    <cfRule type="expression" dxfId="8866" priority="714">
      <formula>E596&lt;&gt;""</formula>
    </cfRule>
  </conditionalFormatting>
  <conditionalFormatting sqref="I638">
    <cfRule type="expression" dxfId="8865" priority="708">
      <formula>OR(I638&lt;&gt;"", J638&lt;&gt;"")</formula>
    </cfRule>
  </conditionalFormatting>
  <conditionalFormatting sqref="J638">
    <cfRule type="expression" dxfId="8864" priority="713">
      <formula>OR(J638&lt;&gt;"", K645&lt;&gt;"")</formula>
    </cfRule>
  </conditionalFormatting>
  <conditionalFormatting sqref="I644">
    <cfRule type="expression" dxfId="8863" priority="696">
      <formula>OR(I644&lt;&gt;"", J644&lt;&gt;"")</formula>
    </cfRule>
  </conditionalFormatting>
  <conditionalFormatting sqref="I643">
    <cfRule type="expression" dxfId="8862" priority="690">
      <formula>OR(I643&lt;&gt;"", J643&lt;&gt;"")</formula>
    </cfRule>
  </conditionalFormatting>
  <conditionalFormatting sqref="J643">
    <cfRule type="expression" dxfId="8861" priority="695">
      <formula>OR(J643&lt;&gt;"", K644&lt;&gt;"")</formula>
    </cfRule>
  </conditionalFormatting>
  <conditionalFormatting sqref="I642">
    <cfRule type="expression" dxfId="8860" priority="676">
      <formula>OR(I642&lt;&gt;"", J642&lt;&gt;"")</formula>
    </cfRule>
  </conditionalFormatting>
  <conditionalFormatting sqref="J642">
    <cfRule type="expression" dxfId="8859" priority="681">
      <formula>OR(J642&lt;&gt;"", K643&lt;&gt;"")</formula>
    </cfRule>
  </conditionalFormatting>
  <conditionalFormatting sqref="I641">
    <cfRule type="expression" dxfId="8858" priority="670">
      <formula>OR(I641&lt;&gt;"", J641&lt;&gt;"")</formula>
    </cfRule>
  </conditionalFormatting>
  <conditionalFormatting sqref="J641">
    <cfRule type="expression" dxfId="8857" priority="675">
      <formula>OR(J641&lt;&gt;"", K642&lt;&gt;"")</formula>
    </cfRule>
  </conditionalFormatting>
  <conditionalFormatting sqref="I640">
    <cfRule type="expression" dxfId="8856" priority="664">
      <formula>OR(I640&lt;&gt;"", J640&lt;&gt;"")</formula>
    </cfRule>
  </conditionalFormatting>
  <conditionalFormatting sqref="J640">
    <cfRule type="expression" dxfId="8855" priority="669">
      <formula>OR(J640&lt;&gt;"", K641&lt;&gt;"")</formula>
    </cfRule>
  </conditionalFormatting>
  <conditionalFormatting sqref="I639">
    <cfRule type="expression" dxfId="8854" priority="658">
      <formula>OR(I639&lt;&gt;"", J639&lt;&gt;"")</formula>
    </cfRule>
  </conditionalFormatting>
  <conditionalFormatting sqref="J639">
    <cfRule type="expression" dxfId="8853" priority="663">
      <formula>OR(J639&lt;&gt;"", K640&lt;&gt;"")</formula>
    </cfRule>
  </conditionalFormatting>
  <conditionalFormatting sqref="I645">
    <cfRule type="expression" dxfId="8852" priority="644">
      <formula>OR(I645&lt;&gt;"", J645&lt;&gt;"")</formula>
    </cfRule>
  </conditionalFormatting>
  <conditionalFormatting sqref="J645">
    <cfRule type="expression" dxfId="8851" priority="649">
      <formula>OR(J645&lt;&gt;"", K646&lt;&gt;"")</formula>
    </cfRule>
  </conditionalFormatting>
  <conditionalFormatting sqref="F496">
    <cfRule type="expression" dxfId="8850" priority="630">
      <formula>F496&lt;&gt;""</formula>
    </cfRule>
  </conditionalFormatting>
  <conditionalFormatting sqref="J637">
    <cfRule type="expression" dxfId="8849" priority="34595">
      <formula>OR(J637&lt;&gt;"", K645&lt;&gt;"")</formula>
    </cfRule>
  </conditionalFormatting>
  <conditionalFormatting sqref="J644">
    <cfRule type="expression" dxfId="8848" priority="34629">
      <formula>OR(J644&lt;&gt;"", #REF!&lt;&gt;"")</formula>
    </cfRule>
  </conditionalFormatting>
  <conditionalFormatting sqref="F496">
    <cfRule type="expression" dxfId="8847" priority="629">
      <formula>F496&lt;&gt;""</formula>
    </cfRule>
  </conditionalFormatting>
  <conditionalFormatting sqref="E496">
    <cfRule type="containsText" dxfId="8846" priority="628" operator="containsText" text="NUEVO">
      <formula>NOT(ISERROR(SEARCH("NUEVO",E496)))</formula>
    </cfRule>
  </conditionalFormatting>
  <conditionalFormatting sqref="E496">
    <cfRule type="containsText" dxfId="8845" priority="627" operator="containsText" text="Sin Información">
      <formula>NOT(ISERROR(SEARCH("Sin Información",E496)))</formula>
    </cfRule>
  </conditionalFormatting>
  <conditionalFormatting sqref="E496">
    <cfRule type="expression" dxfId="8844" priority="626">
      <formula>E496&lt;&gt;""</formula>
    </cfRule>
  </conditionalFormatting>
  <conditionalFormatting sqref="E496">
    <cfRule type="containsText" dxfId="8843" priority="624" operator="containsText" text="Sin Información">
      <formula>NOT(ISERROR(SEARCH("Sin Información",E496)))</formula>
    </cfRule>
  </conditionalFormatting>
  <conditionalFormatting sqref="E496">
    <cfRule type="containsText" dxfId="8842" priority="625" operator="containsText" text="NUEVO">
      <formula>NOT(ISERROR(SEARCH("NUEVO",E496)))</formula>
    </cfRule>
  </conditionalFormatting>
  <conditionalFormatting sqref="E496">
    <cfRule type="expression" dxfId="8841" priority="623">
      <formula>E496&lt;&gt;""</formula>
    </cfRule>
  </conditionalFormatting>
  <conditionalFormatting sqref="E415">
    <cfRule type="containsText" dxfId="8840" priority="611" operator="containsText" text="NUEVO">
      <formula>NOT(ISERROR(SEARCH("NUEVO",E415)))</formula>
    </cfRule>
  </conditionalFormatting>
  <conditionalFormatting sqref="E415">
    <cfRule type="containsText" dxfId="8839" priority="610" operator="containsText" text="Sin Información">
      <formula>NOT(ISERROR(SEARCH("Sin Información",E415)))</formula>
    </cfRule>
  </conditionalFormatting>
  <conditionalFormatting sqref="E415">
    <cfRule type="expression" dxfId="8838" priority="609">
      <formula>E415&lt;&gt;""</formula>
    </cfRule>
  </conditionalFormatting>
  <conditionalFormatting sqref="E287:E288">
    <cfRule type="containsText" dxfId="8837" priority="582" operator="containsText" text="NUEVO">
      <formula>NOT(ISERROR(SEARCH("NUEVO",E287)))</formula>
    </cfRule>
  </conditionalFormatting>
  <conditionalFormatting sqref="E287:E288">
    <cfRule type="containsText" dxfId="8836" priority="581" operator="containsText" text="Sin Información">
      <formula>NOT(ISERROR(SEARCH("Sin Información",E287)))</formula>
    </cfRule>
  </conditionalFormatting>
  <conditionalFormatting sqref="E287:E288">
    <cfRule type="expression" dxfId="8835" priority="580">
      <formula>E287&lt;&gt;""</formula>
    </cfRule>
  </conditionalFormatting>
  <conditionalFormatting sqref="E239">
    <cfRule type="containsText" dxfId="8834" priority="540" operator="containsText" text="NUEVO">
      <formula>NOT(ISERROR(SEARCH("NUEVO",E255)))</formula>
    </cfRule>
  </conditionalFormatting>
  <conditionalFormatting sqref="E239">
    <cfRule type="containsText" dxfId="8833" priority="539" operator="containsText" text="Sin Información">
      <formula>NOT(ISERROR(SEARCH("Sin Información",E255)))</formula>
    </cfRule>
  </conditionalFormatting>
  <conditionalFormatting sqref="E239:F239">
    <cfRule type="expression" dxfId="8832" priority="538">
      <formula>E255&lt;&gt;""</formula>
    </cfRule>
  </conditionalFormatting>
  <conditionalFormatting sqref="E77">
    <cfRule type="containsText" dxfId="8831" priority="503" operator="containsText" text="NUEVO">
      <formula>NOT(ISERROR(SEARCH("NUEVO",E77)))</formula>
    </cfRule>
  </conditionalFormatting>
  <conditionalFormatting sqref="E76">
    <cfRule type="containsText" dxfId="8830" priority="489" operator="containsText" text="NUEVO">
      <formula>NOT(ISERROR(SEARCH("NUEVO",E76)))</formula>
    </cfRule>
  </conditionalFormatting>
  <conditionalFormatting sqref="E77">
    <cfRule type="expression" dxfId="8829" priority="505">
      <formula>E77&lt;&gt;""</formula>
    </cfRule>
  </conditionalFormatting>
  <conditionalFormatting sqref="E77">
    <cfRule type="containsText" dxfId="8828" priority="504" operator="containsText" text="Sin información">
      <formula>NOT(ISERROR(SEARCH("Sin información",E77)))</formula>
    </cfRule>
  </conditionalFormatting>
  <conditionalFormatting sqref="E74">
    <cfRule type="expression" dxfId="8827" priority="498">
      <formula>E74&lt;&gt;""</formula>
    </cfRule>
  </conditionalFormatting>
  <conditionalFormatting sqref="E74">
    <cfRule type="containsText" dxfId="8826" priority="497" operator="containsText" text="Sin información">
      <formula>NOT(ISERROR(SEARCH("Sin información",E74)))</formula>
    </cfRule>
  </conditionalFormatting>
  <conditionalFormatting sqref="E74">
    <cfRule type="containsText" dxfId="8825" priority="496" operator="containsText" text="NUEVO">
      <formula>NOT(ISERROR(SEARCH("NUEVO",E74)))</formula>
    </cfRule>
  </conditionalFormatting>
  <conditionalFormatting sqref="E76">
    <cfRule type="expression" dxfId="8824" priority="491">
      <formula>E76&lt;&gt;""</formula>
    </cfRule>
  </conditionalFormatting>
  <conditionalFormatting sqref="E76">
    <cfRule type="containsText" dxfId="8823" priority="490" operator="containsText" text="Sin información">
      <formula>NOT(ISERROR(SEARCH("Sin información",E76)))</formula>
    </cfRule>
  </conditionalFormatting>
  <conditionalFormatting sqref="E75">
    <cfRule type="expression" dxfId="8822" priority="484">
      <formula>E75&lt;&gt;""</formula>
    </cfRule>
  </conditionalFormatting>
  <conditionalFormatting sqref="E75">
    <cfRule type="containsText" dxfId="8821" priority="483" operator="containsText" text="Sin información">
      <formula>NOT(ISERROR(SEARCH("Sin información",E75)))</formula>
    </cfRule>
  </conditionalFormatting>
  <conditionalFormatting sqref="E75">
    <cfRule type="containsText" dxfId="8820" priority="482" operator="containsText" text="NUEVO">
      <formula>NOT(ISERROR(SEARCH("NUEVO",E75)))</formula>
    </cfRule>
  </conditionalFormatting>
  <conditionalFormatting sqref="E78">
    <cfRule type="expression" dxfId="8819" priority="477">
      <formula>E78&lt;&gt;""</formula>
    </cfRule>
  </conditionalFormatting>
  <conditionalFormatting sqref="E78">
    <cfRule type="containsText" dxfId="8818" priority="476" operator="containsText" text="Sin información">
      <formula>NOT(ISERROR(SEARCH("Sin información",E78)))</formula>
    </cfRule>
  </conditionalFormatting>
  <conditionalFormatting sqref="E78">
    <cfRule type="containsText" dxfId="8817" priority="475" operator="containsText" text="NUEVO">
      <formula>NOT(ISERROR(SEARCH("NUEVO",E78)))</formula>
    </cfRule>
  </conditionalFormatting>
  <conditionalFormatting sqref="E536">
    <cfRule type="containsText" dxfId="8816" priority="470" operator="containsText" text="NUEVO">
      <formula>NOT(ISERROR(SEARCH("NUEVO",E536)))</formula>
    </cfRule>
  </conditionalFormatting>
  <conditionalFormatting sqref="E536">
    <cfRule type="containsText" dxfId="8815" priority="469" operator="containsText" text="Sin Información">
      <formula>NOT(ISERROR(SEARCH("Sin Información",E536)))</formula>
    </cfRule>
  </conditionalFormatting>
  <conditionalFormatting sqref="E536">
    <cfRule type="expression" dxfId="8814" priority="468">
      <formula>E536&lt;&gt;""</formula>
    </cfRule>
  </conditionalFormatting>
  <conditionalFormatting sqref="E448">
    <cfRule type="containsText" dxfId="8813" priority="457" operator="containsText" text="NUEVO">
      <formula>NOT(ISERROR(SEARCH("NUEVO",E448)))</formula>
    </cfRule>
  </conditionalFormatting>
  <conditionalFormatting sqref="E448">
    <cfRule type="containsText" dxfId="8812" priority="456" operator="containsText" text="Sin Información">
      <formula>NOT(ISERROR(SEARCH("Sin Información",E448)))</formula>
    </cfRule>
  </conditionalFormatting>
  <conditionalFormatting sqref="E448:F448">
    <cfRule type="expression" dxfId="8811" priority="455">
      <formula>E448&lt;&gt;""</formula>
    </cfRule>
  </conditionalFormatting>
  <conditionalFormatting sqref="E295">
    <cfRule type="containsText" dxfId="8810" priority="421" operator="containsText" text="NUEVO">
      <formula>NOT(ISERROR(SEARCH("NUEVO",E295)))</formula>
    </cfRule>
  </conditionalFormatting>
  <conditionalFormatting sqref="E218">
    <cfRule type="expression" dxfId="8809" priority="434">
      <formula>E218&lt;&gt;""</formula>
    </cfRule>
  </conditionalFormatting>
  <conditionalFormatting sqref="F218">
    <cfRule type="expression" dxfId="8808" priority="433">
      <formula>F218&lt;&gt;""</formula>
    </cfRule>
  </conditionalFormatting>
  <conditionalFormatting sqref="E218">
    <cfRule type="containsText" dxfId="8807" priority="439" operator="containsText" text="Sin Información">
      <formula>NOT(ISERROR(SEARCH("Sin Información",E1334)))</formula>
    </cfRule>
  </conditionalFormatting>
  <conditionalFormatting sqref="E218">
    <cfRule type="containsText" dxfId="8806" priority="440" operator="containsText" text="NUEVO">
      <formula>NOT(ISERROR(SEARCH("NUEVO",E1334)))</formula>
    </cfRule>
  </conditionalFormatting>
  <conditionalFormatting sqref="E294">
    <cfRule type="containsText" dxfId="8805" priority="428" operator="containsText" text="NUEVO">
      <formula>NOT(ISERROR(SEARCH("NUEVO",E294)))</formula>
    </cfRule>
  </conditionalFormatting>
  <conditionalFormatting sqref="E294">
    <cfRule type="containsText" dxfId="8804" priority="427" operator="containsText" text="Sin Información">
      <formula>NOT(ISERROR(SEARCH("Sin Información",E294)))</formula>
    </cfRule>
  </conditionalFormatting>
  <conditionalFormatting sqref="E294">
    <cfRule type="expression" dxfId="8803" priority="426">
      <formula>E294&lt;&gt;""</formula>
    </cfRule>
  </conditionalFormatting>
  <conditionalFormatting sqref="E419">
    <cfRule type="containsText" dxfId="8802" priority="399" operator="containsText" text="NUEVO">
      <formula>NOT(ISERROR(SEARCH("NUEVO",E419)))</formula>
    </cfRule>
  </conditionalFormatting>
  <conditionalFormatting sqref="E295">
    <cfRule type="containsText" dxfId="8801" priority="420" operator="containsText" text="Sin Información">
      <formula>NOT(ISERROR(SEARCH("Sin Información",E295)))</formula>
    </cfRule>
  </conditionalFormatting>
  <conditionalFormatting sqref="E295">
    <cfRule type="expression" dxfId="8800" priority="419">
      <formula>E295&lt;&gt;""</formula>
    </cfRule>
  </conditionalFormatting>
  <conditionalFormatting sqref="E398">
    <cfRule type="containsText" dxfId="8799" priority="406" operator="containsText" text="Sin información">
      <formula>NOT(ISERROR(SEARCH("Sin información",E398)))</formula>
    </cfRule>
  </conditionalFormatting>
  <conditionalFormatting sqref="E398">
    <cfRule type="containsText" dxfId="8798" priority="405" operator="containsText" text="NUEVO">
      <formula>NOT(ISERROR(SEARCH("NUEVO",E398)))</formula>
    </cfRule>
  </conditionalFormatting>
  <conditionalFormatting sqref="F398">
    <cfRule type="expression" dxfId="8797" priority="404">
      <formula>F398&lt;&gt;""</formula>
    </cfRule>
  </conditionalFormatting>
  <conditionalFormatting sqref="E419">
    <cfRule type="containsText" dxfId="8796" priority="398" operator="containsText" text="Sin Información">
      <formula>NOT(ISERROR(SEARCH("Sin Información",E419)))</formula>
    </cfRule>
  </conditionalFormatting>
  <conditionalFormatting sqref="E419">
    <cfRule type="expression" dxfId="8795" priority="397">
      <formula>E419&lt;&gt;""</formula>
    </cfRule>
  </conditionalFormatting>
  <conditionalFormatting sqref="E418">
    <cfRule type="containsText" dxfId="8794" priority="392" operator="containsText" text="NUEVO">
      <formula>NOT(ISERROR(SEARCH("NUEVO",E418)))</formula>
    </cfRule>
  </conditionalFormatting>
  <conditionalFormatting sqref="E418">
    <cfRule type="containsText" dxfId="8793" priority="391" operator="containsText" text="Sin Información">
      <formula>NOT(ISERROR(SEARCH("Sin Información",E418)))</formula>
    </cfRule>
  </conditionalFormatting>
  <conditionalFormatting sqref="E418">
    <cfRule type="expression" dxfId="8792" priority="390">
      <formula>E418&lt;&gt;""</formula>
    </cfRule>
  </conditionalFormatting>
  <conditionalFormatting sqref="E318">
    <cfRule type="containsText" dxfId="8791" priority="386" operator="containsText" text="NUEVO">
      <formula>NOT(ISERROR(SEARCH("NUEVO",E318)))</formula>
    </cfRule>
  </conditionalFormatting>
  <conditionalFormatting sqref="E318">
    <cfRule type="containsText" dxfId="8790" priority="385" operator="containsText" text="Sin Información">
      <formula>NOT(ISERROR(SEARCH("Sin Información",E318)))</formula>
    </cfRule>
  </conditionalFormatting>
  <conditionalFormatting sqref="E318:F318">
    <cfRule type="expression" dxfId="8789" priority="384">
      <formula>E318&lt;&gt;""</formula>
    </cfRule>
  </conditionalFormatting>
  <conditionalFormatting sqref="E81">
    <cfRule type="containsText" dxfId="8788" priority="360" operator="containsText" text="NUEVO">
      <formula>NOT(ISERROR(SEARCH("NUEVO",E81)))</formula>
    </cfRule>
  </conditionalFormatting>
  <conditionalFormatting sqref="E420">
    <cfRule type="containsText" dxfId="8787" priority="379" operator="containsText" text="NUEVO">
      <formula>NOT(ISERROR(SEARCH("NUEVO",E420)))</formula>
    </cfRule>
  </conditionalFormatting>
  <conditionalFormatting sqref="E420">
    <cfRule type="containsText" dxfId="8786" priority="378" operator="containsText" text="Sin Información">
      <formula>NOT(ISERROR(SEARCH("Sin Información",E420)))</formula>
    </cfRule>
  </conditionalFormatting>
  <conditionalFormatting sqref="E420">
    <cfRule type="expression" dxfId="8785" priority="377">
      <formula>E420&lt;&gt;""</formula>
    </cfRule>
  </conditionalFormatting>
  <conditionalFormatting sqref="E79">
    <cfRule type="expression" dxfId="8784" priority="376">
      <formula>E79&lt;&gt;""</formula>
    </cfRule>
  </conditionalFormatting>
  <conditionalFormatting sqref="E79">
    <cfRule type="containsText" dxfId="8783" priority="375" operator="containsText" text="Sin información">
      <formula>NOT(ISERROR(SEARCH("Sin información",E79)))</formula>
    </cfRule>
  </conditionalFormatting>
  <conditionalFormatting sqref="E79">
    <cfRule type="containsText" dxfId="8782" priority="374" operator="containsText" text="NUEVO">
      <formula>NOT(ISERROR(SEARCH("NUEVO",E79)))</formula>
    </cfRule>
  </conditionalFormatting>
  <conditionalFormatting sqref="E82">
    <cfRule type="expression" dxfId="8781" priority="369">
      <formula>E82&lt;&gt;""</formula>
    </cfRule>
  </conditionalFormatting>
  <conditionalFormatting sqref="E82">
    <cfRule type="containsText" dxfId="8780" priority="368" operator="containsText" text="Sin información">
      <formula>NOT(ISERROR(SEARCH("Sin información",E82)))</formula>
    </cfRule>
  </conditionalFormatting>
  <conditionalFormatting sqref="E82">
    <cfRule type="containsText" dxfId="8779" priority="367" operator="containsText" text="NUEVO">
      <formula>NOT(ISERROR(SEARCH("NUEVO",E82)))</formula>
    </cfRule>
  </conditionalFormatting>
  <conditionalFormatting sqref="E81">
    <cfRule type="expression" dxfId="8778" priority="362">
      <formula>E81&lt;&gt;""</formula>
    </cfRule>
  </conditionalFormatting>
  <conditionalFormatting sqref="E81">
    <cfRule type="containsText" dxfId="8777" priority="361" operator="containsText" text="Sin información">
      <formula>NOT(ISERROR(SEARCH("Sin información",E81)))</formula>
    </cfRule>
  </conditionalFormatting>
  <conditionalFormatting sqref="E80">
    <cfRule type="expression" dxfId="8776" priority="355">
      <formula>E80&lt;&gt;""</formula>
    </cfRule>
  </conditionalFormatting>
  <conditionalFormatting sqref="E80">
    <cfRule type="containsText" dxfId="8775" priority="354" operator="containsText" text="Sin información">
      <formula>NOT(ISERROR(SEARCH("Sin información",E80)))</formula>
    </cfRule>
  </conditionalFormatting>
  <conditionalFormatting sqref="E80">
    <cfRule type="containsText" dxfId="8774" priority="353" operator="containsText" text="NUEVO">
      <formula>NOT(ISERROR(SEARCH("NUEVO",E80)))</formula>
    </cfRule>
  </conditionalFormatting>
  <conditionalFormatting sqref="E639:E645">
    <cfRule type="containsText" dxfId="8773" priority="326" operator="containsText" text="NUEVO">
      <formula>NOT(ISERROR(SEARCH("NUEVO",E639)))</formula>
    </cfRule>
  </conditionalFormatting>
  <conditionalFormatting sqref="I33">
    <cfRule type="expression" dxfId="8772" priority="34843">
      <formula>OR(I33&lt;&gt;"", #REF!&lt;&gt;"")</formula>
    </cfRule>
  </conditionalFormatting>
  <conditionalFormatting sqref="J565:J566">
    <cfRule type="expression" dxfId="8771" priority="35673">
      <formula>OR(J565&lt;&gt;"", #REF!&lt;&gt;"")</formula>
    </cfRule>
  </conditionalFormatting>
  <conditionalFormatting sqref="J567">
    <cfRule type="expression" dxfId="8770" priority="35683">
      <formula>OR(J567&lt;&gt;"", #REF!&lt;&gt;"")</formula>
    </cfRule>
  </conditionalFormatting>
  <conditionalFormatting sqref="J569">
    <cfRule type="expression" dxfId="8769" priority="35692">
      <formula>OR(J569&lt;&gt;"", #REF!&lt;&gt;"")</formula>
    </cfRule>
  </conditionalFormatting>
  <conditionalFormatting sqref="E289:E293">
    <cfRule type="containsText" dxfId="8768" priority="341" operator="containsText" text="NUEVO">
      <formula>NOT(ISERROR(SEARCH("NUEVO",E289)))</formula>
    </cfRule>
  </conditionalFormatting>
  <conditionalFormatting sqref="E289:E293">
    <cfRule type="containsText" dxfId="8767" priority="340" operator="containsText" text="Sin Información">
      <formula>NOT(ISERROR(SEARCH("Sin Información",E289)))</formula>
    </cfRule>
  </conditionalFormatting>
  <conditionalFormatting sqref="E289:E293">
    <cfRule type="expression" dxfId="8766" priority="339">
      <formula>E289&lt;&gt;""</formula>
    </cfRule>
  </conditionalFormatting>
  <conditionalFormatting sqref="E417">
    <cfRule type="containsText" dxfId="8765" priority="338" operator="containsText" text="NUEVO">
      <formula>NOT(ISERROR(SEARCH("NUEVO",E417)))</formula>
    </cfRule>
  </conditionalFormatting>
  <conditionalFormatting sqref="E417">
    <cfRule type="containsText" dxfId="8764" priority="337" operator="containsText" text="Sin Información">
      <formula>NOT(ISERROR(SEARCH("Sin Información",E417)))</formula>
    </cfRule>
  </conditionalFormatting>
  <conditionalFormatting sqref="E417">
    <cfRule type="expression" dxfId="8763" priority="336">
      <formula>E417&lt;&gt;""</formula>
    </cfRule>
  </conditionalFormatting>
  <conditionalFormatting sqref="E529:E530 E532:E533 E535">
    <cfRule type="containsText" dxfId="8762" priority="335" operator="containsText" text="NUEVO">
      <formula>NOT(ISERROR(SEARCH("NUEVO",E529)))</formula>
    </cfRule>
  </conditionalFormatting>
  <conditionalFormatting sqref="E529:E530 E532:E533 E535">
    <cfRule type="containsText" dxfId="8761" priority="334" operator="containsText" text="Sin Información">
      <formula>NOT(ISERROR(SEARCH("Sin Información",E529)))</formula>
    </cfRule>
  </conditionalFormatting>
  <conditionalFormatting sqref="E529:E530 E532:E533 E535">
    <cfRule type="expression" dxfId="8760" priority="333">
      <formula>E529&lt;&gt;""</formula>
    </cfRule>
  </conditionalFormatting>
  <conditionalFormatting sqref="E590">
    <cfRule type="containsText" dxfId="8759" priority="332" operator="containsText" text="NUEVO">
      <formula>NOT(ISERROR(SEARCH("NUEVO",E590)))</formula>
    </cfRule>
  </conditionalFormatting>
  <conditionalFormatting sqref="E590">
    <cfRule type="containsText" dxfId="8758" priority="331" operator="containsText" text="Sin Información">
      <formula>NOT(ISERROR(SEARCH("Sin Información",E590)))</formula>
    </cfRule>
  </conditionalFormatting>
  <conditionalFormatting sqref="E590">
    <cfRule type="expression" dxfId="8757" priority="330">
      <formula>E590&lt;&gt;""</formula>
    </cfRule>
  </conditionalFormatting>
  <conditionalFormatting sqref="E598:E599">
    <cfRule type="containsText" dxfId="8756" priority="329" operator="containsText" text="NUEVO">
      <formula>NOT(ISERROR(SEARCH("NUEVO",E598)))</formula>
    </cfRule>
  </conditionalFormatting>
  <conditionalFormatting sqref="E598:E599">
    <cfRule type="containsText" dxfId="8755" priority="328" operator="containsText" text="Sin Información">
      <formula>NOT(ISERROR(SEARCH("Sin Información",E598)))</formula>
    </cfRule>
  </conditionalFormatting>
  <conditionalFormatting sqref="E598:E599">
    <cfRule type="expression" dxfId="8754" priority="327">
      <formula>E598&lt;&gt;""</formula>
    </cfRule>
  </conditionalFormatting>
  <conditionalFormatting sqref="E639:E645">
    <cfRule type="containsText" dxfId="8753" priority="325" operator="containsText" text="Sin Información">
      <formula>NOT(ISERROR(SEARCH("Sin Información",E639)))</formula>
    </cfRule>
  </conditionalFormatting>
  <conditionalFormatting sqref="E639:E645">
    <cfRule type="expression" dxfId="8752" priority="324">
      <formula>E639&lt;&gt;""</formula>
    </cfRule>
  </conditionalFormatting>
  <conditionalFormatting sqref="E639:E645">
    <cfRule type="containsText" dxfId="8751" priority="322" operator="containsText" text="Sin Información">
      <formula>NOT(ISERROR(SEARCH("Sin Información",E639)))</formula>
    </cfRule>
  </conditionalFormatting>
  <conditionalFormatting sqref="E639:E645">
    <cfRule type="containsText" dxfId="8750" priority="323" operator="containsText" text="NUEVO">
      <formula>NOT(ISERROR(SEARCH("NUEVO",E639)))</formula>
    </cfRule>
  </conditionalFormatting>
  <conditionalFormatting sqref="E639:E645">
    <cfRule type="expression" dxfId="8749" priority="321">
      <formula>E639&lt;&gt;""</formula>
    </cfRule>
  </conditionalFormatting>
  <conditionalFormatting sqref="E639:E645">
    <cfRule type="containsText" dxfId="8748" priority="320" operator="containsText" text="Sin información">
      <formula>NOT(ISERROR(SEARCH("Sin información",E639)))</formula>
    </cfRule>
  </conditionalFormatting>
  <conditionalFormatting sqref="E639:E645">
    <cfRule type="expression" dxfId="8747" priority="319">
      <formula>E639&lt;&gt;""</formula>
    </cfRule>
  </conditionalFormatting>
  <conditionalFormatting sqref="E531">
    <cfRule type="containsText" dxfId="8746" priority="303" operator="containsText" text="NUEVO">
      <formula>NOT(ISERROR(SEARCH("NUEVO",E531)))</formula>
    </cfRule>
  </conditionalFormatting>
  <conditionalFormatting sqref="E531">
    <cfRule type="containsText" dxfId="8745" priority="302" operator="containsText" text="Sin Información">
      <formula>NOT(ISERROR(SEARCH("Sin Información",E531)))</formula>
    </cfRule>
  </conditionalFormatting>
  <conditionalFormatting sqref="E531">
    <cfRule type="expression" dxfId="8744" priority="301">
      <formula>E531&lt;&gt;""</formula>
    </cfRule>
  </conditionalFormatting>
  <conditionalFormatting sqref="E600">
    <cfRule type="containsText" dxfId="8743" priority="261" operator="containsText" text="NUEVO">
      <formula>NOT(ISERROR(SEARCH("NUEVO",E600)))</formula>
    </cfRule>
  </conditionalFormatting>
  <conditionalFormatting sqref="E600">
    <cfRule type="containsText" dxfId="8742" priority="260" operator="containsText" text="Sin Información">
      <formula>NOT(ISERROR(SEARCH("Sin Información",E600)))</formula>
    </cfRule>
  </conditionalFormatting>
  <conditionalFormatting sqref="E600">
    <cfRule type="expression" dxfId="8741" priority="259">
      <formula>E600&lt;&gt;""</formula>
    </cfRule>
  </conditionalFormatting>
  <conditionalFormatting sqref="E421">
    <cfRule type="containsText" dxfId="8740" priority="239" operator="containsText" text="NUEVO">
      <formula>NOT(ISERROR(SEARCH("NUEVO",E421)))</formula>
    </cfRule>
  </conditionalFormatting>
  <conditionalFormatting sqref="E421">
    <cfRule type="containsText" dxfId="8739" priority="238" operator="containsText" text="Sin Información">
      <formula>NOT(ISERROR(SEARCH("Sin Información",E421)))</formula>
    </cfRule>
  </conditionalFormatting>
  <conditionalFormatting sqref="E421">
    <cfRule type="expression" dxfId="8738" priority="237">
      <formula>E421&lt;&gt;""</formula>
    </cfRule>
  </conditionalFormatting>
  <conditionalFormatting sqref="E85">
    <cfRule type="expression" dxfId="8737" priority="224">
      <formula>E85&lt;&gt;""</formula>
    </cfRule>
  </conditionalFormatting>
  <conditionalFormatting sqref="E85">
    <cfRule type="containsText" dxfId="8736" priority="223" operator="containsText" text="Sin información">
      <formula>NOT(ISERROR(SEARCH("Sin información",E85)))</formula>
    </cfRule>
  </conditionalFormatting>
  <conditionalFormatting sqref="E85">
    <cfRule type="containsText" dxfId="8735" priority="222" operator="containsText" text="NUEVO">
      <formula>NOT(ISERROR(SEARCH("NUEVO",E85)))</formula>
    </cfRule>
  </conditionalFormatting>
  <conditionalFormatting sqref="E83">
    <cfRule type="expression" dxfId="8734" priority="221">
      <formula>E83&lt;&gt;""</formula>
    </cfRule>
  </conditionalFormatting>
  <conditionalFormatting sqref="E83">
    <cfRule type="containsText" dxfId="8733" priority="220" operator="containsText" text="Sin información">
      <formula>NOT(ISERROR(SEARCH("Sin información",E83)))</formula>
    </cfRule>
  </conditionalFormatting>
  <conditionalFormatting sqref="E83">
    <cfRule type="containsText" dxfId="8732" priority="219" operator="containsText" text="NUEVO">
      <formula>NOT(ISERROR(SEARCH("NUEVO",E83)))</formula>
    </cfRule>
  </conditionalFormatting>
  <conditionalFormatting sqref="E296">
    <cfRule type="containsText" dxfId="8731" priority="198" operator="containsText" text="NUEVO">
      <formula>NOT(ISERROR(SEARCH("NUEVO",E296)))</formula>
    </cfRule>
  </conditionalFormatting>
  <conditionalFormatting sqref="E296">
    <cfRule type="containsText" dxfId="8730" priority="197" operator="containsText" text="Sin Información">
      <formula>NOT(ISERROR(SEARCH("Sin Información",E296)))</formula>
    </cfRule>
  </conditionalFormatting>
  <conditionalFormatting sqref="E296">
    <cfRule type="expression" dxfId="8729" priority="196">
      <formula>E296&lt;&gt;""</formula>
    </cfRule>
  </conditionalFormatting>
  <conditionalFormatting sqref="E288">
    <cfRule type="containsText" dxfId="8728" priority="191" operator="containsText" text="NUEVO">
      <formula>NOT(ISERROR(SEARCH("NUEVO",E288)))</formula>
    </cfRule>
  </conditionalFormatting>
  <conditionalFormatting sqref="E288">
    <cfRule type="containsText" dxfId="8727" priority="190" operator="containsText" text="Sin Información">
      <formula>NOT(ISERROR(SEARCH("Sin Información",E288)))</formula>
    </cfRule>
  </conditionalFormatting>
  <conditionalFormatting sqref="E86 E88">
    <cfRule type="expression" dxfId="8726" priority="189">
      <formula>E86&lt;&gt;""</formula>
    </cfRule>
  </conditionalFormatting>
  <conditionalFormatting sqref="E86 E88">
    <cfRule type="containsText" dxfId="8725" priority="188" operator="containsText" text="Sin información">
      <formula>NOT(ISERROR(SEARCH("Sin información",E86)))</formula>
    </cfRule>
  </conditionalFormatting>
  <conditionalFormatting sqref="E86 E88">
    <cfRule type="containsText" dxfId="8724" priority="187" operator="containsText" text="NUEVO">
      <formula>NOT(ISERROR(SEARCH("NUEVO",E86)))</formula>
    </cfRule>
  </conditionalFormatting>
  <conditionalFormatting sqref="E423">
    <cfRule type="containsText" dxfId="8723" priority="186" operator="containsText" text="NUEVO">
      <formula>NOT(ISERROR(SEARCH("NUEVO",E423)))</formula>
    </cfRule>
  </conditionalFormatting>
  <conditionalFormatting sqref="E423">
    <cfRule type="containsText" dxfId="8722" priority="185" operator="containsText" text="Sin Información">
      <formula>NOT(ISERROR(SEARCH("Sin Información",E423)))</formula>
    </cfRule>
  </conditionalFormatting>
  <conditionalFormatting sqref="E423">
    <cfRule type="expression" dxfId="8721" priority="184">
      <formula>E423&lt;&gt;""</formula>
    </cfRule>
  </conditionalFormatting>
  <conditionalFormatting sqref="E601:E602">
    <cfRule type="containsText" dxfId="8720" priority="183" operator="containsText" text="NUEVO">
      <formula>NOT(ISERROR(SEARCH("NUEVO",E601)))</formula>
    </cfRule>
  </conditionalFormatting>
  <conditionalFormatting sqref="E601:E602">
    <cfRule type="containsText" dxfId="8719" priority="182" operator="containsText" text="Sin Información">
      <formula>NOT(ISERROR(SEARCH("Sin Información",E601)))</formula>
    </cfRule>
  </conditionalFormatting>
  <conditionalFormatting sqref="E601:E602">
    <cfRule type="expression" dxfId="8718" priority="181">
      <formula>E601&lt;&gt;""</formula>
    </cfRule>
  </conditionalFormatting>
  <conditionalFormatting sqref="C539:D539">
    <cfRule type="containsText" dxfId="8717" priority="180" operator="containsText" text="NO+$D$4:$D$10">
      <formula>NOT(ISERROR(SEARCH("NO+$D$4:$D$10",C539)))</formula>
    </cfRule>
  </conditionalFormatting>
  <conditionalFormatting sqref="C539:D539">
    <cfRule type="containsText" dxfId="8716" priority="178" operator="containsText" text="SI">
      <formula>NOT(ISERROR(SEARCH("SI",C539)))</formula>
    </cfRule>
    <cfRule type="containsText" dxfId="8715" priority="179" operator="containsText" text="NO">
      <formula>NOT(ISERROR(SEARCH("NO",C539)))</formula>
    </cfRule>
  </conditionalFormatting>
  <conditionalFormatting sqref="C539:D539">
    <cfRule type="containsText" dxfId="8714" priority="177" operator="containsText" text="NUEVO">
      <formula>NOT(ISERROR(SEARCH("NUEVO",C539)))</formula>
    </cfRule>
  </conditionalFormatting>
  <conditionalFormatting sqref="E539">
    <cfRule type="containsText" dxfId="8713" priority="176" operator="containsText" text="NUEVO">
      <formula>NOT(ISERROR(SEARCH("NUEVO",E539)))</formula>
    </cfRule>
  </conditionalFormatting>
  <conditionalFormatting sqref="E539">
    <cfRule type="containsText" dxfId="8712" priority="175" operator="containsText" text="Sin Información">
      <formula>NOT(ISERROR(SEARCH("Sin Información",E539)))</formula>
    </cfRule>
  </conditionalFormatting>
  <conditionalFormatting sqref="E539">
    <cfRule type="expression" dxfId="8711" priority="174">
      <formula>E539&lt;&gt;""</formula>
    </cfRule>
  </conditionalFormatting>
  <conditionalFormatting sqref="C492:D492">
    <cfRule type="containsText" dxfId="8679" priority="173" operator="containsText" text="NO+$D$4:$D$10">
      <formula>NOT(ISERROR(SEARCH("NO+$D$4:$D$10",C492)))</formula>
    </cfRule>
  </conditionalFormatting>
  <conditionalFormatting sqref="C492:D492">
    <cfRule type="containsText" dxfId="8678" priority="171" operator="containsText" text="SI">
      <formula>NOT(ISERROR(SEARCH("SI",C492)))</formula>
    </cfRule>
    <cfRule type="containsText" dxfId="8677" priority="172" operator="containsText" text="NO">
      <formula>NOT(ISERROR(SEARCH("NO",C492)))</formula>
    </cfRule>
  </conditionalFormatting>
  <conditionalFormatting sqref="C492:D492">
    <cfRule type="containsText" dxfId="8676" priority="170" operator="containsText" text="NUEVO">
      <formula>NOT(ISERROR(SEARCH("NUEVO",C492)))</formula>
    </cfRule>
  </conditionalFormatting>
  <conditionalFormatting sqref="E492">
    <cfRule type="containsText" dxfId="8675" priority="168" operator="containsText" text="NUEVO">
      <formula>NOT(ISERROR(SEARCH("NUEVO",E492)))</formula>
    </cfRule>
  </conditionalFormatting>
  <conditionalFormatting sqref="E492">
    <cfRule type="containsText" dxfId="8674" priority="169" operator="containsText" text="Sin información">
      <formula>NOT(ISERROR(SEARCH("Sin información",E492)))</formula>
    </cfRule>
  </conditionalFormatting>
  <conditionalFormatting sqref="F492">
    <cfRule type="expression" dxfId="8673" priority="167">
      <formula>F492&lt;&gt;""</formula>
    </cfRule>
  </conditionalFormatting>
  <conditionalFormatting sqref="F492">
    <cfRule type="expression" dxfId="8672" priority="166">
      <formula>F492&lt;&gt;""</formula>
    </cfRule>
  </conditionalFormatting>
  <conditionalFormatting sqref="C493:D493">
    <cfRule type="containsText" dxfId="8671" priority="165" operator="containsText" text="NO+$D$4:$D$10">
      <formula>NOT(ISERROR(SEARCH("NO+$D$4:$D$10",C493)))</formula>
    </cfRule>
  </conditionalFormatting>
  <conditionalFormatting sqref="C493:D493">
    <cfRule type="containsText" dxfId="8670" priority="163" operator="containsText" text="SI">
      <formula>NOT(ISERROR(SEARCH("SI",C493)))</formula>
    </cfRule>
    <cfRule type="containsText" dxfId="8669" priority="164" operator="containsText" text="NO">
      <formula>NOT(ISERROR(SEARCH("NO",C493)))</formula>
    </cfRule>
  </conditionalFormatting>
  <conditionalFormatting sqref="C493:D493">
    <cfRule type="containsText" dxfId="8668" priority="162" operator="containsText" text="NUEVO">
      <formula>NOT(ISERROR(SEARCH("NUEVO",C493)))</formula>
    </cfRule>
  </conditionalFormatting>
  <conditionalFormatting sqref="E493">
    <cfRule type="containsText" dxfId="8667" priority="161" operator="containsText" text="NUEVO">
      <formula>NOT(ISERROR(SEARCH("NUEVO",E493)))</formula>
    </cfRule>
  </conditionalFormatting>
  <conditionalFormatting sqref="E493">
    <cfRule type="containsText" dxfId="8666" priority="160" operator="containsText" text="Sin Información">
      <formula>NOT(ISERROR(SEARCH("Sin Información",E493)))</formula>
    </cfRule>
  </conditionalFormatting>
  <conditionalFormatting sqref="E493">
    <cfRule type="expression" dxfId="8665" priority="159">
      <formula>E493&lt;&gt;""</formula>
    </cfRule>
  </conditionalFormatting>
  <conditionalFormatting sqref="F493">
    <cfRule type="expression" dxfId="8664" priority="158">
      <formula>F493&lt;&gt;""</formula>
    </cfRule>
  </conditionalFormatting>
  <conditionalFormatting sqref="C540:D540">
    <cfRule type="containsText" dxfId="8655" priority="157" operator="containsText" text="NO+$D$4:$D$10">
      <formula>NOT(ISERROR(SEARCH("NO+$D$4:$D$10",C540)))</formula>
    </cfRule>
  </conditionalFormatting>
  <conditionalFormatting sqref="C540:D540">
    <cfRule type="containsText" dxfId="8654" priority="155" operator="containsText" text="SI">
      <formula>NOT(ISERROR(SEARCH("SI",C540)))</formula>
    </cfRule>
    <cfRule type="containsText" dxfId="8653" priority="156" operator="containsText" text="NO">
      <formula>NOT(ISERROR(SEARCH("NO",C540)))</formula>
    </cfRule>
  </conditionalFormatting>
  <conditionalFormatting sqref="C540:D540">
    <cfRule type="containsText" dxfId="8652" priority="154" operator="containsText" text="NUEVO">
      <formula>NOT(ISERROR(SEARCH("NUEVO",C540)))</formula>
    </cfRule>
  </conditionalFormatting>
  <conditionalFormatting sqref="E540">
    <cfRule type="containsText" dxfId="8651" priority="153" operator="containsText" text="NUEVO">
      <formula>NOT(ISERROR(SEARCH("NUEVO",E540)))</formula>
    </cfRule>
  </conditionalFormatting>
  <conditionalFormatting sqref="E540">
    <cfRule type="containsText" dxfId="8650" priority="152" operator="containsText" text="Sin Información">
      <formula>NOT(ISERROR(SEARCH("Sin Información",E540)))</formula>
    </cfRule>
  </conditionalFormatting>
  <conditionalFormatting sqref="E540">
    <cfRule type="expression" dxfId="8649" priority="151">
      <formula>E540&lt;&gt;""</formula>
    </cfRule>
  </conditionalFormatting>
  <conditionalFormatting sqref="C537:D537">
    <cfRule type="containsText" dxfId="8648" priority="150" operator="containsText" text="NO+$D$4:$D$10">
      <formula>NOT(ISERROR(SEARCH("NO+$D$4:$D$10",C537)))</formula>
    </cfRule>
  </conditionalFormatting>
  <conditionalFormatting sqref="C537:D537">
    <cfRule type="containsText" dxfId="8647" priority="148" operator="containsText" text="SI">
      <formula>NOT(ISERROR(SEARCH("SI",C537)))</formula>
    </cfRule>
    <cfRule type="containsText" dxfId="8646" priority="149" operator="containsText" text="NO">
      <formula>NOT(ISERROR(SEARCH("NO",C537)))</formula>
    </cfRule>
  </conditionalFormatting>
  <conditionalFormatting sqref="C537:D537">
    <cfRule type="containsText" dxfId="8645" priority="147" operator="containsText" text="NUEVO">
      <formula>NOT(ISERROR(SEARCH("NUEVO",C537)))</formula>
    </cfRule>
  </conditionalFormatting>
  <conditionalFormatting sqref="E537">
    <cfRule type="containsText" dxfId="8644" priority="146" operator="containsText" text="NUEVO">
      <formula>NOT(ISERROR(SEARCH("NUEVO",E537)))</formula>
    </cfRule>
  </conditionalFormatting>
  <conditionalFormatting sqref="E537">
    <cfRule type="containsText" dxfId="8643" priority="145" operator="containsText" text="Sin Información">
      <formula>NOT(ISERROR(SEARCH("Sin Información",E537)))</formula>
    </cfRule>
  </conditionalFormatting>
  <conditionalFormatting sqref="E537">
    <cfRule type="expression" dxfId="8642" priority="144">
      <formula>E537&lt;&gt;""</formula>
    </cfRule>
  </conditionalFormatting>
  <conditionalFormatting sqref="F537">
    <cfRule type="expression" dxfId="8641" priority="143">
      <formula>F537&lt;&gt;""</formula>
    </cfRule>
  </conditionalFormatting>
  <conditionalFormatting sqref="C538:D538">
    <cfRule type="containsText" dxfId="8640" priority="142" operator="containsText" text="NO+$D$4:$D$10">
      <formula>NOT(ISERROR(SEARCH("NO+$D$4:$D$10",C538)))</formula>
    </cfRule>
  </conditionalFormatting>
  <conditionalFormatting sqref="C538:D538">
    <cfRule type="containsText" dxfId="8639" priority="140" operator="containsText" text="SI">
      <formula>NOT(ISERROR(SEARCH("SI",C538)))</formula>
    </cfRule>
    <cfRule type="containsText" dxfId="8638" priority="141" operator="containsText" text="NO">
      <formula>NOT(ISERROR(SEARCH("NO",C538)))</formula>
    </cfRule>
  </conditionalFormatting>
  <conditionalFormatting sqref="C538:D538">
    <cfRule type="containsText" dxfId="8637" priority="139" operator="containsText" text="NUEVO">
      <formula>NOT(ISERROR(SEARCH("NUEVO",C538)))</formula>
    </cfRule>
  </conditionalFormatting>
  <conditionalFormatting sqref="F538">
    <cfRule type="expression" dxfId="8636" priority="138">
      <formula>F538&lt;&gt;""</formula>
    </cfRule>
  </conditionalFormatting>
  <conditionalFormatting sqref="E538">
    <cfRule type="containsText" dxfId="8635" priority="137" operator="containsText" text="NUEVO">
      <formula>NOT(ISERROR(SEARCH("NUEVO",E538)))</formula>
    </cfRule>
  </conditionalFormatting>
  <conditionalFormatting sqref="E538">
    <cfRule type="containsText" dxfId="8634" priority="136" operator="containsText" text="Sin Información">
      <formula>NOT(ISERROR(SEARCH("Sin Información",E538)))</formula>
    </cfRule>
  </conditionalFormatting>
  <conditionalFormatting sqref="E538">
    <cfRule type="expression" dxfId="8633" priority="135">
      <formula>E538&lt;&gt;""</formula>
    </cfRule>
  </conditionalFormatting>
  <conditionalFormatting sqref="C476:D476">
    <cfRule type="containsText" dxfId="8629" priority="134" operator="containsText" text="NO+$D$4:$D$10">
      <formula>NOT(ISERROR(SEARCH("NO+$D$4:$D$10",C476)))</formula>
    </cfRule>
  </conditionalFormatting>
  <conditionalFormatting sqref="C476:D476">
    <cfRule type="containsText" dxfId="8628" priority="132" operator="containsText" text="SI">
      <formula>NOT(ISERROR(SEARCH("SI",C476)))</formula>
    </cfRule>
    <cfRule type="containsText" dxfId="8627" priority="133" operator="containsText" text="NO">
      <formula>NOT(ISERROR(SEARCH("NO",C476)))</formula>
    </cfRule>
  </conditionalFormatting>
  <conditionalFormatting sqref="C476:D476">
    <cfRule type="containsText" dxfId="8626" priority="131" operator="containsText" text="NUEVO">
      <formula>NOT(ISERROR(SEARCH("NUEVO",C476)))</formula>
    </cfRule>
  </conditionalFormatting>
  <conditionalFormatting sqref="F476">
    <cfRule type="expression" dxfId="8625" priority="130">
      <formula>F476&lt;&gt;""</formula>
    </cfRule>
  </conditionalFormatting>
  <conditionalFormatting sqref="E476">
    <cfRule type="containsText" dxfId="8624" priority="129" operator="containsText" text="NUEVO">
      <formula>NOT(ISERROR(SEARCH("NUEVO",E476)))</formula>
    </cfRule>
  </conditionalFormatting>
  <conditionalFormatting sqref="E476">
    <cfRule type="containsText" dxfId="8623" priority="128" operator="containsText" text="Sin Información">
      <formula>NOT(ISERROR(SEARCH("Sin Información",E476)))</formula>
    </cfRule>
  </conditionalFormatting>
  <conditionalFormatting sqref="E476">
    <cfRule type="expression" dxfId="8622" priority="127">
      <formula>E476&lt;&gt;""</formula>
    </cfRule>
  </conditionalFormatting>
  <conditionalFormatting sqref="C534:D534">
    <cfRule type="containsText" dxfId="8621" priority="126" operator="containsText" text="NO+$D$4:$D$10">
      <formula>NOT(ISERROR(SEARCH("NO+$D$4:$D$10",C534)))</formula>
    </cfRule>
  </conditionalFormatting>
  <conditionalFormatting sqref="C534:D534">
    <cfRule type="containsText" dxfId="8620" priority="124" operator="containsText" text="SI">
      <formula>NOT(ISERROR(SEARCH("SI",C534)))</formula>
    </cfRule>
    <cfRule type="containsText" dxfId="8619" priority="125" operator="containsText" text="NO">
      <formula>NOT(ISERROR(SEARCH("NO",C534)))</formula>
    </cfRule>
  </conditionalFormatting>
  <conditionalFormatting sqref="C534:D534">
    <cfRule type="containsText" dxfId="8618" priority="123" operator="containsText" text="NUEVO">
      <formula>NOT(ISERROR(SEARCH("NUEVO",C534)))</formula>
    </cfRule>
  </conditionalFormatting>
  <conditionalFormatting sqref="F534">
    <cfRule type="expression" dxfId="8617" priority="122">
      <formula>F534&lt;&gt;""</formula>
    </cfRule>
  </conditionalFormatting>
  <conditionalFormatting sqref="E534">
    <cfRule type="containsText" dxfId="8616" priority="121" operator="containsText" text="NUEVO">
      <formula>NOT(ISERROR(SEARCH("NUEVO",E534)))</formula>
    </cfRule>
  </conditionalFormatting>
  <conditionalFormatting sqref="E534">
    <cfRule type="containsText" dxfId="8615" priority="120" operator="containsText" text="Sin Información">
      <formula>NOT(ISERROR(SEARCH("Sin Información",E534)))</formula>
    </cfRule>
  </conditionalFormatting>
  <conditionalFormatting sqref="E534">
    <cfRule type="expression" dxfId="8614" priority="119">
      <formula>E534&lt;&gt;""</formula>
    </cfRule>
  </conditionalFormatting>
  <conditionalFormatting sqref="C422:D422">
    <cfRule type="containsText" dxfId="8613" priority="118" operator="containsText" text="NO+$D$4:$D$10">
      <formula>NOT(ISERROR(SEARCH("NO+$D$4:$D$10",C422)))</formula>
    </cfRule>
  </conditionalFormatting>
  <conditionalFormatting sqref="C422:D422">
    <cfRule type="containsText" dxfId="8612" priority="116" operator="containsText" text="SI">
      <formula>NOT(ISERROR(SEARCH("SI",C422)))</formula>
    </cfRule>
    <cfRule type="containsText" dxfId="8611" priority="117" operator="containsText" text="NO">
      <formula>NOT(ISERROR(SEARCH("NO",C422)))</formula>
    </cfRule>
  </conditionalFormatting>
  <conditionalFormatting sqref="C422:D422">
    <cfRule type="containsText" dxfId="8610" priority="115" operator="containsText" text="NUEVO">
      <formula>NOT(ISERROR(SEARCH("NUEVO",C422)))</formula>
    </cfRule>
  </conditionalFormatting>
  <conditionalFormatting sqref="E422">
    <cfRule type="containsText" dxfId="8609" priority="114" operator="containsText" text="NUEVO">
      <formula>NOT(ISERROR(SEARCH("NUEVO",E422)))</formula>
    </cfRule>
  </conditionalFormatting>
  <conditionalFormatting sqref="E422">
    <cfRule type="containsText" dxfId="8608" priority="113" operator="containsText" text="Sin Información">
      <formula>NOT(ISERROR(SEARCH("Sin Información",E422)))</formula>
    </cfRule>
  </conditionalFormatting>
  <conditionalFormatting sqref="E422">
    <cfRule type="expression" dxfId="8607" priority="112">
      <formula>E422&lt;&gt;""</formula>
    </cfRule>
  </conditionalFormatting>
  <conditionalFormatting sqref="C358:D358">
    <cfRule type="containsText" dxfId="8603" priority="111" operator="containsText" text="NO+$D$4:$D$10">
      <formula>NOT(ISERROR(SEARCH("NO+$D$4:$D$10",C358)))</formula>
    </cfRule>
  </conditionalFormatting>
  <conditionalFormatting sqref="C358:D358">
    <cfRule type="containsText" dxfId="8602" priority="109" operator="containsText" text="SI">
      <formula>NOT(ISERROR(SEARCH("SI",C358)))</formula>
    </cfRule>
    <cfRule type="containsText" dxfId="8601" priority="110" operator="containsText" text="NO">
      <formula>NOT(ISERROR(SEARCH("NO",C358)))</formula>
    </cfRule>
  </conditionalFormatting>
  <conditionalFormatting sqref="C358:D358">
    <cfRule type="containsText" dxfId="8600" priority="108" operator="containsText" text="NUEVO">
      <formula>NOT(ISERROR(SEARCH("NUEVO",C358)))</formula>
    </cfRule>
  </conditionalFormatting>
  <conditionalFormatting sqref="E358">
    <cfRule type="containsText" dxfId="8599" priority="106" operator="containsText" text="NUEVO">
      <formula>NOT(ISERROR(SEARCH("NUEVO",E358)))</formula>
    </cfRule>
  </conditionalFormatting>
  <conditionalFormatting sqref="E358">
    <cfRule type="containsText" dxfId="8598" priority="107" operator="containsText" text="Sin información">
      <formula>NOT(ISERROR(SEARCH("Sin información",E358)))</formula>
    </cfRule>
  </conditionalFormatting>
  <conditionalFormatting sqref="E358">
    <cfRule type="containsText" dxfId="8597" priority="105" operator="containsText" text="Sin Información">
      <formula>NOT(ISERROR(SEARCH("Sin Información",E358)))</formula>
    </cfRule>
  </conditionalFormatting>
  <conditionalFormatting sqref="F358">
    <cfRule type="expression" dxfId="8596" priority="104">
      <formula>F358&lt;&gt;""</formula>
    </cfRule>
  </conditionalFormatting>
  <conditionalFormatting sqref="C264:D264">
    <cfRule type="containsText" dxfId="8592" priority="103" operator="containsText" text="NO+$D$4:$D$10">
      <formula>NOT(ISERROR(SEARCH("NO+$D$4:$D$10",C264)))</formula>
    </cfRule>
  </conditionalFormatting>
  <conditionalFormatting sqref="C264:D264">
    <cfRule type="containsText" dxfId="8591" priority="101" operator="containsText" text="SI">
      <formula>NOT(ISERROR(SEARCH("SI",C264)))</formula>
    </cfRule>
    <cfRule type="containsText" dxfId="8590" priority="102" operator="containsText" text="NO">
      <formula>NOT(ISERROR(SEARCH("NO",C264)))</formula>
    </cfRule>
  </conditionalFormatting>
  <conditionalFormatting sqref="C264:D264">
    <cfRule type="containsText" dxfId="8589" priority="100" operator="containsText" text="NUEVO">
      <formula>NOT(ISERROR(SEARCH("NUEVO",C264)))</formula>
    </cfRule>
  </conditionalFormatting>
  <conditionalFormatting sqref="E264">
    <cfRule type="containsText" dxfId="8588" priority="99" operator="containsText" text="NUEVO">
      <formula>NOT(ISERROR(SEARCH("NUEVO",E264)))</formula>
    </cfRule>
  </conditionalFormatting>
  <conditionalFormatting sqref="E264">
    <cfRule type="containsText" dxfId="8587" priority="98" operator="containsText" text="Sin Información">
      <formula>NOT(ISERROR(SEARCH("Sin Información",E264)))</formula>
    </cfRule>
  </conditionalFormatting>
  <conditionalFormatting sqref="C227:D227">
    <cfRule type="containsText" dxfId="8586" priority="95" operator="containsText" text="NO+$D$4:$D$10">
      <formula>NOT(ISERROR(SEARCH("NO+$D$4:$D$10",C227)))</formula>
    </cfRule>
  </conditionalFormatting>
  <conditionalFormatting sqref="C227:D227">
    <cfRule type="containsText" dxfId="8585" priority="93" operator="containsText" text="SI">
      <formula>NOT(ISERROR(SEARCH("SI",C227)))</formula>
    </cfRule>
    <cfRule type="containsText" dxfId="8584" priority="94" operator="containsText" text="NO">
      <formula>NOT(ISERROR(SEARCH("NO",C227)))</formula>
    </cfRule>
  </conditionalFormatting>
  <conditionalFormatting sqref="C227:D227">
    <cfRule type="containsText" dxfId="8583" priority="92" operator="containsText" text="NUEVO">
      <formula>NOT(ISERROR(SEARCH("NUEVO",C227)))</formula>
    </cfRule>
  </conditionalFormatting>
  <conditionalFormatting sqref="E227">
    <cfRule type="containsText" dxfId="8582" priority="96" operator="containsText" text="Sin Información">
      <formula>NOT(ISERROR(SEARCH("Sin Información",E1481)))</formula>
    </cfRule>
  </conditionalFormatting>
  <conditionalFormatting sqref="E227">
    <cfRule type="containsText" dxfId="8581" priority="97" operator="containsText" text="NUEVO">
      <formula>NOT(ISERROR(SEARCH("NUEVO",E1481)))</formula>
    </cfRule>
  </conditionalFormatting>
  <conditionalFormatting sqref="C276:D276">
    <cfRule type="containsText" dxfId="8580" priority="91" operator="containsText" text="NO+$D$4:$D$10">
      <formula>NOT(ISERROR(SEARCH("NO+$D$4:$D$10",C276)))</formula>
    </cfRule>
  </conditionalFormatting>
  <conditionalFormatting sqref="C276:D276">
    <cfRule type="containsText" dxfId="8579" priority="89" operator="containsText" text="SI">
      <formula>NOT(ISERROR(SEARCH("SI",C276)))</formula>
    </cfRule>
    <cfRule type="containsText" dxfId="8578" priority="90" operator="containsText" text="NO">
      <formula>NOT(ISERROR(SEARCH("NO",C276)))</formula>
    </cfRule>
  </conditionalFormatting>
  <conditionalFormatting sqref="C276:E276">
    <cfRule type="containsText" dxfId="8577" priority="88" operator="containsText" text="NUEVO">
      <formula>NOT(ISERROR(SEARCH("NUEVO",C276)))</formula>
    </cfRule>
  </conditionalFormatting>
  <conditionalFormatting sqref="E276">
    <cfRule type="containsText" dxfId="8576" priority="87" operator="containsText" text="Sin Información">
      <formula>NOT(ISERROR(SEARCH("Sin Información",E276)))</formula>
    </cfRule>
  </conditionalFormatting>
  <conditionalFormatting sqref="E276:F276">
    <cfRule type="expression" dxfId="8575" priority="86">
      <formula>E276&lt;&gt;""</formula>
    </cfRule>
  </conditionalFormatting>
  <conditionalFormatting sqref="C277:D277">
    <cfRule type="containsText" dxfId="8574" priority="85" operator="containsText" text="NO+$D$4:$D$10">
      <formula>NOT(ISERROR(SEARCH("NO+$D$4:$D$10",C277)))</formula>
    </cfRule>
  </conditionalFormatting>
  <conditionalFormatting sqref="C277:D277">
    <cfRule type="containsText" dxfId="8573" priority="83" operator="containsText" text="SI">
      <formula>NOT(ISERROR(SEARCH("SI",C277)))</formula>
    </cfRule>
    <cfRule type="containsText" dxfId="8572" priority="84" operator="containsText" text="NO">
      <formula>NOT(ISERROR(SEARCH("NO",C277)))</formula>
    </cfRule>
  </conditionalFormatting>
  <conditionalFormatting sqref="C277:E277">
    <cfRule type="containsText" dxfId="8571" priority="82" operator="containsText" text="NUEVO">
      <formula>NOT(ISERROR(SEARCH("NUEVO",C277)))</formula>
    </cfRule>
  </conditionalFormatting>
  <conditionalFormatting sqref="E277">
    <cfRule type="containsText" dxfId="8570" priority="81" operator="containsText" text="Sin Información">
      <formula>NOT(ISERROR(SEARCH("Sin Información",E277)))</formula>
    </cfRule>
  </conditionalFormatting>
  <conditionalFormatting sqref="E277:F277">
    <cfRule type="expression" dxfId="8569" priority="80">
      <formula>E277&lt;&gt;""</formula>
    </cfRule>
  </conditionalFormatting>
  <conditionalFormatting sqref="C274:D274">
    <cfRule type="containsText" dxfId="8565" priority="79" operator="containsText" text="NO+$D$4:$D$10">
      <formula>NOT(ISERROR(SEARCH("NO+$D$4:$D$10",C274)))</formula>
    </cfRule>
  </conditionalFormatting>
  <conditionalFormatting sqref="C274:D274">
    <cfRule type="containsText" dxfId="8564" priority="77" operator="containsText" text="SI">
      <formula>NOT(ISERROR(SEARCH("SI",C274)))</formula>
    </cfRule>
    <cfRule type="containsText" dxfId="8563" priority="78" operator="containsText" text="NO">
      <formula>NOT(ISERROR(SEARCH("NO",C274)))</formula>
    </cfRule>
  </conditionalFormatting>
  <conditionalFormatting sqref="C274:E274">
    <cfRule type="containsText" dxfId="8562" priority="76" operator="containsText" text="NUEVO">
      <formula>NOT(ISERROR(SEARCH("NUEVO",C274)))</formula>
    </cfRule>
  </conditionalFormatting>
  <conditionalFormatting sqref="E274">
    <cfRule type="containsText" dxfId="8561" priority="75" operator="containsText" text="Sin Información">
      <formula>NOT(ISERROR(SEARCH("Sin Información",E274)))</formula>
    </cfRule>
  </conditionalFormatting>
  <conditionalFormatting sqref="E274:F274">
    <cfRule type="expression" dxfId="8560" priority="74">
      <formula>E274&lt;&gt;""</formula>
    </cfRule>
  </conditionalFormatting>
  <conditionalFormatting sqref="C275:D275">
    <cfRule type="containsText" dxfId="8559" priority="73" operator="containsText" text="NO+$D$4:$D$10">
      <formula>NOT(ISERROR(SEARCH("NO+$D$4:$D$10",C275)))</formula>
    </cfRule>
  </conditionalFormatting>
  <conditionalFormatting sqref="C275:D275">
    <cfRule type="containsText" dxfId="8558" priority="71" operator="containsText" text="SI">
      <formula>NOT(ISERROR(SEARCH("SI",C275)))</formula>
    </cfRule>
    <cfRule type="containsText" dxfId="8557" priority="72" operator="containsText" text="NO">
      <formula>NOT(ISERROR(SEARCH("NO",C275)))</formula>
    </cfRule>
  </conditionalFormatting>
  <conditionalFormatting sqref="C275:E275">
    <cfRule type="containsText" dxfId="8556" priority="70" operator="containsText" text="NUEVO">
      <formula>NOT(ISERROR(SEARCH("NUEVO",C275)))</formula>
    </cfRule>
  </conditionalFormatting>
  <conditionalFormatting sqref="E275">
    <cfRule type="containsText" dxfId="8555" priority="69" operator="containsText" text="Sin Información">
      <formula>NOT(ISERROR(SEARCH("Sin Información",E275)))</formula>
    </cfRule>
  </conditionalFormatting>
  <conditionalFormatting sqref="E275:F275">
    <cfRule type="expression" dxfId="8554" priority="68">
      <formula>E275&lt;&gt;""</formula>
    </cfRule>
  </conditionalFormatting>
  <conditionalFormatting sqref="C87:D87">
    <cfRule type="containsText" dxfId="8553" priority="67" operator="containsText" text="NO+$D$4:$D$10">
      <formula>NOT(ISERROR(SEARCH("NO+$D$4:$D$10",C87)))</formula>
    </cfRule>
  </conditionalFormatting>
  <conditionalFormatting sqref="C87:D87">
    <cfRule type="containsText" dxfId="8552" priority="65" operator="containsText" text="SI">
      <formula>NOT(ISERROR(SEARCH("SI",C87)))</formula>
    </cfRule>
    <cfRule type="containsText" dxfId="8551" priority="66" operator="containsText" text="NO">
      <formula>NOT(ISERROR(SEARCH("NO",C87)))</formula>
    </cfRule>
  </conditionalFormatting>
  <conditionalFormatting sqref="C87:D87">
    <cfRule type="containsText" dxfId="8550" priority="64" operator="containsText" text="NUEVO">
      <formula>NOT(ISERROR(SEARCH("NUEVO",C87)))</formula>
    </cfRule>
  </conditionalFormatting>
  <conditionalFormatting sqref="E87">
    <cfRule type="expression" dxfId="8549" priority="63">
      <formula>E87&lt;&gt;""</formula>
    </cfRule>
  </conditionalFormatting>
  <conditionalFormatting sqref="E87">
    <cfRule type="containsText" dxfId="8548" priority="62" operator="containsText" text="Sin información">
      <formula>NOT(ISERROR(SEARCH("Sin información",E87)))</formula>
    </cfRule>
  </conditionalFormatting>
  <conditionalFormatting sqref="E87">
    <cfRule type="containsText" dxfId="8547" priority="61" operator="containsText" text="NUEVO">
      <formula>NOT(ISERROR(SEARCH("NUEVO",E87)))</formula>
    </cfRule>
  </conditionalFormatting>
  <conditionalFormatting sqref="C597:D597">
    <cfRule type="containsText" dxfId="8546" priority="60" operator="containsText" text="NO+$D$4:$D$10">
      <formula>NOT(ISERROR(SEARCH("NO+$D$4:$D$10",C597)))</formula>
    </cfRule>
  </conditionalFormatting>
  <conditionalFormatting sqref="C597:D597">
    <cfRule type="containsText" dxfId="8545" priority="58" operator="containsText" text="SI">
      <formula>NOT(ISERROR(SEARCH("SI",C597)))</formula>
    </cfRule>
    <cfRule type="containsText" dxfId="8544" priority="59" operator="containsText" text="NO">
      <formula>NOT(ISERROR(SEARCH("NO",C597)))</formula>
    </cfRule>
  </conditionalFormatting>
  <conditionalFormatting sqref="C597:D597">
    <cfRule type="containsText" dxfId="8543" priority="57" operator="containsText" text="NUEVO">
      <formula>NOT(ISERROR(SEARCH("NUEVO",C597)))</formula>
    </cfRule>
  </conditionalFormatting>
  <conditionalFormatting sqref="F597">
    <cfRule type="expression" dxfId="8542" priority="56">
      <formula>F597&lt;&gt;""</formula>
    </cfRule>
  </conditionalFormatting>
  <conditionalFormatting sqref="E597">
    <cfRule type="containsText" dxfId="8541" priority="55" operator="containsText" text="NUEVO">
      <formula>NOT(ISERROR(SEARCH("NUEVO",E597)))</formula>
    </cfRule>
  </conditionalFormatting>
  <conditionalFormatting sqref="E597">
    <cfRule type="containsText" dxfId="8540" priority="54" operator="containsText" text="Sin Información">
      <formula>NOT(ISERROR(SEARCH("Sin Información",E597)))</formula>
    </cfRule>
  </conditionalFormatting>
  <conditionalFormatting sqref="E597">
    <cfRule type="expression" dxfId="8539" priority="53">
      <formula>E597&lt;&gt;""</formula>
    </cfRule>
  </conditionalFormatting>
  <conditionalFormatting sqref="C490:D490">
    <cfRule type="containsText" dxfId="8537" priority="52" operator="containsText" text="NO+$D$4:$D$10">
      <formula>NOT(ISERROR(SEARCH("NO+$D$4:$D$10",C490)))</formula>
    </cfRule>
  </conditionalFormatting>
  <conditionalFormatting sqref="C490:D490">
    <cfRule type="containsText" dxfId="8536" priority="50" operator="containsText" text="SI">
      <formula>NOT(ISERROR(SEARCH("SI",C490)))</formula>
    </cfRule>
    <cfRule type="containsText" dxfId="8535" priority="51" operator="containsText" text="NO">
      <formula>NOT(ISERROR(SEARCH("NO",C490)))</formula>
    </cfRule>
  </conditionalFormatting>
  <conditionalFormatting sqref="C490:D490">
    <cfRule type="containsText" dxfId="8534" priority="49" operator="containsText" text="NUEVO">
      <formula>NOT(ISERROR(SEARCH("NUEVO",C490)))</formula>
    </cfRule>
  </conditionalFormatting>
  <conditionalFormatting sqref="F490">
    <cfRule type="expression" dxfId="8533" priority="48">
      <formula>F490&lt;&gt;""</formula>
    </cfRule>
  </conditionalFormatting>
  <conditionalFormatting sqref="E490">
    <cfRule type="containsText" dxfId="8532" priority="47" operator="containsText" text="NUEVO">
      <formula>NOT(ISERROR(SEARCH("NUEVO",E490)))</formula>
    </cfRule>
  </conditionalFormatting>
  <conditionalFormatting sqref="E490">
    <cfRule type="containsText" dxfId="8531" priority="46" operator="containsText" text="Sin Información">
      <formula>NOT(ISERROR(SEARCH("Sin Información",E490)))</formula>
    </cfRule>
  </conditionalFormatting>
  <conditionalFormatting sqref="E490">
    <cfRule type="expression" dxfId="8530" priority="45">
      <formula>E490&lt;&gt;""</formula>
    </cfRule>
  </conditionalFormatting>
  <conditionalFormatting sqref="C392:D392">
    <cfRule type="containsText" dxfId="8529" priority="44" operator="containsText" text="NO+$D$4:$D$10">
      <formula>NOT(ISERROR(SEARCH("NO+$D$4:$D$10",C392)))</formula>
    </cfRule>
  </conditionalFormatting>
  <conditionalFormatting sqref="C392:D392">
    <cfRule type="containsText" dxfId="8528" priority="42" operator="containsText" text="SI">
      <formula>NOT(ISERROR(SEARCH("SI",C392)))</formula>
    </cfRule>
    <cfRule type="containsText" dxfId="8527" priority="43" operator="containsText" text="NO">
      <formula>NOT(ISERROR(SEARCH("NO",C392)))</formula>
    </cfRule>
  </conditionalFormatting>
  <conditionalFormatting sqref="C392:E392">
    <cfRule type="containsText" dxfId="8526" priority="41" operator="containsText" text="NUEVO">
      <formula>NOT(ISERROR(SEARCH("NUEVO",C392)))</formula>
    </cfRule>
  </conditionalFormatting>
  <conditionalFormatting sqref="E392">
    <cfRule type="containsText" dxfId="8525" priority="40" operator="containsText" text="Sin Información">
      <formula>NOT(ISERROR(SEARCH("Sin Información",E392)))</formula>
    </cfRule>
  </conditionalFormatting>
  <conditionalFormatting sqref="E392:F392">
    <cfRule type="expression" dxfId="8524" priority="39">
      <formula>E392&lt;&gt;""</formula>
    </cfRule>
  </conditionalFormatting>
  <conditionalFormatting sqref="C541:D541">
    <cfRule type="containsText" dxfId="8520" priority="38" operator="containsText" text="NO+$D$4:$D$10">
      <formula>NOT(ISERROR(SEARCH("NO+$D$4:$D$10",C541)))</formula>
    </cfRule>
  </conditionalFormatting>
  <conditionalFormatting sqref="C541:D541">
    <cfRule type="containsText" dxfId="8519" priority="36" operator="containsText" text="SI">
      <formula>NOT(ISERROR(SEARCH("SI",C541)))</formula>
    </cfRule>
    <cfRule type="containsText" dxfId="8518" priority="37" operator="containsText" text="NO">
      <formula>NOT(ISERROR(SEARCH("NO",C541)))</formula>
    </cfRule>
  </conditionalFormatting>
  <conditionalFormatting sqref="C541:D541">
    <cfRule type="containsText" dxfId="8517" priority="35" operator="containsText" text="NUEVO">
      <formula>NOT(ISERROR(SEARCH("NUEVO",C541)))</formula>
    </cfRule>
  </conditionalFormatting>
  <conditionalFormatting sqref="E541">
    <cfRule type="containsText" dxfId="8516" priority="34" operator="containsText" text="NUEVO">
      <formula>NOT(ISERROR(SEARCH("NUEVO",E541)))</formula>
    </cfRule>
  </conditionalFormatting>
  <conditionalFormatting sqref="E541">
    <cfRule type="containsText" dxfId="8515" priority="33" operator="containsText" text="Sin Información">
      <formula>NOT(ISERROR(SEARCH("Sin Información",E541)))</formula>
    </cfRule>
  </conditionalFormatting>
  <conditionalFormatting sqref="E541">
    <cfRule type="expression" dxfId="8514" priority="32">
      <formula>E541&lt;&gt;""</formula>
    </cfRule>
  </conditionalFormatting>
  <conditionalFormatting sqref="C542:D542">
    <cfRule type="containsText" dxfId="8512" priority="31" operator="containsText" text="NO+$D$4:$D$10">
      <formula>NOT(ISERROR(SEARCH("NO+$D$4:$D$10",C542)))</formula>
    </cfRule>
  </conditionalFormatting>
  <conditionalFormatting sqref="C542:D542">
    <cfRule type="containsText" dxfId="8511" priority="29" operator="containsText" text="SI">
      <formula>NOT(ISERROR(SEARCH("SI",C542)))</formula>
    </cfRule>
    <cfRule type="containsText" dxfId="8510" priority="30" operator="containsText" text="NO">
      <formula>NOT(ISERROR(SEARCH("NO",C542)))</formula>
    </cfRule>
  </conditionalFormatting>
  <conditionalFormatting sqref="C542:D542">
    <cfRule type="containsText" dxfId="8509" priority="28" operator="containsText" text="NUEVO">
      <formula>NOT(ISERROR(SEARCH("NUEVO",C542)))</formula>
    </cfRule>
  </conditionalFormatting>
  <conditionalFormatting sqref="E542">
    <cfRule type="containsText" dxfId="8508" priority="27" operator="containsText" text="NUEVO">
      <formula>NOT(ISERROR(SEARCH("NUEVO",E542)))</formula>
    </cfRule>
  </conditionalFormatting>
  <conditionalFormatting sqref="E542">
    <cfRule type="containsText" dxfId="8507" priority="26" operator="containsText" text="Sin Información">
      <formula>NOT(ISERROR(SEARCH("Sin Información",E542)))</formula>
    </cfRule>
  </conditionalFormatting>
  <conditionalFormatting sqref="E542">
    <cfRule type="expression" dxfId="8506" priority="25">
      <formula>E542&lt;&gt;""</formula>
    </cfRule>
  </conditionalFormatting>
  <conditionalFormatting sqref="C203:D203">
    <cfRule type="containsText" dxfId="8505" priority="24" operator="containsText" text="NO+$D$4:$D$10">
      <formula>NOT(ISERROR(SEARCH("NO+$D$4:$D$10",C203)))</formula>
    </cfRule>
  </conditionalFormatting>
  <conditionalFormatting sqref="C203:D203">
    <cfRule type="containsText" dxfId="8504" priority="22" operator="containsText" text="SI">
      <formula>NOT(ISERROR(SEARCH("SI",C203)))</formula>
    </cfRule>
    <cfRule type="containsText" dxfId="8503" priority="23" operator="containsText" text="NO">
      <formula>NOT(ISERROR(SEARCH("NO",C203)))</formula>
    </cfRule>
  </conditionalFormatting>
  <conditionalFormatting sqref="C203:D203">
    <cfRule type="containsText" dxfId="8502" priority="21" operator="containsText" text="NUEVO">
      <formula>NOT(ISERROR(SEARCH("NUEVO",C203)))</formula>
    </cfRule>
  </conditionalFormatting>
  <conditionalFormatting sqref="F203">
    <cfRule type="expression" dxfId="8501" priority="20">
      <formula>F203&lt;&gt;""</formula>
    </cfRule>
  </conditionalFormatting>
  <conditionalFormatting sqref="E203">
    <cfRule type="containsText" dxfId="8500" priority="19" operator="containsText" text="NUEVO">
      <formula>NOT(ISERROR(SEARCH("NUEVO",E203)))</formula>
    </cfRule>
  </conditionalFormatting>
  <conditionalFormatting sqref="E203">
    <cfRule type="containsText" dxfId="8499" priority="18" operator="containsText" text="Sin Información">
      <formula>NOT(ISERROR(SEARCH("Sin Información",E203)))</formula>
    </cfRule>
  </conditionalFormatting>
  <conditionalFormatting sqref="E203">
    <cfRule type="expression" dxfId="8498" priority="17">
      <formula>E203&lt;&gt;""</formula>
    </cfRule>
  </conditionalFormatting>
  <conditionalFormatting sqref="C158:D158">
    <cfRule type="containsText" dxfId="8495" priority="16" operator="containsText" text="NO+$D$4:$D$10">
      <formula>NOT(ISERROR(SEARCH("NO+$D$4:$D$10",C158)))</formula>
    </cfRule>
  </conditionalFormatting>
  <conditionalFormatting sqref="C158:D158">
    <cfRule type="containsText" dxfId="8494" priority="14" operator="containsText" text="SI">
      <formula>NOT(ISERROR(SEARCH("SI",C158)))</formula>
    </cfRule>
    <cfRule type="containsText" dxfId="8493" priority="15" operator="containsText" text="NO">
      <formula>NOT(ISERROR(SEARCH("NO",C158)))</formula>
    </cfRule>
  </conditionalFormatting>
  <conditionalFormatting sqref="C158:D158">
    <cfRule type="containsText" dxfId="8492" priority="13" operator="containsText" text="NUEVO">
      <formula>NOT(ISERROR(SEARCH("NUEVO",C158)))</formula>
    </cfRule>
  </conditionalFormatting>
  <conditionalFormatting sqref="E158">
    <cfRule type="containsText" dxfId="8491" priority="12" operator="containsText" text="NUEVO">
      <formula>NOT(ISERROR(SEARCH("NUEVO",E158)))</formula>
    </cfRule>
  </conditionalFormatting>
  <conditionalFormatting sqref="E158">
    <cfRule type="containsText" dxfId="8490" priority="11" operator="containsText" text="Sin Información">
      <formula>NOT(ISERROR(SEARCH("Sin Información",E158)))</formula>
    </cfRule>
  </conditionalFormatting>
  <conditionalFormatting sqref="E158">
    <cfRule type="expression" dxfId="8489" priority="10">
      <formula>E158&lt;&gt;""</formula>
    </cfRule>
  </conditionalFormatting>
  <conditionalFormatting sqref="F158">
    <cfRule type="expression" dxfId="8488" priority="9">
      <formula>F158&lt;&gt;""</formula>
    </cfRule>
  </conditionalFormatting>
  <conditionalFormatting sqref="C258:D258">
    <cfRule type="containsText" dxfId="8484" priority="8" operator="containsText" text="NO+$D$4:$D$10">
      <formula>NOT(ISERROR(SEARCH("NO+$D$4:$D$10",C258)))</formula>
    </cfRule>
  </conditionalFormatting>
  <conditionalFormatting sqref="C258:D258">
    <cfRule type="containsText" dxfId="8483" priority="6" operator="containsText" text="SI">
      <formula>NOT(ISERROR(SEARCH("SI",C258)))</formula>
    </cfRule>
    <cfRule type="containsText" dxfId="8482" priority="7" operator="containsText" text="NO">
      <formula>NOT(ISERROR(SEARCH("NO",C258)))</formula>
    </cfRule>
  </conditionalFormatting>
  <conditionalFormatting sqref="C258:D258">
    <cfRule type="containsText" dxfId="8481" priority="5" operator="containsText" text="NUEVO">
      <formula>NOT(ISERROR(SEARCH("NUEVO",C258)))</formula>
    </cfRule>
  </conditionalFormatting>
  <conditionalFormatting sqref="F258">
    <cfRule type="expression" dxfId="8480" priority="4">
      <formula>F258&lt;&gt;""</formula>
    </cfRule>
  </conditionalFormatting>
  <conditionalFormatting sqref="E258">
    <cfRule type="containsText" dxfId="8479" priority="3" operator="containsText" text="NUEVO">
      <formula>NOT(ISERROR(SEARCH("NUEVO",E258)))</formula>
    </cfRule>
  </conditionalFormatting>
  <conditionalFormatting sqref="E258">
    <cfRule type="containsText" dxfId="8478" priority="2" operator="containsText" text="Sin Información">
      <formula>NOT(ISERROR(SEARCH("Sin Información",E258)))</formula>
    </cfRule>
  </conditionalFormatting>
  <conditionalFormatting sqref="E258">
    <cfRule type="expression" dxfId="8477" priority="1">
      <formula>E258&lt;&gt;""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40" r:id="rId3" display="+584246747917" xr:uid="{00000000-0004-0000-0000-000002000000}"/>
    <hyperlink ref="G481" r:id="rId4" display="+584246734296" xr:uid="{00000000-0004-0000-0000-000003000000}"/>
    <hyperlink ref="G445" r:id="rId5" display="+584246413439" xr:uid="{00000000-0004-0000-0000-000004000000}"/>
    <hyperlink ref="G443" r:id="rId6" display="+584146588884" xr:uid="{00000000-0004-0000-0000-000005000000}"/>
    <hyperlink ref="G441" r:id="rId7" display="+584128679534" xr:uid="{00000000-0004-0000-0000-000006000000}"/>
    <hyperlink ref="G446" r:id="rId8" display="+584129935281" xr:uid="{00000000-0004-0000-0000-000007000000}"/>
    <hyperlink ref="G473" r:id="rId9" display="+588424624128" xr:uid="{00000000-0004-0000-0000-000008000000}"/>
    <hyperlink ref="G498" r:id="rId10" display="+584129021980" xr:uid="{00000000-0004-0000-0000-000009000000}"/>
    <hyperlink ref="G487" r:id="rId11" display="+584246682781" xr:uid="{00000000-0004-0000-0000-00000A000000}"/>
    <hyperlink ref="G482" r:id="rId12" display="+584128422459" xr:uid="{00000000-0004-0000-0000-00000B000000}"/>
    <hyperlink ref="G459" r:id="rId13" display="+584121238249" xr:uid="{00000000-0004-0000-0000-00000C000000}"/>
    <hyperlink ref="G458" r:id="rId14" display="+584128546744" xr:uid="{00000000-0004-0000-0000-00000D000000}"/>
    <hyperlink ref="G439" r:id="rId15" display="+584246218157" xr:uid="{00000000-0004-0000-0000-00000E000000}"/>
    <hyperlink ref="G438" r:id="rId16" display="+584121411139" xr:uid="{00000000-0004-0000-0000-00000F000000}"/>
    <hyperlink ref="G442" r:id="rId17" display="+584146588884" xr:uid="{00000000-0004-0000-0000-000010000000}"/>
    <hyperlink ref="G355" r:id="rId18" display="+584143701532" xr:uid="{00000000-0004-0000-0000-000012000000}"/>
    <hyperlink ref="G354" r:id="rId19" display="+584246690701" xr:uid="{00000000-0004-0000-0000-000013000000}"/>
    <hyperlink ref="G190" r:id="rId20" display="+584146330981" xr:uid="{00000000-0004-0000-0000-000014000000}"/>
    <hyperlink ref="G452" r:id="rId21" display="+584246476973" xr:uid="{00000000-0004-0000-0000-000015000000}"/>
    <hyperlink ref="G451" r:id="rId22" display="+584246476973" xr:uid="{00000000-0004-0000-0000-000016000000}"/>
    <hyperlink ref="G617" r:id="rId23" display="+584160651191" xr:uid="{00000000-0004-0000-0000-000017000000}"/>
    <hyperlink ref="G395" r:id="rId24" display="+584246760885" xr:uid="{00000000-0004-0000-0000-000018000000}"/>
    <hyperlink ref="G477" r:id="rId25" display="+584246370439" xr:uid="{00000000-0004-0000-0000-00001A000000}"/>
    <hyperlink ref="G39" r:id="rId26" display="+584246745980" xr:uid="{00000000-0004-0000-0000-00001B000000}"/>
    <hyperlink ref="G36" r:id="rId27" display="+584246745980" xr:uid="{00000000-0004-0000-0000-00001C000000}"/>
    <hyperlink ref="G618" r:id="rId28" display="+584262624815" xr:uid="{00000000-0004-0000-0000-00001D000000}"/>
    <hyperlink ref="G480" r:id="rId29" display="+584146119220" xr:uid="{00000000-0004-0000-0000-00001E000000}"/>
    <hyperlink ref="G463" r:id="rId30" display="+584121741688" xr:uid="{00000000-0004-0000-0000-00001F000000}"/>
    <hyperlink ref="G465" r:id="rId31" display="+584246274271" xr:uid="{00000000-0004-0000-0000-000020000000}"/>
    <hyperlink ref="G466" r:id="rId32" display="+584121741688" xr:uid="{00000000-0004-0000-0000-000021000000}"/>
    <hyperlink ref="G456" r:id="rId33" display="+584127643433" xr:uid="{00000000-0004-0000-0000-000022000000}"/>
    <hyperlink ref="G497" r:id="rId34" display="+584265610098" xr:uid="{00000000-0004-0000-0000-000023000000}"/>
    <hyperlink ref="G506" r:id="rId35" display="+584144229712" xr:uid="{00000000-0004-0000-0000-000024000000}"/>
    <hyperlink ref="G457" r:id="rId36" display="+584127643433" xr:uid="{00000000-0004-0000-0000-000025000000}"/>
    <hyperlink ref="G460" r:id="rId37" display="+584126485373" xr:uid="{00000000-0004-0000-0000-000026000000}"/>
    <hyperlink ref="G504" r:id="rId38" display="+584246977305" xr:uid="{00000000-0004-0000-0000-000027000000}"/>
    <hyperlink ref="G503" r:id="rId39" display="+584246977305" xr:uid="{00000000-0004-0000-0000-000028000000}"/>
    <hyperlink ref="G500" r:id="rId40" display="+584123580423" xr:uid="{00000000-0004-0000-0000-000029000000}"/>
    <hyperlink ref="G38" r:id="rId41" display="+584129828143" xr:uid="{00000000-0004-0000-0000-00002A000000}"/>
    <hyperlink ref="G34" r:id="rId42" display="+584246015457" xr:uid="{00000000-0004-0000-0000-00002B000000}"/>
    <hyperlink ref="G53" r:id="rId43" display="+584246098137" xr:uid="{00000000-0004-0000-0000-00002C000000}"/>
    <hyperlink ref="G54" r:id="rId44" display="+584246640947" xr:uid="{00000000-0004-0000-0000-00002D000000}"/>
    <hyperlink ref="G43" r:id="rId45" display="+584246178825" xr:uid="{00000000-0004-0000-0000-00002E000000}"/>
    <hyperlink ref="G46" r:id="rId46" display="+584146325669" xr:uid="{00000000-0004-0000-0000-00002F000000}"/>
    <hyperlink ref="G48" r:id="rId47" display="+584146527806" xr:uid="{00000000-0004-0000-0000-000030000000}"/>
    <hyperlink ref="G58" r:id="rId48" display="+584246955133" xr:uid="{00000000-0004-0000-0000-000031000000}"/>
    <hyperlink ref="G62" r:id="rId49" xr:uid="{00000000-0004-0000-0000-000032000000}"/>
    <hyperlink ref="G42" r:id="rId50" display="+584121719540" xr:uid="{00000000-0004-0000-0000-000033000000}"/>
    <hyperlink ref="G59" r:id="rId51" display="+584246955133" xr:uid="{00000000-0004-0000-0000-000034000000}"/>
    <hyperlink ref="G47" r:id="rId52" display="+584127625153" xr:uid="{00000000-0004-0000-0000-000035000000}"/>
    <hyperlink ref="G57" r:id="rId53" xr:uid="{00000000-0004-0000-0000-000036000000}"/>
    <hyperlink ref="G478" r:id="rId54" display="+584246567451" xr:uid="{00000000-0004-0000-0000-000037000000}"/>
    <hyperlink ref="G314" r:id="rId55" display="+584146691571" xr:uid="{00000000-0004-0000-0000-000038000000}"/>
    <hyperlink ref="G316" r:id="rId56" display="+584121760297" xr:uid="{00000000-0004-0000-0000-000039000000}"/>
    <hyperlink ref="G317" r:id="rId57" display="+584121426684" xr:uid="{00000000-0004-0000-0000-00003A000000}"/>
    <hyperlink ref="G319" r:id="rId58" display="+584140651044" xr:uid="{00000000-0004-0000-0000-00003B000000}"/>
    <hyperlink ref="G322" r:id="rId59" display="+584120188904" xr:uid="{00000000-0004-0000-0000-00003C000000}"/>
    <hyperlink ref="G356" r:id="rId60" display="+584246333827" xr:uid="{00000000-0004-0000-0000-00003D000000}"/>
    <hyperlink ref="G312" r:id="rId61" display="+584145605527" xr:uid="{00000000-0004-0000-0000-00003E000000}"/>
    <hyperlink ref="G339" r:id="rId62" display="+584146017902" xr:uid="{00000000-0004-0000-0000-000040000000}"/>
    <hyperlink ref="G343" r:id="rId63" display="+584149790649" xr:uid="{00000000-0004-0000-0000-000041000000}"/>
    <hyperlink ref="G340" r:id="rId64" display="+584246502712" xr:uid="{00000000-0004-0000-0000-000042000000}"/>
    <hyperlink ref="G341" r:id="rId65" display="+584143623526" xr:uid="{00000000-0004-0000-0000-000043000000}"/>
    <hyperlink ref="G346" r:id="rId66" display="+584146055216" xr:uid="{00000000-0004-0000-0000-000044000000}"/>
    <hyperlink ref="G370" r:id="rId67" display="+584244279049" xr:uid="{00000000-0004-0000-0000-000045000000}"/>
    <hyperlink ref="G391" r:id="rId68" display="+584120764187" xr:uid="{00000000-0004-0000-0000-000046000000}"/>
    <hyperlink ref="G389" r:id="rId69" display="+584149651533" xr:uid="{00000000-0004-0000-0000-000047000000}"/>
    <hyperlink ref="G348" r:id="rId70" display="+584126413050" xr:uid="{00000000-0004-0000-0000-000048000000}"/>
    <hyperlink ref="G369" r:id="rId71" display="+584121250554" xr:uid="{00000000-0004-0000-0000-000049000000}"/>
    <hyperlink ref="G377" r:id="rId72" display="+584146030430" xr:uid="{00000000-0004-0000-0000-00004A000000}"/>
    <hyperlink ref="G323" r:id="rId73" display="+584246796253" xr:uid="{00000000-0004-0000-0000-00004B000000}"/>
    <hyperlink ref="G324" r:id="rId74" display="+584246495866" xr:uid="{00000000-0004-0000-0000-00004C000000}"/>
    <hyperlink ref="G325" r:id="rId75" display="+584246050573" xr:uid="{00000000-0004-0000-0000-00004D000000}"/>
    <hyperlink ref="G349" r:id="rId76" display="+584246656207" xr:uid="{00000000-0004-0000-0000-00004E000000}"/>
    <hyperlink ref="G353" r:id="rId77" display="+584146560819" xr:uid="{00000000-0004-0000-0000-00004F000000}"/>
    <hyperlink ref="G365" r:id="rId78" display="+584246001018" xr:uid="{00000000-0004-0000-0000-000050000000}"/>
    <hyperlink ref="G364" r:id="rId79" display="+584143108633" xr:uid="{00000000-0004-0000-0000-000051000000}"/>
    <hyperlink ref="G337" r:id="rId80" display="+584121713283" xr:uid="{00000000-0004-0000-0000-000052000000}"/>
    <hyperlink ref="G345" r:id="rId81" display="+584246580645" xr:uid="{00000000-0004-0000-0000-000053000000}"/>
    <hyperlink ref="G342" r:id="rId82" display="+584246694208" xr:uid="{00000000-0004-0000-0000-000054000000}"/>
    <hyperlink ref="G379" r:id="rId83" display="+584146572023" xr:uid="{00000000-0004-0000-0000-000055000000}"/>
    <hyperlink ref="G367" r:id="rId84" display="+584120898262" xr:uid="{00000000-0004-0000-0000-000056000000}"/>
    <hyperlink ref="G134" r:id="rId85" display="+584146416825" xr:uid="{00000000-0004-0000-0000-000057000000}"/>
    <hyperlink ref="G332" r:id="rId86" display="+584243188137" xr:uid="{00000000-0004-0000-0000-000058000000}"/>
    <hyperlink ref="G350" r:id="rId87" display="+584243188138" xr:uid="{00000000-0004-0000-0000-000059000000}"/>
    <hyperlink ref="G357" r:id="rId88" display="+584243188137" xr:uid="{00000000-0004-0000-0000-00005A000000}"/>
    <hyperlink ref="G383" r:id="rId89" display="+584125143332" xr:uid="{00000000-0004-0000-0000-00005B000000}"/>
    <hyperlink ref="G327" r:id="rId90" display="+584243188137" xr:uid="{00000000-0004-0000-0000-00005C000000}"/>
    <hyperlink ref="G390" r:id="rId91" display="+584147377958" xr:uid="{00000000-0004-0000-0000-00005D000000}"/>
    <hyperlink ref="G402" r:id="rId92" display="+584146912012" xr:uid="{00000000-0004-0000-0000-00005E000000}"/>
    <hyperlink ref="G363" r:id="rId93" display="+584126934596" xr:uid="{00000000-0004-0000-0000-00005F000000}"/>
    <hyperlink ref="G486" r:id="rId94" display="+584124881634" xr:uid="{00000000-0004-0000-0000-000061000000}"/>
    <hyperlink ref="G625" r:id="rId95" display="+584122993944" xr:uid="{00000000-0004-0000-0000-000062000000}"/>
    <hyperlink ref="G626" r:id="rId96" display="+584121239797" xr:uid="{00000000-0004-0000-0000-000063000000}"/>
    <hyperlink ref="G67" r:id="rId97" display="+584246005684" xr:uid="{00000000-0004-0000-0000-000064000000}"/>
    <hyperlink ref="G571" r:id="rId98" display="+584246515654" xr:uid="{00000000-0004-0000-0000-000065000000}"/>
    <hyperlink ref="G313" r:id="rId99" display="+584128426488" xr:uid="{00000000-0004-0000-0000-000066000000}"/>
    <hyperlink ref="G320" r:id="rId100" display="+584129872207" xr:uid="{00000000-0004-0000-0000-000067000000}"/>
    <hyperlink ref="G347" r:id="rId101" display="+584246567206" xr:uid="{00000000-0004-0000-0000-000068000000}"/>
    <hyperlink ref="G394" r:id="rId102" display="+584146277173" xr:uid="{00000000-0004-0000-0000-000069000000}"/>
    <hyperlink ref="G382" r:id="rId103" display="+584146416825" xr:uid="{00000000-0004-0000-0000-00006A000000}"/>
    <hyperlink ref="G407" r:id="rId104" display="+584126431417" xr:uid="{00000000-0004-0000-0000-00006B000000}"/>
    <hyperlink ref="G558" r:id="rId105" display="+584246056875" xr:uid="{00000000-0004-0000-0000-00006D000000}"/>
    <hyperlink ref="G560" r:id="rId106" display="+584122638517" xr:uid="{00000000-0004-0000-0000-00006E000000}"/>
    <hyperlink ref="G589" r:id="rId107" display="+584146252731" xr:uid="{00000000-0004-0000-0000-00006F000000}"/>
    <hyperlink ref="G559" r:id="rId108" display="+584140687509" xr:uid="{00000000-0004-0000-0000-000070000000}"/>
    <hyperlink ref="G25" r:id="rId109" display="+584125804233" xr:uid="{00000000-0004-0000-0000-000071000000}"/>
    <hyperlink ref="G26" r:id="rId110" display="+584129691301" xr:uid="{00000000-0004-0000-0000-000072000000}"/>
    <hyperlink ref="G33" r:id="rId111" display="+584125837314" xr:uid="{00000000-0004-0000-0000-000073000000}"/>
    <hyperlink ref="G41" r:id="rId112" display="+584246122259" xr:uid="{00000000-0004-0000-0000-000074000000}"/>
    <hyperlink ref="G566" r:id="rId113" display="+584220396290" xr:uid="{00000000-0004-0000-0000-000075000000}"/>
    <hyperlink ref="G569" r:id="rId114" display="+584246483933" xr:uid="{00000000-0004-0000-0000-000076000000}"/>
    <hyperlink ref="G577" r:id="rId115" display="+584142228002" xr:uid="{00000000-0004-0000-0000-000077000000}"/>
    <hyperlink ref="G584" r:id="rId116" display="+584126546213" xr:uid="{00000000-0004-0000-0000-000078000000}"/>
    <hyperlink ref="G27" r:id="rId117" display="+584149668247" xr:uid="{00000000-0004-0000-0000-000079000000}"/>
    <hyperlink ref="G28" r:id="rId118" display="+584149662112" xr:uid="{00000000-0004-0000-0000-00007A000000}"/>
    <hyperlink ref="G374" r:id="rId119" display="+584140657645" xr:uid="{00000000-0004-0000-0000-00007B000000}"/>
    <hyperlink ref="G467" r:id="rId120" display="+584246939443" xr:uid="{00000000-0004-0000-0000-00007C000000}"/>
    <hyperlink ref="G470" r:id="rId121" display="+584246939443" xr:uid="{00000000-0004-0000-0000-00007D000000}"/>
    <hyperlink ref="G453" r:id="rId122" display="+584122243095" xr:uid="{00000000-0004-0000-0000-00007E000000}"/>
    <hyperlink ref="G563" r:id="rId123" display="+584145927007" xr:uid="{00000000-0004-0000-0000-00007F000000}"/>
    <hyperlink ref="G580" r:id="rId124" display="+584127281859" xr:uid="{00000000-0004-0000-0000-000080000000}"/>
    <hyperlink ref="G68" r:id="rId125" xr:uid="{00000000-0004-0000-0000-000081000000}"/>
    <hyperlink ref="G562" r:id="rId126" display="+584246138855" xr:uid="{00000000-0004-0000-0000-000082000000}"/>
    <hyperlink ref="G592" r:id="rId127" display="+584246045884" xr:uid="{00000000-0004-0000-0000-000083000000}"/>
    <hyperlink ref="G405" r:id="rId128" display="+584125068237" xr:uid="{00000000-0004-0000-0000-000084000000}"/>
    <hyperlink ref="G64" r:id="rId129" display="+584246074869" xr:uid="{00000000-0004-0000-0000-000085000000}"/>
    <hyperlink ref="G282" r:id="rId130" display="+584128396516" xr:uid="{00000000-0004-0000-0000-000086000000}"/>
    <hyperlink ref="G284" r:id="rId131" display="+584128396516" xr:uid="{00000000-0004-0000-0000-000087000000}"/>
    <hyperlink ref="G281" r:id="rId132" display="+584128413787" xr:uid="{00000000-0004-0000-0000-000088000000}"/>
    <hyperlink ref="G50" r:id="rId133" display="+584146162502" xr:uid="{00000000-0004-0000-0000-000089000000}"/>
    <hyperlink ref="G594" r:id="rId134" display="+584262602982" xr:uid="{00000000-0004-0000-0000-00008A000000}"/>
    <hyperlink ref="G261" r:id="rId135" display="+584223001072" xr:uid="{00000000-0004-0000-0000-00008B000000}"/>
    <hyperlink ref="G70" r:id="rId136" display="+584246383244" xr:uid="{00000000-0004-0000-0000-00008C000000}"/>
    <hyperlink ref="G491" r:id="rId137" display="+584220388319" xr:uid="{00000000-0004-0000-0000-00008D000000}"/>
    <hyperlink ref="G131" r:id="rId138" display="+584146416825" xr:uid="{00000000-0004-0000-0000-00008E000000}"/>
    <hyperlink ref="G387" r:id="rId139" display="+584146470677" xr:uid="{00000000-0004-0000-0000-00008F000000}"/>
    <hyperlink ref="G502" r:id="rId140" xr:uid="{00000000-0004-0000-0000-000090000000}"/>
    <hyperlink ref="G475" r:id="rId141" display="+584146711447" xr:uid="{00000000-0004-0000-0000-000091000000}"/>
    <hyperlink ref="G638" r:id="rId142" display="+584246005684" xr:uid="{00000000-0004-0000-0000-000092000000}"/>
    <hyperlink ref="G74" r:id="rId143" display="+584246019681" xr:uid="{00000000-0004-0000-0000-000093000000}"/>
    <hyperlink ref="G639" r:id="rId144" display="+584127332558" xr:uid="{00000000-0004-0000-0000-000094000000}"/>
    <hyperlink ref="G75" r:id="rId145" display="+585696804494" xr:uid="{00000000-0004-0000-0000-000095000000}"/>
    <hyperlink ref="G80" r:id="rId146" display="+584246458780" xr:uid="{00000000-0004-0000-0000-000096000000}"/>
    <hyperlink ref="G530" r:id="rId147" display="+584123357800" xr:uid="{00000000-0004-0000-0000-000097000000}"/>
    <hyperlink ref="G600" r:id="rId148" display="+584246458780" xr:uid="{00000000-0004-0000-0000-000098000000}"/>
    <hyperlink ref="G454" r:id="rId149" display="+584246765278" xr:uid="{9D4D7AE2-4600-42B0-91F8-8181BB56F185}"/>
    <hyperlink ref="G496" r:id="rId150" display="+584123244935" xr:uid="{ADFB87E8-F905-417E-B638-52D04BA9AB4D}"/>
  </hyperlinks>
  <pageMargins left="0.7" right="0.7" top="0.75" bottom="0.75" header="0.3" footer="0.3"/>
  <pageSetup paperSize="9" orientation="portrait" r:id="rId151"/>
  <drawing r:id="rId152"/>
  <legacyDrawing r:id="rId15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621" operator="containsText" text="NUEVO" id="{4464EEE2-952F-4195-9006-D3EF517B1873}">
            <xm:f>NOT(ISERROR(SEARCH("NUEVO",Excluidos!E1451)))</xm:f>
            <x14:dxf>
              <fill>
                <patternFill>
                  <bgColor rgb="FFFFFF0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containsText" priority="30622" operator="containsText" text="Sin Información" id="{12ACFF38-4BD0-4FCE-91FD-BC6CCCFDF951}">
            <xm:f>NOT(ISERROR(SEARCH("Sin Información",Excluidos!E1451)))</xm:f>
            <x14:dxf>
              <fill>
                <patternFill>
                  <bgColor rgb="FFFFC00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containsText" priority="31536" operator="containsText" text="Sin Información" id="{12ACFF38-4BD0-4FCE-91FD-BC6CCCFDF951}">
            <xm:f>NOT(ISERROR(SEARCH("Sin Información",Excluidos!E1311)))</xm:f>
            <x14:dxf>
              <fill>
                <patternFill>
                  <bgColor rgb="FFFFC0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1935" operator="containsText" text="NUEVO" id="{4464EEE2-952F-4195-9006-D3EF517B1873}">
            <xm:f>NOT(ISERROR(SEARCH("NUEVO",Excluidos!E1311)))</xm:f>
            <x14:dxf>
              <fill>
                <patternFill>
                  <bgColor rgb="FFFFFF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2522" operator="containsText" text="NUEVO" id="{4464EEE2-952F-4195-9006-D3EF517B1873}">
            <xm:f>NOT(ISERROR(SEARCH("NUEVO",Excluidos!E1310)))</xm:f>
            <x14:dxf>
              <fill>
                <patternFill>
                  <bgColor rgb="FFFFFF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32524" operator="containsText" text="Sin Información" id="{12ACFF38-4BD0-4FCE-91FD-BC6CCCFDF951}">
            <xm:f>NOT(ISERROR(SEARCH("Sin Información",Excluidos!E1310)))</xm:f>
            <x14:dxf>
              <fill>
                <patternFill>
                  <bgColor rgb="FFFFC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1043" operator="containsText" text="Sin Información" id="{E1D9AC8A-848E-4E1D-86FB-72B7AC915EC2}">
            <xm:f>NOT(ISERROR(SEARCH("Sin Información",Excluidos!E579)))</xm:f>
            <x14:dxf>
              <fill>
                <patternFill>
                  <bgColor rgb="FFFFC000"/>
                </patternFill>
              </fill>
            </x14:dxf>
          </x14:cfRule>
          <xm:sqref>E587</xm:sqref>
        </x14:conditionalFormatting>
        <x14:conditionalFormatting xmlns:xm="http://schemas.microsoft.com/office/excel/2006/main">
          <x14:cfRule type="containsText" priority="927" operator="containsText" text="NUEVO" id="{F647DD36-2204-41E8-9B5A-C6A2C5ECB763}">
            <xm:f>NOT(ISERROR(SEARCH("NUEVO",Excluidos!E507)))</xm:f>
            <x14:dxf>
              <fill>
                <patternFill>
                  <bgColor rgb="FFFFFF00"/>
                </patternFill>
              </fill>
            </x14:dxf>
          </x14:cfRule>
          <xm:sqref>E469</xm:sqref>
        </x14:conditionalFormatting>
        <x14:conditionalFormatting xmlns:xm="http://schemas.microsoft.com/office/excel/2006/main">
          <x14:cfRule type="containsText" priority="926" operator="containsText" text="Sin Información" id="{FE306AE2-65D3-4B4B-8E03-DF0A58FE5A49}">
            <xm:f>NOT(ISERROR(SEARCH("Sin Información",Excluidos!E507)))</xm:f>
            <x14:dxf>
              <fill>
                <patternFill>
                  <bgColor rgb="FFFFC000"/>
                </patternFill>
              </fill>
            </x14:dxf>
          </x14:cfRule>
          <xm:sqref>E469</xm:sqref>
        </x14:conditionalFormatting>
        <x14:conditionalFormatting xmlns:xm="http://schemas.microsoft.com/office/excel/2006/main">
          <x14:cfRule type="expression" priority="925" id="{54AB55AC-E725-4E6F-B429-EDF789675A69}">
            <xm:f>Excluidos!E507&lt;&gt;""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E469:F469</xm:sqref>
        </x14:conditionalFormatting>
        <x14:conditionalFormatting xmlns:xm="http://schemas.microsoft.com/office/excel/2006/main">
          <x14:cfRule type="expression" priority="868" id="{1D7C746B-5E44-4CA8-8265-6BB19BC94D27}">
            <xm:f>Excluidos!E538&lt;&gt;""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E491:F491</xm:sqref>
        </x14:conditionalFormatting>
        <x14:conditionalFormatting xmlns:xm="http://schemas.microsoft.com/office/excel/2006/main">
          <x14:cfRule type="containsText" priority="866" operator="containsText" text="Sin Información" id="{9D504025-FBDA-4361-90AE-B8A846402C4B}">
            <xm:f>NOT(ISERROR(SEARCH("Sin Información",Excluidos!E538)))</xm:f>
            <x14:dxf>
              <fill>
                <patternFill>
                  <bgColor rgb="FFFFC000"/>
                </patternFill>
              </fill>
            </x14:dxf>
          </x14:cfRule>
          <xm:sqref>E491</xm:sqref>
        </x14:conditionalFormatting>
        <x14:conditionalFormatting xmlns:xm="http://schemas.microsoft.com/office/excel/2006/main">
          <x14:cfRule type="containsText" priority="864" operator="containsText" text="Sin información" id="{CC79603F-8446-4E2C-BAC6-B0DA05645806}">
            <xm:f>NOT(ISERROR(SEARCH("Sin información",Excluidos!E521)))</xm:f>
            <x14:dxf>
              <fill>
                <patternFill>
                  <bgColor rgb="FFFFC000"/>
                </patternFill>
              </fill>
            </x14:dxf>
          </x14:cfRule>
          <xm:sqref>E471</xm:sqref>
        </x14:conditionalFormatting>
        <x14:conditionalFormatting xmlns:xm="http://schemas.microsoft.com/office/excel/2006/main">
          <x14:cfRule type="containsText" priority="743" operator="containsText" text="Sin Información" id="{F43637AC-5C91-4A13-B0D4-4E6B01DB7C90}">
            <xm:f>NOT(ISERROR(SEARCH("Sin Información",Excluidos!E521)))</xm:f>
            <x14:dxf>
              <fill>
                <patternFill>
                  <bgColor rgb="FFFFC000"/>
                </patternFill>
              </fill>
            </x14:dxf>
          </x14:cfRule>
          <xm:sqref>E471</xm:sqref>
        </x14:conditionalFormatting>
        <x14:conditionalFormatting xmlns:xm="http://schemas.microsoft.com/office/excel/2006/main">
          <x14:cfRule type="containsText" priority="558" operator="containsText" text="Sin Información" id="{51096405-0535-41C8-9134-B09EAFA3D3F5}">
            <xm:f>NOT(ISERROR(SEARCH("Sin Información",Excluidos!E1339)))</xm:f>
            <x14:dxf>
              <fill>
                <patternFill>
                  <bgColor rgb="FFFFC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containsText" priority="559" operator="containsText" text="NUEVO" id="{71323BBB-530B-4001-9E12-04A7115018F5}">
            <xm:f>NOT(ISERROR(SEARCH("NUEVO",Excluidos!E1339)))</xm:f>
            <x14:dxf>
              <fill>
                <patternFill>
                  <bgColor rgb="FFFFFF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34990" id="{1D7C746B-5E44-4CA8-8265-6BB19BC94D27}">
            <xm:f>Excluidos!E475&lt;&gt;""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E488:F488</xm:sqref>
        </x14:conditionalFormatting>
        <x14:conditionalFormatting xmlns:xm="http://schemas.microsoft.com/office/excel/2006/main">
          <x14:cfRule type="containsText" priority="34991" operator="containsText" text="Sin Información" id="{9D504025-FBDA-4361-90AE-B8A846402C4B}">
            <xm:f>NOT(ISERROR(SEARCH("Sin Información",Excluidos!E475)))</xm:f>
            <x14:dxf>
              <fill>
                <patternFill>
                  <bgColor rgb="FFFFC000"/>
                </patternFill>
              </fill>
            </x14:dxf>
          </x14:cfRule>
          <xm:sqref>E488</xm:sqref>
        </x14:conditionalFormatting>
        <x14:conditionalFormatting xmlns:xm="http://schemas.microsoft.com/office/excel/2006/main">
          <x14:cfRule type="containsText" priority="35051" operator="containsText" text="NUEVO" id="{F647DD36-2204-41E8-9B5A-C6A2C5ECB763}">
            <xm:f>NOT(ISERROR(SEARCH("NUEVO",Excluidos!E475)))</xm:f>
            <x14:dxf>
              <fill>
                <patternFill>
                  <bgColor rgb="FFFFFF00"/>
                </patternFill>
              </fill>
            </x14:dxf>
          </x14:cfRule>
          <xm:sqref>E488</xm:sqref>
        </x14:conditionalFormatting>
        <x14:conditionalFormatting xmlns:xm="http://schemas.microsoft.com/office/excel/2006/main">
          <x14:cfRule type="containsText" priority="35114" operator="containsText" text="NUEVO" id="{F647DD36-2204-41E8-9B5A-C6A2C5ECB763}">
            <xm:f>NOT(ISERROR(SEARCH("NUEVO",Excluidos!E579)))</xm:f>
            <x14:dxf>
              <fill>
                <patternFill>
                  <bgColor rgb="FFFFFF00"/>
                </patternFill>
              </fill>
            </x14:dxf>
          </x14:cfRule>
          <xm:sqref>E587</xm:sqref>
        </x14:conditionalFormatting>
        <x14:conditionalFormatting xmlns:xm="http://schemas.microsoft.com/office/excel/2006/main">
          <x14:cfRule type="expression" priority="35153" id="{1D7C746B-5E44-4CA8-8265-6BB19BC94D27}">
            <xm:f>Excluidos!E579&lt;&gt;""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E587:F587</xm:sqref>
        </x14:conditionalFormatting>
        <x14:conditionalFormatting xmlns:xm="http://schemas.microsoft.com/office/excel/2006/main">
          <x14:cfRule type="containsText" priority="35210" operator="containsText" text="Sin información" id="{CC79603F-8446-4E2C-BAC6-B0DA05645806}">
            <xm:f>NOT(ISERROR(SEARCH("Sin información",Excluidos!E290)))</xm:f>
            <x14:dxf>
              <fill>
                <patternFill>
                  <bgColor rgb="FFFFC000"/>
                </patternFill>
              </fill>
            </x14:dxf>
          </x14:cfRule>
          <xm:sqref>E256</xm:sqref>
        </x14:conditionalFormatting>
        <x14:conditionalFormatting xmlns:xm="http://schemas.microsoft.com/office/excel/2006/main">
          <x14:cfRule type="containsText" priority="35234" operator="containsText" text="NUEVO" id="{F647DD36-2204-41E8-9B5A-C6A2C5ECB763}">
            <xm:f>NOT(ISERROR(SEARCH("NUEVO",Excluidos!E388)))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35235" operator="containsText" text="Sin Información" id="{FE306AE2-65D3-4B4B-8E03-DF0A58FE5A49}">
            <xm:f>NOT(ISERROR(SEARCH("Sin Información",Excluidos!E388)))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expression" priority="35236" id="{54AB55AC-E725-4E6F-B429-EDF789675A69}">
            <xm:f>Excluidos!E388&lt;&gt;""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E361:F361</xm:sqref>
        </x14:conditionalFormatting>
        <x14:conditionalFormatting xmlns:xm="http://schemas.microsoft.com/office/excel/2006/main">
          <x14:cfRule type="containsText" priority="35281" operator="containsText" text="NUEVO" id="{9CC595FE-9700-471E-881B-5775048296C1}">
            <xm:f>NOT(ISERROR(SEARCH("NUEVO",Excluidos!E538)))</xm:f>
            <x14:dxf>
              <fill>
                <patternFill>
                  <bgColor rgb="FFFFFF00"/>
                </patternFill>
              </fill>
            </x14:dxf>
          </x14:cfRule>
          <xm:sqref>E491</xm:sqref>
        </x14:conditionalFormatting>
        <x14:conditionalFormatting xmlns:xm="http://schemas.microsoft.com/office/excel/2006/main">
          <x14:cfRule type="containsText" priority="35282" operator="containsText" text="Sin información" id="{CC79603F-8446-4E2C-BAC6-B0DA05645806}">
            <xm:f>NOT(ISERROR(SEARCH("Sin información",Excluidos!E312)))</xm:f>
            <x14:dxf>
              <fill>
                <patternFill>
                  <bgColor rgb="FFFFC0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containsText" priority="35588" operator="containsText" text="NUEVO" id="{9CC595FE-9700-471E-881B-5775048296C1}">
            <xm:f>NOT(ISERROR(SEARCH("NUEVO",Excluidos!E521)))</xm:f>
            <x14:dxf>
              <fill>
                <patternFill>
                  <bgColor rgb="FFFFFF00"/>
                </patternFill>
              </fill>
            </x14:dxf>
          </x14:cfRule>
          <xm:sqref>E471</xm:sqref>
        </x14:conditionalFormatting>
        <x14:conditionalFormatting xmlns:xm="http://schemas.microsoft.com/office/excel/2006/main">
          <x14:cfRule type="containsText" priority="299" operator="containsText" text="NUEVO" id="{4E58F9A1-8706-4D53-B21C-510E1D4AA2A1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containsText" priority="300" operator="containsText" text="Sin Información" id="{401B56EC-3C67-4E37-B8F2-F62B155D4AF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containsText" priority="212" operator="containsText" text="Sin información" id="{4A8D5367-8AEA-48E9-AD56-097A3A40D956}">
            <xm:f>NOT(ISERROR(SEARCH("Sin información",Excluidos!E85)))</xm:f>
            <x14:dxf>
              <fill>
                <patternFill>
                  <bgColor rgb="FFFFC000"/>
                </patternFill>
              </fill>
            </x14:dxf>
          </x14:cfRule>
          <xm:sqref>E84</xm:sqref>
        </x14:conditionalFormatting>
        <x14:conditionalFormatting xmlns:xm="http://schemas.microsoft.com/office/excel/2006/main">
          <x14:cfRule type="containsText" priority="36961" operator="containsText" text="Sin Información" id="{E1D9AC8A-848E-4E1D-86FB-72B7AC915EC2}">
            <xm:f>NOT(ISERROR(SEARCH("Sin Información",Excluidos!E168)))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36962" operator="containsText" text="NUEVO" id="{F647DD36-2204-41E8-9B5A-C6A2C5ECB763}">
            <xm:f>NOT(ISERROR(SEARCH("NUEVO",Excluidos!E312)))</xm:f>
            <x14:dxf>
              <fill>
                <patternFill>
                  <bgColor rgb="FFFFFF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containsText" priority="36963" operator="containsText" text="Sin Información" id="{FE306AE2-65D3-4B4B-8E03-DF0A58FE5A49}">
            <xm:f>NOT(ISERROR(SEARCH("Sin Información",Excluidos!E312)))</xm:f>
            <x14:dxf>
              <fill>
                <patternFill>
                  <bgColor rgb="FFFFC0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expression" priority="36964" id="{54AB55AC-E725-4E6F-B429-EDF789675A69}">
            <xm:f>Excluidos!E312&lt;&gt;""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E267:F267</xm:sqref>
        </x14:conditionalFormatting>
        <x14:conditionalFormatting xmlns:xm="http://schemas.microsoft.com/office/excel/2006/main">
          <x14:cfRule type="expression" priority="36965" id="{1D7C746B-5E44-4CA8-8265-6BB19BC94D27}">
            <xm:f>Excluidos!E405&lt;&gt;""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E416:F416</xm:sqref>
        </x14:conditionalFormatting>
        <x14:conditionalFormatting xmlns:xm="http://schemas.microsoft.com/office/excel/2006/main">
          <x14:cfRule type="containsText" priority="36966" operator="containsText" text="Sin Información" id="{9D504025-FBDA-4361-90AE-B8A846402C4B}">
            <xm:f>NOT(ISERROR(SEARCH("Sin Información",Excluidos!E405)))</xm:f>
            <x14:dxf>
              <fill>
                <patternFill>
                  <bgColor rgb="FFFFC000"/>
                </patternFill>
              </fill>
            </x14:dxf>
          </x14:cfRule>
          <xm:sqref>E416</xm:sqref>
        </x14:conditionalFormatting>
        <x14:conditionalFormatting xmlns:xm="http://schemas.microsoft.com/office/excel/2006/main">
          <x14:cfRule type="containsText" priority="36967" operator="containsText" text="NUEVO" id="{F647DD36-2204-41E8-9B5A-C6A2C5ECB763}">
            <xm:f>NOT(ISERROR(SEARCH("NUEVO",Excluidos!E405)))</xm:f>
            <x14:dxf>
              <fill>
                <patternFill>
                  <bgColor rgb="FFFFFF00"/>
                </patternFill>
              </fill>
            </x14:dxf>
          </x14:cfRule>
          <xm:sqref>E416</xm:sqref>
        </x14:conditionalFormatting>
        <x14:conditionalFormatting xmlns:xm="http://schemas.microsoft.com/office/excel/2006/main">
          <x14:cfRule type="containsText" priority="36968" operator="containsText" text="NUEVO" id="{F647DD36-2204-41E8-9B5A-C6A2C5ECB763}">
            <xm:f>NOT(ISERROR(SEARCH("NUEVO",Excluidos!E168)))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expression" priority="36982" id="{1D7C746B-5E44-4CA8-8265-6BB19BC94D27}">
            <xm:f>Excluidos!E397&lt;&gt;""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E409:F409</xm:sqref>
        </x14:conditionalFormatting>
        <x14:conditionalFormatting xmlns:xm="http://schemas.microsoft.com/office/excel/2006/main">
          <x14:cfRule type="containsText" priority="36984" operator="containsText" text="Sin Información" id="{9D504025-FBDA-4361-90AE-B8A846402C4B}">
            <xm:f>NOT(ISERROR(SEARCH("Sin Información",Excluidos!E397)))</xm:f>
            <x14:dxf>
              <fill>
                <patternFill>
                  <bgColor rgb="FFFFC000"/>
                </patternFill>
              </fill>
            </x14:dxf>
          </x14:cfRule>
          <xm:sqref>E409</xm:sqref>
        </x14:conditionalFormatting>
        <x14:conditionalFormatting xmlns:xm="http://schemas.microsoft.com/office/excel/2006/main">
          <x14:cfRule type="containsText" priority="36986" operator="containsText" text="NUEVO" id="{F647DD36-2204-41E8-9B5A-C6A2C5ECB763}">
            <xm:f>NOT(ISERROR(SEARCH("NUEVO",Excluidos!E397)))</xm:f>
            <x14:dxf>
              <fill>
                <patternFill>
                  <bgColor rgb="FFFFFF00"/>
                </patternFill>
              </fill>
            </x14:dxf>
          </x14:cfRule>
          <xm:sqref>E409</xm:sqref>
        </x14:conditionalFormatting>
        <x14:conditionalFormatting xmlns:xm="http://schemas.microsoft.com/office/excel/2006/main">
          <x14:cfRule type="containsText" priority="37010" operator="containsText" text="NUEVO" id="{F647DD36-2204-41E8-9B5A-C6A2C5ECB763}">
            <xm:f>NOT(ISERROR(SEARCH("NUEVO",Excluidos!E290)))</xm:f>
            <x14:dxf>
              <fill>
                <patternFill>
                  <bgColor rgb="FFFFFF00"/>
                </patternFill>
              </fill>
            </x14:dxf>
          </x14:cfRule>
          <xm:sqref>E256</xm:sqref>
        </x14:conditionalFormatting>
        <x14:conditionalFormatting xmlns:xm="http://schemas.microsoft.com/office/excel/2006/main">
          <x14:cfRule type="containsText" priority="37011" operator="containsText" text="Sin Información" id="{FE306AE2-65D3-4B4B-8E03-DF0A58FE5A49}">
            <xm:f>NOT(ISERROR(SEARCH("Sin Información",Excluidos!E290)))</xm:f>
            <x14:dxf>
              <fill>
                <patternFill>
                  <bgColor rgb="FFFFC000"/>
                </patternFill>
              </fill>
            </x14:dxf>
          </x14:cfRule>
          <xm:sqref>E256</xm:sqref>
        </x14:conditionalFormatting>
        <x14:conditionalFormatting xmlns:xm="http://schemas.microsoft.com/office/excel/2006/main">
          <x14:cfRule type="expression" priority="37012" id="{54AB55AC-E725-4E6F-B429-EDF789675A69}">
            <xm:f>Excluidos!E290&lt;&gt;""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E256:F256</xm:sqref>
        </x14:conditionalFormatting>
        <x14:conditionalFormatting xmlns:xm="http://schemas.microsoft.com/office/excel/2006/main">
          <x14:cfRule type="expression" priority="37036" id="{1D7C746B-5E44-4CA8-8265-6BB19BC94D27}">
            <xm:f>Excluidos!E85&lt;&gt;""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E155:F155 E84:F84</xm:sqref>
        </x14:conditionalFormatting>
        <x14:conditionalFormatting xmlns:xm="http://schemas.microsoft.com/office/excel/2006/main">
          <x14:cfRule type="containsText" priority="37037" operator="containsText" text="Sin Información" id="{9D504025-FBDA-4361-90AE-B8A846402C4B}">
            <xm:f>NOT(ISERROR(SEARCH("Sin Información",Excluidos!E156)))</xm:f>
            <x14:dxf>
              <fill>
                <patternFill>
                  <bgColor rgb="FFFFC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containsText" priority="37038" operator="containsText" text="NUEVO" id="{F647DD36-2204-41E8-9B5A-C6A2C5ECB763}">
            <xm:f>NOT(ISERROR(SEARCH("NUEVO",Excluidos!E85)))</xm:f>
            <x14:dxf>
              <fill>
                <patternFill>
                  <bgColor rgb="FFFFFF00"/>
                </patternFill>
              </fill>
            </x14:dxf>
          </x14:cfRule>
          <xm:sqref>E155 E84</xm:sqref>
        </x14:conditionalFormatting>
        <x14:conditionalFormatting xmlns:xm="http://schemas.microsoft.com/office/excel/2006/main">
          <x14:cfRule type="containsText" priority="37103" operator="containsText" text="Sin Información" id="{E1D9AC8A-848E-4E1D-86FB-72B7AC915EC2}">
            <xm:f>NOT(ISERROR(SEARCH("Sin Información",Excluidos!E149)))</xm:f>
            <x14:dxf>
              <fill>
                <patternFill>
                  <bgColor rgb="FFFFC000"/>
                </patternFill>
              </fill>
            </x14:dxf>
          </x14:cfRule>
          <xm:sqref>E153 E149</xm:sqref>
        </x14:conditionalFormatting>
        <x14:conditionalFormatting xmlns:xm="http://schemas.microsoft.com/office/excel/2006/main">
          <x14:cfRule type="containsText" priority="37107" operator="containsText" text="NUEVO" id="{F647DD36-2204-41E8-9B5A-C6A2C5ECB763}">
            <xm:f>NOT(ISERROR(SEARCH("NUEVO",Excluidos!E149)))</xm:f>
            <x14:dxf>
              <fill>
                <patternFill>
                  <bgColor rgb="FFFFFF00"/>
                </patternFill>
              </fill>
            </x14:dxf>
          </x14:cfRule>
          <xm:sqref>E153 E149</xm:sqref>
        </x14:conditionalFormatting>
        <x14:conditionalFormatting xmlns:xm="http://schemas.microsoft.com/office/excel/2006/main">
          <x14:cfRule type="expression" priority="37110" id="{1D7C746B-5E44-4CA8-8265-6BB19BC94D27}">
            <xm:f>Excluidos!E149&lt;&gt;""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E153:F153 E149:F149</xm:sqref>
        </x14:conditionalFormatting>
        <x14:conditionalFormatting xmlns:xm="http://schemas.microsoft.com/office/excel/2006/main">
          <x14:cfRule type="expression" priority="37199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E138:F138</xm:sqref>
        </x14:conditionalFormatting>
        <x14:conditionalFormatting xmlns:xm="http://schemas.microsoft.com/office/excel/2006/main">
          <x14:cfRule type="containsText" priority="37238" operator="containsText" text="Sin Información" id="{E1D9AC8A-848E-4E1D-86FB-72B7AC915EC2}">
            <xm:f>NOT(ISERROR(SEARCH("Sin Información",Excluidos!E153)))</xm:f>
            <x14:dxf>
              <fill>
                <patternFill>
                  <bgColor rgb="FFFFC000"/>
                </patternFill>
              </fill>
            </x14:dxf>
          </x14:cfRule>
          <xm:sqref>E164 E157</xm:sqref>
        </x14:conditionalFormatting>
        <x14:conditionalFormatting xmlns:xm="http://schemas.microsoft.com/office/excel/2006/main">
          <x14:cfRule type="containsText" priority="37252" operator="containsText" text="NUEVO" id="{F647DD36-2204-41E8-9B5A-C6A2C5ECB763}">
            <xm:f>NOT(ISERROR(SEARCH("NUEVO",Excluidos!E153)))</xm:f>
            <x14:dxf>
              <fill>
                <patternFill>
                  <bgColor rgb="FFFFFF00"/>
                </patternFill>
              </fill>
            </x14:dxf>
          </x14:cfRule>
          <xm:sqref>E164 E157</xm:sqref>
        </x14:conditionalFormatting>
        <x14:conditionalFormatting xmlns:xm="http://schemas.microsoft.com/office/excel/2006/main">
          <x14:cfRule type="expression" priority="37254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E139:F139</xm:sqref>
        </x14:conditionalFormatting>
        <x14:conditionalFormatting xmlns:xm="http://schemas.microsoft.com/office/excel/2006/main">
          <x14:cfRule type="expression" priority="37275" id="{1D7C746B-5E44-4CA8-8265-6BB19BC94D27}">
            <xm:f>Excluidos!E153&lt;&gt;""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E157:F157</xm:sqref>
        </x14:conditionalFormatting>
        <x14:conditionalFormatting xmlns:xm="http://schemas.microsoft.com/office/excel/2006/main">
          <x14:cfRule type="containsText" priority="37300" operator="containsText" text="Sin Información" id="{E1D9AC8A-848E-4E1D-86FB-72B7AC915EC2}">
            <xm:f>NOT(ISERROR(SEARCH("Sin Información",Excluidos!E136)))</xm:f>
            <x14:dxf>
              <fill>
                <patternFill>
                  <bgColor rgb="FFFFC0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containsText" priority="37301" operator="containsText" text="NUEVO" id="{F647DD36-2204-41E8-9B5A-C6A2C5ECB763}">
            <xm:f>NOT(ISERROR(SEARCH("NUEVO",Excluidos!E136)))</xm:f>
            <x14:dxf>
              <fill>
                <patternFill>
                  <bgColor rgb="FFFFFF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containsText" priority="37308" operator="containsText" text="Sin Información" id="{E1D9AC8A-848E-4E1D-86FB-72B7AC915EC2}">
            <xm:f>NOT(ISERROR(SEARCH("Sin Información",Excluidos!E230)))</xm:f>
            <x14:dxf>
              <fill>
                <patternFill>
                  <bgColor rgb="FFFFC0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containsText" priority="37311" operator="containsText" text="NUEVO" id="{F647DD36-2204-41E8-9B5A-C6A2C5ECB763}">
            <xm:f>NOT(ISERROR(SEARCH("NUEVO",Excluidos!E230)))</xm:f>
            <x14:dxf>
              <fill>
                <patternFill>
                  <bgColor rgb="FFFFFF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expression" priority="37312" id="{1D7C746B-5E44-4CA8-8265-6BB19BC94D27}">
            <xm:f>Excluidos!E230&lt;&gt;""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E237:F237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N129:O129 AD181:AE181 C436:D543 C614:D645 C555:D602 C23:D88 C310:D423 C102:D297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E310:E325 E472:E476 E395:E397 E192:E217 E571:E572 E180:E190 E155:E163 E122:E137 E112:E120 E102:E110 E404 E367:E371 E139:E153 E639:E645 E555:E569 E478:E483 E267:E297 E493:E508 E436:E456 E614:E635 E359:E365 E510:E543 E165:E178 E458:E470 E399:E402 E485:E491 E406:E423 E23:E88 E574:E588 E590:E602 E327:E357 E265 E219:E226 E373:E393 E228:E263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3" t="s">
        <v>4</v>
      </c>
      <c r="B1" s="233"/>
      <c r="D1" s="119" t="s">
        <v>1903</v>
      </c>
    </row>
    <row r="2" spans="1:4" x14ac:dyDescent="0.25">
      <c r="A2" s="1" t="s">
        <v>5</v>
      </c>
      <c r="B2" s="1" t="s">
        <v>5</v>
      </c>
      <c r="D2" s="119" t="s">
        <v>45</v>
      </c>
    </row>
    <row r="3" spans="1:4" x14ac:dyDescent="0.25">
      <c r="A3" s="1" t="s">
        <v>6</v>
      </c>
      <c r="B3" s="1" t="s">
        <v>6</v>
      </c>
      <c r="D3" s="119" t="s">
        <v>383</v>
      </c>
    </row>
    <row r="4" spans="1:4" x14ac:dyDescent="0.25">
      <c r="A4" s="2" t="s">
        <v>1707</v>
      </c>
      <c r="D4" s="119" t="s">
        <v>337</v>
      </c>
    </row>
    <row r="5" spans="1:4" x14ac:dyDescent="0.25">
      <c r="D5" s="119" t="s">
        <v>312</v>
      </c>
    </row>
    <row r="6" spans="1:4" x14ac:dyDescent="0.25">
      <c r="D6" s="119" t="s">
        <v>258</v>
      </c>
    </row>
    <row r="7" spans="1:4" x14ac:dyDescent="0.25">
      <c r="D7" s="119" t="s">
        <v>1707</v>
      </c>
    </row>
    <row r="8" spans="1:4" x14ac:dyDescent="0.25">
      <c r="D8" s="119" t="s">
        <v>298</v>
      </c>
    </row>
    <row r="9" spans="1:4" x14ac:dyDescent="0.25">
      <c r="B9" s="21"/>
      <c r="D9" s="119" t="s">
        <v>150</v>
      </c>
    </row>
    <row r="10" spans="1:4" x14ac:dyDescent="0.25">
      <c r="D10" s="119" t="s">
        <v>1587</v>
      </c>
    </row>
    <row r="11" spans="1:4" x14ac:dyDescent="0.25">
      <c r="D11" s="119" t="s">
        <v>1248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5"/>
      <c r="B1" s="235"/>
      <c r="C1" s="235"/>
    </row>
    <row r="2" spans="1:3" ht="42.75" customHeight="1" x14ac:dyDescent="0.25">
      <c r="A2" s="235" t="s">
        <v>354</v>
      </c>
      <c r="B2" s="235"/>
      <c r="C2" s="235"/>
    </row>
    <row r="3" spans="1:3" x14ac:dyDescent="0.25">
      <c r="A3" s="38" t="s">
        <v>355</v>
      </c>
    </row>
    <row r="4" spans="1:3" x14ac:dyDescent="0.25">
      <c r="A4" s="38" t="s">
        <v>356</v>
      </c>
    </row>
    <row r="5" spans="1:3" x14ac:dyDescent="0.25">
      <c r="A5" s="38" t="s">
        <v>357</v>
      </c>
    </row>
    <row r="6" spans="1:3" x14ac:dyDescent="0.25">
      <c r="A6" t="s">
        <v>358</v>
      </c>
    </row>
    <row r="7" spans="1:3" x14ac:dyDescent="0.25">
      <c r="A7" t="s">
        <v>360</v>
      </c>
    </row>
    <row r="8" spans="1:3" x14ac:dyDescent="0.25">
      <c r="A8" t="s">
        <v>361</v>
      </c>
      <c r="C8" t="s">
        <v>359</v>
      </c>
    </row>
    <row r="9" spans="1:3" x14ac:dyDescent="0.25">
      <c r="A9" t="s">
        <v>362</v>
      </c>
      <c r="C9" t="s">
        <v>359</v>
      </c>
    </row>
    <row r="10" spans="1:3" x14ac:dyDescent="0.25">
      <c r="A10" t="s">
        <v>363</v>
      </c>
      <c r="C10" t="s">
        <v>359</v>
      </c>
    </row>
    <row r="11" spans="1:3" x14ac:dyDescent="0.25">
      <c r="A11" t="s">
        <v>364</v>
      </c>
      <c r="C11" t="s">
        <v>359</v>
      </c>
    </row>
    <row r="12" spans="1:3" x14ac:dyDescent="0.25">
      <c r="A12" t="s">
        <v>365</v>
      </c>
      <c r="C12" t="s">
        <v>359</v>
      </c>
    </row>
    <row r="13" spans="1:3" x14ac:dyDescent="0.25">
      <c r="A13" t="s">
        <v>366</v>
      </c>
      <c r="C13" t="s">
        <v>359</v>
      </c>
    </row>
    <row r="14" spans="1:3" x14ac:dyDescent="0.25">
      <c r="A14" t="s">
        <v>367</v>
      </c>
      <c r="C14" t="s">
        <v>359</v>
      </c>
    </row>
    <row r="15" spans="1:3" x14ac:dyDescent="0.25">
      <c r="A15" t="s">
        <v>368</v>
      </c>
      <c r="C15" t="s">
        <v>359</v>
      </c>
    </row>
    <row r="16" spans="1:3" x14ac:dyDescent="0.25">
      <c r="A16" t="s">
        <v>369</v>
      </c>
    </row>
    <row r="17" spans="1:3" ht="75" customHeight="1" x14ac:dyDescent="0.25">
      <c r="A17" s="234" t="s">
        <v>370</v>
      </c>
      <c r="B17" s="234"/>
      <c r="C17" s="39" t="s">
        <v>359</v>
      </c>
    </row>
    <row r="18" spans="1:3" ht="45" customHeight="1" x14ac:dyDescent="0.25">
      <c r="A18" s="234" t="s">
        <v>371</v>
      </c>
      <c r="B18" s="234"/>
      <c r="C18" s="39" t="s">
        <v>359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685"/>
  <sheetViews>
    <sheetView topLeftCell="A794" zoomScale="85" zoomScaleNormal="85" workbookViewId="0">
      <selection activeCell="A812" sqref="A812:XFD812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2.5703125" style="90" customWidth="1"/>
  </cols>
  <sheetData>
    <row r="1" spans="1:7" x14ac:dyDescent="0.25">
      <c r="A1" s="91" t="s">
        <v>1764</v>
      </c>
      <c r="C1" s="129"/>
      <c r="D1" s="129"/>
      <c r="E1" s="129"/>
      <c r="F1" s="129"/>
      <c r="G1" s="130"/>
    </row>
    <row r="2" spans="1:7" x14ac:dyDescent="0.25">
      <c r="A2" s="9">
        <v>1</v>
      </c>
      <c r="B2" s="42" t="s">
        <v>1633</v>
      </c>
      <c r="C2" s="16" t="s">
        <v>6</v>
      </c>
      <c r="D2" s="16" t="s">
        <v>6</v>
      </c>
      <c r="E2" s="79" t="s">
        <v>45</v>
      </c>
      <c r="F2" s="93">
        <v>46145</v>
      </c>
      <c r="G2" s="126">
        <v>4246941333</v>
      </c>
    </row>
    <row r="3" spans="1:7" x14ac:dyDescent="0.25">
      <c r="A3" s="9">
        <v>2</v>
      </c>
      <c r="B3" s="8" t="s">
        <v>1659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1658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1589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1643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1648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1647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1644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1646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1645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438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447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448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449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450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451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375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435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312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21</v>
      </c>
      <c r="B22" s="42" t="s">
        <v>532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22</v>
      </c>
      <c r="B23" s="42" t="s">
        <v>528</v>
      </c>
      <c r="C23" s="16" t="s">
        <v>6</v>
      </c>
      <c r="D23" s="16" t="s">
        <v>6</v>
      </c>
      <c r="E23" s="79" t="s">
        <v>540</v>
      </c>
      <c r="F23" s="93">
        <v>45859</v>
      </c>
    </row>
    <row r="24" spans="1:6" x14ac:dyDescent="0.25">
      <c r="A24" s="9">
        <v>23</v>
      </c>
      <c r="B24" s="42" t="s">
        <v>562</v>
      </c>
      <c r="C24" s="16" t="s">
        <v>6</v>
      </c>
      <c r="D24" s="16" t="s">
        <v>6</v>
      </c>
      <c r="E24" s="79" t="s">
        <v>540</v>
      </c>
      <c r="F24" s="93">
        <v>45866</v>
      </c>
    </row>
    <row r="25" spans="1:6" x14ac:dyDescent="0.25">
      <c r="A25" s="9">
        <v>24</v>
      </c>
      <c r="B25" s="42" t="s">
        <v>568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25</v>
      </c>
      <c r="B26" s="42" t="s">
        <v>569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26</v>
      </c>
      <c r="B27" s="33" t="s">
        <v>457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27</v>
      </c>
      <c r="B28" s="8" t="s">
        <v>591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28</v>
      </c>
      <c r="B29" s="42" t="s">
        <v>565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29</v>
      </c>
      <c r="B30" s="42" t="s">
        <v>592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30</v>
      </c>
      <c r="B31" s="42" t="s">
        <v>1529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31</v>
      </c>
      <c r="B32" s="42" t="s">
        <v>622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32</v>
      </c>
      <c r="B33" s="42" t="s">
        <v>623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33</v>
      </c>
      <c r="B34" s="42" t="s">
        <v>624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34</v>
      </c>
      <c r="B35" s="17" t="s">
        <v>1439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35</v>
      </c>
      <c r="B36" s="42" t="s">
        <v>695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36</v>
      </c>
      <c r="B37" s="42" t="s">
        <v>436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37</v>
      </c>
      <c r="B38" s="17" t="s">
        <v>324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38</v>
      </c>
      <c r="B39" s="17" t="s">
        <v>318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39</v>
      </c>
      <c r="B40" s="17" t="s">
        <v>341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40</v>
      </c>
      <c r="B41" s="46" t="s">
        <v>716</v>
      </c>
      <c r="C41" s="16" t="s">
        <v>6</v>
      </c>
      <c r="D41" s="16" t="s">
        <v>6</v>
      </c>
      <c r="E41" s="79" t="s">
        <v>337</v>
      </c>
      <c r="F41" s="93">
        <v>45900</v>
      </c>
    </row>
    <row r="42" spans="1:6" x14ac:dyDescent="0.25">
      <c r="A42" s="9">
        <v>41</v>
      </c>
      <c r="B42" s="46" t="s">
        <v>339</v>
      </c>
      <c r="C42" s="16" t="s">
        <v>6</v>
      </c>
      <c r="D42" s="16" t="s">
        <v>6</v>
      </c>
      <c r="E42" s="79" t="s">
        <v>337</v>
      </c>
      <c r="F42" s="93">
        <v>45907</v>
      </c>
    </row>
    <row r="43" spans="1:6" x14ac:dyDescent="0.25">
      <c r="A43" s="9">
        <v>42</v>
      </c>
      <c r="B43" s="42" t="s">
        <v>748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43</v>
      </c>
      <c r="B44" s="42" t="s">
        <v>749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44</v>
      </c>
      <c r="B45" s="42" t="s">
        <v>750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45</v>
      </c>
      <c r="B46" s="42" t="s">
        <v>754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46</v>
      </c>
      <c r="B47" s="42" t="s">
        <v>756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47</v>
      </c>
      <c r="B48" s="42" t="s">
        <v>779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48</v>
      </c>
      <c r="B49" s="42" t="s">
        <v>780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49</v>
      </c>
      <c r="B50" s="42" t="s">
        <v>781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50</v>
      </c>
      <c r="B51" s="42" t="s">
        <v>782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51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52</v>
      </c>
      <c r="B53" s="17" t="s">
        <v>861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53</v>
      </c>
      <c r="B54" s="8" t="s">
        <v>276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54</v>
      </c>
      <c r="B55" s="8" t="s">
        <v>277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55</v>
      </c>
      <c r="B56" s="8" t="s">
        <v>714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56</v>
      </c>
      <c r="B57" s="43" t="s">
        <v>688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57</v>
      </c>
      <c r="B58" s="46" t="s">
        <v>807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58</v>
      </c>
      <c r="B59" s="46" t="s">
        <v>860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59</v>
      </c>
      <c r="B60" s="46" t="s">
        <v>808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60</v>
      </c>
      <c r="B61" s="46" t="s">
        <v>862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61</v>
      </c>
      <c r="B62" s="46" t="s">
        <v>863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62</v>
      </c>
      <c r="B63" s="46" t="s">
        <v>866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63</v>
      </c>
      <c r="B64" s="42" t="s">
        <v>859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64</v>
      </c>
      <c r="B65" s="42" t="s">
        <v>297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65</v>
      </c>
      <c r="B66" s="42" t="s">
        <v>865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66</v>
      </c>
      <c r="B67" s="42" t="s">
        <v>864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67</v>
      </c>
      <c r="B68" s="42" t="s">
        <v>867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68</v>
      </c>
      <c r="B69" s="42" t="s">
        <v>868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69</v>
      </c>
      <c r="B70" s="42" t="s">
        <v>873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70</v>
      </c>
      <c r="B71" s="42" t="s">
        <v>872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71</v>
      </c>
      <c r="B72" s="42" t="s">
        <v>890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72</v>
      </c>
      <c r="B73" s="42" t="s">
        <v>891</v>
      </c>
      <c r="C73" s="16" t="s">
        <v>6</v>
      </c>
      <c r="D73" s="16" t="s">
        <v>6</v>
      </c>
      <c r="E73" s="79" t="s">
        <v>45</v>
      </c>
      <c r="F73" s="93">
        <v>45929</v>
      </c>
    </row>
    <row r="74" spans="1:6" x14ac:dyDescent="0.25">
      <c r="A74" s="9">
        <v>73</v>
      </c>
      <c r="B74" s="8" t="s">
        <v>934</v>
      </c>
      <c r="C74" s="16" t="s">
        <v>6</v>
      </c>
      <c r="D74" s="16" t="s">
        <v>6</v>
      </c>
      <c r="E74" s="82" t="s">
        <v>45</v>
      </c>
      <c r="F74" s="93">
        <v>45935</v>
      </c>
    </row>
    <row r="75" spans="1:6" x14ac:dyDescent="0.25">
      <c r="A75" s="9">
        <v>74</v>
      </c>
      <c r="B75" s="42" t="s">
        <v>778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75</v>
      </c>
      <c r="B76" s="42" t="s">
        <v>889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76</v>
      </c>
      <c r="B77" s="42" t="s">
        <v>932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77</v>
      </c>
      <c r="B78" s="42" t="s">
        <v>935</v>
      </c>
      <c r="C78" s="16" t="s">
        <v>6</v>
      </c>
      <c r="D78" s="16" t="s">
        <v>6</v>
      </c>
      <c r="E78" s="79" t="s">
        <v>45</v>
      </c>
      <c r="F78" s="93">
        <v>45935</v>
      </c>
    </row>
    <row r="79" spans="1:6" x14ac:dyDescent="0.25">
      <c r="A79" s="9">
        <v>78</v>
      </c>
      <c r="B79" s="29" t="s">
        <v>289</v>
      </c>
      <c r="C79" s="16" t="s">
        <v>6</v>
      </c>
      <c r="D79" s="16" t="s">
        <v>6</v>
      </c>
      <c r="E79" s="82" t="s">
        <v>43</v>
      </c>
      <c r="F79" s="93">
        <v>45942</v>
      </c>
    </row>
    <row r="80" spans="1:6" x14ac:dyDescent="0.25">
      <c r="A80" s="9">
        <v>79</v>
      </c>
      <c r="B80" s="8" t="s">
        <v>933</v>
      </c>
      <c r="C80" s="16" t="s">
        <v>6</v>
      </c>
      <c r="D80" s="16" t="s">
        <v>6</v>
      </c>
      <c r="E80" s="82" t="s">
        <v>45</v>
      </c>
      <c r="F80" s="93">
        <v>45942</v>
      </c>
    </row>
    <row r="81" spans="1:6" x14ac:dyDescent="0.25">
      <c r="A81" s="9">
        <v>80</v>
      </c>
      <c r="B81" s="42" t="s">
        <v>746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81</v>
      </c>
      <c r="B82" s="42" t="s">
        <v>755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82</v>
      </c>
      <c r="B83" s="46" t="s">
        <v>527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83</v>
      </c>
      <c r="B84" s="42" t="s">
        <v>973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84</v>
      </c>
      <c r="B85" s="42" t="s">
        <v>974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85</v>
      </c>
      <c r="B86" s="42" t="s">
        <v>975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86</v>
      </c>
      <c r="B87" s="42" t="s">
        <v>976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87</v>
      </c>
      <c r="B88" s="42" t="s">
        <v>977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88</v>
      </c>
      <c r="B89" s="42" t="s">
        <v>338</v>
      </c>
      <c r="C89" s="16" t="s">
        <v>6</v>
      </c>
      <c r="D89" s="16" t="s">
        <v>6</v>
      </c>
      <c r="E89" s="79" t="s">
        <v>45</v>
      </c>
      <c r="F89" s="93">
        <v>45942</v>
      </c>
    </row>
    <row r="90" spans="1:6" x14ac:dyDescent="0.25">
      <c r="A90" s="9">
        <v>89</v>
      </c>
      <c r="B90" s="8" t="s">
        <v>29</v>
      </c>
      <c r="C90" s="16" t="s">
        <v>6</v>
      </c>
      <c r="D90" s="16" t="s">
        <v>6</v>
      </c>
      <c r="E90" s="95" t="s">
        <v>45</v>
      </c>
      <c r="F90" s="93">
        <v>45949</v>
      </c>
    </row>
    <row r="91" spans="1:6" x14ac:dyDescent="0.25">
      <c r="A91" s="9">
        <v>90</v>
      </c>
      <c r="B91" s="42" t="s">
        <v>783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91</v>
      </c>
      <c r="B92" s="17" t="s">
        <v>473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92</v>
      </c>
      <c r="B93" s="42" t="s">
        <v>1002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93</v>
      </c>
      <c r="B94" s="42" t="s">
        <v>1003</v>
      </c>
      <c r="C94" s="16" t="s">
        <v>6</v>
      </c>
      <c r="D94" s="16" t="s">
        <v>6</v>
      </c>
      <c r="E94" s="79" t="s">
        <v>45</v>
      </c>
      <c r="F94" s="93">
        <v>45949</v>
      </c>
    </row>
    <row r="95" spans="1:6" x14ac:dyDescent="0.25">
      <c r="A95" s="9">
        <v>94</v>
      </c>
      <c r="B95" s="8" t="s">
        <v>27</v>
      </c>
      <c r="C95" s="16" t="s">
        <v>6</v>
      </c>
      <c r="D95" s="16" t="s">
        <v>6</v>
      </c>
      <c r="E95" s="95" t="s">
        <v>42</v>
      </c>
      <c r="F95" s="93">
        <v>46033</v>
      </c>
    </row>
    <row r="96" spans="1:6" x14ac:dyDescent="0.25">
      <c r="A96" s="9">
        <v>95</v>
      </c>
      <c r="B96" s="42" t="s">
        <v>1036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96</v>
      </c>
      <c r="B97" s="42" t="s">
        <v>1049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97</v>
      </c>
      <c r="B98" s="42" t="s">
        <v>1050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98</v>
      </c>
      <c r="B99" s="42" t="s">
        <v>1051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99</v>
      </c>
      <c r="B100" s="42" t="s">
        <v>1052</v>
      </c>
      <c r="C100" s="16" t="s">
        <v>6</v>
      </c>
      <c r="D100" s="16" t="s">
        <v>6</v>
      </c>
      <c r="E100" s="79" t="s">
        <v>45</v>
      </c>
      <c r="F100" s="93">
        <v>45956</v>
      </c>
    </row>
    <row r="101" spans="1:6" x14ac:dyDescent="0.25">
      <c r="A101" s="9">
        <v>100</v>
      </c>
      <c r="B101" s="8" t="s">
        <v>9</v>
      </c>
      <c r="C101" s="16" t="s">
        <v>6</v>
      </c>
      <c r="D101" s="16" t="s">
        <v>6</v>
      </c>
      <c r="E101" s="96" t="s">
        <v>39</v>
      </c>
      <c r="F101" s="93">
        <v>45964</v>
      </c>
    </row>
    <row r="102" spans="1:6" x14ac:dyDescent="0.25">
      <c r="A102" s="9">
        <v>101</v>
      </c>
      <c r="B102" s="8" t="s">
        <v>1004</v>
      </c>
      <c r="C102" s="16" t="s">
        <v>6</v>
      </c>
      <c r="D102" s="16" t="s">
        <v>6</v>
      </c>
      <c r="E102" s="95" t="s">
        <v>45</v>
      </c>
      <c r="F102" s="93">
        <v>45970</v>
      </c>
    </row>
    <row r="103" spans="1:6" x14ac:dyDescent="0.25">
      <c r="A103" s="9">
        <v>102</v>
      </c>
      <c r="B103" s="29" t="s">
        <v>1129</v>
      </c>
      <c r="C103" s="16" t="s">
        <v>6</v>
      </c>
      <c r="D103" s="16" t="s">
        <v>6</v>
      </c>
      <c r="E103" s="82" t="s">
        <v>45</v>
      </c>
      <c r="F103" s="93">
        <v>45984</v>
      </c>
    </row>
    <row r="104" spans="1:6" x14ac:dyDescent="0.25">
      <c r="A104" s="9">
        <v>103</v>
      </c>
      <c r="B104" s="42" t="s">
        <v>1130</v>
      </c>
      <c r="C104" s="16" t="s">
        <v>6</v>
      </c>
      <c r="D104" s="16" t="s">
        <v>6</v>
      </c>
      <c r="E104" s="79" t="s">
        <v>45</v>
      </c>
      <c r="F104" s="93">
        <v>45984</v>
      </c>
    </row>
    <row r="105" spans="1:6" x14ac:dyDescent="0.25">
      <c r="A105" s="9">
        <v>104</v>
      </c>
      <c r="B105" s="29" t="s">
        <v>280</v>
      </c>
      <c r="C105" s="16" t="s">
        <v>6</v>
      </c>
      <c r="D105" s="16" t="s">
        <v>6</v>
      </c>
      <c r="E105" s="95" t="s">
        <v>39</v>
      </c>
      <c r="F105" s="93">
        <v>46110</v>
      </c>
    </row>
    <row r="106" spans="1:6" x14ac:dyDescent="0.25">
      <c r="A106" s="9">
        <v>105</v>
      </c>
      <c r="B106" s="17" t="s">
        <v>1165</v>
      </c>
      <c r="C106" s="16" t="s">
        <v>6</v>
      </c>
      <c r="D106" s="16" t="s">
        <v>6</v>
      </c>
      <c r="E106" s="79" t="s">
        <v>42</v>
      </c>
      <c r="F106" s="93">
        <v>45998</v>
      </c>
    </row>
    <row r="107" spans="1:6" x14ac:dyDescent="0.25">
      <c r="A107" s="9">
        <v>106</v>
      </c>
      <c r="B107" s="8" t="s">
        <v>24</v>
      </c>
      <c r="C107" s="16" t="s">
        <v>6</v>
      </c>
      <c r="D107" s="16" t="s">
        <v>6</v>
      </c>
      <c r="E107" s="95" t="s">
        <v>39</v>
      </c>
      <c r="F107" s="93">
        <v>45998</v>
      </c>
    </row>
    <row r="108" spans="1:6" x14ac:dyDescent="0.25">
      <c r="A108" s="9">
        <v>107</v>
      </c>
      <c r="B108" s="8" t="s">
        <v>25</v>
      </c>
      <c r="C108" s="16" t="s">
        <v>6</v>
      </c>
      <c r="D108" s="16" t="s">
        <v>6</v>
      </c>
      <c r="E108" s="95" t="s">
        <v>45</v>
      </c>
      <c r="F108" s="93">
        <v>46033</v>
      </c>
    </row>
    <row r="109" spans="1:6" x14ac:dyDescent="0.25">
      <c r="A109" s="9">
        <v>108</v>
      </c>
      <c r="B109" s="33" t="s">
        <v>404</v>
      </c>
      <c r="C109" s="16" t="s">
        <v>6</v>
      </c>
      <c r="D109" s="16" t="s">
        <v>6</v>
      </c>
      <c r="E109" s="79" t="s">
        <v>45</v>
      </c>
      <c r="F109" s="93">
        <v>45998</v>
      </c>
    </row>
    <row r="110" spans="1:6" x14ac:dyDescent="0.25">
      <c r="A110" s="9">
        <v>109</v>
      </c>
      <c r="B110" s="8" t="s">
        <v>809</v>
      </c>
      <c r="C110" s="16" t="s">
        <v>6</v>
      </c>
      <c r="D110" s="16" t="s">
        <v>6</v>
      </c>
      <c r="E110" s="82" t="s">
        <v>45</v>
      </c>
      <c r="F110" s="93">
        <v>45998</v>
      </c>
    </row>
    <row r="111" spans="1:6" x14ac:dyDescent="0.25">
      <c r="A111" s="9">
        <v>110</v>
      </c>
      <c r="B111" s="42" t="s">
        <v>1006</v>
      </c>
      <c r="C111" s="16" t="s">
        <v>6</v>
      </c>
      <c r="D111" s="16" t="s">
        <v>6</v>
      </c>
      <c r="E111" s="79" t="s">
        <v>45</v>
      </c>
      <c r="F111" s="93">
        <v>45998</v>
      </c>
    </row>
    <row r="112" spans="1:6" x14ac:dyDescent="0.25">
      <c r="A112" s="9">
        <v>111</v>
      </c>
      <c r="B112" s="42" t="s">
        <v>1205</v>
      </c>
      <c r="C112" s="16" t="s">
        <v>6</v>
      </c>
      <c r="D112" s="16" t="s">
        <v>6</v>
      </c>
      <c r="E112" s="79" t="s">
        <v>337</v>
      </c>
      <c r="F112" s="93">
        <v>45998</v>
      </c>
    </row>
    <row r="113" spans="1:6" x14ac:dyDescent="0.25">
      <c r="A113" s="9">
        <v>112</v>
      </c>
      <c r="B113" s="42" t="s">
        <v>1199</v>
      </c>
      <c r="C113" s="16" t="s">
        <v>6</v>
      </c>
      <c r="D113" s="16" t="s">
        <v>6</v>
      </c>
      <c r="E113" s="79" t="s">
        <v>45</v>
      </c>
      <c r="F113" s="93">
        <v>45998</v>
      </c>
    </row>
    <row r="114" spans="1:6" x14ac:dyDescent="0.25">
      <c r="A114" s="9">
        <v>113</v>
      </c>
      <c r="B114" s="29" t="s">
        <v>307</v>
      </c>
      <c r="C114" s="16" t="s">
        <v>6</v>
      </c>
      <c r="D114" s="16" t="s">
        <v>6</v>
      </c>
      <c r="E114" s="82" t="s">
        <v>43</v>
      </c>
      <c r="F114" s="93">
        <v>46033</v>
      </c>
    </row>
    <row r="116" spans="1:6" x14ac:dyDescent="0.25">
      <c r="A116" s="9">
        <v>115</v>
      </c>
      <c r="B116" s="42" t="s">
        <v>1265</v>
      </c>
      <c r="C116" s="16" t="s">
        <v>6</v>
      </c>
      <c r="D116" s="16" t="s">
        <v>6</v>
      </c>
      <c r="E116" s="79" t="s">
        <v>45</v>
      </c>
      <c r="F116" s="93">
        <v>46033</v>
      </c>
    </row>
    <row r="117" spans="1:6" x14ac:dyDescent="0.25">
      <c r="A117" s="9">
        <v>116</v>
      </c>
      <c r="B117" s="8" t="s">
        <v>1330</v>
      </c>
      <c r="C117" s="16" t="s">
        <v>6</v>
      </c>
      <c r="D117" s="16" t="s">
        <v>6</v>
      </c>
      <c r="E117" s="95" t="s">
        <v>45</v>
      </c>
      <c r="F117" s="93">
        <v>46055</v>
      </c>
    </row>
    <row r="118" spans="1:6" x14ac:dyDescent="0.25">
      <c r="A118" s="9">
        <v>117</v>
      </c>
      <c r="B118" s="42" t="s">
        <v>1266</v>
      </c>
      <c r="C118" s="16" t="s">
        <v>6</v>
      </c>
      <c r="D118" s="16" t="s">
        <v>6</v>
      </c>
      <c r="E118" s="79" t="s">
        <v>45</v>
      </c>
      <c r="F118" s="93">
        <v>46061</v>
      </c>
    </row>
    <row r="119" spans="1:6" x14ac:dyDescent="0.25">
      <c r="A119" s="9">
        <v>118</v>
      </c>
      <c r="B119" s="42" t="s">
        <v>1204</v>
      </c>
      <c r="C119" s="16" t="s">
        <v>6</v>
      </c>
      <c r="D119" s="16" t="s">
        <v>6</v>
      </c>
      <c r="E119" s="79" t="s">
        <v>45</v>
      </c>
      <c r="F119" s="93">
        <v>46046</v>
      </c>
    </row>
    <row r="120" spans="1:6" x14ac:dyDescent="0.25">
      <c r="A120" s="9">
        <v>119</v>
      </c>
      <c r="B120" s="8" t="s">
        <v>1356</v>
      </c>
      <c r="C120" s="16" t="s">
        <v>6</v>
      </c>
      <c r="D120" s="16" t="s">
        <v>6</v>
      </c>
      <c r="E120" s="95" t="s">
        <v>40</v>
      </c>
      <c r="F120" s="93">
        <v>46095</v>
      </c>
    </row>
    <row r="121" spans="1:6" x14ac:dyDescent="0.25">
      <c r="A121" s="9">
        <v>120</v>
      </c>
      <c r="B121" s="8" t="s">
        <v>1355</v>
      </c>
      <c r="C121" s="16" t="s">
        <v>6</v>
      </c>
      <c r="D121" s="16" t="s">
        <v>6</v>
      </c>
      <c r="E121" s="95" t="s">
        <v>40</v>
      </c>
      <c r="F121" s="93">
        <v>46095</v>
      </c>
    </row>
    <row r="122" spans="1:6" x14ac:dyDescent="0.25">
      <c r="A122" s="9">
        <v>121</v>
      </c>
      <c r="B122" s="8" t="s">
        <v>715</v>
      </c>
      <c r="C122" s="16" t="s">
        <v>6</v>
      </c>
      <c r="D122" s="16" t="s">
        <v>6</v>
      </c>
      <c r="E122" s="95" t="s">
        <v>45</v>
      </c>
      <c r="F122" s="93">
        <v>46095</v>
      </c>
    </row>
    <row r="123" spans="1:6" x14ac:dyDescent="0.25">
      <c r="A123" s="9">
        <v>122</v>
      </c>
      <c r="B123" s="42" t="s">
        <v>511</v>
      </c>
      <c r="C123" s="16" t="s">
        <v>6</v>
      </c>
      <c r="D123" s="16" t="s">
        <v>6</v>
      </c>
      <c r="E123" s="79" t="s">
        <v>45</v>
      </c>
      <c r="F123" s="93">
        <v>46082</v>
      </c>
    </row>
    <row r="124" spans="1:6" x14ac:dyDescent="0.25">
      <c r="A124" s="9">
        <v>123</v>
      </c>
      <c r="B124" s="42" t="s">
        <v>1440</v>
      </c>
      <c r="C124" s="16" t="s">
        <v>6</v>
      </c>
      <c r="D124" s="16" t="s">
        <v>6</v>
      </c>
      <c r="E124" s="79" t="s">
        <v>45</v>
      </c>
      <c r="F124" s="93">
        <v>46082</v>
      </c>
    </row>
    <row r="125" spans="1:6" x14ac:dyDescent="0.25">
      <c r="A125" s="9">
        <v>124</v>
      </c>
      <c r="B125" s="42" t="s">
        <v>1387</v>
      </c>
      <c r="C125" s="16" t="s">
        <v>6</v>
      </c>
      <c r="D125" s="16" t="s">
        <v>6</v>
      </c>
      <c r="E125" s="79" t="s">
        <v>45</v>
      </c>
      <c r="F125" s="93">
        <v>46110</v>
      </c>
    </row>
    <row r="126" spans="1:6" x14ac:dyDescent="0.25">
      <c r="A126" s="9">
        <v>125</v>
      </c>
      <c r="B126" s="42" t="s">
        <v>1388</v>
      </c>
      <c r="C126" s="16" t="s">
        <v>6</v>
      </c>
      <c r="D126" s="16" t="s">
        <v>6</v>
      </c>
      <c r="E126" s="79" t="s">
        <v>45</v>
      </c>
      <c r="F126" s="93">
        <v>46110</v>
      </c>
    </row>
    <row r="127" spans="1:6" x14ac:dyDescent="0.25">
      <c r="A127" s="9">
        <v>126</v>
      </c>
      <c r="B127" s="42" t="s">
        <v>1530</v>
      </c>
      <c r="C127" s="16" t="s">
        <v>6</v>
      </c>
      <c r="D127" s="16" t="s">
        <v>6</v>
      </c>
      <c r="E127" s="79" t="s">
        <v>45</v>
      </c>
      <c r="F127" s="93">
        <v>46138</v>
      </c>
    </row>
    <row r="128" spans="1:6" x14ac:dyDescent="0.25">
      <c r="A128" s="9">
        <v>127</v>
      </c>
      <c r="B128" s="42" t="s">
        <v>1520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128</v>
      </c>
      <c r="B129" s="42" t="s">
        <v>1518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129</v>
      </c>
      <c r="B130" s="42" t="s">
        <v>1517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130</v>
      </c>
      <c r="B131" s="42" t="s">
        <v>1516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131</v>
      </c>
      <c r="B132" s="42" t="s">
        <v>1515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132</v>
      </c>
      <c r="B133" s="42" t="s">
        <v>1524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133</v>
      </c>
      <c r="B134" s="42" t="s">
        <v>1525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134</v>
      </c>
      <c r="B135" s="42" t="s">
        <v>1526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135</v>
      </c>
      <c r="B136" s="42" t="s">
        <v>1527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136</v>
      </c>
      <c r="B137" s="42" t="s">
        <v>1544</v>
      </c>
      <c r="C137" s="16" t="s">
        <v>6</v>
      </c>
      <c r="D137" s="16" t="s">
        <v>6</v>
      </c>
      <c r="E137" s="79" t="s">
        <v>45</v>
      </c>
      <c r="F137" s="93">
        <v>46104</v>
      </c>
    </row>
    <row r="138" spans="1:6" x14ac:dyDescent="0.25">
      <c r="A138" s="9">
        <v>137</v>
      </c>
      <c r="B138" s="42" t="s">
        <v>1543</v>
      </c>
      <c r="C138" s="16" t="s">
        <v>6</v>
      </c>
      <c r="D138" s="16" t="s">
        <v>6</v>
      </c>
      <c r="E138" s="79" t="s">
        <v>45</v>
      </c>
      <c r="F138" s="93">
        <v>46104</v>
      </c>
    </row>
    <row r="139" spans="1:6" x14ac:dyDescent="0.25">
      <c r="A139" s="9">
        <v>138</v>
      </c>
      <c r="B139" s="42" t="s">
        <v>1546</v>
      </c>
      <c r="C139" s="16" t="s">
        <v>6</v>
      </c>
      <c r="D139" s="16" t="s">
        <v>6</v>
      </c>
      <c r="E139" s="79" t="s">
        <v>45</v>
      </c>
      <c r="F139" s="93">
        <v>46104</v>
      </c>
    </row>
    <row r="140" spans="1:6" x14ac:dyDescent="0.25">
      <c r="A140" s="9">
        <v>139</v>
      </c>
      <c r="B140" s="42" t="s">
        <v>310</v>
      </c>
      <c r="C140" s="16" t="s">
        <v>6</v>
      </c>
      <c r="D140" s="16" t="s">
        <v>6</v>
      </c>
      <c r="E140" s="79" t="s">
        <v>45</v>
      </c>
      <c r="F140" s="93">
        <v>46110</v>
      </c>
    </row>
    <row r="141" spans="1:6" x14ac:dyDescent="0.25">
      <c r="A141" s="9">
        <v>140</v>
      </c>
      <c r="B141" s="42" t="s">
        <v>1545</v>
      </c>
      <c r="C141" s="16" t="s">
        <v>6</v>
      </c>
      <c r="D141" s="16" t="s">
        <v>6</v>
      </c>
      <c r="E141" s="79" t="s">
        <v>45</v>
      </c>
      <c r="F141" s="93">
        <v>46138</v>
      </c>
    </row>
    <row r="142" spans="1:6" x14ac:dyDescent="0.25">
      <c r="A142" s="9">
        <v>141</v>
      </c>
      <c r="B142" s="42" t="s">
        <v>1528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142</v>
      </c>
      <c r="B143" s="42" t="s">
        <v>1620</v>
      </c>
      <c r="C143" s="16" t="s">
        <v>6</v>
      </c>
      <c r="D143" s="16" t="s">
        <v>6</v>
      </c>
      <c r="E143" s="79" t="s">
        <v>45</v>
      </c>
      <c r="F143" s="93">
        <v>46138</v>
      </c>
    </row>
    <row r="144" spans="1:6" x14ac:dyDescent="0.25">
      <c r="A144" s="9">
        <v>143</v>
      </c>
      <c r="B144" s="42" t="s">
        <v>1616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x14ac:dyDescent="0.25">
      <c r="A145" s="9">
        <v>144</v>
      </c>
      <c r="B145" s="42" t="s">
        <v>1617</v>
      </c>
      <c r="C145" s="16" t="s">
        <v>6</v>
      </c>
      <c r="D145" s="16" t="s">
        <v>6</v>
      </c>
      <c r="E145" s="79" t="s">
        <v>45</v>
      </c>
      <c r="F145" s="93">
        <v>46131</v>
      </c>
    </row>
    <row r="146" spans="1:6" x14ac:dyDescent="0.25">
      <c r="A146" s="9">
        <v>145</v>
      </c>
      <c r="B146" s="42" t="s">
        <v>1618</v>
      </c>
      <c r="C146" s="16" t="s">
        <v>6</v>
      </c>
      <c r="D146" s="16" t="s">
        <v>6</v>
      </c>
      <c r="E146" s="79" t="s">
        <v>45</v>
      </c>
      <c r="F146" s="93">
        <v>46131</v>
      </c>
    </row>
    <row r="147" spans="1:6" x14ac:dyDescent="0.25">
      <c r="A147" s="9">
        <v>146</v>
      </c>
      <c r="B147" s="42" t="s">
        <v>1619</v>
      </c>
      <c r="C147" s="16" t="s">
        <v>6</v>
      </c>
      <c r="D147" s="16" t="s">
        <v>6</v>
      </c>
      <c r="E147" s="79" t="s">
        <v>45</v>
      </c>
      <c r="F147" s="93">
        <v>46131</v>
      </c>
    </row>
    <row r="148" spans="1:6" ht="15.75" x14ac:dyDescent="0.25">
      <c r="A148" s="9">
        <v>147</v>
      </c>
      <c r="B148" s="42" t="s">
        <v>1857</v>
      </c>
      <c r="C148" s="16" t="s">
        <v>6</v>
      </c>
      <c r="D148" s="16" t="s">
        <v>6</v>
      </c>
      <c r="E148" s="28" t="s">
        <v>45</v>
      </c>
      <c r="F148" s="32">
        <f ca="1">IF(AND(C148="NO",D148="NO"),IF(F148="",TODAY(),F148),"")</f>
        <v>46258</v>
      </c>
    </row>
    <row r="149" spans="1:6" ht="15.75" x14ac:dyDescent="0.25">
      <c r="A149" s="9">
        <v>148</v>
      </c>
      <c r="B149" s="8" t="s">
        <v>563</v>
      </c>
      <c r="C149" s="16" t="s">
        <v>6</v>
      </c>
      <c r="D149" s="16" t="s">
        <v>6</v>
      </c>
      <c r="E149" s="28" t="s">
        <v>45</v>
      </c>
      <c r="F149" s="32">
        <f ca="1">IF(AND(C149="NO",D149="NO"),IF(F149="",TODAY(),F149),"")</f>
        <v>46258</v>
      </c>
    </row>
    <row r="150" spans="1:6" ht="15.75" x14ac:dyDescent="0.25">
      <c r="A150" s="9">
        <v>149</v>
      </c>
      <c r="B150" s="8" t="s">
        <v>446</v>
      </c>
      <c r="C150" s="16" t="s">
        <v>6</v>
      </c>
      <c r="D150" s="16" t="s">
        <v>6</v>
      </c>
      <c r="E150" s="28" t="s">
        <v>45</v>
      </c>
      <c r="F150" s="32">
        <f ca="1">IF(AND(C150="NO",D150="NO"),IF(F150="",TODAY(),F150),"")</f>
        <v>46258</v>
      </c>
    </row>
    <row r="151" spans="1:6" x14ac:dyDescent="0.25">
      <c r="A151" s="9">
        <v>150</v>
      </c>
      <c r="B151" s="42" t="s">
        <v>1743</v>
      </c>
      <c r="C151" s="16" t="s">
        <v>6</v>
      </c>
      <c r="D151" s="16" t="s">
        <v>6</v>
      </c>
      <c r="E151" s="20" t="s">
        <v>45</v>
      </c>
      <c r="F151" s="32">
        <f ca="1">IF(AND(C151="NO",D151="NO"),IF(F151="",TODAY(),F151),"")</f>
        <v>46258</v>
      </c>
    </row>
    <row r="152" spans="1:6" ht="15.75" x14ac:dyDescent="0.25">
      <c r="A152" s="9">
        <v>151</v>
      </c>
      <c r="B152" s="42" t="s">
        <v>2028</v>
      </c>
      <c r="C152" s="16" t="s">
        <v>6</v>
      </c>
      <c r="D152" s="16" t="s">
        <v>6</v>
      </c>
      <c r="E152" s="28" t="s">
        <v>337</v>
      </c>
      <c r="F152" s="32">
        <f ca="1">IF(AND(C152="NO",D152="NO"),IF(F152="",TODAY(),F152),"")</f>
        <v>46258</v>
      </c>
    </row>
    <row r="153" spans="1:6" x14ac:dyDescent="0.25">
      <c r="A153" s="9">
        <v>152</v>
      </c>
      <c r="B153" s="42" t="s">
        <v>1594</v>
      </c>
      <c r="C153" s="16" t="s">
        <v>6</v>
      </c>
      <c r="D153" s="16" t="s">
        <v>6</v>
      </c>
      <c r="E153" s="20" t="s">
        <v>45</v>
      </c>
      <c r="F153" s="103">
        <v>46166</v>
      </c>
    </row>
    <row r="154" spans="1:6" x14ac:dyDescent="0.25">
      <c r="A154" s="9">
        <v>153</v>
      </c>
      <c r="B154" s="42" t="s">
        <v>1675</v>
      </c>
      <c r="C154" s="16" t="s">
        <v>6</v>
      </c>
      <c r="D154" s="16" t="s">
        <v>6</v>
      </c>
      <c r="E154" s="20" t="s">
        <v>45</v>
      </c>
      <c r="F154" s="103">
        <v>46166</v>
      </c>
    </row>
    <row r="155" spans="1:6" x14ac:dyDescent="0.25">
      <c r="A155" s="9">
        <v>154</v>
      </c>
      <c r="B155" s="42" t="s">
        <v>1676</v>
      </c>
      <c r="C155" s="16" t="s">
        <v>6</v>
      </c>
      <c r="D155" s="16" t="s">
        <v>6</v>
      </c>
      <c r="E155" s="20" t="s">
        <v>45</v>
      </c>
      <c r="F155" s="103">
        <v>46166</v>
      </c>
    </row>
    <row r="156" spans="1:6" x14ac:dyDescent="0.25">
      <c r="A156" s="9">
        <v>155</v>
      </c>
      <c r="B156" s="8" t="s">
        <v>8</v>
      </c>
      <c r="C156" s="16" t="s">
        <v>6</v>
      </c>
      <c r="D156" s="16" t="s">
        <v>6</v>
      </c>
      <c r="E156" s="8" t="s">
        <v>312</v>
      </c>
      <c r="F156" s="103">
        <v>46173</v>
      </c>
    </row>
    <row r="157" spans="1:6" x14ac:dyDescent="0.25">
      <c r="A157" s="9">
        <v>156</v>
      </c>
      <c r="B157" s="42" t="s">
        <v>1674</v>
      </c>
      <c r="C157" s="16" t="s">
        <v>6</v>
      </c>
      <c r="D157" s="16" t="s">
        <v>6</v>
      </c>
      <c r="E157" s="20" t="s">
        <v>45</v>
      </c>
      <c r="F157" s="103">
        <v>46173</v>
      </c>
    </row>
    <row r="158" spans="1:6" x14ac:dyDescent="0.25">
      <c r="A158" s="9">
        <v>157</v>
      </c>
      <c r="B158" s="33" t="s">
        <v>1555</v>
      </c>
      <c r="C158" s="16" t="s">
        <v>6</v>
      </c>
      <c r="D158" s="16" t="s">
        <v>6</v>
      </c>
      <c r="E158" s="12" t="s">
        <v>45</v>
      </c>
      <c r="F158" s="32">
        <f ca="1">IF(AND(C158="NO",D158="NO"),IF(F158="",TODAY(),F158),"")</f>
        <v>46177</v>
      </c>
    </row>
    <row r="159" spans="1:6" x14ac:dyDescent="0.25">
      <c r="A159" s="9">
        <v>158</v>
      </c>
      <c r="B159" s="42" t="s">
        <v>30</v>
      </c>
      <c r="C159" s="16" t="s">
        <v>6</v>
      </c>
      <c r="D159" s="16" t="s">
        <v>6</v>
      </c>
      <c r="E159" s="20" t="s">
        <v>45</v>
      </c>
      <c r="F159" s="32">
        <f ca="1">IF(AND(C159="NO",D159="NO"),IF(F159="",TODAY(),F159),"")</f>
        <v>46177</v>
      </c>
    </row>
    <row r="160" spans="1:6" x14ac:dyDescent="0.25">
      <c r="A160" s="9">
        <v>159</v>
      </c>
      <c r="B160" s="42" t="s">
        <v>1702</v>
      </c>
      <c r="C160" s="16" t="s">
        <v>6</v>
      </c>
      <c r="D160" s="16" t="s">
        <v>6</v>
      </c>
      <c r="E160" s="20" t="s">
        <v>45</v>
      </c>
      <c r="F160" s="32">
        <f ca="1">IF(AND(C160="NO",D160="NO"),IF(F160="",TODAY(),F160),"")</f>
        <v>46177</v>
      </c>
    </row>
    <row r="161" spans="1:6" x14ac:dyDescent="0.25">
      <c r="A161" s="9">
        <v>160</v>
      </c>
      <c r="B161" s="42" t="s">
        <v>1703</v>
      </c>
      <c r="C161" s="16" t="s">
        <v>6</v>
      </c>
      <c r="D161" s="16" t="s">
        <v>6</v>
      </c>
      <c r="E161" s="20" t="s">
        <v>45</v>
      </c>
      <c r="F161" s="32">
        <f ca="1">IF(AND(C161="NO",D161="NO"),IF(F161="",TODAY(),F161),"")</f>
        <v>46177</v>
      </c>
    </row>
    <row r="162" spans="1:6" x14ac:dyDescent="0.25">
      <c r="A162" s="9">
        <v>161</v>
      </c>
      <c r="B162" s="42" t="s">
        <v>1704</v>
      </c>
      <c r="C162" s="16" t="s">
        <v>6</v>
      </c>
      <c r="D162" s="16" t="s">
        <v>6</v>
      </c>
      <c r="E162" s="20" t="s">
        <v>45</v>
      </c>
      <c r="F162" s="32">
        <f ca="1">IF(AND(C162="NO",D162="NO"),IF(F162="",TODAY(),F162),"")</f>
        <v>46177</v>
      </c>
    </row>
    <row r="163" spans="1:6" ht="15.75" x14ac:dyDescent="0.25">
      <c r="A163" s="9">
        <v>162</v>
      </c>
      <c r="B163" s="42" t="s">
        <v>1782</v>
      </c>
      <c r="C163" s="16" t="s">
        <v>6</v>
      </c>
      <c r="D163" s="16" t="s">
        <v>6</v>
      </c>
      <c r="E163" s="28" t="s">
        <v>45</v>
      </c>
      <c r="F163" s="32">
        <f ca="1">IF(AND(C163="NO",D163="NO"),IF(F163="",TODAY(),F163),"")</f>
        <v>46195</v>
      </c>
    </row>
    <row r="164" spans="1:6" ht="15.75" x14ac:dyDescent="0.25">
      <c r="A164" s="9">
        <v>163</v>
      </c>
      <c r="B164" s="42" t="s">
        <v>33</v>
      </c>
      <c r="C164" s="16" t="s">
        <v>6</v>
      </c>
      <c r="D164" s="16" t="s">
        <v>6</v>
      </c>
      <c r="E164" s="28" t="s">
        <v>45</v>
      </c>
      <c r="F164" s="32">
        <f ca="1">IF(AND(C164="NO",D164="NO"),IF(F164="",TODAY(),F164),"")</f>
        <v>46202</v>
      </c>
    </row>
    <row r="165" spans="1:6" ht="15.75" x14ac:dyDescent="0.25">
      <c r="A165" s="9">
        <v>164</v>
      </c>
      <c r="B165" s="42" t="s">
        <v>1785</v>
      </c>
      <c r="C165" s="16" t="s">
        <v>6</v>
      </c>
      <c r="D165" s="16" t="s">
        <v>6</v>
      </c>
      <c r="E165" s="28" t="s">
        <v>45</v>
      </c>
      <c r="F165" s="32">
        <f ca="1">IF(AND(C165="NO",D165="NO"),IF(F165="",TODAY(),F165),"")</f>
        <v>46202</v>
      </c>
    </row>
    <row r="166" spans="1:6" ht="15.75" x14ac:dyDescent="0.25">
      <c r="A166" s="9">
        <v>165</v>
      </c>
      <c r="B166" s="42" t="s">
        <v>1832</v>
      </c>
      <c r="C166" s="16" t="s">
        <v>6</v>
      </c>
      <c r="D166" s="16" t="s">
        <v>6</v>
      </c>
      <c r="E166" s="28" t="s">
        <v>337</v>
      </c>
      <c r="F166" s="32">
        <f ca="1">IF(AND(C166="NO",D166="NO"),IF(F166="",TODAY(),F166),"")</f>
        <v>46202</v>
      </c>
    </row>
    <row r="167" spans="1:6" ht="15.75" x14ac:dyDescent="0.25">
      <c r="A167" s="9">
        <v>166</v>
      </c>
      <c r="B167" s="42" t="s">
        <v>1833</v>
      </c>
      <c r="C167" s="16" t="s">
        <v>6</v>
      </c>
      <c r="D167" s="16" t="s">
        <v>6</v>
      </c>
      <c r="E167" s="28" t="s">
        <v>337</v>
      </c>
      <c r="F167" s="32">
        <f ca="1">IF(AND(C167="NO",D167="NO"),IF(F167="",TODAY(),F167),"")</f>
        <v>46202</v>
      </c>
    </row>
    <row r="168" spans="1:6" ht="15.75" x14ac:dyDescent="0.25">
      <c r="A168" s="9">
        <v>167</v>
      </c>
      <c r="B168" s="42" t="s">
        <v>1834</v>
      </c>
      <c r="C168" s="16" t="s">
        <v>6</v>
      </c>
      <c r="D168" s="16" t="s">
        <v>6</v>
      </c>
      <c r="E168" s="28" t="s">
        <v>337</v>
      </c>
      <c r="F168" s="32">
        <f ca="1">IF(AND(C168="NO",D168="NO"),IF(F168="",TODAY(),F168),"")</f>
        <v>46202</v>
      </c>
    </row>
    <row r="169" spans="1:6" ht="15.75" x14ac:dyDescent="0.25">
      <c r="A169" s="9">
        <v>168</v>
      </c>
      <c r="B169" s="42" t="s">
        <v>1523</v>
      </c>
      <c r="C169" s="16" t="s">
        <v>6</v>
      </c>
      <c r="D169" s="16" t="s">
        <v>6</v>
      </c>
      <c r="E169" s="28" t="s">
        <v>45</v>
      </c>
      <c r="F169" s="32">
        <f ca="1">IF(AND(C169="NO",D169="NO"),IF(F169="",TODAY(),F169),"")</f>
        <v>46209</v>
      </c>
    </row>
    <row r="170" spans="1:6" ht="15.75" x14ac:dyDescent="0.25">
      <c r="A170" s="9">
        <v>169</v>
      </c>
      <c r="B170" s="42" t="s">
        <v>1779</v>
      </c>
      <c r="C170" s="16" t="s">
        <v>6</v>
      </c>
      <c r="D170" s="16" t="s">
        <v>6</v>
      </c>
      <c r="E170" s="28" t="s">
        <v>45</v>
      </c>
      <c r="F170" s="32">
        <f ca="1">IF(AND(C170="NO",D170="NO"),IF(F170="",TODAY(),F170),"")</f>
        <v>46209</v>
      </c>
    </row>
    <row r="171" spans="1:6" ht="15.75" x14ac:dyDescent="0.25">
      <c r="A171" s="9">
        <v>170</v>
      </c>
      <c r="B171" s="42" t="s">
        <v>1771</v>
      </c>
      <c r="C171" s="16" t="s">
        <v>6</v>
      </c>
      <c r="D171" s="16" t="s">
        <v>6</v>
      </c>
      <c r="E171" s="28" t="s">
        <v>45</v>
      </c>
      <c r="F171" s="32">
        <f ca="1">IF(AND(C171="NO",D171="NO"),IF(F171="",TODAY(),F171),"")</f>
        <v>46209</v>
      </c>
    </row>
    <row r="172" spans="1:6" ht="15.75" x14ac:dyDescent="0.25">
      <c r="A172" s="9">
        <v>171</v>
      </c>
      <c r="B172" s="42" t="s">
        <v>1793</v>
      </c>
      <c r="C172" s="16" t="s">
        <v>6</v>
      </c>
      <c r="D172" s="16" t="s">
        <v>6</v>
      </c>
      <c r="E172" s="28" t="s">
        <v>337</v>
      </c>
      <c r="F172" s="32">
        <f ca="1">IF(AND(C172="NO",D172="NO"),IF(F172="",TODAY(),F172),"")</f>
        <v>46216</v>
      </c>
    </row>
    <row r="173" spans="1:6" ht="15.75" x14ac:dyDescent="0.25">
      <c r="A173" s="9">
        <v>172</v>
      </c>
      <c r="B173" s="42" t="s">
        <v>1835</v>
      </c>
      <c r="C173" s="16" t="s">
        <v>6</v>
      </c>
      <c r="D173" s="16" t="s">
        <v>6</v>
      </c>
      <c r="E173" s="28" t="s">
        <v>337</v>
      </c>
      <c r="F173" s="32">
        <f ca="1">IF(AND(C173="NO",D173="NO"),IF(F173="",TODAY(),F173),"")</f>
        <v>46216</v>
      </c>
    </row>
    <row r="174" spans="1:6" ht="15.75" x14ac:dyDescent="0.25">
      <c r="A174" s="9">
        <v>173</v>
      </c>
      <c r="B174" s="42" t="s">
        <v>1836</v>
      </c>
      <c r="C174" s="16" t="s">
        <v>6</v>
      </c>
      <c r="D174" s="16" t="s">
        <v>6</v>
      </c>
      <c r="E174" s="28" t="s">
        <v>337</v>
      </c>
      <c r="F174" s="32">
        <f ca="1">IF(AND(C174="NO",D174="NO"),IF(F174="",TODAY(),F174),"")</f>
        <v>46216</v>
      </c>
    </row>
    <row r="175" spans="1:6" ht="15.75" x14ac:dyDescent="0.25">
      <c r="A175" s="9">
        <v>174</v>
      </c>
      <c r="B175" s="42" t="s">
        <v>1856</v>
      </c>
      <c r="C175" s="16" t="s">
        <v>6</v>
      </c>
      <c r="D175" s="16" t="s">
        <v>6</v>
      </c>
      <c r="E175" s="28" t="s">
        <v>45</v>
      </c>
      <c r="F175" s="32">
        <f ca="1">IF(AND(C175="NO",D175="NO"),IF(F175="",TODAY(),F175),"")</f>
        <v>46216</v>
      </c>
    </row>
    <row r="176" spans="1:6" ht="15.75" x14ac:dyDescent="0.25">
      <c r="A176" s="9">
        <v>175</v>
      </c>
      <c r="B176" s="42" t="s">
        <v>1858</v>
      </c>
      <c r="C176" s="16" t="s">
        <v>6</v>
      </c>
      <c r="D176" s="16" t="s">
        <v>6</v>
      </c>
      <c r="E176" s="28" t="s">
        <v>45</v>
      </c>
      <c r="F176" s="32">
        <f ca="1">IF(AND(C176="NO",D176="NO"),IF(F176="",TODAY(),F176),"")</f>
        <v>46216</v>
      </c>
    </row>
    <row r="177" spans="1:6" ht="15.75" x14ac:dyDescent="0.25">
      <c r="A177" s="9">
        <v>176</v>
      </c>
      <c r="B177" s="42" t="s">
        <v>1872</v>
      </c>
      <c r="C177" s="16" t="s">
        <v>6</v>
      </c>
      <c r="D177" s="16" t="s">
        <v>6</v>
      </c>
      <c r="E177" s="28" t="s">
        <v>337</v>
      </c>
      <c r="F177" s="32">
        <f ca="1">IF(AND(C177="NO",D177="NO"),IF(F177="",TODAY(),F177),"")</f>
        <v>46216</v>
      </c>
    </row>
    <row r="178" spans="1:6" ht="15.75" x14ac:dyDescent="0.25">
      <c r="A178" s="9">
        <v>177</v>
      </c>
      <c r="B178" s="42" t="s">
        <v>1837</v>
      </c>
      <c r="C178" s="16" t="s">
        <v>6</v>
      </c>
      <c r="D178" s="16" t="s">
        <v>6</v>
      </c>
      <c r="E178" s="28" t="s">
        <v>337</v>
      </c>
      <c r="F178" s="32">
        <f ca="1">IF(AND(C178="NO",D178="NO"),IF(F178="",TODAY(),F178),"")</f>
        <v>46222</v>
      </c>
    </row>
    <row r="179" spans="1:6" ht="15.75" x14ac:dyDescent="0.25">
      <c r="A179" s="9">
        <v>178</v>
      </c>
      <c r="B179" s="42" t="s">
        <v>1871</v>
      </c>
      <c r="C179" s="16" t="s">
        <v>6</v>
      </c>
      <c r="D179" s="16" t="s">
        <v>6</v>
      </c>
      <c r="E179" s="28" t="s">
        <v>337</v>
      </c>
      <c r="F179" s="32">
        <f ca="1">IF(AND(C179="NO",D179="NO"),IF(F179="",TODAY(),F179),"")</f>
        <v>46222</v>
      </c>
    </row>
    <row r="180" spans="1:6" ht="15.75" x14ac:dyDescent="0.25">
      <c r="A180" s="9">
        <v>179</v>
      </c>
      <c r="B180" s="42" t="s">
        <v>1897</v>
      </c>
      <c r="C180" s="16" t="s">
        <v>6</v>
      </c>
      <c r="D180" s="16" t="s">
        <v>6</v>
      </c>
      <c r="E180" s="28" t="s">
        <v>337</v>
      </c>
      <c r="F180" s="32">
        <f ca="1">IF(AND(C180="NO",D180="NO"),IF(F180="",TODAY(),F180),"")</f>
        <v>46222</v>
      </c>
    </row>
    <row r="181" spans="1:6" ht="15.75" x14ac:dyDescent="0.25">
      <c r="A181" s="9">
        <v>180</v>
      </c>
      <c r="B181" s="42" t="s">
        <v>1873</v>
      </c>
      <c r="C181" s="16" t="s">
        <v>6</v>
      </c>
      <c r="D181" s="16" t="s">
        <v>6</v>
      </c>
      <c r="E181" s="28" t="s">
        <v>337</v>
      </c>
      <c r="F181" s="32">
        <f ca="1">IF(AND(C181="NO",D181="NO"),IF(F181="",TODAY(),F181),"")</f>
        <v>46230</v>
      </c>
    </row>
    <row r="182" spans="1:6" ht="15.75" x14ac:dyDescent="0.25">
      <c r="A182" s="9">
        <v>181</v>
      </c>
      <c r="B182" s="42" t="s">
        <v>1908</v>
      </c>
      <c r="C182" s="16" t="s">
        <v>6</v>
      </c>
      <c r="D182" s="16" t="s">
        <v>6</v>
      </c>
      <c r="E182" s="28" t="s">
        <v>45</v>
      </c>
      <c r="F182" s="32">
        <f ca="1">IF(AND(C182="NO",D182="NO"),IF(F182="",TODAY(),F182),"")</f>
        <v>46230</v>
      </c>
    </row>
    <row r="183" spans="1:6" ht="15.75" x14ac:dyDescent="0.25">
      <c r="A183" s="9">
        <v>182</v>
      </c>
      <c r="B183" s="42" t="s">
        <v>1910</v>
      </c>
      <c r="C183" s="16" t="s">
        <v>6</v>
      </c>
      <c r="D183" s="16" t="s">
        <v>6</v>
      </c>
      <c r="E183" s="28" t="s">
        <v>45</v>
      </c>
      <c r="F183" s="32">
        <f ca="1">IF(AND(C183="NO",D183="NO"),IF(F183="",TODAY(),F183),"")</f>
        <v>46230</v>
      </c>
    </row>
    <row r="184" spans="1:6" ht="15.75" x14ac:dyDescent="0.25">
      <c r="A184" s="9">
        <v>183</v>
      </c>
      <c r="B184" s="8" t="s">
        <v>17</v>
      </c>
      <c r="C184" s="16" t="s">
        <v>6</v>
      </c>
      <c r="D184" s="16" t="s">
        <v>6</v>
      </c>
      <c r="E184" s="28" t="s">
        <v>337</v>
      </c>
      <c r="F184" s="32">
        <f ca="1">IF(AND(C184="NO",D184="NO"),IF(F184="",TODAY(),F184),"")</f>
        <v>46237</v>
      </c>
    </row>
    <row r="185" spans="1:6" ht="15.75" x14ac:dyDescent="0.25">
      <c r="A185" s="9">
        <v>184</v>
      </c>
      <c r="B185" s="42" t="s">
        <v>1742</v>
      </c>
      <c r="C185" s="16" t="s">
        <v>6</v>
      </c>
      <c r="D185" s="16" t="s">
        <v>6</v>
      </c>
      <c r="E185" s="28" t="s">
        <v>45</v>
      </c>
      <c r="F185" s="32">
        <f ca="1">IF(AND(C185="NO",D185="NO"),IF(F185="",TODAY(),F185),"")</f>
        <v>46237</v>
      </c>
    </row>
    <row r="186" spans="1:6" ht="15.75" x14ac:dyDescent="0.25">
      <c r="A186" s="9">
        <v>185</v>
      </c>
      <c r="B186" s="42" t="s">
        <v>1773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46237</v>
      </c>
    </row>
    <row r="187" spans="1:6" ht="15.75" x14ac:dyDescent="0.25">
      <c r="A187" s="9">
        <v>186</v>
      </c>
      <c r="B187" s="8" t="s">
        <v>1870</v>
      </c>
      <c r="C187" s="16" t="s">
        <v>6</v>
      </c>
      <c r="D187" s="16" t="s">
        <v>6</v>
      </c>
      <c r="E187" s="28" t="s">
        <v>150</v>
      </c>
      <c r="F187" s="32">
        <f ca="1">IF(AND(C187="NO",D187="NO"),IF(F187="",TODAY(),F187),"")</f>
        <v>46244</v>
      </c>
    </row>
    <row r="188" spans="1:6" ht="15.75" x14ac:dyDescent="0.25">
      <c r="A188" s="9">
        <v>187</v>
      </c>
      <c r="B188" s="8" t="s">
        <v>1973</v>
      </c>
      <c r="C188" s="16" t="s">
        <v>6</v>
      </c>
      <c r="D188" s="16" t="s">
        <v>6</v>
      </c>
      <c r="E188" s="28" t="s">
        <v>45</v>
      </c>
      <c r="F188" s="32">
        <f ca="1">IF(AND(C188="NO",D188="NO"),IF(F188="",TODAY(),F188),"")</f>
        <v>46242</v>
      </c>
    </row>
    <row r="189" spans="1:6" ht="15.75" x14ac:dyDescent="0.25">
      <c r="A189" s="9">
        <v>188</v>
      </c>
      <c r="B189" s="42" t="s">
        <v>1514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ht="15.75" x14ac:dyDescent="0.25">
      <c r="A190" s="9">
        <v>189</v>
      </c>
      <c r="B190" s="42" t="s">
        <v>1522</v>
      </c>
      <c r="C190" s="16" t="s">
        <v>6</v>
      </c>
      <c r="D190" s="16" t="s">
        <v>6</v>
      </c>
      <c r="E190" s="28" t="s">
        <v>45</v>
      </c>
      <c r="F190" s="32">
        <f ca="1">IF(AND(C190="NO",D190="NO"),IF(F190="",TODAY(),F190),"")</f>
        <v>46242</v>
      </c>
    </row>
    <row r="191" spans="1:6" ht="15.75" x14ac:dyDescent="0.25">
      <c r="A191" s="9">
        <v>190</v>
      </c>
      <c r="B191" s="8" t="s">
        <v>1668</v>
      </c>
      <c r="C191" s="16" t="s">
        <v>6</v>
      </c>
      <c r="D191" s="16" t="s">
        <v>6</v>
      </c>
      <c r="E191" s="28" t="s">
        <v>45</v>
      </c>
      <c r="F191" s="32">
        <f ca="1">IF(AND(C191="NO",D191="NO"),IF(F191="",TODAY(),F191),"")</f>
        <v>46242</v>
      </c>
    </row>
    <row r="192" spans="1:6" x14ac:dyDescent="0.25">
      <c r="A192" s="9">
        <v>191</v>
      </c>
      <c r="B192" s="42" t="s">
        <v>508</v>
      </c>
      <c r="C192" s="16" t="s">
        <v>6</v>
      </c>
      <c r="D192" s="16" t="s">
        <v>6</v>
      </c>
      <c r="E192" s="20" t="s">
        <v>45</v>
      </c>
      <c r="F192" s="32">
        <f ca="1">IF(AND(C192="NO",D192="NO"),IF(F192="",TODAY(),F192),"")</f>
        <v>46242</v>
      </c>
    </row>
    <row r="193" spans="1:7" ht="15.75" x14ac:dyDescent="0.25">
      <c r="A193" s="9">
        <v>192</v>
      </c>
      <c r="B193" s="42" t="s">
        <v>1974</v>
      </c>
      <c r="C193" s="16" t="s">
        <v>6</v>
      </c>
      <c r="D193" s="16" t="s">
        <v>6</v>
      </c>
      <c r="E193" s="28" t="s">
        <v>45</v>
      </c>
      <c r="F193" s="32">
        <f ca="1">IF(AND(C193="NO",D193="NO"),IF(F193="",TODAY(),F193),"")</f>
        <v>46242</v>
      </c>
    </row>
    <row r="194" spans="1:7" ht="15.75" x14ac:dyDescent="0.25">
      <c r="A194" s="9">
        <v>193</v>
      </c>
      <c r="B194" s="42" t="s">
        <v>1347</v>
      </c>
      <c r="C194" s="16" t="s">
        <v>6</v>
      </c>
      <c r="D194" s="16" t="s">
        <v>6</v>
      </c>
      <c r="E194" s="28" t="s">
        <v>45</v>
      </c>
      <c r="F194" s="32">
        <f ca="1">IF(AND(C194="NO",D194="NO"),IF(F194="",TODAY(),F194),"")</f>
        <v>46245</v>
      </c>
    </row>
    <row r="195" spans="1:7" ht="15.75" x14ac:dyDescent="0.25">
      <c r="A195" s="9">
        <v>194</v>
      </c>
      <c r="B195" s="17" t="s">
        <v>812</v>
      </c>
      <c r="C195" s="16" t="s">
        <v>6</v>
      </c>
      <c r="D195" s="16" t="s">
        <v>6</v>
      </c>
      <c r="E195" s="28" t="s">
        <v>337</v>
      </c>
      <c r="F195" s="32">
        <f ca="1">IF(AND(C195="NO",D195="NO"),IF(F195="",TODAY(),F195),"")</f>
        <v>46245</v>
      </c>
    </row>
    <row r="196" spans="1:7" ht="15.75" x14ac:dyDescent="0.25">
      <c r="A196" s="9">
        <v>195</v>
      </c>
      <c r="B196" s="17" t="s">
        <v>813</v>
      </c>
      <c r="C196" s="16" t="s">
        <v>6</v>
      </c>
      <c r="D196" s="16" t="s">
        <v>6</v>
      </c>
      <c r="E196" s="28" t="s">
        <v>337</v>
      </c>
      <c r="F196" s="32">
        <f ca="1">IF(AND(C196="NO",D196="NO"),IF(F196="",TODAY(),F196),"")</f>
        <v>46245</v>
      </c>
    </row>
    <row r="197" spans="1:7" ht="15.75" x14ac:dyDescent="0.25">
      <c r="A197" s="9">
        <v>196</v>
      </c>
      <c r="B197" s="17" t="s">
        <v>2034</v>
      </c>
      <c r="C197" s="16" t="s">
        <v>6</v>
      </c>
      <c r="D197" s="16" t="s">
        <v>6</v>
      </c>
      <c r="E197" s="28" t="s">
        <v>337</v>
      </c>
      <c r="F197" s="32">
        <f ca="1">IF(AND(C197="NO",D197="NO"),IF(F197="",TODAY(),F197),"")</f>
        <v>46245</v>
      </c>
    </row>
    <row r="198" spans="1:7" ht="15.75" x14ac:dyDescent="0.25">
      <c r="A198" s="9">
        <v>197</v>
      </c>
      <c r="B198" s="42" t="s">
        <v>2018</v>
      </c>
      <c r="C198" s="16" t="s">
        <v>6</v>
      </c>
      <c r="D198" s="16" t="s">
        <v>6</v>
      </c>
      <c r="E198" s="28" t="s">
        <v>45</v>
      </c>
      <c r="F198" s="32">
        <f ca="1">IF(AND(C198="NO",D198="NO"),IF(F198="",TODAY(),F198),"")</f>
        <v>46245</v>
      </c>
    </row>
    <row r="199" spans="1:7" ht="15.75" x14ac:dyDescent="0.25">
      <c r="A199" s="9">
        <v>198</v>
      </c>
      <c r="B199" s="42" t="s">
        <v>2035</v>
      </c>
      <c r="C199" s="16" t="s">
        <v>6</v>
      </c>
      <c r="D199" s="16" t="s">
        <v>6</v>
      </c>
      <c r="E199" s="28" t="s">
        <v>337</v>
      </c>
      <c r="F199" s="32">
        <f ca="1">IF(AND(C199="NO",D199="NO"),IF(F199="",TODAY(),F199),"")</f>
        <v>46245</v>
      </c>
    </row>
    <row r="200" spans="1:7" ht="15.75" x14ac:dyDescent="0.25">
      <c r="A200" s="9">
        <v>199</v>
      </c>
      <c r="B200" s="42" t="s">
        <v>2036</v>
      </c>
      <c r="C200" s="16" t="s">
        <v>6</v>
      </c>
      <c r="D200" s="16" t="s">
        <v>6</v>
      </c>
      <c r="E200" s="28" t="s">
        <v>337</v>
      </c>
      <c r="F200" s="32">
        <f ca="1">IF(AND(C200="NO",D200="NO"),IF(F200="",TODAY(),F200),"")</f>
        <v>46245</v>
      </c>
    </row>
    <row r="201" spans="1:7" ht="15.75" x14ac:dyDescent="0.25">
      <c r="A201" s="9">
        <v>44</v>
      </c>
      <c r="B201" s="42" t="s">
        <v>508</v>
      </c>
      <c r="C201" s="16" t="s">
        <v>6</v>
      </c>
      <c r="D201" s="16" t="s">
        <v>6</v>
      </c>
      <c r="E201" s="28" t="s">
        <v>45</v>
      </c>
      <c r="F201" s="32">
        <f ca="1">IF(AND(C201="NO",D201="NO"),IF(F201="",TODAY(),F201),"")</f>
        <v>46279</v>
      </c>
    </row>
    <row r="203" spans="1:7" x14ac:dyDescent="0.25">
      <c r="A203" s="91" t="s">
        <v>1899</v>
      </c>
      <c r="C203" s="129"/>
      <c r="D203" s="129"/>
      <c r="E203" s="129"/>
      <c r="F203" s="129"/>
      <c r="G203" s="130"/>
    </row>
    <row r="204" spans="1:7" x14ac:dyDescent="0.25">
      <c r="A204" s="9">
        <v>1</v>
      </c>
      <c r="B204" s="33" t="s">
        <v>1333</v>
      </c>
      <c r="C204" s="9" t="s">
        <v>6</v>
      </c>
      <c r="D204" s="9" t="s">
        <v>6</v>
      </c>
      <c r="E204" s="79" t="s">
        <v>45</v>
      </c>
      <c r="F204" s="93">
        <v>46152</v>
      </c>
    </row>
    <row r="205" spans="1:7" x14ac:dyDescent="0.25">
      <c r="A205" s="9">
        <v>2</v>
      </c>
      <c r="B205" s="33" t="s">
        <v>1661</v>
      </c>
      <c r="C205" s="9" t="s">
        <v>6</v>
      </c>
      <c r="D205" s="9" t="s">
        <v>6</v>
      </c>
      <c r="E205" s="79"/>
      <c r="F205" s="93">
        <v>46159</v>
      </c>
    </row>
    <row r="206" spans="1:7" x14ac:dyDescent="0.25">
      <c r="A206" s="9">
        <v>3</v>
      </c>
      <c r="B206" s="8" t="s">
        <v>144</v>
      </c>
      <c r="C206" s="9" t="s">
        <v>6</v>
      </c>
      <c r="D206" s="9" t="s">
        <v>6</v>
      </c>
      <c r="E206" s="12" t="s">
        <v>150</v>
      </c>
      <c r="F206" s="32">
        <f ca="1">IF(AND(C206="NO",D206="NO"),IF(F206="",TODAY(),F206),"")</f>
        <v>46258</v>
      </c>
    </row>
    <row r="207" spans="1:7" x14ac:dyDescent="0.25">
      <c r="A207" s="9">
        <v>4</v>
      </c>
      <c r="B207" s="8" t="s">
        <v>1553</v>
      </c>
      <c r="C207" s="9" t="s">
        <v>6</v>
      </c>
      <c r="D207" s="9" t="s">
        <v>6</v>
      </c>
      <c r="E207" s="12" t="s">
        <v>45</v>
      </c>
      <c r="F207" s="32">
        <f ca="1">IF(AND(C207="NO",D207="NO"),IF(F207="",TODAY(),F207),"")</f>
        <v>46258</v>
      </c>
    </row>
    <row r="208" spans="1:7" x14ac:dyDescent="0.25">
      <c r="A208" s="9">
        <v>5</v>
      </c>
      <c r="B208" s="33" t="s">
        <v>1374</v>
      </c>
      <c r="C208" s="9" t="s">
        <v>6</v>
      </c>
      <c r="D208" s="9" t="s">
        <v>6</v>
      </c>
      <c r="E208" s="12" t="s">
        <v>45</v>
      </c>
      <c r="F208" s="32">
        <f ca="1">IF(AND(C208="NO",D208="NO"),IF(F208="",TODAY(),F208),"")</f>
        <v>46258</v>
      </c>
    </row>
    <row r="209" spans="1:6" ht="14.25" customHeight="1" x14ac:dyDescent="0.25">
      <c r="A209" s="9">
        <v>6</v>
      </c>
      <c r="B209" s="33" t="s">
        <v>1622</v>
      </c>
      <c r="C209" s="9" t="s">
        <v>6</v>
      </c>
      <c r="D209" s="9" t="s">
        <v>6</v>
      </c>
      <c r="E209" s="12" t="s">
        <v>45</v>
      </c>
      <c r="F209" s="32">
        <f ca="1">IF(AND(C209="NO",D209="NO"),IF(F209="",TODAY(),F209),"")</f>
        <v>46258</v>
      </c>
    </row>
    <row r="210" spans="1:6" x14ac:dyDescent="0.25">
      <c r="A210" s="9">
        <v>9</v>
      </c>
      <c r="B210" s="33" t="s">
        <v>1861</v>
      </c>
      <c r="C210" s="9" t="s">
        <v>6</v>
      </c>
      <c r="D210" s="9" t="s">
        <v>6</v>
      </c>
      <c r="E210" s="12" t="s">
        <v>45</v>
      </c>
      <c r="F210" s="32">
        <f ca="1">IF(AND(C210="NO",D210="NO"),IF(F210="",TODAY(),F210),"")</f>
        <v>46258</v>
      </c>
    </row>
    <row r="211" spans="1:6" x14ac:dyDescent="0.25">
      <c r="A211" s="9">
        <v>10</v>
      </c>
      <c r="B211" s="8" t="s">
        <v>207</v>
      </c>
      <c r="C211" s="9" t="s">
        <v>6</v>
      </c>
      <c r="D211" s="9" t="s">
        <v>6</v>
      </c>
      <c r="E211" s="12" t="s">
        <v>45</v>
      </c>
      <c r="F211" s="32">
        <f ca="1">IF(AND(C211="NO",D211="NO"),IF(F211="",TODAY(),F211),"")</f>
        <v>46258</v>
      </c>
    </row>
    <row r="212" spans="1:6" x14ac:dyDescent="0.25">
      <c r="A212" s="9">
        <v>11</v>
      </c>
      <c r="B212" s="33" t="s">
        <v>1860</v>
      </c>
      <c r="C212" s="9" t="s">
        <v>6</v>
      </c>
      <c r="D212" s="9" t="s">
        <v>6</v>
      </c>
      <c r="E212" s="12" t="s">
        <v>45</v>
      </c>
      <c r="F212" s="32">
        <f ca="1">IF(AND(C212="NO",D212="NO"),IF(F212="",TODAY(),F212),"")</f>
        <v>46258</v>
      </c>
    </row>
    <row r="213" spans="1:6" x14ac:dyDescent="0.25">
      <c r="A213" s="9">
        <v>12</v>
      </c>
      <c r="B213" s="33" t="s">
        <v>1868</v>
      </c>
      <c r="C213" s="9" t="s">
        <v>6</v>
      </c>
      <c r="D213" s="9" t="s">
        <v>6</v>
      </c>
      <c r="E213" s="12" t="s">
        <v>45</v>
      </c>
      <c r="F213" s="32">
        <f ca="1">IF(AND(C213="NO",D213="NO"),IF(F213="",TODAY(),F213),"")</f>
        <v>46258</v>
      </c>
    </row>
    <row r="214" spans="1:6" x14ac:dyDescent="0.25">
      <c r="A214" s="9">
        <v>13</v>
      </c>
      <c r="B214" s="33" t="s">
        <v>1155</v>
      </c>
      <c r="C214" s="9" t="s">
        <v>6</v>
      </c>
      <c r="D214" s="9" t="s">
        <v>6</v>
      </c>
      <c r="E214" s="12" t="s">
        <v>337</v>
      </c>
      <c r="F214" s="32">
        <f ca="1">IF(AND(C214="NO",D214="NO"),IF(F214="",TODAY(),F214),"")</f>
        <v>46258</v>
      </c>
    </row>
    <row r="215" spans="1:6" x14ac:dyDescent="0.25">
      <c r="A215" s="9">
        <v>14</v>
      </c>
      <c r="B215" s="33" t="s">
        <v>1136</v>
      </c>
      <c r="C215" s="9" t="s">
        <v>6</v>
      </c>
      <c r="D215" s="9" t="s">
        <v>6</v>
      </c>
      <c r="E215" s="12" t="s">
        <v>150</v>
      </c>
      <c r="F215" s="32">
        <f ca="1">IF(AND(C215="NO",D215="NO"),IF(F215="",TODAY(),F215),"")</f>
        <v>46258</v>
      </c>
    </row>
    <row r="216" spans="1:6" x14ac:dyDescent="0.25">
      <c r="A216" s="9">
        <v>15</v>
      </c>
      <c r="B216" s="33" t="s">
        <v>2033</v>
      </c>
      <c r="C216" s="9" t="s">
        <v>6</v>
      </c>
      <c r="D216" s="9" t="s">
        <v>6</v>
      </c>
      <c r="E216" s="12" t="s">
        <v>337</v>
      </c>
      <c r="F216" s="32">
        <f ca="1">IF(AND(C216="NO",D216="NO"),IF(F216="",TODAY(),F216),"")</f>
        <v>46258</v>
      </c>
    </row>
    <row r="217" spans="1:6" x14ac:dyDescent="0.25">
      <c r="A217" s="9">
        <v>16</v>
      </c>
      <c r="B217" s="33" t="s">
        <v>2042</v>
      </c>
      <c r="C217" s="9" t="s">
        <v>6</v>
      </c>
      <c r="D217" s="9" t="s">
        <v>6</v>
      </c>
      <c r="E217" s="12" t="s">
        <v>337</v>
      </c>
      <c r="F217" s="32">
        <f ca="1">IF(AND(C217="NO",D217="NO"),IF(F217="",TODAY(),F217),"")</f>
        <v>46258</v>
      </c>
    </row>
    <row r="218" spans="1:6" x14ac:dyDescent="0.25">
      <c r="A218" s="9">
        <v>17</v>
      </c>
      <c r="B218" s="33" t="s">
        <v>2044</v>
      </c>
      <c r="C218" s="9" t="s">
        <v>6</v>
      </c>
      <c r="D218" s="9" t="s">
        <v>6</v>
      </c>
      <c r="E218" s="12" t="s">
        <v>337</v>
      </c>
      <c r="F218" s="32">
        <f ca="1">IF(AND(C218="NO",D218="NO"),IF(F218="",TODAY(),F218),"")</f>
        <v>46258</v>
      </c>
    </row>
    <row r="219" spans="1:6" x14ac:dyDescent="0.25">
      <c r="A219" s="9">
        <v>18</v>
      </c>
      <c r="B219" s="33" t="s">
        <v>2045</v>
      </c>
      <c r="C219" s="9" t="s">
        <v>6</v>
      </c>
      <c r="D219" s="9" t="s">
        <v>6</v>
      </c>
      <c r="E219" s="12" t="s">
        <v>337</v>
      </c>
      <c r="F219" s="32">
        <f ca="1">IF(AND(C219="NO",D219="NO"),IF(F219="",TODAY(),F219),"")</f>
        <v>46258</v>
      </c>
    </row>
    <row r="220" spans="1:6" x14ac:dyDescent="0.25">
      <c r="A220" s="9">
        <v>19</v>
      </c>
      <c r="B220" s="33" t="s">
        <v>2046</v>
      </c>
      <c r="C220" s="9" t="s">
        <v>6</v>
      </c>
      <c r="D220" s="9" t="s">
        <v>6</v>
      </c>
      <c r="E220" s="12" t="s">
        <v>337</v>
      </c>
      <c r="F220" s="32">
        <f ca="1">IF(AND(C220="NO",D220="NO"),IF(F220="",TODAY(),F220),"")</f>
        <v>46258</v>
      </c>
    </row>
    <row r="221" spans="1:6" x14ac:dyDescent="0.25">
      <c r="A221" s="9">
        <v>20</v>
      </c>
      <c r="B221" s="33" t="s">
        <v>2055</v>
      </c>
      <c r="C221" s="9" t="s">
        <v>6</v>
      </c>
      <c r="D221" s="9" t="s">
        <v>6</v>
      </c>
      <c r="E221" s="12" t="s">
        <v>337</v>
      </c>
      <c r="F221" s="32">
        <f ca="1">IF(AND(C221="NO",D221="NO"),IF(F221="",TODAY(),F221),"")</f>
        <v>46258</v>
      </c>
    </row>
    <row r="222" spans="1:6" x14ac:dyDescent="0.25">
      <c r="A222" s="9">
        <v>21</v>
      </c>
      <c r="B222" s="33" t="s">
        <v>1158</v>
      </c>
      <c r="C222" s="9" t="s">
        <v>6</v>
      </c>
      <c r="D222" s="9" t="s">
        <v>6</v>
      </c>
      <c r="E222" s="12" t="s">
        <v>45</v>
      </c>
      <c r="F222" s="32">
        <f ca="1">IF(AND(C222="NO",D222="NO"),IF(F222="",TODAY(),F222),"")</f>
        <v>46262</v>
      </c>
    </row>
    <row r="223" spans="1:6" x14ac:dyDescent="0.25">
      <c r="A223" s="9">
        <v>22</v>
      </c>
      <c r="B223" s="8" t="s">
        <v>520</v>
      </c>
      <c r="C223" s="9" t="s">
        <v>6</v>
      </c>
      <c r="D223" s="9" t="s">
        <v>6</v>
      </c>
      <c r="E223" s="12" t="s">
        <v>45</v>
      </c>
      <c r="F223" s="32">
        <f ca="1">IF(AND(C223="NO",D223="NO"),IF(F223="",TODAY(),F223),"")</f>
        <v>46262</v>
      </c>
    </row>
    <row r="224" spans="1:6" x14ac:dyDescent="0.25">
      <c r="A224" s="9">
        <v>23</v>
      </c>
      <c r="B224" s="33" t="s">
        <v>1200</v>
      </c>
      <c r="C224" s="9" t="s">
        <v>6</v>
      </c>
      <c r="D224" s="9" t="s">
        <v>6</v>
      </c>
      <c r="E224" s="12" t="s">
        <v>45</v>
      </c>
      <c r="F224" s="32">
        <f ca="1">IF(AND(C224="NO",D224="NO"),IF(F224="",TODAY(),F224),"")</f>
        <v>46262</v>
      </c>
    </row>
    <row r="225" spans="1:6" x14ac:dyDescent="0.25">
      <c r="A225" s="9">
        <v>24</v>
      </c>
      <c r="B225" s="17" t="s">
        <v>313</v>
      </c>
      <c r="C225" s="9" t="s">
        <v>6</v>
      </c>
      <c r="D225" s="9" t="s">
        <v>6</v>
      </c>
      <c r="E225" s="12" t="s">
        <v>45</v>
      </c>
      <c r="F225" s="32">
        <f ca="1">IF(AND(C225="NO",D225="NO"),IF(F225="",TODAY(),F225),"")</f>
        <v>46262</v>
      </c>
    </row>
    <row r="226" spans="1:6" x14ac:dyDescent="0.25">
      <c r="A226" s="9">
        <v>25</v>
      </c>
      <c r="B226" s="8" t="s">
        <v>288</v>
      </c>
      <c r="C226" s="9" t="s">
        <v>6</v>
      </c>
      <c r="D226" s="9" t="s">
        <v>6</v>
      </c>
      <c r="E226" s="12" t="s">
        <v>45</v>
      </c>
      <c r="F226" s="32">
        <f ca="1">IF(AND(C226="NO",D226="NO"),IF(F226="",TODAY(),F226),"")</f>
        <v>46262</v>
      </c>
    </row>
    <row r="227" spans="1:6" x14ac:dyDescent="0.25">
      <c r="A227" s="9">
        <v>26</v>
      </c>
      <c r="B227" s="33" t="s">
        <v>113</v>
      </c>
      <c r="C227" s="9" t="s">
        <v>6</v>
      </c>
      <c r="D227" s="9" t="s">
        <v>6</v>
      </c>
      <c r="E227" s="12" t="s">
        <v>45</v>
      </c>
      <c r="F227" s="32">
        <f ca="1">IF(AND(C227="NO",D227="NO"),IF(F227="",TODAY(),F227),"")</f>
        <v>46262</v>
      </c>
    </row>
    <row r="228" spans="1:6" x14ac:dyDescent="0.25">
      <c r="A228" s="9">
        <v>27</v>
      </c>
      <c r="B228" s="33" t="s">
        <v>1939</v>
      </c>
      <c r="C228" s="9" t="s">
        <v>6</v>
      </c>
      <c r="D228" s="9" t="s">
        <v>6</v>
      </c>
      <c r="E228" s="12" t="s">
        <v>45</v>
      </c>
      <c r="F228" s="32">
        <f ca="1">IF(AND(C228="NO",D228="NO"),IF(F228="",TODAY(),F228),"")</f>
        <v>46262</v>
      </c>
    </row>
    <row r="229" spans="1:6" x14ac:dyDescent="0.25">
      <c r="A229" s="9">
        <v>28</v>
      </c>
      <c r="B229" s="8" t="s">
        <v>420</v>
      </c>
      <c r="C229" s="9" t="s">
        <v>6</v>
      </c>
      <c r="D229" s="9" t="s">
        <v>6</v>
      </c>
      <c r="E229" s="12" t="s">
        <v>258</v>
      </c>
      <c r="F229" s="32">
        <f ca="1">IF(AND(C229="NO",D229="NO"),IF(F229="",TODAY(),F229),"")</f>
        <v>46262</v>
      </c>
    </row>
    <row r="230" spans="1:6" x14ac:dyDescent="0.25">
      <c r="A230" s="9">
        <v>29</v>
      </c>
      <c r="B230" s="33" t="s">
        <v>1747</v>
      </c>
      <c r="C230" s="9" t="s">
        <v>6</v>
      </c>
      <c r="D230" s="9" t="s">
        <v>6</v>
      </c>
      <c r="E230" s="12" t="s">
        <v>45</v>
      </c>
      <c r="F230" s="32">
        <f ca="1">IF(AND(C230="NO",D230="NO"),IF(F230="",TODAY(),F230),"")</f>
        <v>46262</v>
      </c>
    </row>
    <row r="231" spans="1:6" x14ac:dyDescent="0.25">
      <c r="A231" s="9">
        <v>30</v>
      </c>
      <c r="B231" s="8" t="s">
        <v>1187</v>
      </c>
      <c r="C231" s="9" t="s">
        <v>6</v>
      </c>
      <c r="D231" s="9" t="s">
        <v>6</v>
      </c>
      <c r="E231" s="12" t="s">
        <v>45</v>
      </c>
      <c r="F231" s="32">
        <f ca="1">IF(AND(C231="NO",D231="NO"),IF(F231="",TODAY(),F231),"")</f>
        <v>46262</v>
      </c>
    </row>
    <row r="232" spans="1:6" x14ac:dyDescent="0.25">
      <c r="A232" s="9">
        <v>31</v>
      </c>
      <c r="B232" s="33" t="s">
        <v>1911</v>
      </c>
      <c r="C232" s="9" t="s">
        <v>6</v>
      </c>
      <c r="D232" s="9" t="s">
        <v>6</v>
      </c>
      <c r="E232" s="12" t="s">
        <v>45</v>
      </c>
      <c r="F232" s="32">
        <f ca="1">IF(AND(C232="NO",D232="NO"),IF(F232="",TODAY(),F232),"")</f>
        <v>46262</v>
      </c>
    </row>
    <row r="233" spans="1:6" x14ac:dyDescent="0.25">
      <c r="A233" s="9">
        <v>32</v>
      </c>
      <c r="B233" s="33" t="s">
        <v>2075</v>
      </c>
      <c r="C233" s="9" t="s">
        <v>6</v>
      </c>
      <c r="D233" s="9" t="s">
        <v>6</v>
      </c>
      <c r="E233" s="12" t="s">
        <v>45</v>
      </c>
      <c r="F233" s="32">
        <f ca="1">IF(AND(C233="NO",D233="NO"),IF(F233="",TODAY(),F233),"")</f>
        <v>46262</v>
      </c>
    </row>
    <row r="234" spans="1:6" x14ac:dyDescent="0.25">
      <c r="A234" s="9">
        <v>33</v>
      </c>
      <c r="B234" s="33" t="s">
        <v>831</v>
      </c>
      <c r="C234" s="9" t="s">
        <v>6</v>
      </c>
      <c r="D234" s="9" t="s">
        <v>6</v>
      </c>
      <c r="E234" s="12" t="s">
        <v>45</v>
      </c>
      <c r="F234" s="32">
        <f ca="1">IF(AND(C234="NO",D234="NO"),IF(F234="",TODAY(),F234),"")</f>
        <v>46262</v>
      </c>
    </row>
    <row r="235" spans="1:6" x14ac:dyDescent="0.25">
      <c r="A235" s="9">
        <v>34</v>
      </c>
      <c r="B235" s="17" t="s">
        <v>1254</v>
      </c>
      <c r="C235" s="9" t="s">
        <v>6</v>
      </c>
      <c r="D235" s="9" t="s">
        <v>6</v>
      </c>
      <c r="E235" s="12" t="s">
        <v>337</v>
      </c>
      <c r="F235" s="32">
        <f ca="1">IF(AND(C235="NO",D235="NO"),IF(F235="",TODAY(),F235),"")</f>
        <v>46262</v>
      </c>
    </row>
    <row r="236" spans="1:6" x14ac:dyDescent="0.25">
      <c r="A236" s="9">
        <v>35</v>
      </c>
      <c r="B236" s="33" t="s">
        <v>2074</v>
      </c>
      <c r="C236" s="9" t="s">
        <v>6</v>
      </c>
      <c r="D236" s="9" t="s">
        <v>6</v>
      </c>
      <c r="E236" s="12" t="s">
        <v>337</v>
      </c>
      <c r="F236" s="32">
        <f ca="1">IF(AND(C236="NO",D236="NO"),IF(F236="",TODAY(),F236),"")</f>
        <v>46262</v>
      </c>
    </row>
    <row r="237" spans="1:6" x14ac:dyDescent="0.25">
      <c r="A237" s="9">
        <v>36</v>
      </c>
      <c r="B237" s="33" t="s">
        <v>1654</v>
      </c>
      <c r="C237" s="9" t="s">
        <v>6</v>
      </c>
      <c r="D237" s="9" t="s">
        <v>6</v>
      </c>
      <c r="E237" s="82" t="s">
        <v>45</v>
      </c>
      <c r="F237" s="93">
        <v>46159</v>
      </c>
    </row>
    <row r="238" spans="1:6" x14ac:dyDescent="0.25">
      <c r="A238" s="9">
        <v>37</v>
      </c>
      <c r="B238" s="33" t="s">
        <v>1655</v>
      </c>
      <c r="C238" s="9" t="s">
        <v>6</v>
      </c>
      <c r="D238" s="9" t="s">
        <v>6</v>
      </c>
      <c r="E238" s="82" t="s">
        <v>45</v>
      </c>
      <c r="F238" s="93">
        <v>46159</v>
      </c>
    </row>
    <row r="239" spans="1:6" x14ac:dyDescent="0.25">
      <c r="A239" s="9">
        <v>38</v>
      </c>
      <c r="B239" s="33" t="s">
        <v>1657</v>
      </c>
      <c r="C239" s="9" t="s">
        <v>6</v>
      </c>
      <c r="D239" s="9" t="s">
        <v>6</v>
      </c>
      <c r="E239" s="82" t="s">
        <v>45</v>
      </c>
      <c r="F239" s="93">
        <v>46159</v>
      </c>
    </row>
    <row r="240" spans="1:6" x14ac:dyDescent="0.25">
      <c r="A240" s="9">
        <v>39</v>
      </c>
      <c r="B240" s="33" t="s">
        <v>765</v>
      </c>
      <c r="C240" s="9" t="s">
        <v>6</v>
      </c>
      <c r="D240" s="9" t="s">
        <v>6</v>
      </c>
      <c r="E240" s="79" t="s">
        <v>151</v>
      </c>
      <c r="F240" s="93">
        <v>46159</v>
      </c>
    </row>
    <row r="241" spans="1:6" x14ac:dyDescent="0.25">
      <c r="A241" s="9">
        <v>40</v>
      </c>
      <c r="B241" s="8" t="s">
        <v>141</v>
      </c>
      <c r="C241" s="9" t="s">
        <v>6</v>
      </c>
      <c r="D241" s="9" t="s">
        <v>6</v>
      </c>
      <c r="E241" s="82" t="s">
        <v>151</v>
      </c>
      <c r="F241" s="93">
        <v>46159</v>
      </c>
    </row>
    <row r="242" spans="1:6" x14ac:dyDescent="0.25">
      <c r="A242" s="9">
        <v>41</v>
      </c>
      <c r="B242" s="8" t="s">
        <v>80</v>
      </c>
      <c r="C242" s="9" t="s">
        <v>6</v>
      </c>
      <c r="D242" s="9" t="s">
        <v>6</v>
      </c>
      <c r="E242" s="82" t="s">
        <v>337</v>
      </c>
      <c r="F242" s="93">
        <v>46159</v>
      </c>
    </row>
    <row r="243" spans="1:6" x14ac:dyDescent="0.25">
      <c r="A243" s="9">
        <v>42</v>
      </c>
      <c r="B243" s="33" t="s">
        <v>1374</v>
      </c>
      <c r="C243" s="9" t="s">
        <v>6</v>
      </c>
      <c r="D243" s="9" t="s">
        <v>6</v>
      </c>
      <c r="E243" s="82" t="s">
        <v>45</v>
      </c>
      <c r="F243" s="93"/>
    </row>
    <row r="244" spans="1:6" ht="14.25" customHeight="1" x14ac:dyDescent="0.25">
      <c r="A244" s="9">
        <v>43</v>
      </c>
      <c r="B244" s="8" t="s">
        <v>1653</v>
      </c>
      <c r="C244" s="9" t="s">
        <v>6</v>
      </c>
      <c r="D244" s="9" t="s">
        <v>6</v>
      </c>
      <c r="E244" s="81" t="s">
        <v>45</v>
      </c>
      <c r="F244" s="93">
        <v>46159</v>
      </c>
    </row>
    <row r="245" spans="1:6" ht="15" customHeight="1" x14ac:dyDescent="0.25">
      <c r="A245" s="9">
        <v>44</v>
      </c>
      <c r="B245" s="33" t="s">
        <v>394</v>
      </c>
      <c r="C245" s="9" t="s">
        <v>6</v>
      </c>
      <c r="D245" s="9" t="s">
        <v>6</v>
      </c>
      <c r="E245" s="79" t="s">
        <v>45</v>
      </c>
      <c r="F245" s="93">
        <v>46159</v>
      </c>
    </row>
    <row r="246" spans="1:6" x14ac:dyDescent="0.25">
      <c r="A246" s="9">
        <v>45</v>
      </c>
      <c r="B246" s="86" t="s">
        <v>489</v>
      </c>
      <c r="C246" s="74" t="s">
        <v>6</v>
      </c>
      <c r="D246" s="74" t="s">
        <v>6</v>
      </c>
      <c r="E246" s="97" t="s">
        <v>40</v>
      </c>
      <c r="F246" s="93">
        <v>45845</v>
      </c>
    </row>
    <row r="247" spans="1:6" x14ac:dyDescent="0.25">
      <c r="A247" s="9">
        <v>46</v>
      </c>
      <c r="B247" s="33" t="s">
        <v>349</v>
      </c>
      <c r="C247" s="9" t="s">
        <v>6</v>
      </c>
      <c r="D247" s="9" t="s">
        <v>6</v>
      </c>
      <c r="E247" s="79" t="s">
        <v>39</v>
      </c>
      <c r="F247" s="93">
        <v>45830</v>
      </c>
    </row>
    <row r="248" spans="1:6" x14ac:dyDescent="0.25">
      <c r="A248" s="9">
        <v>47</v>
      </c>
      <c r="B248" s="8" t="s">
        <v>492</v>
      </c>
      <c r="C248" s="9" t="s">
        <v>6</v>
      </c>
      <c r="D248" s="9" t="s">
        <v>6</v>
      </c>
      <c r="E248" s="81" t="s">
        <v>44</v>
      </c>
      <c r="F248" s="93">
        <v>45845</v>
      </c>
    </row>
    <row r="249" spans="1:6" x14ac:dyDescent="0.25">
      <c r="A249" s="9">
        <v>48</v>
      </c>
      <c r="B249" s="33" t="s">
        <v>439</v>
      </c>
      <c r="C249" s="9" t="s">
        <v>6</v>
      </c>
      <c r="D249" s="9" t="s">
        <v>6</v>
      </c>
      <c r="E249" s="79" t="s">
        <v>45</v>
      </c>
      <c r="F249" s="93">
        <v>45837</v>
      </c>
    </row>
    <row r="250" spans="1:6" x14ac:dyDescent="0.25">
      <c r="A250" s="9">
        <v>49</v>
      </c>
      <c r="B250" s="33" t="s">
        <v>431</v>
      </c>
      <c r="C250" s="9" t="s">
        <v>6</v>
      </c>
      <c r="D250" s="9" t="s">
        <v>6</v>
      </c>
      <c r="E250" s="79" t="s">
        <v>45</v>
      </c>
      <c r="F250" s="93">
        <v>45837</v>
      </c>
    </row>
    <row r="251" spans="1:6" x14ac:dyDescent="0.25">
      <c r="A251" s="9">
        <v>50</v>
      </c>
      <c r="B251" s="33" t="s">
        <v>432</v>
      </c>
      <c r="C251" s="9" t="s">
        <v>6</v>
      </c>
      <c r="D251" s="9" t="s">
        <v>6</v>
      </c>
      <c r="E251" s="79" t="s">
        <v>45</v>
      </c>
      <c r="F251" s="93">
        <v>45837</v>
      </c>
    </row>
    <row r="252" spans="1:6" x14ac:dyDescent="0.25">
      <c r="A252" s="9">
        <v>51</v>
      </c>
      <c r="B252" s="30" t="s">
        <v>433</v>
      </c>
      <c r="C252" s="9" t="s">
        <v>6</v>
      </c>
      <c r="D252" s="9" t="s">
        <v>6</v>
      </c>
      <c r="E252" s="79" t="s">
        <v>45</v>
      </c>
      <c r="F252" s="93">
        <v>45837</v>
      </c>
    </row>
    <row r="253" spans="1:6" x14ac:dyDescent="0.25">
      <c r="A253" s="9">
        <v>52</v>
      </c>
      <c r="B253" s="33" t="s">
        <v>434</v>
      </c>
      <c r="C253" s="9" t="s">
        <v>6</v>
      </c>
      <c r="D253" s="9" t="s">
        <v>6</v>
      </c>
      <c r="E253" s="79" t="s">
        <v>150</v>
      </c>
      <c r="F253" s="93">
        <v>45837</v>
      </c>
    </row>
    <row r="254" spans="1:6" x14ac:dyDescent="0.25">
      <c r="A254" s="9">
        <v>53</v>
      </c>
      <c r="B254" s="33" t="s">
        <v>425</v>
      </c>
      <c r="C254" s="9" t="s">
        <v>6</v>
      </c>
      <c r="D254" s="9" t="s">
        <v>6</v>
      </c>
      <c r="E254" s="79" t="s">
        <v>150</v>
      </c>
      <c r="F254" s="93">
        <v>45837</v>
      </c>
    </row>
    <row r="255" spans="1:6" x14ac:dyDescent="0.25">
      <c r="A255" s="9">
        <v>54</v>
      </c>
      <c r="B255" s="33" t="s">
        <v>428</v>
      </c>
      <c r="C255" s="9" t="s">
        <v>6</v>
      </c>
      <c r="D255" s="9" t="s">
        <v>6</v>
      </c>
      <c r="E255" s="79" t="s">
        <v>45</v>
      </c>
      <c r="F255" s="93">
        <v>45837</v>
      </c>
    </row>
    <row r="256" spans="1:6" x14ac:dyDescent="0.25">
      <c r="A256" s="9">
        <v>55</v>
      </c>
      <c r="B256" s="33" t="s">
        <v>429</v>
      </c>
      <c r="C256" s="9" t="s">
        <v>6</v>
      </c>
      <c r="D256" s="9" t="s">
        <v>6</v>
      </c>
      <c r="E256" s="79" t="s">
        <v>45</v>
      </c>
      <c r="F256" s="93">
        <v>45837</v>
      </c>
    </row>
    <row r="257" spans="1:6" x14ac:dyDescent="0.25">
      <c r="A257" s="9">
        <v>56</v>
      </c>
      <c r="B257" s="33" t="s">
        <v>430</v>
      </c>
      <c r="C257" s="9" t="s">
        <v>6</v>
      </c>
      <c r="D257" s="9" t="s">
        <v>6</v>
      </c>
      <c r="E257" s="79" t="s">
        <v>45</v>
      </c>
      <c r="F257" s="93">
        <v>45837</v>
      </c>
    </row>
    <row r="258" spans="1:6" x14ac:dyDescent="0.25">
      <c r="A258" s="9">
        <v>57</v>
      </c>
      <c r="B258" s="33" t="s">
        <v>442</v>
      </c>
      <c r="C258" s="9" t="s">
        <v>6</v>
      </c>
      <c r="D258" s="9" t="s">
        <v>6</v>
      </c>
      <c r="E258" s="79" t="s">
        <v>45</v>
      </c>
      <c r="F258" s="93">
        <v>45837</v>
      </c>
    </row>
    <row r="259" spans="1:6" x14ac:dyDescent="0.25">
      <c r="A259" s="9">
        <v>58</v>
      </c>
      <c r="B259" s="17" t="s">
        <v>414</v>
      </c>
      <c r="C259" s="9" t="s">
        <v>6</v>
      </c>
      <c r="D259" s="9" t="s">
        <v>6</v>
      </c>
      <c r="E259" s="79" t="s">
        <v>45</v>
      </c>
      <c r="F259" s="93">
        <v>45830</v>
      </c>
    </row>
    <row r="260" spans="1:6" x14ac:dyDescent="0.25">
      <c r="A260" s="9">
        <v>59</v>
      </c>
      <c r="B260" s="17" t="s">
        <v>416</v>
      </c>
      <c r="C260" s="9" t="s">
        <v>6</v>
      </c>
      <c r="D260" s="9" t="s">
        <v>6</v>
      </c>
      <c r="E260" s="79" t="s">
        <v>45</v>
      </c>
      <c r="F260" s="93">
        <v>45830</v>
      </c>
    </row>
    <row r="261" spans="1:6" x14ac:dyDescent="0.25">
      <c r="A261" s="9">
        <v>60</v>
      </c>
      <c r="B261" s="33" t="s">
        <v>417</v>
      </c>
      <c r="C261" s="9" t="s">
        <v>6</v>
      </c>
      <c r="D261" s="9" t="s">
        <v>6</v>
      </c>
      <c r="E261" s="79" t="s">
        <v>45</v>
      </c>
      <c r="F261" s="93">
        <v>45830</v>
      </c>
    </row>
    <row r="262" spans="1:6" x14ac:dyDescent="0.25">
      <c r="A262" s="9">
        <v>61</v>
      </c>
      <c r="B262" s="33" t="s">
        <v>418</v>
      </c>
      <c r="C262" s="9" t="s">
        <v>6</v>
      </c>
      <c r="D262" s="9" t="s">
        <v>6</v>
      </c>
      <c r="E262" s="79" t="s">
        <v>45</v>
      </c>
      <c r="F262" s="93">
        <v>45830</v>
      </c>
    </row>
    <row r="263" spans="1:6" x14ac:dyDescent="0.25">
      <c r="A263" s="9">
        <v>62</v>
      </c>
      <c r="B263" s="33" t="s">
        <v>419</v>
      </c>
      <c r="C263" s="9" t="s">
        <v>6</v>
      </c>
      <c r="D263" s="9" t="s">
        <v>6</v>
      </c>
      <c r="E263" s="79" t="s">
        <v>45</v>
      </c>
      <c r="F263" s="93">
        <v>45830</v>
      </c>
    </row>
    <row r="264" spans="1:6" x14ac:dyDescent="0.25">
      <c r="A264" s="9">
        <v>63</v>
      </c>
      <c r="B264" s="17" t="s">
        <v>406</v>
      </c>
      <c r="C264" s="9" t="s">
        <v>6</v>
      </c>
      <c r="D264" s="9" t="s">
        <v>6</v>
      </c>
      <c r="E264" s="79" t="s">
        <v>45</v>
      </c>
      <c r="F264" s="93">
        <v>45830</v>
      </c>
    </row>
    <row r="265" spans="1:6" x14ac:dyDescent="0.25">
      <c r="A265" s="9">
        <v>64</v>
      </c>
      <c r="B265" s="17" t="s">
        <v>407</v>
      </c>
      <c r="C265" s="9" t="s">
        <v>6</v>
      </c>
      <c r="D265" s="9" t="s">
        <v>6</v>
      </c>
      <c r="E265" s="79" t="s">
        <v>45</v>
      </c>
      <c r="F265" s="93">
        <v>45830</v>
      </c>
    </row>
    <row r="266" spans="1:6" x14ac:dyDescent="0.25">
      <c r="A266" s="9">
        <v>65</v>
      </c>
      <c r="B266" s="17" t="s">
        <v>399</v>
      </c>
      <c r="C266" s="9" t="s">
        <v>6</v>
      </c>
      <c r="D266" s="9" t="s">
        <v>6</v>
      </c>
      <c r="E266" s="79" t="s">
        <v>45</v>
      </c>
      <c r="F266" s="93">
        <v>45830</v>
      </c>
    </row>
    <row r="267" spans="1:6" x14ac:dyDescent="0.25">
      <c r="A267" s="9">
        <v>66</v>
      </c>
      <c r="B267" s="17" t="s">
        <v>402</v>
      </c>
      <c r="C267" s="9" t="s">
        <v>6</v>
      </c>
      <c r="D267" s="9" t="s">
        <v>6</v>
      </c>
      <c r="E267" s="79" t="s">
        <v>151</v>
      </c>
      <c r="F267" s="93">
        <v>45830</v>
      </c>
    </row>
    <row r="268" spans="1:6" x14ac:dyDescent="0.25">
      <c r="A268" s="9">
        <v>67</v>
      </c>
      <c r="B268" s="17" t="s">
        <v>403</v>
      </c>
      <c r="C268" s="9" t="s">
        <v>6</v>
      </c>
      <c r="D268" s="9" t="s">
        <v>6</v>
      </c>
      <c r="E268" s="79" t="s">
        <v>151</v>
      </c>
      <c r="F268" s="93">
        <v>45830</v>
      </c>
    </row>
    <row r="269" spans="1:6" x14ac:dyDescent="0.25">
      <c r="A269" s="9">
        <v>68</v>
      </c>
      <c r="B269" s="17" t="s">
        <v>392</v>
      </c>
      <c r="C269" s="9" t="s">
        <v>6</v>
      </c>
      <c r="D269" s="9" t="s">
        <v>6</v>
      </c>
      <c r="E269" s="79" t="s">
        <v>45</v>
      </c>
      <c r="F269" s="93">
        <v>45830</v>
      </c>
    </row>
    <row r="270" spans="1:6" x14ac:dyDescent="0.25">
      <c r="A270" s="9">
        <v>69</v>
      </c>
      <c r="B270" s="30" t="s">
        <v>347</v>
      </c>
      <c r="C270" s="9" t="s">
        <v>6</v>
      </c>
      <c r="D270" s="9" t="s">
        <v>6</v>
      </c>
      <c r="E270" s="79" t="s">
        <v>45</v>
      </c>
      <c r="F270" s="93">
        <v>45837</v>
      </c>
    </row>
    <row r="271" spans="1:6" x14ac:dyDescent="0.25">
      <c r="A271" s="9">
        <v>70</v>
      </c>
      <c r="B271" s="8" t="s">
        <v>64</v>
      </c>
      <c r="C271" s="9" t="s">
        <v>6</v>
      </c>
      <c r="D271" s="9" t="s">
        <v>6</v>
      </c>
      <c r="E271" s="79" t="s">
        <v>45</v>
      </c>
      <c r="F271" s="93">
        <v>45830</v>
      </c>
    </row>
    <row r="272" spans="1:6" x14ac:dyDescent="0.25">
      <c r="A272" s="9">
        <v>71</v>
      </c>
      <c r="B272" s="8" t="s">
        <v>413</v>
      </c>
      <c r="C272" s="9" t="s">
        <v>6</v>
      </c>
      <c r="D272" s="9" t="s">
        <v>6</v>
      </c>
      <c r="E272" s="82" t="s">
        <v>45</v>
      </c>
      <c r="F272" s="93">
        <v>45837</v>
      </c>
    </row>
    <row r="273" spans="1:6" x14ac:dyDescent="0.25">
      <c r="A273" s="9">
        <v>72</v>
      </c>
      <c r="B273" s="8" t="s">
        <v>139</v>
      </c>
      <c r="C273" s="9" t="s">
        <v>6</v>
      </c>
      <c r="D273" s="9" t="s">
        <v>6</v>
      </c>
      <c r="E273" s="81" t="s">
        <v>41</v>
      </c>
      <c r="F273" s="93">
        <v>45830</v>
      </c>
    </row>
    <row r="274" spans="1:6" x14ac:dyDescent="0.25">
      <c r="A274" s="9">
        <v>73</v>
      </c>
      <c r="B274" s="8" t="s">
        <v>130</v>
      </c>
      <c r="C274" s="9" t="s">
        <v>6</v>
      </c>
      <c r="D274" s="9" t="s">
        <v>6</v>
      </c>
      <c r="E274" s="81" t="s">
        <v>42</v>
      </c>
      <c r="F274" s="93">
        <v>45830</v>
      </c>
    </row>
    <row r="275" spans="1:6" x14ac:dyDescent="0.25">
      <c r="A275" s="9">
        <v>74</v>
      </c>
      <c r="B275" s="8" t="s">
        <v>119</v>
      </c>
      <c r="C275" s="9" t="s">
        <v>6</v>
      </c>
      <c r="D275" s="9" t="s">
        <v>6</v>
      </c>
      <c r="E275" s="82" t="s">
        <v>39</v>
      </c>
      <c r="F275" s="93">
        <v>45830</v>
      </c>
    </row>
    <row r="276" spans="1:6" x14ac:dyDescent="0.25">
      <c r="A276" s="9">
        <v>75</v>
      </c>
      <c r="B276" s="8" t="s">
        <v>109</v>
      </c>
      <c r="C276" s="9" t="s">
        <v>6</v>
      </c>
      <c r="D276" s="9" t="s">
        <v>6</v>
      </c>
      <c r="E276" s="82" t="s">
        <v>39</v>
      </c>
      <c r="F276" s="93">
        <v>45837</v>
      </c>
    </row>
    <row r="277" spans="1:6" x14ac:dyDescent="0.25">
      <c r="A277" s="9">
        <v>76</v>
      </c>
      <c r="B277" s="8" t="s">
        <v>97</v>
      </c>
      <c r="C277" s="9" t="s">
        <v>6</v>
      </c>
      <c r="D277" s="9" t="s">
        <v>6</v>
      </c>
      <c r="E277" s="82" t="s">
        <v>39</v>
      </c>
      <c r="F277" s="93">
        <v>45830</v>
      </c>
    </row>
    <row r="278" spans="1:6" x14ac:dyDescent="0.25">
      <c r="A278" s="9">
        <v>77</v>
      </c>
      <c r="B278" s="17" t="s">
        <v>397</v>
      </c>
      <c r="C278" s="9" t="s">
        <v>6</v>
      </c>
      <c r="D278" s="9" t="s">
        <v>6</v>
      </c>
      <c r="E278" s="79" t="s">
        <v>45</v>
      </c>
      <c r="F278" s="93">
        <v>45845</v>
      </c>
    </row>
    <row r="279" spans="1:6" x14ac:dyDescent="0.25">
      <c r="A279" s="9">
        <v>78</v>
      </c>
      <c r="B279" s="17" t="s">
        <v>398</v>
      </c>
      <c r="C279" s="9" t="s">
        <v>6</v>
      </c>
      <c r="D279" s="9" t="s">
        <v>6</v>
      </c>
      <c r="E279" s="79" t="s">
        <v>45</v>
      </c>
      <c r="F279" s="93">
        <v>45845</v>
      </c>
    </row>
    <row r="280" spans="1:6" x14ac:dyDescent="0.25">
      <c r="A280" s="9">
        <v>79</v>
      </c>
      <c r="B280" s="33" t="s">
        <v>486</v>
      </c>
      <c r="C280" s="9" t="s">
        <v>6</v>
      </c>
      <c r="D280" s="9" t="s">
        <v>6</v>
      </c>
      <c r="E280" s="79" t="s">
        <v>45</v>
      </c>
      <c r="F280" s="93">
        <v>45845</v>
      </c>
    </row>
    <row r="281" spans="1:6" x14ac:dyDescent="0.25">
      <c r="A281" s="9">
        <v>80</v>
      </c>
      <c r="B281" s="33" t="s">
        <v>487</v>
      </c>
      <c r="C281" s="9" t="s">
        <v>6</v>
      </c>
      <c r="D281" s="9" t="s">
        <v>6</v>
      </c>
      <c r="E281" s="79" t="s">
        <v>45</v>
      </c>
      <c r="F281" s="93">
        <v>45845</v>
      </c>
    </row>
    <row r="282" spans="1:6" x14ac:dyDescent="0.25">
      <c r="A282" s="9">
        <v>81</v>
      </c>
      <c r="B282" s="33" t="s">
        <v>488</v>
      </c>
      <c r="C282" s="9" t="s">
        <v>6</v>
      </c>
      <c r="D282" s="9" t="s">
        <v>6</v>
      </c>
      <c r="E282" s="79" t="s">
        <v>45</v>
      </c>
      <c r="F282" s="93">
        <v>45845</v>
      </c>
    </row>
    <row r="283" spans="1:6" x14ac:dyDescent="0.25">
      <c r="A283" s="9">
        <v>82</v>
      </c>
      <c r="B283" s="33" t="s">
        <v>491</v>
      </c>
      <c r="C283" s="9" t="s">
        <v>6</v>
      </c>
      <c r="D283" s="9" t="s">
        <v>6</v>
      </c>
      <c r="E283" s="79" t="s">
        <v>45</v>
      </c>
      <c r="F283" s="93">
        <v>45845</v>
      </c>
    </row>
    <row r="284" spans="1:6" x14ac:dyDescent="0.25">
      <c r="A284" s="9">
        <v>83</v>
      </c>
      <c r="B284" s="33" t="s">
        <v>456</v>
      </c>
      <c r="C284" s="9" t="s">
        <v>6</v>
      </c>
      <c r="D284" s="9" t="s">
        <v>6</v>
      </c>
      <c r="E284" s="79" t="s">
        <v>39</v>
      </c>
      <c r="F284" s="93">
        <v>45845</v>
      </c>
    </row>
    <row r="285" spans="1:6" x14ac:dyDescent="0.25">
      <c r="A285" s="9">
        <v>84</v>
      </c>
      <c r="B285" s="30" t="s">
        <v>453</v>
      </c>
      <c r="C285" s="9" t="s">
        <v>6</v>
      </c>
      <c r="D285" s="9" t="s">
        <v>6</v>
      </c>
      <c r="E285" s="79" t="s">
        <v>39</v>
      </c>
      <c r="F285" s="93">
        <v>45845</v>
      </c>
    </row>
    <row r="286" spans="1:6" x14ac:dyDescent="0.25">
      <c r="A286" s="9">
        <v>85</v>
      </c>
      <c r="B286" s="33" t="s">
        <v>454</v>
      </c>
      <c r="C286" s="9" t="s">
        <v>6</v>
      </c>
      <c r="D286" s="9" t="s">
        <v>6</v>
      </c>
      <c r="E286" s="79" t="s">
        <v>39</v>
      </c>
      <c r="F286" s="93">
        <v>45845</v>
      </c>
    </row>
    <row r="287" spans="1:6" x14ac:dyDescent="0.25">
      <c r="A287" s="9">
        <v>86</v>
      </c>
      <c r="B287" s="8" t="s">
        <v>315</v>
      </c>
      <c r="C287" s="9" t="s">
        <v>6</v>
      </c>
      <c r="D287" s="9" t="s">
        <v>6</v>
      </c>
      <c r="E287" s="82" t="s">
        <v>39</v>
      </c>
      <c r="F287" s="93">
        <v>45859</v>
      </c>
    </row>
    <row r="288" spans="1:6" x14ac:dyDescent="0.25">
      <c r="A288" s="9">
        <v>87</v>
      </c>
      <c r="B288" s="8" t="s">
        <v>483</v>
      </c>
      <c r="C288" s="9" t="s">
        <v>6</v>
      </c>
      <c r="D288" s="9" t="s">
        <v>6</v>
      </c>
      <c r="E288" s="82" t="s">
        <v>40</v>
      </c>
      <c r="F288" s="93">
        <v>45866</v>
      </c>
    </row>
    <row r="289" spans="1:6" x14ac:dyDescent="0.25">
      <c r="A289" s="9">
        <v>88</v>
      </c>
      <c r="B289" s="8" t="s">
        <v>505</v>
      </c>
      <c r="C289" s="9" t="s">
        <v>6</v>
      </c>
      <c r="D289" s="9" t="s">
        <v>6</v>
      </c>
      <c r="E289" s="82" t="s">
        <v>39</v>
      </c>
      <c r="F289" s="93">
        <v>45859</v>
      </c>
    </row>
    <row r="290" spans="1:6" x14ac:dyDescent="0.25">
      <c r="A290" s="9">
        <v>89</v>
      </c>
      <c r="B290" s="8" t="s">
        <v>336</v>
      </c>
      <c r="C290" s="9" t="s">
        <v>6</v>
      </c>
      <c r="D290" s="9" t="s">
        <v>6</v>
      </c>
      <c r="E290" s="81" t="s">
        <v>39</v>
      </c>
      <c r="F290" s="93">
        <v>45866</v>
      </c>
    </row>
    <row r="291" spans="1:6" x14ac:dyDescent="0.25">
      <c r="A291" s="9">
        <v>90</v>
      </c>
      <c r="B291" s="8" t="s">
        <v>143</v>
      </c>
      <c r="C291" s="9" t="s">
        <v>6</v>
      </c>
      <c r="D291" s="9" t="s">
        <v>6</v>
      </c>
      <c r="E291" s="82" t="s">
        <v>45</v>
      </c>
      <c r="F291" s="93">
        <v>45859</v>
      </c>
    </row>
    <row r="292" spans="1:6" x14ac:dyDescent="0.25">
      <c r="A292" s="9">
        <v>91</v>
      </c>
      <c r="B292" s="17" t="s">
        <v>421</v>
      </c>
      <c r="C292" s="9" t="s">
        <v>6</v>
      </c>
      <c r="D292" s="9" t="s">
        <v>6</v>
      </c>
      <c r="E292" s="79" t="s">
        <v>45</v>
      </c>
      <c r="F292" s="93">
        <v>45866</v>
      </c>
    </row>
    <row r="293" spans="1:6" x14ac:dyDescent="0.25">
      <c r="A293" s="9">
        <v>92</v>
      </c>
      <c r="B293" s="17" t="s">
        <v>345</v>
      </c>
      <c r="C293" s="9" t="s">
        <v>6</v>
      </c>
      <c r="D293" s="9" t="s">
        <v>6</v>
      </c>
      <c r="E293" s="79" t="s">
        <v>45</v>
      </c>
      <c r="F293" s="93">
        <v>45866</v>
      </c>
    </row>
    <row r="294" spans="1:6" x14ac:dyDescent="0.25">
      <c r="A294" s="9">
        <v>93</v>
      </c>
      <c r="B294" s="17" t="s">
        <v>405</v>
      </c>
      <c r="C294" s="9" t="s">
        <v>6</v>
      </c>
      <c r="D294" s="9" t="s">
        <v>6</v>
      </c>
      <c r="E294" s="79" t="s">
        <v>45</v>
      </c>
      <c r="F294" s="93">
        <v>45859</v>
      </c>
    </row>
    <row r="295" spans="1:6" x14ac:dyDescent="0.25">
      <c r="A295" s="9">
        <v>94</v>
      </c>
      <c r="B295" s="33" t="s">
        <v>586</v>
      </c>
      <c r="C295" s="9" t="s">
        <v>6</v>
      </c>
      <c r="D295" s="9" t="s">
        <v>6</v>
      </c>
      <c r="E295" s="79" t="s">
        <v>150</v>
      </c>
      <c r="F295" s="93">
        <v>45866</v>
      </c>
    </row>
    <row r="296" spans="1:6" x14ac:dyDescent="0.25">
      <c r="A296" s="9">
        <v>95</v>
      </c>
      <c r="B296" s="17" t="s">
        <v>1628</v>
      </c>
      <c r="C296" s="19" t="s">
        <v>6</v>
      </c>
      <c r="D296" s="19" t="s">
        <v>6</v>
      </c>
      <c r="E296" s="85" t="s">
        <v>45</v>
      </c>
      <c r="F296" s="93">
        <v>46138</v>
      </c>
    </row>
    <row r="297" spans="1:6" x14ac:dyDescent="0.25">
      <c r="A297" s="9">
        <v>96</v>
      </c>
      <c r="B297" s="33" t="s">
        <v>577</v>
      </c>
      <c r="C297" s="9" t="s">
        <v>6</v>
      </c>
      <c r="D297" s="9" t="s">
        <v>6</v>
      </c>
      <c r="E297" s="79" t="s">
        <v>150</v>
      </c>
      <c r="F297" s="93">
        <v>45866</v>
      </c>
    </row>
    <row r="298" spans="1:6" x14ac:dyDescent="0.25">
      <c r="A298" s="9">
        <v>97</v>
      </c>
      <c r="B298" s="33" t="s">
        <v>499</v>
      </c>
      <c r="C298" s="9" t="s">
        <v>6</v>
      </c>
      <c r="D298" s="9" t="s">
        <v>6</v>
      </c>
      <c r="E298" s="79" t="s">
        <v>45</v>
      </c>
      <c r="F298" s="93">
        <v>45859</v>
      </c>
    </row>
    <row r="299" spans="1:6" x14ac:dyDescent="0.25">
      <c r="A299" s="9">
        <v>98</v>
      </c>
      <c r="B299" s="33" t="s">
        <v>500</v>
      </c>
      <c r="C299" s="9" t="s">
        <v>6</v>
      </c>
      <c r="D299" s="9" t="s">
        <v>6</v>
      </c>
      <c r="E299" s="79" t="s">
        <v>45</v>
      </c>
      <c r="F299" s="93">
        <v>45859</v>
      </c>
    </row>
    <row r="300" spans="1:6" x14ac:dyDescent="0.25">
      <c r="A300" s="9">
        <v>99</v>
      </c>
      <c r="B300" s="33" t="s">
        <v>502</v>
      </c>
      <c r="C300" s="9" t="s">
        <v>6</v>
      </c>
      <c r="D300" s="9" t="s">
        <v>6</v>
      </c>
      <c r="E300" s="79" t="s">
        <v>45</v>
      </c>
      <c r="F300" s="93">
        <v>45859</v>
      </c>
    </row>
    <row r="301" spans="1:6" x14ac:dyDescent="0.25">
      <c r="A301" s="9">
        <v>100</v>
      </c>
      <c r="B301" s="33" t="s">
        <v>514</v>
      </c>
      <c r="C301" s="9" t="s">
        <v>6</v>
      </c>
      <c r="D301" s="9" t="s">
        <v>6</v>
      </c>
      <c r="E301" s="79" t="s">
        <v>45</v>
      </c>
      <c r="F301" s="93">
        <v>45859</v>
      </c>
    </row>
    <row r="302" spans="1:6" x14ac:dyDescent="0.25">
      <c r="A302" s="9">
        <v>101</v>
      </c>
      <c r="B302" s="33" t="s">
        <v>147</v>
      </c>
      <c r="C302" s="9" t="s">
        <v>6</v>
      </c>
      <c r="D302" s="9" t="s">
        <v>6</v>
      </c>
      <c r="E302" s="79" t="s">
        <v>150</v>
      </c>
      <c r="F302" s="93">
        <v>45866</v>
      </c>
    </row>
    <row r="303" spans="1:6" x14ac:dyDescent="0.25">
      <c r="A303" s="9">
        <v>102</v>
      </c>
      <c r="B303" s="33" t="s">
        <v>522</v>
      </c>
      <c r="C303" s="9" t="s">
        <v>6</v>
      </c>
      <c r="D303" s="9" t="s">
        <v>6</v>
      </c>
      <c r="E303" s="79" t="s">
        <v>45</v>
      </c>
      <c r="F303" s="93">
        <v>45859</v>
      </c>
    </row>
    <row r="304" spans="1:6" x14ac:dyDescent="0.25">
      <c r="A304" s="9">
        <v>103</v>
      </c>
      <c r="B304" s="33" t="s">
        <v>530</v>
      </c>
      <c r="C304" s="9" t="s">
        <v>6</v>
      </c>
      <c r="D304" s="9" t="s">
        <v>6</v>
      </c>
      <c r="E304" s="79" t="s">
        <v>45</v>
      </c>
      <c r="F304" s="93">
        <v>45859</v>
      </c>
    </row>
    <row r="305" spans="1:6" x14ac:dyDescent="0.25">
      <c r="A305" s="9">
        <v>104</v>
      </c>
      <c r="B305" s="33" t="s">
        <v>537</v>
      </c>
      <c r="C305" s="9" t="s">
        <v>6</v>
      </c>
      <c r="D305" s="9" t="s">
        <v>6</v>
      </c>
      <c r="E305" s="79" t="s">
        <v>39</v>
      </c>
      <c r="F305" s="93">
        <v>45859</v>
      </c>
    </row>
    <row r="306" spans="1:6" x14ac:dyDescent="0.25">
      <c r="A306" s="9">
        <v>105</v>
      </c>
      <c r="B306" s="33" t="s">
        <v>536</v>
      </c>
      <c r="C306" s="9" t="s">
        <v>6</v>
      </c>
      <c r="D306" s="9" t="s">
        <v>6</v>
      </c>
      <c r="E306" s="79" t="s">
        <v>39</v>
      </c>
      <c r="F306" s="93">
        <v>45859</v>
      </c>
    </row>
    <row r="307" spans="1:6" x14ac:dyDescent="0.25">
      <c r="A307" s="9">
        <v>106</v>
      </c>
      <c r="B307" s="33" t="s">
        <v>531</v>
      </c>
      <c r="C307" s="9" t="s">
        <v>6</v>
      </c>
      <c r="D307" s="9" t="s">
        <v>6</v>
      </c>
      <c r="E307" s="79" t="s">
        <v>45</v>
      </c>
      <c r="F307" s="93">
        <v>45859</v>
      </c>
    </row>
    <row r="308" spans="1:6" x14ac:dyDescent="0.25">
      <c r="A308" s="9">
        <v>107</v>
      </c>
      <c r="B308" s="33" t="s">
        <v>585</v>
      </c>
      <c r="C308" s="9" t="s">
        <v>6</v>
      </c>
      <c r="D308" s="9" t="s">
        <v>6</v>
      </c>
      <c r="E308" s="79" t="s">
        <v>150</v>
      </c>
      <c r="F308" s="93">
        <v>45866</v>
      </c>
    </row>
    <row r="309" spans="1:6" x14ac:dyDescent="0.25">
      <c r="A309" s="9">
        <v>108</v>
      </c>
      <c r="B309" s="33" t="s">
        <v>553</v>
      </c>
      <c r="C309" s="9" t="s">
        <v>6</v>
      </c>
      <c r="D309" s="9" t="s">
        <v>6</v>
      </c>
      <c r="E309" s="79" t="s">
        <v>45</v>
      </c>
      <c r="F309" s="93">
        <v>45866</v>
      </c>
    </row>
    <row r="310" spans="1:6" x14ac:dyDescent="0.25">
      <c r="A310" s="9">
        <v>109</v>
      </c>
      <c r="B310" s="33" t="s">
        <v>552</v>
      </c>
      <c r="C310" s="9" t="s">
        <v>6</v>
      </c>
      <c r="D310" s="9" t="s">
        <v>6</v>
      </c>
      <c r="E310" s="79" t="s">
        <v>45</v>
      </c>
      <c r="F310" s="93">
        <v>45866</v>
      </c>
    </row>
    <row r="311" spans="1:6" x14ac:dyDescent="0.25">
      <c r="A311" s="9">
        <v>110</v>
      </c>
      <c r="B311" s="33" t="s">
        <v>557</v>
      </c>
      <c r="C311" s="9" t="s">
        <v>6</v>
      </c>
      <c r="D311" s="9" t="s">
        <v>6</v>
      </c>
      <c r="E311" s="79" t="s">
        <v>45</v>
      </c>
      <c r="F311" s="93">
        <v>45866</v>
      </c>
    </row>
    <row r="312" spans="1:6" x14ac:dyDescent="0.25">
      <c r="A312" s="9">
        <v>111</v>
      </c>
      <c r="B312" s="33" t="s">
        <v>559</v>
      </c>
      <c r="C312" s="9" t="s">
        <v>6</v>
      </c>
      <c r="D312" s="9" t="s">
        <v>6</v>
      </c>
      <c r="E312" s="79" t="s">
        <v>150</v>
      </c>
      <c r="F312" s="93">
        <v>45866</v>
      </c>
    </row>
    <row r="313" spans="1:6" x14ac:dyDescent="0.25">
      <c r="A313" s="9">
        <v>112</v>
      </c>
      <c r="B313" s="33" t="s">
        <v>575</v>
      </c>
      <c r="C313" s="9" t="s">
        <v>6</v>
      </c>
      <c r="D313" s="9" t="s">
        <v>6</v>
      </c>
      <c r="E313" s="79" t="s">
        <v>150</v>
      </c>
      <c r="F313" s="93">
        <v>45866</v>
      </c>
    </row>
    <row r="314" spans="1:6" x14ac:dyDescent="0.25">
      <c r="A314" s="9">
        <v>113</v>
      </c>
      <c r="B314" s="33" t="s">
        <v>576</v>
      </c>
      <c r="C314" s="9" t="s">
        <v>6</v>
      </c>
      <c r="D314" s="9" t="s">
        <v>6</v>
      </c>
      <c r="E314" s="79" t="s">
        <v>150</v>
      </c>
      <c r="F314" s="93">
        <v>45866</v>
      </c>
    </row>
    <row r="315" spans="1:6" x14ac:dyDescent="0.25">
      <c r="A315" s="9">
        <v>114</v>
      </c>
      <c r="B315" s="33" t="s">
        <v>578</v>
      </c>
      <c r="C315" s="9" t="s">
        <v>6</v>
      </c>
      <c r="D315" s="9" t="s">
        <v>6</v>
      </c>
      <c r="E315" s="79" t="s">
        <v>150</v>
      </c>
      <c r="F315" s="93">
        <v>45866</v>
      </c>
    </row>
    <row r="316" spans="1:6" x14ac:dyDescent="0.25">
      <c r="A316" s="9">
        <v>115</v>
      </c>
      <c r="B316" s="33" t="s">
        <v>580</v>
      </c>
      <c r="C316" s="9" t="s">
        <v>6</v>
      </c>
      <c r="D316" s="9" t="s">
        <v>6</v>
      </c>
      <c r="E316" s="79" t="s">
        <v>45</v>
      </c>
      <c r="F316" s="93">
        <v>45866</v>
      </c>
    </row>
    <row r="317" spans="1:6" x14ac:dyDescent="0.25">
      <c r="A317" s="9">
        <v>116</v>
      </c>
      <c r="B317" s="33" t="s">
        <v>581</v>
      </c>
      <c r="C317" s="9" t="s">
        <v>6</v>
      </c>
      <c r="D317" s="9" t="s">
        <v>6</v>
      </c>
      <c r="E317" s="79" t="s">
        <v>45</v>
      </c>
      <c r="F317" s="93">
        <v>45866</v>
      </c>
    </row>
    <row r="318" spans="1:6" x14ac:dyDescent="0.25">
      <c r="A318" s="9">
        <v>117</v>
      </c>
      <c r="B318" s="33" t="s">
        <v>587</v>
      </c>
      <c r="C318" s="9" t="s">
        <v>6</v>
      </c>
      <c r="D318" s="9" t="s">
        <v>6</v>
      </c>
      <c r="E318" s="79" t="s">
        <v>45</v>
      </c>
      <c r="F318" s="93">
        <v>45866</v>
      </c>
    </row>
    <row r="319" spans="1:6" x14ac:dyDescent="0.25">
      <c r="A319" s="9">
        <v>118</v>
      </c>
      <c r="B319" s="8" t="s">
        <v>128</v>
      </c>
      <c r="C319" s="9" t="s">
        <v>6</v>
      </c>
      <c r="D319" s="9" t="s">
        <v>6</v>
      </c>
      <c r="E319" s="81" t="s">
        <v>39</v>
      </c>
      <c r="F319" s="93">
        <v>45886</v>
      </c>
    </row>
    <row r="320" spans="1:6" x14ac:dyDescent="0.25">
      <c r="A320" s="9">
        <v>119</v>
      </c>
      <c r="B320" s="8" t="s">
        <v>574</v>
      </c>
      <c r="C320" s="9" t="s">
        <v>6</v>
      </c>
      <c r="D320" s="9" t="s">
        <v>6</v>
      </c>
      <c r="E320" s="81" t="s">
        <v>337</v>
      </c>
      <c r="F320" s="93">
        <v>45886</v>
      </c>
    </row>
    <row r="321" spans="1:6" x14ac:dyDescent="0.25">
      <c r="A321" s="9">
        <v>120</v>
      </c>
      <c r="B321" s="8" t="s">
        <v>641</v>
      </c>
      <c r="C321" s="9" t="s">
        <v>6</v>
      </c>
      <c r="D321" s="9" t="s">
        <v>6</v>
      </c>
      <c r="E321" s="81" t="s">
        <v>150</v>
      </c>
      <c r="F321" s="93">
        <v>45886</v>
      </c>
    </row>
    <row r="322" spans="1:6" x14ac:dyDescent="0.25">
      <c r="A322" s="9">
        <v>121</v>
      </c>
      <c r="B322" s="17" t="s">
        <v>306</v>
      </c>
      <c r="C322" s="9" t="s">
        <v>6</v>
      </c>
      <c r="D322" s="9" t="s">
        <v>6</v>
      </c>
      <c r="E322" s="79" t="s">
        <v>45</v>
      </c>
      <c r="F322" s="93">
        <v>45886</v>
      </c>
    </row>
    <row r="323" spans="1:6" x14ac:dyDescent="0.25">
      <c r="A323" s="9">
        <v>122</v>
      </c>
      <c r="B323" s="33" t="s">
        <v>518</v>
      </c>
      <c r="C323" s="9" t="s">
        <v>6</v>
      </c>
      <c r="D323" s="9" t="s">
        <v>6</v>
      </c>
      <c r="E323" s="79" t="s">
        <v>45</v>
      </c>
      <c r="F323" s="93">
        <v>45886</v>
      </c>
    </row>
    <row r="324" spans="1:6" x14ac:dyDescent="0.25">
      <c r="A324" s="9">
        <v>123</v>
      </c>
      <c r="B324" s="33" t="s">
        <v>481</v>
      </c>
      <c r="C324" s="9" t="s">
        <v>6</v>
      </c>
      <c r="D324" s="9" t="s">
        <v>6</v>
      </c>
      <c r="E324" s="79" t="s">
        <v>45</v>
      </c>
      <c r="F324" s="93">
        <v>45886</v>
      </c>
    </row>
    <row r="325" spans="1:6" x14ac:dyDescent="0.25">
      <c r="A325" s="9">
        <v>124</v>
      </c>
      <c r="B325" s="33" t="s">
        <v>485</v>
      </c>
      <c r="C325" s="9" t="s">
        <v>6</v>
      </c>
      <c r="D325" s="9" t="s">
        <v>6</v>
      </c>
      <c r="E325" s="79" t="s">
        <v>45</v>
      </c>
      <c r="F325" s="93">
        <v>45886</v>
      </c>
    </row>
    <row r="326" spans="1:6" x14ac:dyDescent="0.25">
      <c r="A326" s="9">
        <v>125</v>
      </c>
      <c r="B326" s="33" t="s">
        <v>501</v>
      </c>
      <c r="C326" s="9" t="s">
        <v>6</v>
      </c>
      <c r="D326" s="9" t="s">
        <v>6</v>
      </c>
      <c r="E326" s="79" t="s">
        <v>150</v>
      </c>
      <c r="F326" s="93">
        <v>45886</v>
      </c>
    </row>
    <row r="327" spans="1:6" x14ac:dyDescent="0.25">
      <c r="A327" s="9">
        <v>126</v>
      </c>
      <c r="B327" s="33" t="s">
        <v>512</v>
      </c>
      <c r="C327" s="9" t="s">
        <v>6</v>
      </c>
      <c r="D327" s="9" t="s">
        <v>6</v>
      </c>
      <c r="E327" s="79" t="s">
        <v>45</v>
      </c>
      <c r="F327" s="93">
        <v>45886</v>
      </c>
    </row>
    <row r="328" spans="1:6" x14ac:dyDescent="0.25">
      <c r="A328" s="9">
        <v>127</v>
      </c>
      <c r="B328" s="33" t="s">
        <v>519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128</v>
      </c>
      <c r="B329" s="33" t="s">
        <v>521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129</v>
      </c>
      <c r="B330" s="33" t="s">
        <v>212</v>
      </c>
      <c r="C330" s="9" t="s">
        <v>6</v>
      </c>
      <c r="D330" s="9" t="s">
        <v>6</v>
      </c>
      <c r="E330" s="79" t="s">
        <v>39</v>
      </c>
      <c r="F330" s="93">
        <v>45886</v>
      </c>
    </row>
    <row r="331" spans="1:6" x14ac:dyDescent="0.25">
      <c r="A331" s="9">
        <v>130</v>
      </c>
      <c r="B331" s="33" t="s">
        <v>538</v>
      </c>
      <c r="C331" s="9" t="s">
        <v>6</v>
      </c>
      <c r="D331" s="9" t="s">
        <v>6</v>
      </c>
      <c r="E331" s="79" t="s">
        <v>45</v>
      </c>
      <c r="F331" s="93">
        <v>45886</v>
      </c>
    </row>
    <row r="332" spans="1:6" x14ac:dyDescent="0.25">
      <c r="A332" s="9">
        <v>131</v>
      </c>
      <c r="B332" s="33" t="s">
        <v>627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132</v>
      </c>
      <c r="B333" s="33" t="s">
        <v>579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133</v>
      </c>
      <c r="B334" s="33" t="s">
        <v>582</v>
      </c>
      <c r="C334" s="9" t="s">
        <v>6</v>
      </c>
      <c r="D334" s="9" t="s">
        <v>6</v>
      </c>
      <c r="E334" s="79" t="s">
        <v>150</v>
      </c>
      <c r="F334" s="93">
        <v>45886</v>
      </c>
    </row>
    <row r="335" spans="1:6" x14ac:dyDescent="0.25">
      <c r="A335" s="9">
        <v>134</v>
      </c>
      <c r="B335" s="33" t="s">
        <v>343</v>
      </c>
      <c r="C335" s="9" t="s">
        <v>6</v>
      </c>
      <c r="D335" s="9" t="s">
        <v>6</v>
      </c>
      <c r="E335" s="79" t="s">
        <v>45</v>
      </c>
      <c r="F335" s="93">
        <v>45886</v>
      </c>
    </row>
    <row r="336" spans="1:6" x14ac:dyDescent="0.25">
      <c r="A336" s="9">
        <v>135</v>
      </c>
      <c r="B336" s="33" t="s">
        <v>593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136</v>
      </c>
      <c r="B337" s="33" t="s">
        <v>594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137</v>
      </c>
      <c r="B338" s="33" t="s">
        <v>595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138</v>
      </c>
      <c r="B339" s="33" t="s">
        <v>597</v>
      </c>
      <c r="C339" s="9" t="s">
        <v>6</v>
      </c>
      <c r="D339" s="9" t="s">
        <v>6</v>
      </c>
      <c r="E339" s="79" t="s">
        <v>150</v>
      </c>
      <c r="F339" s="93">
        <v>45886</v>
      </c>
    </row>
    <row r="340" spans="1:6" x14ac:dyDescent="0.25">
      <c r="A340" s="9">
        <v>139</v>
      </c>
      <c r="B340" s="33" t="s">
        <v>599</v>
      </c>
      <c r="C340" s="9" t="s">
        <v>6</v>
      </c>
      <c r="D340" s="9" t="s">
        <v>6</v>
      </c>
      <c r="E340" s="79" t="s">
        <v>45</v>
      </c>
      <c r="F340" s="93">
        <v>45886</v>
      </c>
    </row>
    <row r="341" spans="1:6" x14ac:dyDescent="0.25">
      <c r="A341" s="9">
        <v>140</v>
      </c>
      <c r="B341" s="33" t="s">
        <v>600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141</v>
      </c>
      <c r="B342" s="33" t="s">
        <v>601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142</v>
      </c>
      <c r="B343" s="33" t="s">
        <v>603</v>
      </c>
      <c r="C343" s="9" t="s">
        <v>6</v>
      </c>
      <c r="D343" s="9" t="s">
        <v>6</v>
      </c>
      <c r="E343" s="79" t="s">
        <v>45</v>
      </c>
      <c r="F343" s="93">
        <v>45886</v>
      </c>
    </row>
    <row r="344" spans="1:6" x14ac:dyDescent="0.25">
      <c r="A344" s="9">
        <v>143</v>
      </c>
      <c r="B344" s="33" t="s">
        <v>611</v>
      </c>
      <c r="C344" s="9" t="s">
        <v>6</v>
      </c>
      <c r="D344" s="9" t="s">
        <v>6</v>
      </c>
      <c r="E344" s="79" t="s">
        <v>45</v>
      </c>
      <c r="F344" s="93">
        <v>45886</v>
      </c>
    </row>
    <row r="345" spans="1:6" x14ac:dyDescent="0.25">
      <c r="A345" s="9">
        <v>144</v>
      </c>
      <c r="B345" s="33" t="s">
        <v>617</v>
      </c>
      <c r="C345" s="9" t="s">
        <v>6</v>
      </c>
      <c r="D345" s="9" t="s">
        <v>6</v>
      </c>
      <c r="E345" s="79" t="s">
        <v>45</v>
      </c>
      <c r="F345" s="93">
        <v>45886</v>
      </c>
    </row>
    <row r="346" spans="1:6" x14ac:dyDescent="0.25">
      <c r="A346" s="9">
        <v>145</v>
      </c>
      <c r="B346" s="33" t="s">
        <v>619</v>
      </c>
      <c r="C346" s="9" t="s">
        <v>6</v>
      </c>
      <c r="D346" s="9" t="s">
        <v>6</v>
      </c>
      <c r="E346" s="79" t="s">
        <v>45</v>
      </c>
      <c r="F346" s="93">
        <v>45886</v>
      </c>
    </row>
    <row r="347" spans="1:6" x14ac:dyDescent="0.25">
      <c r="A347" s="9">
        <v>146</v>
      </c>
      <c r="B347" s="33" t="s">
        <v>626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147</v>
      </c>
      <c r="B348" s="33" t="s">
        <v>638</v>
      </c>
      <c r="C348" s="9" t="s">
        <v>6</v>
      </c>
      <c r="D348" s="9" t="s">
        <v>6</v>
      </c>
      <c r="E348" s="79" t="s">
        <v>45</v>
      </c>
      <c r="F348" s="93">
        <v>45886</v>
      </c>
    </row>
    <row r="349" spans="1:6" x14ac:dyDescent="0.25">
      <c r="A349" s="9">
        <v>148</v>
      </c>
      <c r="B349" s="33" t="s">
        <v>639</v>
      </c>
      <c r="C349" s="9" t="s">
        <v>6</v>
      </c>
      <c r="D349" s="9" t="s">
        <v>6</v>
      </c>
      <c r="E349" s="79" t="s">
        <v>45</v>
      </c>
      <c r="F349" s="93">
        <v>45886</v>
      </c>
    </row>
    <row r="350" spans="1:6" x14ac:dyDescent="0.25">
      <c r="A350" s="9">
        <v>149</v>
      </c>
      <c r="B350" s="33" t="s">
        <v>640</v>
      </c>
      <c r="C350" s="9" t="s">
        <v>6</v>
      </c>
      <c r="D350" s="9" t="s">
        <v>6</v>
      </c>
      <c r="E350" s="79" t="s">
        <v>45</v>
      </c>
      <c r="F350" s="93">
        <v>45886</v>
      </c>
    </row>
    <row r="351" spans="1:6" x14ac:dyDescent="0.25">
      <c r="A351" s="9">
        <v>150</v>
      </c>
      <c r="B351" s="33" t="s">
        <v>301</v>
      </c>
      <c r="C351" s="9" t="s">
        <v>6</v>
      </c>
      <c r="D351" s="9" t="s">
        <v>6</v>
      </c>
      <c r="E351" s="79" t="s">
        <v>45</v>
      </c>
      <c r="F351" s="93">
        <v>45886</v>
      </c>
    </row>
    <row r="352" spans="1:6" x14ac:dyDescent="0.25">
      <c r="A352" s="9">
        <v>151</v>
      </c>
      <c r="B352" s="33" t="s">
        <v>650</v>
      </c>
      <c r="C352" s="9" t="s">
        <v>6</v>
      </c>
      <c r="D352" s="9" t="s">
        <v>6</v>
      </c>
      <c r="E352" s="79" t="s">
        <v>45</v>
      </c>
      <c r="F352" s="93">
        <v>45886</v>
      </c>
    </row>
    <row r="353" spans="1:6" x14ac:dyDescent="0.25">
      <c r="A353" s="9">
        <v>152</v>
      </c>
      <c r="B353" s="33" t="s">
        <v>651</v>
      </c>
      <c r="C353" s="9" t="s">
        <v>6</v>
      </c>
      <c r="D353" s="9" t="s">
        <v>6</v>
      </c>
      <c r="E353" s="79" t="s">
        <v>45</v>
      </c>
      <c r="F353" s="93">
        <v>45886</v>
      </c>
    </row>
    <row r="354" spans="1:6" x14ac:dyDescent="0.25">
      <c r="A354" s="9">
        <v>153</v>
      </c>
      <c r="B354" s="33" t="s">
        <v>652</v>
      </c>
      <c r="C354" s="9" t="s">
        <v>6</v>
      </c>
      <c r="D354" s="9" t="s">
        <v>6</v>
      </c>
      <c r="E354" s="79" t="s">
        <v>45</v>
      </c>
      <c r="F354" s="93">
        <v>45886</v>
      </c>
    </row>
    <row r="355" spans="1:6" x14ac:dyDescent="0.25">
      <c r="A355" s="9">
        <v>154</v>
      </c>
      <c r="B355" s="33" t="s">
        <v>655</v>
      </c>
      <c r="C355" s="9" t="s">
        <v>6</v>
      </c>
      <c r="D355" s="9" t="s">
        <v>6</v>
      </c>
      <c r="E355" s="79" t="s">
        <v>150</v>
      </c>
      <c r="F355" s="93">
        <v>45886</v>
      </c>
    </row>
    <row r="356" spans="1:6" x14ac:dyDescent="0.25">
      <c r="A356" s="9">
        <v>155</v>
      </c>
      <c r="B356" s="33" t="s">
        <v>658</v>
      </c>
      <c r="C356" s="9" t="s">
        <v>6</v>
      </c>
      <c r="D356" s="9" t="s">
        <v>6</v>
      </c>
      <c r="E356" s="79" t="s">
        <v>45</v>
      </c>
      <c r="F356" s="93">
        <v>45886</v>
      </c>
    </row>
    <row r="357" spans="1:6" x14ac:dyDescent="0.25">
      <c r="A357" s="9">
        <v>156</v>
      </c>
      <c r="B357" s="33" t="s">
        <v>659</v>
      </c>
      <c r="C357" s="9" t="s">
        <v>6</v>
      </c>
      <c r="D357" s="9" t="s">
        <v>6</v>
      </c>
      <c r="E357" s="79" t="s">
        <v>150</v>
      </c>
      <c r="F357" s="93">
        <v>45886</v>
      </c>
    </row>
    <row r="358" spans="1:6" x14ac:dyDescent="0.25">
      <c r="A358" s="9">
        <v>157</v>
      </c>
      <c r="B358" s="33" t="s">
        <v>660</v>
      </c>
      <c r="C358" s="9" t="s">
        <v>6</v>
      </c>
      <c r="D358" s="9" t="s">
        <v>6</v>
      </c>
      <c r="E358" s="79" t="s">
        <v>150</v>
      </c>
      <c r="F358" s="93">
        <v>45886</v>
      </c>
    </row>
    <row r="359" spans="1:6" x14ac:dyDescent="0.25">
      <c r="A359" s="9">
        <v>158</v>
      </c>
      <c r="B359" s="33" t="s">
        <v>661</v>
      </c>
      <c r="C359" s="9" t="s">
        <v>6</v>
      </c>
      <c r="D359" s="9" t="s">
        <v>6</v>
      </c>
      <c r="E359" s="79" t="s">
        <v>45</v>
      </c>
      <c r="F359" s="93">
        <v>45886</v>
      </c>
    </row>
    <row r="360" spans="1:6" x14ac:dyDescent="0.25">
      <c r="A360" s="9">
        <v>159</v>
      </c>
      <c r="B360" s="8" t="s">
        <v>323</v>
      </c>
      <c r="C360" s="9" t="s">
        <v>6</v>
      </c>
      <c r="D360" s="9" t="s">
        <v>6</v>
      </c>
      <c r="E360" s="82" t="s">
        <v>39</v>
      </c>
      <c r="F360" s="93">
        <v>45894</v>
      </c>
    </row>
    <row r="361" spans="1:6" x14ac:dyDescent="0.25">
      <c r="A361" s="9">
        <v>160</v>
      </c>
      <c r="B361" s="8" t="s">
        <v>440</v>
      </c>
      <c r="C361" s="9" t="s">
        <v>6</v>
      </c>
      <c r="D361" s="9" t="s">
        <v>6</v>
      </c>
      <c r="E361" s="82" t="s">
        <v>39</v>
      </c>
      <c r="F361" s="93">
        <v>45894</v>
      </c>
    </row>
    <row r="362" spans="1:6" x14ac:dyDescent="0.25">
      <c r="A362" s="9">
        <v>161</v>
      </c>
      <c r="B362" s="8" t="s">
        <v>107</v>
      </c>
      <c r="C362" s="9" t="s">
        <v>6</v>
      </c>
      <c r="D362" s="9" t="s">
        <v>6</v>
      </c>
      <c r="E362" s="82" t="s">
        <v>39</v>
      </c>
      <c r="F362" s="93">
        <v>45894</v>
      </c>
    </row>
    <row r="363" spans="1:6" x14ac:dyDescent="0.25">
      <c r="A363" s="9">
        <v>162</v>
      </c>
      <c r="B363" s="8" t="s">
        <v>108</v>
      </c>
      <c r="C363" s="9" t="s">
        <v>6</v>
      </c>
      <c r="D363" s="9" t="s">
        <v>6</v>
      </c>
      <c r="E363" s="82" t="s">
        <v>39</v>
      </c>
      <c r="F363" s="93">
        <v>45894</v>
      </c>
    </row>
    <row r="364" spans="1:6" x14ac:dyDescent="0.25">
      <c r="A364" s="9">
        <v>163</v>
      </c>
      <c r="B364" s="8" t="s">
        <v>111</v>
      </c>
      <c r="C364" s="9" t="s">
        <v>6</v>
      </c>
      <c r="D364" s="9" t="s">
        <v>6</v>
      </c>
      <c r="E364" s="82" t="s">
        <v>45</v>
      </c>
      <c r="F364" s="93">
        <v>45894</v>
      </c>
    </row>
    <row r="365" spans="1:6" x14ac:dyDescent="0.25">
      <c r="A365" s="9">
        <v>164</v>
      </c>
      <c r="B365" s="33" t="s">
        <v>642</v>
      </c>
      <c r="C365" s="9" t="s">
        <v>6</v>
      </c>
      <c r="D365" s="9" t="s">
        <v>6</v>
      </c>
      <c r="E365" s="79" t="s">
        <v>45</v>
      </c>
      <c r="F365" s="93">
        <v>45894</v>
      </c>
    </row>
    <row r="366" spans="1:6" x14ac:dyDescent="0.25">
      <c r="A366" s="9">
        <v>165</v>
      </c>
      <c r="B366" s="33" t="s">
        <v>654</v>
      </c>
      <c r="C366" s="9" t="s">
        <v>6</v>
      </c>
      <c r="D366" s="9" t="s">
        <v>6</v>
      </c>
      <c r="E366" s="79" t="s">
        <v>45</v>
      </c>
      <c r="F366" s="93">
        <v>45894</v>
      </c>
    </row>
    <row r="367" spans="1:6" x14ac:dyDescent="0.25">
      <c r="A367" s="9">
        <v>166</v>
      </c>
      <c r="B367" s="33" t="s">
        <v>674</v>
      </c>
      <c r="C367" s="9" t="s">
        <v>6</v>
      </c>
      <c r="D367" s="9" t="s">
        <v>6</v>
      </c>
      <c r="E367" s="79" t="s">
        <v>45</v>
      </c>
      <c r="F367" s="93">
        <v>45894</v>
      </c>
    </row>
    <row r="368" spans="1:6" x14ac:dyDescent="0.25">
      <c r="A368" s="9">
        <v>167</v>
      </c>
      <c r="B368" s="33" t="s">
        <v>685</v>
      </c>
      <c r="C368" s="9" t="s">
        <v>6</v>
      </c>
      <c r="D368" s="9" t="s">
        <v>6</v>
      </c>
      <c r="E368" s="79" t="s">
        <v>45</v>
      </c>
      <c r="F368" s="93">
        <v>45894</v>
      </c>
    </row>
    <row r="369" spans="1:6" x14ac:dyDescent="0.25">
      <c r="A369" s="9">
        <v>168</v>
      </c>
      <c r="B369" s="33" t="s">
        <v>731</v>
      </c>
      <c r="C369" s="9" t="s">
        <v>6</v>
      </c>
      <c r="D369" s="9" t="s">
        <v>6</v>
      </c>
      <c r="E369" s="79" t="s">
        <v>45</v>
      </c>
      <c r="F369" s="93">
        <v>45894</v>
      </c>
    </row>
    <row r="370" spans="1:6" x14ac:dyDescent="0.25">
      <c r="A370" s="9">
        <v>169</v>
      </c>
      <c r="B370" s="33" t="s">
        <v>686</v>
      </c>
      <c r="C370" s="9" t="s">
        <v>6</v>
      </c>
      <c r="D370" s="9" t="s">
        <v>6</v>
      </c>
      <c r="E370" s="79" t="s">
        <v>45</v>
      </c>
      <c r="F370" s="93">
        <v>45894</v>
      </c>
    </row>
    <row r="371" spans="1:6" x14ac:dyDescent="0.25">
      <c r="A371" s="9">
        <v>170</v>
      </c>
      <c r="B371" s="33" t="s">
        <v>693</v>
      </c>
      <c r="C371" s="9" t="s">
        <v>6</v>
      </c>
      <c r="D371" s="9" t="s">
        <v>6</v>
      </c>
      <c r="E371" s="79" t="s">
        <v>45</v>
      </c>
      <c r="F371" s="93">
        <v>45894</v>
      </c>
    </row>
    <row r="372" spans="1:6" x14ac:dyDescent="0.25">
      <c r="A372" s="9">
        <v>171</v>
      </c>
      <c r="B372" s="33" t="s">
        <v>691</v>
      </c>
      <c r="C372" s="9" t="s">
        <v>6</v>
      </c>
      <c r="D372" s="9" t="s">
        <v>6</v>
      </c>
      <c r="E372" s="79" t="s">
        <v>45</v>
      </c>
      <c r="F372" s="93">
        <v>45894</v>
      </c>
    </row>
    <row r="373" spans="1:6" x14ac:dyDescent="0.25">
      <c r="A373" s="9">
        <v>172</v>
      </c>
      <c r="B373" s="33" t="s">
        <v>699</v>
      </c>
      <c r="C373" s="9" t="s">
        <v>6</v>
      </c>
      <c r="D373" s="9" t="s">
        <v>6</v>
      </c>
      <c r="E373" s="79" t="s">
        <v>45</v>
      </c>
      <c r="F373" s="93">
        <v>45894</v>
      </c>
    </row>
    <row r="374" spans="1:6" x14ac:dyDescent="0.25">
      <c r="A374" s="9">
        <v>173</v>
      </c>
      <c r="B374" s="33" t="s">
        <v>700</v>
      </c>
      <c r="C374" s="9" t="s">
        <v>6</v>
      </c>
      <c r="D374" s="9" t="s">
        <v>6</v>
      </c>
      <c r="E374" s="79" t="s">
        <v>151</v>
      </c>
      <c r="F374" s="93">
        <v>45894</v>
      </c>
    </row>
    <row r="375" spans="1:6" x14ac:dyDescent="0.25">
      <c r="A375" s="9">
        <v>174</v>
      </c>
      <c r="B375" s="33" t="s">
        <v>701</v>
      </c>
      <c r="C375" s="9" t="s">
        <v>6</v>
      </c>
      <c r="D375" s="9" t="s">
        <v>6</v>
      </c>
      <c r="E375" s="79" t="s">
        <v>151</v>
      </c>
      <c r="F375" s="93">
        <v>45894</v>
      </c>
    </row>
    <row r="376" spans="1:6" x14ac:dyDescent="0.25">
      <c r="A376" s="9">
        <v>175</v>
      </c>
      <c r="B376" s="33" t="s">
        <v>702</v>
      </c>
      <c r="C376" s="9" t="s">
        <v>6</v>
      </c>
      <c r="D376" s="9" t="s">
        <v>6</v>
      </c>
      <c r="E376" s="79" t="s">
        <v>151</v>
      </c>
      <c r="F376" s="93">
        <v>45894</v>
      </c>
    </row>
    <row r="377" spans="1:6" x14ac:dyDescent="0.25">
      <c r="A377" s="9">
        <v>176</v>
      </c>
      <c r="B377" s="33" t="s">
        <v>703</v>
      </c>
      <c r="C377" s="9" t="s">
        <v>6</v>
      </c>
      <c r="D377" s="9" t="s">
        <v>6</v>
      </c>
      <c r="E377" s="79" t="s">
        <v>151</v>
      </c>
      <c r="F377" s="93">
        <v>45894</v>
      </c>
    </row>
    <row r="378" spans="1:6" x14ac:dyDescent="0.25">
      <c r="A378" s="9">
        <v>177</v>
      </c>
      <c r="B378" s="33" t="s">
        <v>704</v>
      </c>
      <c r="C378" s="9" t="s">
        <v>6</v>
      </c>
      <c r="D378" s="9" t="s">
        <v>6</v>
      </c>
      <c r="E378" s="79" t="s">
        <v>151</v>
      </c>
      <c r="F378" s="93">
        <v>45894</v>
      </c>
    </row>
    <row r="379" spans="1:6" x14ac:dyDescent="0.25">
      <c r="A379" s="9">
        <v>178</v>
      </c>
      <c r="B379" s="8" t="s">
        <v>763</v>
      </c>
      <c r="C379" s="9" t="s">
        <v>6</v>
      </c>
      <c r="D379" s="9" t="s">
        <v>6</v>
      </c>
      <c r="E379" s="82" t="s">
        <v>337</v>
      </c>
      <c r="F379" s="93">
        <v>45907</v>
      </c>
    </row>
    <row r="380" spans="1:6" x14ac:dyDescent="0.25">
      <c r="A380" s="9">
        <v>179</v>
      </c>
      <c r="B380" s="8" t="s">
        <v>342</v>
      </c>
      <c r="C380" s="9" t="s">
        <v>6</v>
      </c>
      <c r="D380" s="9" t="s">
        <v>6</v>
      </c>
      <c r="E380" s="82" t="s">
        <v>42</v>
      </c>
      <c r="F380" s="93">
        <v>45907</v>
      </c>
    </row>
    <row r="381" spans="1:6" x14ac:dyDescent="0.25">
      <c r="A381" s="9">
        <v>180</v>
      </c>
      <c r="B381" s="8" t="s">
        <v>479</v>
      </c>
      <c r="C381" s="9" t="s">
        <v>6</v>
      </c>
      <c r="D381" s="9" t="s">
        <v>6</v>
      </c>
      <c r="E381" s="82" t="s">
        <v>337</v>
      </c>
      <c r="F381" s="93">
        <v>45907</v>
      </c>
    </row>
    <row r="382" spans="1:6" x14ac:dyDescent="0.25">
      <c r="A382" s="9">
        <v>181</v>
      </c>
      <c r="B382" s="8" t="s">
        <v>110</v>
      </c>
      <c r="C382" s="9" t="s">
        <v>6</v>
      </c>
      <c r="D382" s="9" t="s">
        <v>6</v>
      </c>
      <c r="E382" s="82" t="s">
        <v>39</v>
      </c>
      <c r="F382" s="93">
        <v>46040</v>
      </c>
    </row>
    <row r="383" spans="1:6" x14ac:dyDescent="0.25">
      <c r="A383" s="9">
        <v>182</v>
      </c>
      <c r="B383" s="8" t="s">
        <v>423</v>
      </c>
      <c r="C383" s="9" t="s">
        <v>6</v>
      </c>
      <c r="D383" s="9" t="s">
        <v>6</v>
      </c>
      <c r="E383" s="82" t="s">
        <v>45</v>
      </c>
      <c r="F383" s="93">
        <v>45900</v>
      </c>
    </row>
    <row r="384" spans="1:6" x14ac:dyDescent="0.25">
      <c r="A384" s="9">
        <v>183</v>
      </c>
      <c r="B384" s="8" t="s">
        <v>89</v>
      </c>
      <c r="C384" s="9" t="s">
        <v>6</v>
      </c>
      <c r="D384" s="9" t="s">
        <v>6</v>
      </c>
      <c r="E384" s="82" t="s">
        <v>45</v>
      </c>
      <c r="F384" s="93">
        <v>45907</v>
      </c>
    </row>
    <row r="385" spans="1:6" x14ac:dyDescent="0.25">
      <c r="A385" s="9">
        <v>184</v>
      </c>
      <c r="B385" s="33" t="s">
        <v>614</v>
      </c>
      <c r="C385" s="9" t="s">
        <v>6</v>
      </c>
      <c r="D385" s="9" t="s">
        <v>6</v>
      </c>
      <c r="E385" s="79" t="s">
        <v>45</v>
      </c>
      <c r="F385" s="93">
        <v>45907</v>
      </c>
    </row>
    <row r="386" spans="1:6" x14ac:dyDescent="0.25">
      <c r="A386" s="9">
        <v>185</v>
      </c>
      <c r="B386" s="33" t="s">
        <v>480</v>
      </c>
      <c r="C386" s="9" t="s">
        <v>6</v>
      </c>
      <c r="D386" s="9" t="s">
        <v>6</v>
      </c>
      <c r="E386" s="79" t="s">
        <v>45</v>
      </c>
      <c r="F386" s="93">
        <v>45900</v>
      </c>
    </row>
    <row r="387" spans="1:6" x14ac:dyDescent="0.25">
      <c r="A387" s="9">
        <v>186</v>
      </c>
      <c r="B387" s="33" t="s">
        <v>766</v>
      </c>
      <c r="C387" s="9" t="s">
        <v>6</v>
      </c>
      <c r="D387" s="9" t="s">
        <v>6</v>
      </c>
      <c r="E387" s="79" t="s">
        <v>151</v>
      </c>
      <c r="F387" s="93">
        <v>45907</v>
      </c>
    </row>
    <row r="388" spans="1:6" x14ac:dyDescent="0.25">
      <c r="A388" s="9">
        <v>187</v>
      </c>
      <c r="B388" s="33" t="s">
        <v>692</v>
      </c>
      <c r="C388" s="9" t="s">
        <v>6</v>
      </c>
      <c r="D388" s="9" t="s">
        <v>6</v>
      </c>
      <c r="E388" s="79" t="s">
        <v>45</v>
      </c>
      <c r="F388" s="93">
        <v>45907</v>
      </c>
    </row>
    <row r="389" spans="1:6" x14ac:dyDescent="0.25">
      <c r="A389" s="9">
        <v>188</v>
      </c>
      <c r="B389" s="33" t="s">
        <v>717</v>
      </c>
      <c r="C389" s="9" t="s">
        <v>6</v>
      </c>
      <c r="D389" s="9" t="s">
        <v>6</v>
      </c>
      <c r="E389" s="79" t="s">
        <v>337</v>
      </c>
      <c r="F389" s="93">
        <v>45900</v>
      </c>
    </row>
    <row r="390" spans="1:6" x14ac:dyDescent="0.25">
      <c r="A390" s="9">
        <v>189</v>
      </c>
      <c r="B390" s="33" t="s">
        <v>718</v>
      </c>
      <c r="C390" s="9" t="s">
        <v>6</v>
      </c>
      <c r="D390" s="9" t="s">
        <v>6</v>
      </c>
      <c r="E390" s="79" t="s">
        <v>337</v>
      </c>
      <c r="F390" s="93">
        <v>45900</v>
      </c>
    </row>
    <row r="391" spans="1:6" x14ac:dyDescent="0.25">
      <c r="A391" s="9">
        <v>190</v>
      </c>
      <c r="B391" s="47" t="s">
        <v>712</v>
      </c>
      <c r="C391" s="9" t="s">
        <v>6</v>
      </c>
      <c r="D391" s="9" t="s">
        <v>6</v>
      </c>
      <c r="E391" s="79" t="s">
        <v>45</v>
      </c>
      <c r="F391" s="93">
        <v>45900</v>
      </c>
    </row>
    <row r="392" spans="1:6" x14ac:dyDescent="0.25">
      <c r="A392" s="9">
        <v>191</v>
      </c>
      <c r="B392" s="33" t="s">
        <v>729</v>
      </c>
      <c r="C392" s="9" t="s">
        <v>6</v>
      </c>
      <c r="D392" s="9" t="s">
        <v>6</v>
      </c>
      <c r="E392" s="79" t="s">
        <v>45</v>
      </c>
      <c r="F392" s="93">
        <v>45907</v>
      </c>
    </row>
    <row r="393" spans="1:6" x14ac:dyDescent="0.25">
      <c r="A393" s="9">
        <v>192</v>
      </c>
      <c r="B393" s="33" t="s">
        <v>730</v>
      </c>
      <c r="C393" s="9" t="s">
        <v>6</v>
      </c>
      <c r="D393" s="9" t="s">
        <v>6</v>
      </c>
      <c r="E393" s="79" t="s">
        <v>45</v>
      </c>
      <c r="F393" s="93">
        <v>45907</v>
      </c>
    </row>
    <row r="394" spans="1:6" x14ac:dyDescent="0.25">
      <c r="A394" s="9">
        <v>193</v>
      </c>
      <c r="B394" s="33" t="s">
        <v>728</v>
      </c>
      <c r="C394" s="9" t="s">
        <v>6</v>
      </c>
      <c r="D394" s="9" t="s">
        <v>6</v>
      </c>
      <c r="E394" s="79" t="s">
        <v>45</v>
      </c>
      <c r="F394" s="93">
        <v>45907</v>
      </c>
    </row>
    <row r="395" spans="1:6" x14ac:dyDescent="0.25">
      <c r="A395" s="9">
        <v>194</v>
      </c>
      <c r="B395" s="33" t="s">
        <v>743</v>
      </c>
      <c r="C395" s="9" t="s">
        <v>6</v>
      </c>
      <c r="D395" s="9" t="s">
        <v>6</v>
      </c>
      <c r="E395" s="79" t="s">
        <v>45</v>
      </c>
      <c r="F395" s="93">
        <v>45907</v>
      </c>
    </row>
    <row r="396" spans="1:6" x14ac:dyDescent="0.25">
      <c r="A396" s="9">
        <v>195</v>
      </c>
      <c r="B396" s="33" t="s">
        <v>744</v>
      </c>
      <c r="C396" s="9" t="s">
        <v>6</v>
      </c>
      <c r="D396" s="9" t="s">
        <v>6</v>
      </c>
      <c r="E396" s="79" t="s">
        <v>45</v>
      </c>
      <c r="F396" s="93">
        <v>45907</v>
      </c>
    </row>
    <row r="397" spans="1:6" x14ac:dyDescent="0.25">
      <c r="A397" s="9">
        <v>196</v>
      </c>
      <c r="B397" s="33" t="s">
        <v>745</v>
      </c>
      <c r="C397" s="9" t="s">
        <v>6</v>
      </c>
      <c r="D397" s="9" t="s">
        <v>6</v>
      </c>
      <c r="E397" s="79" t="s">
        <v>45</v>
      </c>
      <c r="F397" s="93">
        <v>45907</v>
      </c>
    </row>
    <row r="398" spans="1:6" x14ac:dyDescent="0.25">
      <c r="A398" s="9">
        <v>197</v>
      </c>
      <c r="B398" s="33" t="s">
        <v>767</v>
      </c>
      <c r="C398" s="9" t="s">
        <v>6</v>
      </c>
      <c r="D398" s="9" t="s">
        <v>6</v>
      </c>
      <c r="E398" s="79" t="s">
        <v>45</v>
      </c>
      <c r="F398" s="93">
        <v>45907</v>
      </c>
    </row>
    <row r="399" spans="1:6" x14ac:dyDescent="0.25">
      <c r="A399" s="9">
        <v>198</v>
      </c>
      <c r="B399" s="8" t="s">
        <v>105</v>
      </c>
      <c r="C399" s="9" t="s">
        <v>6</v>
      </c>
      <c r="D399" s="9" t="s">
        <v>6</v>
      </c>
      <c r="E399" s="82" t="s">
        <v>148</v>
      </c>
      <c r="F399" s="93">
        <v>46075</v>
      </c>
    </row>
    <row r="400" spans="1:6" x14ac:dyDescent="0.25">
      <c r="A400" s="9">
        <v>199</v>
      </c>
      <c r="B400" s="8" t="s">
        <v>106</v>
      </c>
      <c r="C400" s="9" t="s">
        <v>6</v>
      </c>
      <c r="D400" s="9" t="s">
        <v>6</v>
      </c>
      <c r="E400" s="82" t="s">
        <v>148</v>
      </c>
      <c r="F400" s="93">
        <v>46068</v>
      </c>
    </row>
    <row r="401" spans="1:6" x14ac:dyDescent="0.25">
      <c r="A401" s="9">
        <v>200</v>
      </c>
      <c r="B401" s="8" t="s">
        <v>132</v>
      </c>
      <c r="C401" s="9" t="s">
        <v>6</v>
      </c>
      <c r="D401" s="9" t="s">
        <v>6</v>
      </c>
      <c r="E401" s="79" t="s">
        <v>39</v>
      </c>
      <c r="F401" s="93">
        <v>45914</v>
      </c>
    </row>
    <row r="402" spans="1:6" x14ac:dyDescent="0.25">
      <c r="A402" s="9">
        <v>201</v>
      </c>
      <c r="B402" s="8" t="s">
        <v>771</v>
      </c>
      <c r="C402" s="9" t="s">
        <v>6</v>
      </c>
      <c r="D402" s="9" t="s">
        <v>6</v>
      </c>
      <c r="E402" s="79" t="s">
        <v>45</v>
      </c>
      <c r="F402" s="93">
        <v>45914</v>
      </c>
    </row>
    <row r="403" spans="1:6" x14ac:dyDescent="0.25">
      <c r="A403" s="9">
        <v>202</v>
      </c>
      <c r="B403" s="8" t="s">
        <v>1254</v>
      </c>
      <c r="C403" s="9" t="s">
        <v>6</v>
      </c>
      <c r="D403" s="9" t="s">
        <v>6</v>
      </c>
      <c r="E403" s="82" t="s">
        <v>45</v>
      </c>
      <c r="F403" s="93">
        <v>46023</v>
      </c>
    </row>
    <row r="404" spans="1:6" x14ac:dyDescent="0.25">
      <c r="A404" s="9">
        <v>203</v>
      </c>
      <c r="B404" s="8" t="s">
        <v>385</v>
      </c>
      <c r="C404" s="9" t="s">
        <v>6</v>
      </c>
      <c r="D404" s="9" t="s">
        <v>6</v>
      </c>
      <c r="E404" s="81" t="s">
        <v>337</v>
      </c>
      <c r="F404" s="93">
        <v>45929</v>
      </c>
    </row>
    <row r="405" spans="1:6" x14ac:dyDescent="0.25">
      <c r="A405" s="9">
        <v>204</v>
      </c>
      <c r="B405" s="17" t="s">
        <v>907</v>
      </c>
      <c r="C405" s="9" t="s">
        <v>6</v>
      </c>
      <c r="D405" s="9" t="s">
        <v>6</v>
      </c>
      <c r="E405" s="79" t="s">
        <v>337</v>
      </c>
      <c r="F405" s="93">
        <v>45929</v>
      </c>
    </row>
    <row r="406" spans="1:6" x14ac:dyDescent="0.25">
      <c r="A406" s="9">
        <v>205</v>
      </c>
      <c r="B406" s="33" t="s">
        <v>777</v>
      </c>
      <c r="C406" s="9" t="s">
        <v>6</v>
      </c>
      <c r="D406" s="9" t="s">
        <v>6</v>
      </c>
      <c r="E406" s="79" t="s">
        <v>45</v>
      </c>
      <c r="F406" s="93">
        <v>45922</v>
      </c>
    </row>
    <row r="407" spans="1:6" x14ac:dyDescent="0.25">
      <c r="A407" s="9">
        <v>206</v>
      </c>
      <c r="B407" s="33" t="s">
        <v>789</v>
      </c>
      <c r="C407" s="9" t="s">
        <v>6</v>
      </c>
      <c r="D407" s="9" t="s">
        <v>6</v>
      </c>
      <c r="E407" s="79" t="s">
        <v>45</v>
      </c>
      <c r="F407" s="93">
        <v>45922</v>
      </c>
    </row>
    <row r="408" spans="1:6" x14ac:dyDescent="0.25">
      <c r="A408" s="9">
        <v>207</v>
      </c>
      <c r="B408" s="47" t="s">
        <v>800</v>
      </c>
      <c r="C408" s="9" t="s">
        <v>6</v>
      </c>
      <c r="D408" s="9" t="s">
        <v>6</v>
      </c>
      <c r="E408" s="79" t="s">
        <v>45</v>
      </c>
      <c r="F408" s="93">
        <v>45922</v>
      </c>
    </row>
    <row r="409" spans="1:6" x14ac:dyDescent="0.25">
      <c r="A409" s="9">
        <v>208</v>
      </c>
      <c r="B409" s="47" t="s">
        <v>805</v>
      </c>
      <c r="C409" s="9" t="s">
        <v>6</v>
      </c>
      <c r="D409" s="9" t="s">
        <v>6</v>
      </c>
      <c r="E409" s="79" t="s">
        <v>45</v>
      </c>
      <c r="F409" s="93">
        <v>45922</v>
      </c>
    </row>
    <row r="410" spans="1:6" x14ac:dyDescent="0.25">
      <c r="A410" s="9">
        <v>209</v>
      </c>
      <c r="B410" s="47" t="s">
        <v>804</v>
      </c>
      <c r="C410" s="9" t="s">
        <v>6</v>
      </c>
      <c r="D410" s="9" t="s">
        <v>6</v>
      </c>
      <c r="E410" s="79" t="s">
        <v>45</v>
      </c>
      <c r="F410" s="93">
        <v>45922</v>
      </c>
    </row>
    <row r="411" spans="1:6" x14ac:dyDescent="0.25">
      <c r="A411" s="9">
        <v>210</v>
      </c>
      <c r="B411" s="47" t="s">
        <v>803</v>
      </c>
      <c r="C411" s="9" t="s">
        <v>5</v>
      </c>
      <c r="D411" s="9" t="s">
        <v>6</v>
      </c>
      <c r="E411" s="79" t="s">
        <v>45</v>
      </c>
      <c r="F411" s="93"/>
    </row>
    <row r="412" spans="1:6" x14ac:dyDescent="0.25">
      <c r="A412" s="9">
        <v>211</v>
      </c>
      <c r="B412" s="47" t="s">
        <v>814</v>
      </c>
      <c r="C412" s="9" t="s">
        <v>6</v>
      </c>
      <c r="D412" s="9" t="s">
        <v>6</v>
      </c>
      <c r="E412" s="79" t="s">
        <v>45</v>
      </c>
      <c r="F412" s="93">
        <v>45922</v>
      </c>
    </row>
    <row r="413" spans="1:6" x14ac:dyDescent="0.25">
      <c r="A413" s="9">
        <v>212</v>
      </c>
      <c r="B413" s="47" t="s">
        <v>815</v>
      </c>
      <c r="C413" s="9" t="s">
        <v>6</v>
      </c>
      <c r="D413" s="9" t="s">
        <v>6</v>
      </c>
      <c r="E413" s="79" t="s">
        <v>45</v>
      </c>
      <c r="F413" s="93">
        <v>45922</v>
      </c>
    </row>
    <row r="414" spans="1:6" x14ac:dyDescent="0.25">
      <c r="A414" s="9">
        <v>213</v>
      </c>
      <c r="B414" s="47" t="s">
        <v>919</v>
      </c>
      <c r="C414" s="9" t="s">
        <v>6</v>
      </c>
      <c r="D414" s="9" t="s">
        <v>6</v>
      </c>
      <c r="E414" s="79" t="s">
        <v>337</v>
      </c>
      <c r="F414" s="93">
        <v>45929</v>
      </c>
    </row>
    <row r="415" spans="1:6" x14ac:dyDescent="0.25">
      <c r="A415" s="9">
        <v>214</v>
      </c>
      <c r="B415" s="33" t="s">
        <v>830</v>
      </c>
      <c r="C415" s="9" t="s">
        <v>6</v>
      </c>
      <c r="D415" s="9" t="s">
        <v>6</v>
      </c>
      <c r="E415" s="79" t="s">
        <v>45</v>
      </c>
      <c r="F415" s="93">
        <v>45929</v>
      </c>
    </row>
    <row r="416" spans="1:6" x14ac:dyDescent="0.25">
      <c r="A416" s="9">
        <v>215</v>
      </c>
      <c r="B416" s="33" t="s">
        <v>833</v>
      </c>
      <c r="C416" s="9" t="s">
        <v>6</v>
      </c>
      <c r="D416" s="9" t="s">
        <v>6</v>
      </c>
      <c r="E416" s="79" t="s">
        <v>45</v>
      </c>
      <c r="F416" s="93">
        <v>45929</v>
      </c>
    </row>
    <row r="417" spans="1:6" x14ac:dyDescent="0.25">
      <c r="A417" s="9">
        <v>216</v>
      </c>
      <c r="B417" s="8" t="s">
        <v>1889</v>
      </c>
      <c r="C417" s="9" t="s">
        <v>6</v>
      </c>
      <c r="D417" s="9" t="s">
        <v>6</v>
      </c>
      <c r="E417" s="12" t="s">
        <v>45</v>
      </c>
      <c r="F417" s="32">
        <f ca="1">IF(AND(C417="NO",D417="NO"),IF(F417="",TODAY(),F417),"")</f>
        <v>46222</v>
      </c>
    </row>
    <row r="418" spans="1:6" x14ac:dyDescent="0.25">
      <c r="A418" s="9">
        <v>217</v>
      </c>
      <c r="B418" s="33" t="s">
        <v>1606</v>
      </c>
      <c r="C418" s="9" t="s">
        <v>6</v>
      </c>
      <c r="D418" s="9" t="s">
        <v>6</v>
      </c>
      <c r="E418" s="12" t="s">
        <v>45</v>
      </c>
      <c r="F418" s="32">
        <f ca="1">IF(AND(C418="NO",D418="NO"),IF(F418="",TODAY(),F418),"")</f>
        <v>46222</v>
      </c>
    </row>
    <row r="419" spans="1:6" x14ac:dyDescent="0.25">
      <c r="A419" s="9">
        <v>218</v>
      </c>
      <c r="B419" s="33" t="s">
        <v>1354</v>
      </c>
      <c r="C419" s="9" t="s">
        <v>6</v>
      </c>
      <c r="D419" s="9" t="s">
        <v>6</v>
      </c>
      <c r="E419" s="12" t="s">
        <v>45</v>
      </c>
      <c r="F419" s="32">
        <f ca="1">IF(AND(C419="NO",D419="NO"),IF(F419="",TODAY(),F419),"")</f>
        <v>46222</v>
      </c>
    </row>
    <row r="420" spans="1:6" x14ac:dyDescent="0.25">
      <c r="A420" s="9">
        <v>219</v>
      </c>
      <c r="B420" s="33" t="s">
        <v>1876</v>
      </c>
      <c r="C420" s="9" t="s">
        <v>6</v>
      </c>
      <c r="D420" s="9" t="s">
        <v>6</v>
      </c>
      <c r="E420" s="12" t="s">
        <v>337</v>
      </c>
      <c r="F420" s="32">
        <f ca="1">IF(AND(C420="NO",D420="NO"),IF(F420="",TODAY(),F420),"")</f>
        <v>46222</v>
      </c>
    </row>
    <row r="421" spans="1:6" x14ac:dyDescent="0.25">
      <c r="A421" s="9">
        <v>220</v>
      </c>
      <c r="B421" s="33" t="s">
        <v>1877</v>
      </c>
      <c r="C421" s="9" t="s">
        <v>6</v>
      </c>
      <c r="D421" s="9" t="s">
        <v>6</v>
      </c>
      <c r="E421" s="12" t="s">
        <v>337</v>
      </c>
      <c r="F421" s="32">
        <f ca="1">IF(AND(C421="NO",D421="NO"),IF(F421="",TODAY(),F421),"")</f>
        <v>46222</v>
      </c>
    </row>
    <row r="422" spans="1:6" x14ac:dyDescent="0.25">
      <c r="A422" s="9">
        <v>221</v>
      </c>
      <c r="B422" s="33" t="s">
        <v>1878</v>
      </c>
      <c r="C422" s="9" t="s">
        <v>6</v>
      </c>
      <c r="D422" s="9" t="s">
        <v>6</v>
      </c>
      <c r="E422" s="12" t="s">
        <v>337</v>
      </c>
      <c r="F422" s="32">
        <f ca="1">IF(AND(C422="NO",D422="NO"),IF(F422="",TODAY(),F422),"")</f>
        <v>46222</v>
      </c>
    </row>
    <row r="423" spans="1:6" x14ac:dyDescent="0.25">
      <c r="A423" s="9">
        <v>222</v>
      </c>
      <c r="B423" s="33" t="s">
        <v>1888</v>
      </c>
      <c r="C423" s="9" t="s">
        <v>6</v>
      </c>
      <c r="D423" s="9" t="s">
        <v>6</v>
      </c>
      <c r="E423" s="12" t="s">
        <v>45</v>
      </c>
      <c r="F423" s="32">
        <f ca="1">IF(AND(C423="NO",D423="NO"),IF(F423="",TODAY(),F423),"")</f>
        <v>46222</v>
      </c>
    </row>
    <row r="424" spans="1:6" x14ac:dyDescent="0.25">
      <c r="A424" s="9">
        <v>223</v>
      </c>
      <c r="B424" s="33" t="s">
        <v>1891</v>
      </c>
      <c r="C424" s="9" t="s">
        <v>6</v>
      </c>
      <c r="D424" s="9" t="s">
        <v>6</v>
      </c>
      <c r="E424" s="12" t="s">
        <v>45</v>
      </c>
      <c r="F424" s="32">
        <f ca="1">IF(AND(C424="NO",D424="NO"),IF(F424="",TODAY(),F424),"")</f>
        <v>46222</v>
      </c>
    </row>
    <row r="425" spans="1:6" x14ac:dyDescent="0.25">
      <c r="A425" s="9">
        <v>225</v>
      </c>
      <c r="B425" s="8" t="s">
        <v>1748</v>
      </c>
      <c r="C425" s="9" t="s">
        <v>6</v>
      </c>
      <c r="D425" s="9" t="s">
        <v>6</v>
      </c>
      <c r="E425" s="12" t="s">
        <v>45</v>
      </c>
      <c r="F425" s="32">
        <f ca="1">IF(AND(C425="NO",D425="NO"),IF(F425="",TODAY(),F425),"")</f>
        <v>46230</v>
      </c>
    </row>
    <row r="426" spans="1:6" x14ac:dyDescent="0.25">
      <c r="A426" s="9">
        <v>226</v>
      </c>
      <c r="B426" s="33" t="s">
        <v>1824</v>
      </c>
      <c r="C426" s="9" t="s">
        <v>6</v>
      </c>
      <c r="D426" s="9" t="s">
        <v>6</v>
      </c>
      <c r="E426" s="12" t="s">
        <v>45</v>
      </c>
      <c r="F426" s="32">
        <f ca="1">IF(AND(C426="NO",D426="NO"),IF(F426="",TODAY(),F426),"")</f>
        <v>46230</v>
      </c>
    </row>
    <row r="427" spans="1:6" x14ac:dyDescent="0.25">
      <c r="A427" s="9">
        <v>227</v>
      </c>
      <c r="B427" s="33" t="s">
        <v>1916</v>
      </c>
      <c r="C427" s="9" t="s">
        <v>6</v>
      </c>
      <c r="D427" s="9" t="s">
        <v>6</v>
      </c>
      <c r="E427" s="12" t="s">
        <v>150</v>
      </c>
      <c r="F427" s="32">
        <f ca="1">IF(AND(C427="NO",D427="NO"),IF(F427="",TODAY(),F427),"")</f>
        <v>46230</v>
      </c>
    </row>
    <row r="428" spans="1:6" x14ac:dyDescent="0.25">
      <c r="A428" s="9">
        <v>228</v>
      </c>
      <c r="B428" s="33" t="s">
        <v>1919</v>
      </c>
      <c r="C428" s="9" t="s">
        <v>6</v>
      </c>
      <c r="D428" s="9" t="s">
        <v>6</v>
      </c>
      <c r="E428" s="12" t="s">
        <v>337</v>
      </c>
      <c r="F428" s="32">
        <f ca="1">IF(AND(C428="NO",D428="NO"),IF(F428="",TODAY(),F428),"")</f>
        <v>46230</v>
      </c>
    </row>
    <row r="429" spans="1:6" x14ac:dyDescent="0.25">
      <c r="A429" s="9">
        <v>229</v>
      </c>
      <c r="B429" s="33" t="s">
        <v>1952</v>
      </c>
      <c r="C429" s="9" t="s">
        <v>6</v>
      </c>
      <c r="D429" s="9" t="s">
        <v>6</v>
      </c>
      <c r="E429" s="12" t="s">
        <v>337</v>
      </c>
      <c r="F429" s="32">
        <f ca="1">IF(AND(C427="NO",D427="NO"),IF(F429="",TODAY(),F429),"")</f>
        <v>46230</v>
      </c>
    </row>
    <row r="430" spans="1:6" x14ac:dyDescent="0.25">
      <c r="A430" s="9">
        <v>230</v>
      </c>
      <c r="B430" s="33" t="s">
        <v>1920</v>
      </c>
      <c r="C430" s="9" t="s">
        <v>6</v>
      </c>
      <c r="D430" s="9" t="s">
        <v>6</v>
      </c>
      <c r="E430" s="12" t="s">
        <v>337</v>
      </c>
      <c r="F430" s="32">
        <f ca="1">IF(AND(C430="NO",D430="NO"),IF(F430="",TODAY(),F430),"")</f>
        <v>46230</v>
      </c>
    </row>
    <row r="431" spans="1:6" x14ac:dyDescent="0.25">
      <c r="A431" s="9">
        <v>231</v>
      </c>
      <c r="B431" s="33" t="s">
        <v>1922</v>
      </c>
      <c r="C431" s="9" t="s">
        <v>6</v>
      </c>
      <c r="D431" s="9" t="s">
        <v>6</v>
      </c>
      <c r="E431" s="12" t="s">
        <v>337</v>
      </c>
      <c r="F431" s="32">
        <f ca="1">IF(AND(C430="NO",D430="NO"),IF(F431="",TODAY(),F431),"")</f>
        <v>46230</v>
      </c>
    </row>
    <row r="432" spans="1:6" x14ac:dyDescent="0.25">
      <c r="A432" s="9">
        <v>232</v>
      </c>
      <c r="B432" s="33" t="s">
        <v>1951</v>
      </c>
      <c r="C432" s="9" t="s">
        <v>6</v>
      </c>
      <c r="D432" s="9" t="s">
        <v>6</v>
      </c>
      <c r="E432" s="12" t="s">
        <v>337</v>
      </c>
      <c r="F432" s="32">
        <f ca="1">IF(AND(C431="NO",D431="NO"),IF(F432="",TODAY(),F432),"")</f>
        <v>46230</v>
      </c>
    </row>
    <row r="433" spans="1:6" x14ac:dyDescent="0.25">
      <c r="A433" s="9">
        <v>233</v>
      </c>
      <c r="B433" s="33" t="s">
        <v>1923</v>
      </c>
      <c r="C433" s="9" t="s">
        <v>6</v>
      </c>
      <c r="D433" s="9" t="s">
        <v>6</v>
      </c>
      <c r="E433" s="12" t="s">
        <v>337</v>
      </c>
      <c r="F433" s="32">
        <f ca="1">IF(AND(C433="NO",D433="NO"),IF(F433="",TODAY(),F433),"")</f>
        <v>46230</v>
      </c>
    </row>
    <row r="434" spans="1:6" x14ac:dyDescent="0.25">
      <c r="A434" s="9">
        <v>234</v>
      </c>
      <c r="B434" s="33" t="s">
        <v>849</v>
      </c>
      <c r="C434" s="9" t="s">
        <v>6</v>
      </c>
      <c r="D434" s="9" t="s">
        <v>6</v>
      </c>
      <c r="E434" s="79" t="s">
        <v>45</v>
      </c>
      <c r="F434" s="93">
        <v>45929</v>
      </c>
    </row>
    <row r="435" spans="1:6" x14ac:dyDescent="0.25">
      <c r="A435" s="9">
        <v>235</v>
      </c>
      <c r="B435" s="33" t="s">
        <v>851</v>
      </c>
      <c r="C435" s="9" t="s">
        <v>6</v>
      </c>
      <c r="D435" s="9" t="s">
        <v>6</v>
      </c>
      <c r="E435" s="79" t="s">
        <v>45</v>
      </c>
      <c r="F435" s="93">
        <v>45929</v>
      </c>
    </row>
    <row r="436" spans="1:6" x14ac:dyDescent="0.25">
      <c r="A436" s="9">
        <v>236</v>
      </c>
      <c r="B436" s="33" t="s">
        <v>852</v>
      </c>
      <c r="C436" s="9" t="s">
        <v>6</v>
      </c>
      <c r="D436" s="9" t="s">
        <v>6</v>
      </c>
      <c r="E436" s="79" t="s">
        <v>45</v>
      </c>
      <c r="F436" s="93">
        <v>45929</v>
      </c>
    </row>
    <row r="437" spans="1:6" x14ac:dyDescent="0.25">
      <c r="A437" s="9">
        <v>237</v>
      </c>
      <c r="B437" s="33" t="s">
        <v>858</v>
      </c>
      <c r="C437" s="9" t="s">
        <v>6</v>
      </c>
      <c r="D437" s="9" t="s">
        <v>6</v>
      </c>
      <c r="E437" s="79" t="s">
        <v>45</v>
      </c>
      <c r="F437" s="93">
        <v>45929</v>
      </c>
    </row>
    <row r="438" spans="1:6" x14ac:dyDescent="0.25">
      <c r="A438" s="9">
        <v>238</v>
      </c>
      <c r="B438" s="33" t="s">
        <v>904</v>
      </c>
      <c r="C438" s="9" t="s">
        <v>6</v>
      </c>
      <c r="D438" s="9" t="s">
        <v>6</v>
      </c>
      <c r="E438" s="79" t="s">
        <v>45</v>
      </c>
      <c r="F438" s="93">
        <v>45929</v>
      </c>
    </row>
    <row r="439" spans="1:6" x14ac:dyDescent="0.25">
      <c r="A439" s="9">
        <v>239</v>
      </c>
      <c r="B439" s="33" t="s">
        <v>901</v>
      </c>
      <c r="C439" s="9" t="s">
        <v>6</v>
      </c>
      <c r="D439" s="9" t="s">
        <v>6</v>
      </c>
      <c r="E439" s="79" t="s">
        <v>45</v>
      </c>
      <c r="F439" s="93">
        <v>45929</v>
      </c>
    </row>
    <row r="440" spans="1:6" x14ac:dyDescent="0.25">
      <c r="A440" s="9">
        <v>240</v>
      </c>
      <c r="B440" s="33" t="s">
        <v>902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241</v>
      </c>
      <c r="B441" s="33" t="s">
        <v>906</v>
      </c>
      <c r="C441" s="9" t="s">
        <v>6</v>
      </c>
      <c r="D441" s="9" t="s">
        <v>6</v>
      </c>
      <c r="E441" s="79" t="s">
        <v>45</v>
      </c>
      <c r="F441" s="93">
        <v>45929</v>
      </c>
    </row>
    <row r="442" spans="1:6" x14ac:dyDescent="0.25">
      <c r="A442" s="9">
        <v>242</v>
      </c>
      <c r="B442" s="33" t="s">
        <v>905</v>
      </c>
      <c r="C442" s="9" t="s">
        <v>6</v>
      </c>
      <c r="D442" s="9" t="s">
        <v>6</v>
      </c>
      <c r="E442" s="79" t="s">
        <v>45</v>
      </c>
      <c r="F442" s="93">
        <v>45929</v>
      </c>
    </row>
    <row r="443" spans="1:6" x14ac:dyDescent="0.25">
      <c r="A443" s="9">
        <v>243</v>
      </c>
      <c r="B443" s="33" t="s">
        <v>903</v>
      </c>
      <c r="C443" s="9" t="s">
        <v>6</v>
      </c>
      <c r="D443" s="9" t="s">
        <v>6</v>
      </c>
      <c r="E443" s="79" t="s">
        <v>45</v>
      </c>
      <c r="F443" s="93">
        <v>45929</v>
      </c>
    </row>
    <row r="444" spans="1:6" x14ac:dyDescent="0.25">
      <c r="A444" s="9">
        <v>244</v>
      </c>
      <c r="B444" s="33" t="s">
        <v>908</v>
      </c>
      <c r="C444" s="9" t="s">
        <v>6</v>
      </c>
      <c r="D444" s="9" t="s">
        <v>6</v>
      </c>
      <c r="E444" s="79" t="s">
        <v>45</v>
      </c>
      <c r="F444" s="93">
        <v>45929</v>
      </c>
    </row>
    <row r="445" spans="1:6" x14ac:dyDescent="0.25">
      <c r="A445" s="9">
        <v>245</v>
      </c>
      <c r="B445" s="33" t="s">
        <v>911</v>
      </c>
      <c r="C445" s="9" t="s">
        <v>6</v>
      </c>
      <c r="D445" s="9" t="s">
        <v>6</v>
      </c>
      <c r="E445" s="79" t="s">
        <v>45</v>
      </c>
      <c r="F445" s="93">
        <v>45929</v>
      </c>
    </row>
    <row r="446" spans="1:6" x14ac:dyDescent="0.25">
      <c r="A446" s="9">
        <v>246</v>
      </c>
      <c r="B446" s="33" t="s">
        <v>915</v>
      </c>
      <c r="C446" s="9" t="s">
        <v>6</v>
      </c>
      <c r="D446" s="9" t="s">
        <v>6</v>
      </c>
      <c r="E446" s="79" t="s">
        <v>45</v>
      </c>
      <c r="F446" s="93">
        <v>45929</v>
      </c>
    </row>
    <row r="447" spans="1:6" x14ac:dyDescent="0.25">
      <c r="A447" s="9">
        <v>247</v>
      </c>
      <c r="B447" s="33" t="s">
        <v>914</v>
      </c>
      <c r="C447" s="9" t="s">
        <v>6</v>
      </c>
      <c r="D447" s="9" t="s">
        <v>6</v>
      </c>
      <c r="E447" s="79" t="s">
        <v>45</v>
      </c>
      <c r="F447" s="93">
        <v>45929</v>
      </c>
    </row>
    <row r="448" spans="1:6" x14ac:dyDescent="0.25">
      <c r="A448" s="9">
        <v>248</v>
      </c>
      <c r="B448" s="33" t="s">
        <v>913</v>
      </c>
      <c r="C448" s="9" t="s">
        <v>6</v>
      </c>
      <c r="D448" s="9" t="s">
        <v>6</v>
      </c>
      <c r="E448" s="79" t="s">
        <v>45</v>
      </c>
      <c r="F448" s="93">
        <v>45929</v>
      </c>
    </row>
    <row r="449" spans="1:6" x14ac:dyDescent="0.25">
      <c r="A449" s="9">
        <v>249</v>
      </c>
      <c r="B449" s="33" t="s">
        <v>912</v>
      </c>
      <c r="C449" s="9" t="s">
        <v>6</v>
      </c>
      <c r="D449" s="9" t="s">
        <v>6</v>
      </c>
      <c r="E449" s="79" t="s">
        <v>45</v>
      </c>
      <c r="F449" s="93">
        <v>45929</v>
      </c>
    </row>
    <row r="450" spans="1:6" x14ac:dyDescent="0.25">
      <c r="A450" s="9">
        <v>250</v>
      </c>
      <c r="B450" s="33" t="s">
        <v>918</v>
      </c>
      <c r="C450" s="9" t="s">
        <v>6</v>
      </c>
      <c r="D450" s="9" t="s">
        <v>6</v>
      </c>
      <c r="E450" s="79" t="s">
        <v>45</v>
      </c>
      <c r="F450" s="93">
        <v>45929</v>
      </c>
    </row>
    <row r="451" spans="1:6" x14ac:dyDescent="0.25">
      <c r="A451" s="9">
        <v>251</v>
      </c>
      <c r="B451" s="33" t="s">
        <v>917</v>
      </c>
      <c r="C451" s="9" t="s">
        <v>6</v>
      </c>
      <c r="D451" s="9" t="s">
        <v>6</v>
      </c>
      <c r="E451" s="79" t="s">
        <v>45</v>
      </c>
      <c r="F451" s="93">
        <v>45929</v>
      </c>
    </row>
    <row r="452" spans="1:6" x14ac:dyDescent="0.25">
      <c r="A452" s="9">
        <v>252</v>
      </c>
      <c r="B452" s="33" t="s">
        <v>916</v>
      </c>
      <c r="C452" s="9" t="s">
        <v>6</v>
      </c>
      <c r="D452" s="9" t="s">
        <v>6</v>
      </c>
      <c r="E452" s="79" t="s">
        <v>45</v>
      </c>
      <c r="F452" s="93">
        <v>45929</v>
      </c>
    </row>
    <row r="453" spans="1:6" x14ac:dyDescent="0.25">
      <c r="A453" s="9">
        <v>253</v>
      </c>
      <c r="B453" s="8" t="s">
        <v>68</v>
      </c>
      <c r="C453" s="9" t="s">
        <v>6</v>
      </c>
      <c r="D453" s="9" t="s">
        <v>6</v>
      </c>
      <c r="E453" s="82" t="s">
        <v>39</v>
      </c>
      <c r="F453" s="93">
        <v>45935</v>
      </c>
    </row>
    <row r="454" spans="1:6" x14ac:dyDescent="0.25">
      <c r="A454" s="9">
        <v>254</v>
      </c>
      <c r="B454" s="8" t="s">
        <v>944</v>
      </c>
      <c r="C454" s="9" t="s">
        <v>6</v>
      </c>
      <c r="D454" s="9" t="s">
        <v>6</v>
      </c>
      <c r="E454" s="82" t="s">
        <v>337</v>
      </c>
      <c r="F454" s="93">
        <v>45935</v>
      </c>
    </row>
    <row r="455" spans="1:6" x14ac:dyDescent="0.25">
      <c r="A455" s="9">
        <v>255</v>
      </c>
      <c r="B455" s="8" t="s">
        <v>927</v>
      </c>
      <c r="C455" s="9" t="s">
        <v>6</v>
      </c>
      <c r="D455" s="9" t="s">
        <v>6</v>
      </c>
      <c r="E455" s="82" t="s">
        <v>45</v>
      </c>
      <c r="F455" s="93">
        <v>45935</v>
      </c>
    </row>
    <row r="456" spans="1:6" x14ac:dyDescent="0.25">
      <c r="A456" s="9">
        <v>256</v>
      </c>
      <c r="B456" s="8" t="s">
        <v>733</v>
      </c>
      <c r="C456" s="9" t="s">
        <v>6</v>
      </c>
      <c r="D456" s="9" t="s">
        <v>6</v>
      </c>
      <c r="E456" s="81" t="s">
        <v>150</v>
      </c>
      <c r="F456" s="93">
        <v>45935</v>
      </c>
    </row>
    <row r="457" spans="1:6" x14ac:dyDescent="0.25">
      <c r="A457" s="9">
        <v>257</v>
      </c>
      <c r="B457" s="8" t="s">
        <v>1278</v>
      </c>
      <c r="C457" s="9" t="s">
        <v>6</v>
      </c>
      <c r="D457" s="9" t="s">
        <v>6</v>
      </c>
      <c r="E457" s="82" t="s">
        <v>45</v>
      </c>
      <c r="F457" s="93">
        <v>46023</v>
      </c>
    </row>
    <row r="458" spans="1:6" x14ac:dyDescent="0.25">
      <c r="A458" s="9">
        <v>258</v>
      </c>
      <c r="B458" s="8" t="s">
        <v>1279</v>
      </c>
      <c r="C458" s="9" t="s">
        <v>6</v>
      </c>
      <c r="D458" s="9" t="s">
        <v>6</v>
      </c>
      <c r="E458" s="82" t="s">
        <v>337</v>
      </c>
      <c r="F458" s="93">
        <v>46023</v>
      </c>
    </row>
    <row r="459" spans="1:6" x14ac:dyDescent="0.25">
      <c r="A459" s="9">
        <v>259</v>
      </c>
      <c r="B459" s="17" t="s">
        <v>1353</v>
      </c>
      <c r="C459" s="9" t="s">
        <v>6</v>
      </c>
      <c r="D459" s="9" t="s">
        <v>6</v>
      </c>
      <c r="E459" s="82" t="s">
        <v>45</v>
      </c>
      <c r="F459" s="93">
        <v>46075</v>
      </c>
    </row>
    <row r="460" spans="1:6" x14ac:dyDescent="0.25">
      <c r="A460" s="9">
        <v>260</v>
      </c>
      <c r="B460" s="47" t="s">
        <v>816</v>
      </c>
      <c r="C460" s="9" t="s">
        <v>6</v>
      </c>
      <c r="D460" s="9" t="s">
        <v>6</v>
      </c>
      <c r="E460" s="79" t="s">
        <v>150</v>
      </c>
      <c r="F460" s="93">
        <v>45935</v>
      </c>
    </row>
    <row r="461" spans="1:6" x14ac:dyDescent="0.25">
      <c r="A461" s="9">
        <v>261</v>
      </c>
      <c r="B461" s="33" t="s">
        <v>832</v>
      </c>
      <c r="C461" s="9" t="s">
        <v>6</v>
      </c>
      <c r="D461" s="9" t="s">
        <v>6</v>
      </c>
      <c r="E461" s="79" t="s">
        <v>45</v>
      </c>
      <c r="F461" s="93">
        <v>45935</v>
      </c>
    </row>
    <row r="462" spans="1:6" x14ac:dyDescent="0.25">
      <c r="A462" s="9">
        <v>262</v>
      </c>
      <c r="B462" s="33" t="s">
        <v>834</v>
      </c>
      <c r="C462" s="9" t="s">
        <v>6</v>
      </c>
      <c r="D462" s="9" t="s">
        <v>6</v>
      </c>
      <c r="E462" s="79" t="s">
        <v>150</v>
      </c>
      <c r="F462" s="93">
        <v>45935</v>
      </c>
    </row>
    <row r="463" spans="1:6" x14ac:dyDescent="0.25">
      <c r="A463" s="9">
        <v>263</v>
      </c>
      <c r="B463" s="33" t="s">
        <v>926</v>
      </c>
      <c r="C463" s="9" t="s">
        <v>6</v>
      </c>
      <c r="D463" s="9" t="s">
        <v>6</v>
      </c>
      <c r="E463" s="79" t="s">
        <v>45</v>
      </c>
      <c r="F463" s="93">
        <v>45935</v>
      </c>
    </row>
    <row r="464" spans="1:6" x14ac:dyDescent="0.25">
      <c r="A464" s="9">
        <v>264</v>
      </c>
      <c r="B464" s="33" t="s">
        <v>936</v>
      </c>
      <c r="C464" s="9" t="s">
        <v>6</v>
      </c>
      <c r="D464" s="9" t="s">
        <v>6</v>
      </c>
      <c r="E464" s="79" t="s">
        <v>45</v>
      </c>
      <c r="F464" s="93">
        <v>45935</v>
      </c>
    </row>
    <row r="465" spans="1:6" x14ac:dyDescent="0.25">
      <c r="A465" s="9">
        <v>265</v>
      </c>
      <c r="B465" s="33" t="s">
        <v>937</v>
      </c>
      <c r="C465" s="9" t="s">
        <v>6</v>
      </c>
      <c r="D465" s="9" t="s">
        <v>6</v>
      </c>
      <c r="E465" s="79" t="s">
        <v>45</v>
      </c>
      <c r="F465" s="93">
        <v>45935</v>
      </c>
    </row>
    <row r="466" spans="1:6" x14ac:dyDescent="0.25">
      <c r="A466" s="9">
        <v>266</v>
      </c>
      <c r="B466" s="33" t="s">
        <v>939</v>
      </c>
      <c r="C466" s="9" t="s">
        <v>6</v>
      </c>
      <c r="D466" s="9" t="s">
        <v>6</v>
      </c>
      <c r="E466" s="79" t="s">
        <v>45</v>
      </c>
      <c r="F466" s="93">
        <v>45935</v>
      </c>
    </row>
    <row r="467" spans="1:6" x14ac:dyDescent="0.25">
      <c r="A467" s="9">
        <v>267</v>
      </c>
      <c r="B467" s="33" t="s">
        <v>945</v>
      </c>
      <c r="C467" s="9" t="s">
        <v>6</v>
      </c>
      <c r="D467" s="9" t="s">
        <v>6</v>
      </c>
      <c r="E467" s="79" t="s">
        <v>45</v>
      </c>
      <c r="F467" s="93">
        <v>45935</v>
      </c>
    </row>
    <row r="468" spans="1:6" x14ac:dyDescent="0.25">
      <c r="A468" s="9">
        <v>268</v>
      </c>
      <c r="B468" s="33" t="s">
        <v>946</v>
      </c>
      <c r="C468" s="9" t="s">
        <v>6</v>
      </c>
      <c r="D468" s="9" t="s">
        <v>6</v>
      </c>
      <c r="E468" s="79" t="s">
        <v>45</v>
      </c>
      <c r="F468" s="93">
        <v>45935</v>
      </c>
    </row>
    <row r="469" spans="1:6" x14ac:dyDescent="0.25">
      <c r="A469" s="9">
        <v>269</v>
      </c>
      <c r="B469" s="33" t="s">
        <v>947</v>
      </c>
      <c r="C469" s="9" t="s">
        <v>6</v>
      </c>
      <c r="D469" s="9" t="s">
        <v>6</v>
      </c>
      <c r="E469" s="79" t="s">
        <v>45</v>
      </c>
      <c r="F469" s="93">
        <v>45935</v>
      </c>
    </row>
    <row r="470" spans="1:6" x14ac:dyDescent="0.25">
      <c r="A470" s="9">
        <v>270</v>
      </c>
      <c r="B470" s="33" t="s">
        <v>948</v>
      </c>
      <c r="C470" s="9" t="s">
        <v>6</v>
      </c>
      <c r="D470" s="9" t="s">
        <v>6</v>
      </c>
      <c r="E470" s="79" t="s">
        <v>45</v>
      </c>
      <c r="F470" s="93">
        <v>45935</v>
      </c>
    </row>
    <row r="471" spans="1:6" x14ac:dyDescent="0.25">
      <c r="A471" s="9">
        <v>271</v>
      </c>
      <c r="B471" s="8" t="s">
        <v>965</v>
      </c>
      <c r="C471" s="9" t="s">
        <v>6</v>
      </c>
      <c r="D471" s="9" t="s">
        <v>6</v>
      </c>
      <c r="E471" s="79" t="s">
        <v>45</v>
      </c>
      <c r="F471" s="93" t="s">
        <v>1016</v>
      </c>
    </row>
    <row r="472" spans="1:6" x14ac:dyDescent="0.25">
      <c r="A472" s="9">
        <v>272</v>
      </c>
      <c r="B472" s="15" t="s">
        <v>213</v>
      </c>
      <c r="C472" s="9" t="s">
        <v>6</v>
      </c>
      <c r="D472" s="9" t="s">
        <v>6</v>
      </c>
      <c r="E472" s="79" t="s">
        <v>43</v>
      </c>
      <c r="F472" s="93" t="s">
        <v>1016</v>
      </c>
    </row>
    <row r="473" spans="1:6" x14ac:dyDescent="0.25">
      <c r="A473" s="9">
        <v>273</v>
      </c>
      <c r="B473" s="8" t="s">
        <v>208</v>
      </c>
      <c r="C473" s="9" t="s">
        <v>6</v>
      </c>
      <c r="D473" s="9" t="s">
        <v>6</v>
      </c>
      <c r="E473" s="79" t="s">
        <v>39</v>
      </c>
      <c r="F473" s="93" t="s">
        <v>1016</v>
      </c>
    </row>
    <row r="474" spans="1:6" x14ac:dyDescent="0.25">
      <c r="A474" s="9">
        <v>274</v>
      </c>
      <c r="B474" s="33" t="s">
        <v>331</v>
      </c>
      <c r="C474" s="9" t="s">
        <v>6</v>
      </c>
      <c r="D474" s="9" t="s">
        <v>6</v>
      </c>
      <c r="E474" s="79" t="s">
        <v>383</v>
      </c>
      <c r="F474" s="93" t="s">
        <v>1016</v>
      </c>
    </row>
    <row r="475" spans="1:6" x14ac:dyDescent="0.25">
      <c r="A475" s="9">
        <v>275</v>
      </c>
      <c r="B475" s="33" t="s">
        <v>788</v>
      </c>
      <c r="C475" s="9" t="s">
        <v>6</v>
      </c>
      <c r="D475" s="9" t="s">
        <v>6</v>
      </c>
      <c r="E475" s="79" t="s">
        <v>45</v>
      </c>
      <c r="F475" s="93" t="s">
        <v>1016</v>
      </c>
    </row>
    <row r="476" spans="1:6" x14ac:dyDescent="0.25">
      <c r="A476" s="9">
        <v>276</v>
      </c>
      <c r="B476" s="47" t="s">
        <v>334</v>
      </c>
      <c r="C476" s="9" t="s">
        <v>6</v>
      </c>
      <c r="D476" s="9" t="s">
        <v>6</v>
      </c>
      <c r="E476" s="79" t="s">
        <v>45</v>
      </c>
      <c r="F476" s="93" t="s">
        <v>1016</v>
      </c>
    </row>
    <row r="477" spans="1:6" x14ac:dyDescent="0.25">
      <c r="A477" s="9">
        <v>277</v>
      </c>
      <c r="B477" s="33" t="s">
        <v>921</v>
      </c>
      <c r="C477" s="9" t="s">
        <v>6</v>
      </c>
      <c r="D477" s="9" t="s">
        <v>6</v>
      </c>
      <c r="E477" s="79" t="s">
        <v>45</v>
      </c>
      <c r="F477" s="93" t="s">
        <v>1016</v>
      </c>
    </row>
    <row r="478" spans="1:6" x14ac:dyDescent="0.25">
      <c r="A478" s="9">
        <v>278</v>
      </c>
      <c r="B478" s="33" t="s">
        <v>971</v>
      </c>
      <c r="C478" s="9" t="s">
        <v>6</v>
      </c>
      <c r="D478" s="9" t="s">
        <v>6</v>
      </c>
      <c r="E478" s="79" t="s">
        <v>45</v>
      </c>
      <c r="F478" s="93" t="s">
        <v>1016</v>
      </c>
    </row>
    <row r="479" spans="1:6" x14ac:dyDescent="0.25">
      <c r="A479" s="9">
        <v>279</v>
      </c>
      <c r="B479" s="33" t="s">
        <v>972</v>
      </c>
      <c r="C479" s="9" t="s">
        <v>6</v>
      </c>
      <c r="D479" s="9" t="s">
        <v>6</v>
      </c>
      <c r="E479" s="79" t="s">
        <v>45</v>
      </c>
      <c r="F479" s="93" t="s">
        <v>1016</v>
      </c>
    </row>
    <row r="480" spans="1:6" x14ac:dyDescent="0.25">
      <c r="A480" s="9">
        <v>280</v>
      </c>
      <c r="B480" s="17" t="s">
        <v>515</v>
      </c>
      <c r="C480" s="9" t="s">
        <v>6</v>
      </c>
      <c r="D480" s="9" t="s">
        <v>6</v>
      </c>
      <c r="E480" s="82" t="s">
        <v>45</v>
      </c>
      <c r="F480" s="93">
        <v>46023</v>
      </c>
    </row>
    <row r="481" spans="1:6" x14ac:dyDescent="0.25">
      <c r="A481" s="9">
        <v>281</v>
      </c>
      <c r="B481" s="33" t="s">
        <v>1193</v>
      </c>
      <c r="C481" s="9" t="s">
        <v>6</v>
      </c>
      <c r="D481" s="9" t="s">
        <v>6</v>
      </c>
      <c r="E481" s="79" t="s">
        <v>45</v>
      </c>
      <c r="F481" s="93">
        <v>46075</v>
      </c>
    </row>
    <row r="482" spans="1:6" x14ac:dyDescent="0.25">
      <c r="A482" s="9">
        <v>282</v>
      </c>
      <c r="B482" s="33" t="s">
        <v>992</v>
      </c>
      <c r="C482" s="9" t="s">
        <v>6</v>
      </c>
      <c r="D482" s="9" t="s">
        <v>6</v>
      </c>
      <c r="E482" s="79" t="s">
        <v>45</v>
      </c>
      <c r="F482" s="93">
        <v>45949</v>
      </c>
    </row>
    <row r="483" spans="1:6" x14ac:dyDescent="0.25">
      <c r="A483" s="9">
        <v>283</v>
      </c>
      <c r="B483" s="33" t="s">
        <v>991</v>
      </c>
      <c r="C483" s="9" t="s">
        <v>6</v>
      </c>
      <c r="D483" s="9" t="s">
        <v>6</v>
      </c>
      <c r="E483" s="79" t="s">
        <v>45</v>
      </c>
      <c r="F483" s="93">
        <v>45949</v>
      </c>
    </row>
    <row r="484" spans="1:6" x14ac:dyDescent="0.25">
      <c r="A484" s="9">
        <v>284</v>
      </c>
      <c r="B484" s="33" t="s">
        <v>994</v>
      </c>
      <c r="C484" s="9" t="s">
        <v>6</v>
      </c>
      <c r="D484" s="9" t="s">
        <v>6</v>
      </c>
      <c r="E484" s="79" t="s">
        <v>45</v>
      </c>
      <c r="F484" s="93">
        <v>45949</v>
      </c>
    </row>
    <row r="485" spans="1:6" x14ac:dyDescent="0.25">
      <c r="A485" s="9">
        <v>285</v>
      </c>
      <c r="B485" s="33" t="s">
        <v>996</v>
      </c>
      <c r="C485" s="9" t="s">
        <v>6</v>
      </c>
      <c r="D485" s="9" t="s">
        <v>6</v>
      </c>
      <c r="E485" s="79" t="s">
        <v>45</v>
      </c>
      <c r="F485" s="93">
        <v>45949</v>
      </c>
    </row>
    <row r="486" spans="1:6" x14ac:dyDescent="0.25">
      <c r="A486" s="9">
        <v>286</v>
      </c>
      <c r="B486" s="33" t="s">
        <v>998</v>
      </c>
      <c r="C486" s="9" t="s">
        <v>6</v>
      </c>
      <c r="D486" s="9" t="s">
        <v>6</v>
      </c>
      <c r="E486" s="79" t="s">
        <v>45</v>
      </c>
      <c r="F486" s="93">
        <v>45949</v>
      </c>
    </row>
    <row r="487" spans="1:6" x14ac:dyDescent="0.25">
      <c r="A487" s="9">
        <v>287</v>
      </c>
      <c r="B487" s="8" t="s">
        <v>1044</v>
      </c>
      <c r="C487" s="9" t="s">
        <v>6</v>
      </c>
      <c r="D487" s="9" t="s">
        <v>6</v>
      </c>
      <c r="E487" s="82" t="s">
        <v>45</v>
      </c>
      <c r="F487" s="93">
        <v>45956</v>
      </c>
    </row>
    <row r="488" spans="1:6" x14ac:dyDescent="0.25">
      <c r="A488" s="9">
        <v>288</v>
      </c>
      <c r="B488" s="17" t="s">
        <v>70</v>
      </c>
      <c r="C488" s="9" t="s">
        <v>6</v>
      </c>
      <c r="D488" s="9" t="s">
        <v>6</v>
      </c>
      <c r="E488" s="79" t="s">
        <v>337</v>
      </c>
      <c r="F488" s="93">
        <v>45956</v>
      </c>
    </row>
    <row r="489" spans="1:6" x14ac:dyDescent="0.25">
      <c r="A489" s="9">
        <v>289</v>
      </c>
      <c r="B489" s="8" t="s">
        <v>964</v>
      </c>
      <c r="C489" s="9" t="s">
        <v>6</v>
      </c>
      <c r="D489" s="9" t="s">
        <v>6</v>
      </c>
      <c r="E489" s="79" t="s">
        <v>45</v>
      </c>
      <c r="F489" s="93">
        <v>45956</v>
      </c>
    </row>
    <row r="490" spans="1:6" x14ac:dyDescent="0.25">
      <c r="A490" s="9">
        <v>290</v>
      </c>
      <c r="B490" s="33" t="s">
        <v>1280</v>
      </c>
      <c r="C490" s="9" t="s">
        <v>6</v>
      </c>
      <c r="D490" s="9" t="s">
        <v>6</v>
      </c>
      <c r="E490" s="79" t="s">
        <v>45</v>
      </c>
      <c r="F490" s="93">
        <v>46023</v>
      </c>
    </row>
    <row r="491" spans="1:6" x14ac:dyDescent="0.25">
      <c r="A491" s="9">
        <v>291</v>
      </c>
      <c r="B491" s="33" t="s">
        <v>995</v>
      </c>
      <c r="C491" s="9" t="s">
        <v>6</v>
      </c>
      <c r="D491" s="9" t="s">
        <v>6</v>
      </c>
      <c r="E491" s="79" t="s">
        <v>45</v>
      </c>
      <c r="F491" s="93">
        <v>45956</v>
      </c>
    </row>
    <row r="492" spans="1:6" x14ac:dyDescent="0.25">
      <c r="A492" s="9">
        <v>292</v>
      </c>
      <c r="B492" s="33" t="s">
        <v>1026</v>
      </c>
      <c r="C492" s="9" t="s">
        <v>6</v>
      </c>
      <c r="D492" s="9" t="s">
        <v>6</v>
      </c>
      <c r="E492" s="79" t="s">
        <v>45</v>
      </c>
      <c r="F492" s="93">
        <v>45956</v>
      </c>
    </row>
    <row r="493" spans="1:6" x14ac:dyDescent="0.25">
      <c r="A493" s="9">
        <v>293</v>
      </c>
      <c r="B493" s="33" t="s">
        <v>1038</v>
      </c>
      <c r="C493" s="9" t="s">
        <v>6</v>
      </c>
      <c r="D493" s="9" t="s">
        <v>6</v>
      </c>
      <c r="E493" s="79" t="s">
        <v>45</v>
      </c>
      <c r="F493" s="93">
        <v>45956</v>
      </c>
    </row>
    <row r="494" spans="1:6" x14ac:dyDescent="0.25">
      <c r="A494" s="9">
        <v>294</v>
      </c>
      <c r="B494" s="33" t="s">
        <v>1042</v>
      </c>
      <c r="C494" s="9" t="s">
        <v>6</v>
      </c>
      <c r="D494" s="9" t="s">
        <v>6</v>
      </c>
      <c r="E494" s="79" t="s">
        <v>45</v>
      </c>
      <c r="F494" s="93">
        <v>45956</v>
      </c>
    </row>
    <row r="495" spans="1:6" x14ac:dyDescent="0.25">
      <c r="A495" s="9">
        <v>295</v>
      </c>
      <c r="B495" s="33" t="s">
        <v>1045</v>
      </c>
      <c r="C495" s="9" t="s">
        <v>6</v>
      </c>
      <c r="D495" s="9" t="s">
        <v>6</v>
      </c>
      <c r="E495" s="79" t="s">
        <v>45</v>
      </c>
      <c r="F495" s="93">
        <v>45956</v>
      </c>
    </row>
    <row r="496" spans="1:6" x14ac:dyDescent="0.25">
      <c r="A496" s="9">
        <v>296</v>
      </c>
      <c r="B496" s="33" t="s">
        <v>1048</v>
      </c>
      <c r="C496" s="9" t="s">
        <v>6</v>
      </c>
      <c r="D496" s="9" t="s">
        <v>6</v>
      </c>
      <c r="E496" s="79" t="s">
        <v>45</v>
      </c>
      <c r="F496" s="93">
        <v>45956</v>
      </c>
    </row>
    <row r="497" spans="1:6" x14ac:dyDescent="0.25">
      <c r="A497" s="9">
        <v>297</v>
      </c>
      <c r="B497" s="33" t="s">
        <v>452</v>
      </c>
      <c r="C497" s="9" t="s">
        <v>6</v>
      </c>
      <c r="D497" s="9" t="s">
        <v>6</v>
      </c>
      <c r="E497" s="79" t="s">
        <v>39</v>
      </c>
      <c r="F497" s="93">
        <v>45964</v>
      </c>
    </row>
    <row r="498" spans="1:6" x14ac:dyDescent="0.25">
      <c r="A498" s="9">
        <v>298</v>
      </c>
      <c r="B498" s="33" t="s">
        <v>734</v>
      </c>
      <c r="C498" s="9" t="s">
        <v>6</v>
      </c>
      <c r="D498" s="9" t="s">
        <v>6</v>
      </c>
      <c r="E498" s="79" t="s">
        <v>45</v>
      </c>
      <c r="F498" s="93">
        <v>45964</v>
      </c>
    </row>
    <row r="499" spans="1:6" x14ac:dyDescent="0.25">
      <c r="A499" s="9">
        <v>299</v>
      </c>
      <c r="B499" s="47" t="s">
        <v>1068</v>
      </c>
      <c r="C499" s="9" t="s">
        <v>6</v>
      </c>
      <c r="D499" s="9" t="s">
        <v>6</v>
      </c>
      <c r="E499" s="79" t="s">
        <v>45</v>
      </c>
      <c r="F499" s="93">
        <v>45964</v>
      </c>
    </row>
    <row r="500" spans="1:6" x14ac:dyDescent="0.25">
      <c r="A500" s="9">
        <v>300</v>
      </c>
      <c r="B500" s="33" t="s">
        <v>938</v>
      </c>
      <c r="C500" s="9" t="s">
        <v>6</v>
      </c>
      <c r="D500" s="9" t="s">
        <v>6</v>
      </c>
      <c r="E500" s="79" t="s">
        <v>45</v>
      </c>
      <c r="F500" s="93">
        <v>45964</v>
      </c>
    </row>
    <row r="501" spans="1:6" x14ac:dyDescent="0.25">
      <c r="A501" s="9">
        <v>301</v>
      </c>
      <c r="B501" s="30" t="s">
        <v>1014</v>
      </c>
      <c r="C501" s="9" t="s">
        <v>6</v>
      </c>
      <c r="D501" s="9" t="s">
        <v>6</v>
      </c>
      <c r="E501" s="79" t="s">
        <v>45</v>
      </c>
      <c r="F501" s="93">
        <v>45964</v>
      </c>
    </row>
    <row r="502" spans="1:6" x14ac:dyDescent="0.25">
      <c r="A502" s="9">
        <v>302</v>
      </c>
      <c r="B502" s="8" t="s">
        <v>1093</v>
      </c>
      <c r="C502" s="9" t="s">
        <v>6</v>
      </c>
      <c r="D502" s="9" t="s">
        <v>6</v>
      </c>
      <c r="E502" s="79" t="s">
        <v>40</v>
      </c>
      <c r="F502" s="93">
        <v>45970</v>
      </c>
    </row>
    <row r="503" spans="1:6" x14ac:dyDescent="0.25">
      <c r="A503" s="9">
        <v>303</v>
      </c>
      <c r="B503" s="33" t="s">
        <v>616</v>
      </c>
      <c r="C503" s="9" t="s">
        <v>6</v>
      </c>
      <c r="D503" s="9" t="s">
        <v>6</v>
      </c>
      <c r="E503" s="79" t="s">
        <v>45</v>
      </c>
      <c r="F503" s="93">
        <v>45970</v>
      </c>
    </row>
    <row r="504" spans="1:6" x14ac:dyDescent="0.25">
      <c r="A504" s="9">
        <v>304</v>
      </c>
      <c r="B504" s="33" t="s">
        <v>1089</v>
      </c>
      <c r="C504" s="9" t="s">
        <v>6</v>
      </c>
      <c r="D504" s="9" t="s">
        <v>6</v>
      </c>
      <c r="E504" s="79" t="s">
        <v>45</v>
      </c>
      <c r="F504" s="93">
        <v>45970</v>
      </c>
    </row>
    <row r="505" spans="1:6" x14ac:dyDescent="0.25">
      <c r="A505" s="9">
        <v>305</v>
      </c>
      <c r="B505" s="33" t="s">
        <v>1067</v>
      </c>
      <c r="C505" s="9" t="s">
        <v>6</v>
      </c>
      <c r="D505" s="9" t="s">
        <v>6</v>
      </c>
      <c r="E505" s="79" t="s">
        <v>45</v>
      </c>
      <c r="F505" s="93">
        <v>45970</v>
      </c>
    </row>
    <row r="506" spans="1:6" x14ac:dyDescent="0.25">
      <c r="A506" s="9">
        <v>306</v>
      </c>
      <c r="B506" s="33" t="s">
        <v>1088</v>
      </c>
      <c r="C506" s="9" t="s">
        <v>6</v>
      </c>
      <c r="D506" s="9" t="s">
        <v>6</v>
      </c>
      <c r="E506" s="79" t="s">
        <v>45</v>
      </c>
      <c r="F506" s="93">
        <v>45970</v>
      </c>
    </row>
    <row r="507" spans="1:6" x14ac:dyDescent="0.25">
      <c r="A507" s="9">
        <v>307</v>
      </c>
      <c r="B507" s="33" t="s">
        <v>1092</v>
      </c>
      <c r="C507" s="9" t="s">
        <v>6</v>
      </c>
      <c r="D507" s="9" t="s">
        <v>6</v>
      </c>
      <c r="E507" s="79" t="s">
        <v>45</v>
      </c>
      <c r="F507" s="93">
        <v>45970</v>
      </c>
    </row>
    <row r="508" spans="1:6" x14ac:dyDescent="0.25">
      <c r="A508" s="9">
        <v>308</v>
      </c>
      <c r="B508" s="33" t="s">
        <v>1295</v>
      </c>
      <c r="C508" s="9" t="s">
        <v>6</v>
      </c>
      <c r="D508" s="9" t="s">
        <v>6</v>
      </c>
      <c r="E508" s="79" t="s">
        <v>151</v>
      </c>
      <c r="F508" s="93">
        <v>46040</v>
      </c>
    </row>
    <row r="509" spans="1:6" x14ac:dyDescent="0.25">
      <c r="A509" s="9">
        <v>309</v>
      </c>
      <c r="B509" s="33" t="s">
        <v>967</v>
      </c>
      <c r="C509" s="9" t="s">
        <v>6</v>
      </c>
      <c r="D509" s="9" t="s">
        <v>6</v>
      </c>
      <c r="E509" s="79" t="s">
        <v>45</v>
      </c>
      <c r="F509" s="93">
        <v>45984</v>
      </c>
    </row>
    <row r="510" spans="1:6" x14ac:dyDescent="0.25">
      <c r="A510" s="9">
        <v>310</v>
      </c>
      <c r="B510" s="33" t="s">
        <v>1001</v>
      </c>
      <c r="C510" s="9" t="s">
        <v>6</v>
      </c>
      <c r="D510" s="9" t="s">
        <v>6</v>
      </c>
      <c r="E510" s="79" t="s">
        <v>45</v>
      </c>
      <c r="F510" s="93">
        <v>45977</v>
      </c>
    </row>
    <row r="511" spans="1:6" x14ac:dyDescent="0.25">
      <c r="A511" s="9">
        <v>311</v>
      </c>
      <c r="B511" s="33" t="s">
        <v>1077</v>
      </c>
      <c r="C511" s="9" t="s">
        <v>6</v>
      </c>
      <c r="D511" s="9" t="s">
        <v>6</v>
      </c>
      <c r="E511" s="79" t="s">
        <v>45</v>
      </c>
      <c r="F511" s="93">
        <v>45977</v>
      </c>
    </row>
    <row r="512" spans="1:6" x14ac:dyDescent="0.25">
      <c r="A512" s="9">
        <v>312</v>
      </c>
      <c r="B512" s="33" t="s">
        <v>1104</v>
      </c>
      <c r="C512" s="9" t="s">
        <v>6</v>
      </c>
      <c r="D512" s="9" t="s">
        <v>6</v>
      </c>
      <c r="E512" s="79" t="s">
        <v>45</v>
      </c>
      <c r="F512" s="93">
        <v>45977</v>
      </c>
    </row>
    <row r="513" spans="1:6" x14ac:dyDescent="0.25">
      <c r="A513" s="9">
        <v>313</v>
      </c>
      <c r="B513" s="33" t="s">
        <v>1105</v>
      </c>
      <c r="C513" s="9" t="s">
        <v>6</v>
      </c>
      <c r="D513" s="9" t="s">
        <v>6</v>
      </c>
      <c r="E513" s="79" t="s">
        <v>45</v>
      </c>
      <c r="F513" s="93">
        <v>45977</v>
      </c>
    </row>
    <row r="514" spans="1:6" x14ac:dyDescent="0.25">
      <c r="A514" s="9">
        <v>314</v>
      </c>
      <c r="B514" s="33" t="s">
        <v>1106</v>
      </c>
      <c r="C514" s="9" t="s">
        <v>6</v>
      </c>
      <c r="D514" s="9" t="s">
        <v>6</v>
      </c>
      <c r="E514" s="79" t="s">
        <v>45</v>
      </c>
      <c r="F514" s="93">
        <v>45977</v>
      </c>
    </row>
    <row r="515" spans="1:6" x14ac:dyDescent="0.25">
      <c r="A515" s="9">
        <v>315</v>
      </c>
      <c r="B515" s="33" t="s">
        <v>1107</v>
      </c>
      <c r="C515" s="9" t="s">
        <v>6</v>
      </c>
      <c r="D515" s="9" t="s">
        <v>6</v>
      </c>
      <c r="E515" s="79" t="s">
        <v>45</v>
      </c>
      <c r="F515" s="93">
        <v>45977</v>
      </c>
    </row>
    <row r="516" spans="1:6" x14ac:dyDescent="0.25">
      <c r="A516" s="9">
        <v>316</v>
      </c>
      <c r="B516" s="33" t="s">
        <v>1109</v>
      </c>
      <c r="C516" s="9" t="s">
        <v>6</v>
      </c>
      <c r="D516" s="9" t="s">
        <v>6</v>
      </c>
      <c r="E516" s="79" t="s">
        <v>45</v>
      </c>
      <c r="F516" s="93">
        <v>45977</v>
      </c>
    </row>
    <row r="517" spans="1:6" x14ac:dyDescent="0.25">
      <c r="A517" s="9">
        <v>317</v>
      </c>
      <c r="B517" s="33" t="s">
        <v>1115</v>
      </c>
      <c r="C517" s="9" t="s">
        <v>6</v>
      </c>
      <c r="D517" s="9" t="s">
        <v>6</v>
      </c>
      <c r="E517" s="79" t="s">
        <v>45</v>
      </c>
      <c r="F517" s="93">
        <v>45992</v>
      </c>
    </row>
    <row r="518" spans="1:6" x14ac:dyDescent="0.25">
      <c r="A518" s="9">
        <v>318</v>
      </c>
      <c r="B518" s="33" t="s">
        <v>1116</v>
      </c>
      <c r="C518" s="9" t="s">
        <v>6</v>
      </c>
      <c r="D518" s="9" t="s">
        <v>6</v>
      </c>
      <c r="E518" s="79" t="s">
        <v>45</v>
      </c>
      <c r="F518" s="93">
        <v>45977</v>
      </c>
    </row>
    <row r="519" spans="1:6" x14ac:dyDescent="0.25">
      <c r="A519" s="9">
        <v>319</v>
      </c>
      <c r="B519" s="33" t="s">
        <v>1131</v>
      </c>
      <c r="C519" s="9" t="s">
        <v>6</v>
      </c>
      <c r="D519" s="9" t="s">
        <v>6</v>
      </c>
      <c r="E519" s="79" t="s">
        <v>45</v>
      </c>
      <c r="F519" s="93">
        <v>45984</v>
      </c>
    </row>
    <row r="520" spans="1:6" x14ac:dyDescent="0.25">
      <c r="A520" s="9">
        <v>320</v>
      </c>
      <c r="B520" s="33" t="s">
        <v>1132</v>
      </c>
      <c r="C520" s="9" t="s">
        <v>6</v>
      </c>
      <c r="D520" s="9" t="s">
        <v>6</v>
      </c>
      <c r="E520" s="79" t="s">
        <v>45</v>
      </c>
      <c r="F520" s="93">
        <v>45984</v>
      </c>
    </row>
    <row r="521" spans="1:6" x14ac:dyDescent="0.25">
      <c r="A521" s="9">
        <v>321</v>
      </c>
      <c r="B521" s="33" t="s">
        <v>1134</v>
      </c>
      <c r="C521" s="9" t="s">
        <v>6</v>
      </c>
      <c r="D521" s="9" t="s">
        <v>6</v>
      </c>
      <c r="E521" s="79" t="s">
        <v>150</v>
      </c>
      <c r="F521" s="93">
        <v>45984</v>
      </c>
    </row>
    <row r="522" spans="1:6" x14ac:dyDescent="0.25">
      <c r="A522" s="9">
        <v>322</v>
      </c>
      <c r="B522" s="33" t="s">
        <v>1135</v>
      </c>
      <c r="C522" s="9" t="s">
        <v>6</v>
      </c>
      <c r="D522" s="9" t="s">
        <v>6</v>
      </c>
      <c r="E522" s="79" t="s">
        <v>150</v>
      </c>
      <c r="F522" s="93">
        <v>45984</v>
      </c>
    </row>
    <row r="523" spans="1:6" x14ac:dyDescent="0.25">
      <c r="A523" s="9">
        <v>323</v>
      </c>
      <c r="B523" s="33" t="s">
        <v>1147</v>
      </c>
      <c r="C523" s="9" t="s">
        <v>6</v>
      </c>
      <c r="D523" s="9" t="s">
        <v>6</v>
      </c>
      <c r="E523" s="79" t="s">
        <v>45</v>
      </c>
      <c r="F523" s="93">
        <v>45984</v>
      </c>
    </row>
    <row r="524" spans="1:6" x14ac:dyDescent="0.25">
      <c r="A524" s="9">
        <v>324</v>
      </c>
      <c r="B524" s="47" t="s">
        <v>1298</v>
      </c>
      <c r="C524" s="9" t="s">
        <v>6</v>
      </c>
      <c r="D524" s="9" t="s">
        <v>6</v>
      </c>
      <c r="E524" s="79" t="s">
        <v>45</v>
      </c>
      <c r="F524" s="93">
        <v>46040</v>
      </c>
    </row>
    <row r="525" spans="1:6" x14ac:dyDescent="0.25">
      <c r="A525" s="9">
        <v>325</v>
      </c>
      <c r="B525" s="33" t="s">
        <v>1149</v>
      </c>
      <c r="C525" s="9" t="s">
        <v>6</v>
      </c>
      <c r="D525" s="9" t="s">
        <v>6</v>
      </c>
      <c r="E525" s="79" t="s">
        <v>150</v>
      </c>
      <c r="F525" s="93">
        <v>45984</v>
      </c>
    </row>
    <row r="526" spans="1:6" x14ac:dyDescent="0.25">
      <c r="A526" s="9">
        <v>326</v>
      </c>
      <c r="B526" s="33" t="s">
        <v>1150</v>
      </c>
      <c r="C526" s="9" t="s">
        <v>6</v>
      </c>
      <c r="D526" s="9" t="s">
        <v>6</v>
      </c>
      <c r="E526" s="79" t="s">
        <v>150</v>
      </c>
      <c r="F526" s="93">
        <v>45984</v>
      </c>
    </row>
    <row r="527" spans="1:6" x14ac:dyDescent="0.25">
      <c r="A527" s="9">
        <v>327</v>
      </c>
      <c r="B527" s="33" t="s">
        <v>1151</v>
      </c>
      <c r="C527" s="9" t="s">
        <v>6</v>
      </c>
      <c r="D527" s="9" t="s">
        <v>6</v>
      </c>
      <c r="E527" s="79" t="s">
        <v>150</v>
      </c>
      <c r="F527" s="93">
        <v>45984</v>
      </c>
    </row>
    <row r="528" spans="1:6" x14ac:dyDescent="0.25">
      <c r="A528" s="9">
        <v>328</v>
      </c>
      <c r="B528" s="33" t="s">
        <v>1148</v>
      </c>
      <c r="C528" s="9" t="s">
        <v>6</v>
      </c>
      <c r="D528" s="9" t="s">
        <v>6</v>
      </c>
      <c r="E528" s="79" t="s">
        <v>45</v>
      </c>
      <c r="F528" s="93">
        <v>45984</v>
      </c>
    </row>
    <row r="529" spans="1:6" x14ac:dyDescent="0.25">
      <c r="A529" s="9">
        <v>329</v>
      </c>
      <c r="B529" s="8" t="s">
        <v>1192</v>
      </c>
      <c r="C529" s="9" t="s">
        <v>6</v>
      </c>
      <c r="D529" s="9" t="s">
        <v>6</v>
      </c>
      <c r="E529" s="82" t="s">
        <v>45</v>
      </c>
      <c r="F529" s="93">
        <v>45998</v>
      </c>
    </row>
    <row r="530" spans="1:6" x14ac:dyDescent="0.25">
      <c r="A530" s="9">
        <v>330</v>
      </c>
      <c r="B530" s="47" t="s">
        <v>802</v>
      </c>
      <c r="C530" s="9" t="s">
        <v>6</v>
      </c>
      <c r="D530" s="9" t="s">
        <v>6</v>
      </c>
      <c r="E530" s="79" t="s">
        <v>45</v>
      </c>
      <c r="F530" s="93">
        <v>46040</v>
      </c>
    </row>
    <row r="531" spans="1:6" x14ac:dyDescent="0.25">
      <c r="A531" s="9">
        <v>331</v>
      </c>
      <c r="B531" s="8" t="s">
        <v>80</v>
      </c>
      <c r="C531" s="9" t="s">
        <v>6</v>
      </c>
      <c r="D531" s="9" t="s">
        <v>6</v>
      </c>
      <c r="E531" s="82" t="s">
        <v>337</v>
      </c>
      <c r="F531" s="93">
        <v>46104</v>
      </c>
    </row>
    <row r="532" spans="1:6" x14ac:dyDescent="0.25">
      <c r="A532" s="9">
        <v>332</v>
      </c>
      <c r="B532" s="8" t="s">
        <v>747</v>
      </c>
      <c r="C532" s="9" t="s">
        <v>6</v>
      </c>
      <c r="D532" s="9" t="s">
        <v>6</v>
      </c>
      <c r="E532" s="81" t="s">
        <v>45</v>
      </c>
      <c r="F532" s="93">
        <v>45992</v>
      </c>
    </row>
    <row r="533" spans="1:6" x14ac:dyDescent="0.25">
      <c r="A533" s="9">
        <v>333</v>
      </c>
      <c r="B533" s="17" t="s">
        <v>1164</v>
      </c>
      <c r="C533" s="9" t="s">
        <v>6</v>
      </c>
      <c r="D533" s="9" t="s">
        <v>6</v>
      </c>
      <c r="E533" s="82" t="s">
        <v>45</v>
      </c>
      <c r="F533" s="93">
        <v>45992</v>
      </c>
    </row>
    <row r="534" spans="1:6" x14ac:dyDescent="0.25">
      <c r="A534" s="9">
        <v>334</v>
      </c>
      <c r="B534" s="17" t="s">
        <v>1037</v>
      </c>
      <c r="C534" s="9" t="s">
        <v>6</v>
      </c>
      <c r="D534" s="9" t="s">
        <v>6</v>
      </c>
      <c r="E534" s="79" t="s">
        <v>45</v>
      </c>
      <c r="F534" s="93">
        <v>46005</v>
      </c>
    </row>
    <row r="535" spans="1:6" x14ac:dyDescent="0.25">
      <c r="A535" s="9">
        <v>335</v>
      </c>
      <c r="B535" s="33" t="s">
        <v>1133</v>
      </c>
      <c r="C535" s="9" t="s">
        <v>6</v>
      </c>
      <c r="D535" s="9" t="s">
        <v>6</v>
      </c>
      <c r="E535" s="79" t="s">
        <v>45</v>
      </c>
      <c r="F535" s="93">
        <v>46005</v>
      </c>
    </row>
    <row r="536" spans="1:6" ht="15.75" x14ac:dyDescent="0.25">
      <c r="A536" s="9">
        <v>336</v>
      </c>
      <c r="B536" s="33" t="s">
        <v>566</v>
      </c>
      <c r="C536" s="9" t="s">
        <v>6</v>
      </c>
      <c r="D536" s="9" t="s">
        <v>6</v>
      </c>
      <c r="E536" s="80" t="s">
        <v>45</v>
      </c>
      <c r="F536" s="93">
        <v>45992</v>
      </c>
    </row>
    <row r="537" spans="1:6" x14ac:dyDescent="0.25">
      <c r="A537" s="9">
        <v>337</v>
      </c>
      <c r="B537" s="47" t="s">
        <v>801</v>
      </c>
      <c r="C537" s="9" t="s">
        <v>6</v>
      </c>
      <c r="D537" s="9" t="s">
        <v>6</v>
      </c>
      <c r="E537" s="79" t="s">
        <v>45</v>
      </c>
      <c r="F537" s="93">
        <v>45992</v>
      </c>
    </row>
    <row r="538" spans="1:6" x14ac:dyDescent="0.25">
      <c r="A538" s="9">
        <v>338</v>
      </c>
      <c r="B538" s="33" t="s">
        <v>343</v>
      </c>
      <c r="C538" s="9" t="s">
        <v>6</v>
      </c>
      <c r="D538" s="9" t="s">
        <v>6</v>
      </c>
      <c r="E538" s="79" t="s">
        <v>45</v>
      </c>
      <c r="F538" s="93">
        <v>46005</v>
      </c>
    </row>
    <row r="539" spans="1:6" x14ac:dyDescent="0.25">
      <c r="A539" s="9">
        <v>339</v>
      </c>
      <c r="B539" s="33" t="s">
        <v>1024</v>
      </c>
      <c r="C539" s="9" t="s">
        <v>6</v>
      </c>
      <c r="D539" s="9" t="s">
        <v>6</v>
      </c>
      <c r="E539" s="79" t="s">
        <v>45</v>
      </c>
      <c r="F539" s="93">
        <v>45998</v>
      </c>
    </row>
    <row r="540" spans="1:6" x14ac:dyDescent="0.25">
      <c r="A540" s="9">
        <v>340</v>
      </c>
      <c r="B540" s="33" t="s">
        <v>1025</v>
      </c>
      <c r="C540" s="9" t="s">
        <v>6</v>
      </c>
      <c r="D540" s="9" t="s">
        <v>6</v>
      </c>
      <c r="E540" s="79" t="s">
        <v>45</v>
      </c>
      <c r="F540" s="93">
        <v>45992</v>
      </c>
    </row>
    <row r="541" spans="1:6" x14ac:dyDescent="0.25">
      <c r="A541" s="9">
        <v>341</v>
      </c>
      <c r="B541" s="8" t="s">
        <v>1139</v>
      </c>
      <c r="C541" s="9" t="s">
        <v>6</v>
      </c>
      <c r="D541" s="9" t="s">
        <v>6</v>
      </c>
      <c r="E541" s="12" t="s">
        <v>45</v>
      </c>
      <c r="F541" s="32">
        <f ca="1">IF(AND(C541="NO",D541="NO"),IF(F541="",TODAY(),F541),"")</f>
        <v>46245</v>
      </c>
    </row>
    <row r="542" spans="1:6" x14ac:dyDescent="0.25">
      <c r="A542" s="9">
        <v>342</v>
      </c>
      <c r="B542" s="33" t="s">
        <v>1297</v>
      </c>
      <c r="C542" s="9" t="s">
        <v>6</v>
      </c>
      <c r="D542" s="9" t="s">
        <v>6</v>
      </c>
      <c r="E542" s="20" t="s">
        <v>337</v>
      </c>
      <c r="F542" s="32">
        <f ca="1">IF(AND(C542="NO",D542="NO"),IF(F542="",TODAY(),F542),"")</f>
        <v>46245</v>
      </c>
    </row>
    <row r="543" spans="1:6" x14ac:dyDescent="0.25">
      <c r="A543" s="9">
        <v>343</v>
      </c>
      <c r="B543" s="17" t="s">
        <v>1492</v>
      </c>
      <c r="C543" s="9" t="s">
        <v>6</v>
      </c>
      <c r="D543" s="9" t="s">
        <v>6</v>
      </c>
      <c r="E543" s="12" t="s">
        <v>45</v>
      </c>
      <c r="F543" s="32">
        <f ca="1">IF(AND(C543="NO",D543="NO"),IF(F543="",TODAY(),F543),"")</f>
        <v>46245</v>
      </c>
    </row>
    <row r="544" spans="1:6" x14ac:dyDescent="0.25">
      <c r="A544" s="9">
        <v>344</v>
      </c>
      <c r="B544" s="8" t="s">
        <v>100</v>
      </c>
      <c r="C544" s="9" t="s">
        <v>6</v>
      </c>
      <c r="D544" s="9" t="s">
        <v>6</v>
      </c>
      <c r="E544" s="12" t="s">
        <v>45</v>
      </c>
      <c r="F544" s="32">
        <f ca="1">IF(AND(C544="NO",D544="NO"),IF(F544="",TODAY(),F544),"")</f>
        <v>46245</v>
      </c>
    </row>
    <row r="545" spans="1:6" x14ac:dyDescent="0.25">
      <c r="A545" s="9">
        <v>345</v>
      </c>
      <c r="B545" s="33" t="s">
        <v>349</v>
      </c>
      <c r="C545" s="9" t="s">
        <v>6</v>
      </c>
      <c r="D545" s="9" t="s">
        <v>6</v>
      </c>
      <c r="E545" s="12" t="s">
        <v>45</v>
      </c>
      <c r="F545" s="32">
        <f ca="1">IF(AND(C545="NO",D545="NO"),IF(F545="",TODAY(),F545),"")</f>
        <v>46245</v>
      </c>
    </row>
    <row r="546" spans="1:6" x14ac:dyDescent="0.25">
      <c r="A546" s="9">
        <v>346</v>
      </c>
      <c r="B546" s="33" t="s">
        <v>765</v>
      </c>
      <c r="C546" s="9" t="s">
        <v>6</v>
      </c>
      <c r="D546" s="9" t="s">
        <v>6</v>
      </c>
      <c r="E546" s="12" t="s">
        <v>150</v>
      </c>
      <c r="F546" s="32">
        <f ca="1">IF(AND(C546="NO",D546="NO"),IF(F546="",TODAY(),F546),"")</f>
        <v>46245</v>
      </c>
    </row>
    <row r="547" spans="1:6" x14ac:dyDescent="0.25">
      <c r="A547" s="9">
        <v>347</v>
      </c>
      <c r="B547" s="33" t="s">
        <v>309</v>
      </c>
      <c r="C547" s="9" t="s">
        <v>6</v>
      </c>
      <c r="D547" s="9" t="s">
        <v>6</v>
      </c>
      <c r="E547" s="12" t="s">
        <v>150</v>
      </c>
      <c r="F547" s="32">
        <f ca="1">IF(AND(C547="NO",D547="NO"),IF(F547="",TODAY(),F547),"")</f>
        <v>46245</v>
      </c>
    </row>
    <row r="548" spans="1:6" x14ac:dyDescent="0.25">
      <c r="A548" s="9">
        <v>348</v>
      </c>
      <c r="B548" s="15" t="s">
        <v>2016</v>
      </c>
      <c r="C548" s="9" t="s">
        <v>6</v>
      </c>
      <c r="D548" s="9" t="s">
        <v>6</v>
      </c>
      <c r="E548" s="12" t="s">
        <v>45</v>
      </c>
      <c r="F548" s="32">
        <f ca="1">IF(AND(C548="NO",D548="NO"),IF(F548="",TODAY(),F548),"")</f>
        <v>46245</v>
      </c>
    </row>
    <row r="549" spans="1:6" x14ac:dyDescent="0.25">
      <c r="A549" s="9">
        <v>349</v>
      </c>
      <c r="B549" s="33" t="s">
        <v>1390</v>
      </c>
      <c r="C549" s="9" t="s">
        <v>6</v>
      </c>
      <c r="D549" s="9" t="s">
        <v>6</v>
      </c>
      <c r="E549" s="12" t="s">
        <v>45</v>
      </c>
      <c r="F549" s="32">
        <f ca="1">IF(AND(C549="NO",D549="NO"),IF(F549="",TODAY(),F549),"")</f>
        <v>46245</v>
      </c>
    </row>
    <row r="550" spans="1:6" x14ac:dyDescent="0.25">
      <c r="A550" s="9">
        <v>350</v>
      </c>
      <c r="B550" s="33" t="s">
        <v>309</v>
      </c>
      <c r="C550" s="9" t="s">
        <v>6</v>
      </c>
      <c r="D550" s="9" t="s">
        <v>6</v>
      </c>
      <c r="E550" s="12" t="s">
        <v>150</v>
      </c>
      <c r="F550" s="32">
        <f ca="1">IF(AND(C550="NO",D550="NO"),IF(F550="",TODAY(),F550),"")</f>
        <v>46245</v>
      </c>
    </row>
    <row r="551" spans="1:6" x14ac:dyDescent="0.25">
      <c r="A551" s="9">
        <v>351</v>
      </c>
      <c r="B551" s="47" t="s">
        <v>721</v>
      </c>
      <c r="C551" s="9" t="s">
        <v>6</v>
      </c>
      <c r="D551" s="9" t="s">
        <v>6</v>
      </c>
      <c r="E551" s="12" t="s">
        <v>45</v>
      </c>
      <c r="F551" s="32">
        <f ca="1">IF(AND(C551="NO",D551="NO"),IF(F551="",TODAY(),F551),"")</f>
        <v>46245</v>
      </c>
    </row>
    <row r="552" spans="1:6" x14ac:dyDescent="0.25">
      <c r="A552" s="9">
        <v>352</v>
      </c>
      <c r="B552" s="17" t="s">
        <v>1396</v>
      </c>
      <c r="C552" s="9" t="s">
        <v>6</v>
      </c>
      <c r="D552" s="9" t="s">
        <v>6</v>
      </c>
      <c r="E552" s="12" t="s">
        <v>45</v>
      </c>
      <c r="F552" s="32">
        <f ca="1">IF(AND(C552="NO",D552="NO"),IF(F552="",TODAY(),F552),"")</f>
        <v>46245</v>
      </c>
    </row>
    <row r="553" spans="1:6" x14ac:dyDescent="0.25">
      <c r="A553" s="9">
        <v>353</v>
      </c>
      <c r="B553" s="33" t="s">
        <v>1250</v>
      </c>
      <c r="C553" s="9" t="s">
        <v>6</v>
      </c>
      <c r="D553" s="9" t="s">
        <v>6</v>
      </c>
      <c r="E553" s="12" t="s">
        <v>45</v>
      </c>
      <c r="F553" s="32">
        <f ca="1">IF(AND(C553="NO",D553="NO"),IF(F553="",TODAY(),F553),"")</f>
        <v>46245</v>
      </c>
    </row>
    <row r="554" spans="1:6" x14ac:dyDescent="0.25">
      <c r="A554" s="9">
        <v>354</v>
      </c>
      <c r="B554" s="33" t="s">
        <v>302</v>
      </c>
      <c r="C554" s="9" t="s">
        <v>6</v>
      </c>
      <c r="D554" s="9" t="s">
        <v>6</v>
      </c>
      <c r="E554" s="12" t="s">
        <v>337</v>
      </c>
      <c r="F554" s="32">
        <f ca="1">IF(AND(C554="NO",D554="NO"),IF(F554="",TODAY(),F554),"")</f>
        <v>46245</v>
      </c>
    </row>
    <row r="555" spans="1:6" x14ac:dyDescent="0.25">
      <c r="A555" s="9">
        <v>355</v>
      </c>
      <c r="B555" s="33" t="s">
        <v>1314</v>
      </c>
      <c r="C555" s="9" t="s">
        <v>6</v>
      </c>
      <c r="D555" s="9" t="s">
        <v>6</v>
      </c>
      <c r="E555" s="12" t="s">
        <v>337</v>
      </c>
      <c r="F555" s="32">
        <f ca="1">IF(AND(C555="NO",D555="NO"),IF(F555="",TODAY(),F555),"")</f>
        <v>46245</v>
      </c>
    </row>
    <row r="556" spans="1:6" x14ac:dyDescent="0.25">
      <c r="A556" s="9">
        <v>356</v>
      </c>
      <c r="B556" s="17" t="s">
        <v>1948</v>
      </c>
      <c r="C556" s="9" t="s">
        <v>6</v>
      </c>
      <c r="D556" s="9" t="s">
        <v>6</v>
      </c>
      <c r="E556" s="12" t="s">
        <v>337</v>
      </c>
      <c r="F556" s="32">
        <f ca="1">IF(AND(C556="NO",D556="NO"),IF(F556="",TODAY(),F556),"")</f>
        <v>46245</v>
      </c>
    </row>
    <row r="557" spans="1:6" x14ac:dyDescent="0.25">
      <c r="A557" s="9">
        <v>357</v>
      </c>
      <c r="B557" s="17" t="s">
        <v>1946</v>
      </c>
      <c r="C557" s="9" t="s">
        <v>6</v>
      </c>
      <c r="D557" s="9" t="s">
        <v>6</v>
      </c>
      <c r="E557" s="12" t="s">
        <v>337</v>
      </c>
      <c r="F557" s="32">
        <f ca="1">IF(AND(C557="NO",D557="NO"),IF(F557="",TODAY(),F557),"")</f>
        <v>46245</v>
      </c>
    </row>
    <row r="558" spans="1:6" x14ac:dyDescent="0.25">
      <c r="A558" s="9">
        <v>358</v>
      </c>
      <c r="B558" s="17" t="s">
        <v>1947</v>
      </c>
      <c r="C558" s="9" t="s">
        <v>6</v>
      </c>
      <c r="D558" s="9" t="s">
        <v>6</v>
      </c>
      <c r="E558" s="12" t="s">
        <v>337</v>
      </c>
      <c r="F558" s="32">
        <f ca="1">IF(AND(C558="NO",D558="NO"),IF(F558="",TODAY(),F558),"")</f>
        <v>46245</v>
      </c>
    </row>
    <row r="559" spans="1:6" x14ac:dyDescent="0.25">
      <c r="A559" s="9">
        <v>359</v>
      </c>
      <c r="B559" s="33" t="s">
        <v>2017</v>
      </c>
      <c r="C559" s="9" t="s">
        <v>6</v>
      </c>
      <c r="D559" s="9" t="s">
        <v>6</v>
      </c>
      <c r="E559" s="12" t="s">
        <v>337</v>
      </c>
      <c r="F559" s="32">
        <f ca="1">IF(AND(C559="NO",D559="NO"),IF(F559="",TODAY(),F559),"")</f>
        <v>46245</v>
      </c>
    </row>
    <row r="560" spans="1:6" x14ac:dyDescent="0.25">
      <c r="A560" s="9">
        <v>360</v>
      </c>
      <c r="B560" s="33" t="s">
        <v>2031</v>
      </c>
      <c r="C560" s="9" t="s">
        <v>6</v>
      </c>
      <c r="D560" s="9" t="s">
        <v>6</v>
      </c>
      <c r="E560" s="12" t="s">
        <v>337</v>
      </c>
      <c r="F560" s="32">
        <f ca="1">IF(AND(C560="NO",D560="NO"),IF(F560="",TODAY(),F560),"")</f>
        <v>46245</v>
      </c>
    </row>
    <row r="561" spans="1:6" x14ac:dyDescent="0.25">
      <c r="A561" s="9">
        <v>361</v>
      </c>
      <c r="B561" s="33" t="s">
        <v>2032</v>
      </c>
      <c r="C561" s="9" t="s">
        <v>6</v>
      </c>
      <c r="D561" s="9" t="s">
        <v>6</v>
      </c>
      <c r="E561" s="12" t="s">
        <v>150</v>
      </c>
      <c r="F561" s="32">
        <f ca="1">IF(AND(C561="NO",D561="NO"),IF(F561="",TODAY(),F561),"")</f>
        <v>46245</v>
      </c>
    </row>
    <row r="562" spans="1:6" x14ac:dyDescent="0.25">
      <c r="A562" s="9">
        <v>362</v>
      </c>
      <c r="B562" s="33" t="s">
        <v>917</v>
      </c>
      <c r="C562" s="9" t="s">
        <v>6</v>
      </c>
      <c r="D562" s="9" t="s">
        <v>6</v>
      </c>
      <c r="E562" s="12" t="s">
        <v>150</v>
      </c>
      <c r="F562" s="32">
        <f ca="1">IF(AND(C562="NO",D562="NO"),IF(F562="",TODAY(),F562),"")</f>
        <v>46245</v>
      </c>
    </row>
    <row r="563" spans="1:6" x14ac:dyDescent="0.25">
      <c r="A563" s="9">
        <v>363</v>
      </c>
      <c r="B563" s="8" t="s">
        <v>1043</v>
      </c>
      <c r="C563" s="9" t="s">
        <v>6</v>
      </c>
      <c r="D563" s="9" t="s">
        <v>6</v>
      </c>
      <c r="E563" s="12" t="s">
        <v>45</v>
      </c>
      <c r="F563" s="32">
        <f ca="1">IF(AND(C563="NO",D563="NO"),IF(F563="",TODAY(),F563),"")</f>
        <v>46245</v>
      </c>
    </row>
    <row r="564" spans="1:6" x14ac:dyDescent="0.25">
      <c r="A564" s="9">
        <v>364</v>
      </c>
      <c r="B564" s="8" t="s">
        <v>1139</v>
      </c>
      <c r="C564" s="9" t="s">
        <v>6</v>
      </c>
      <c r="D564" s="9" t="s">
        <v>6</v>
      </c>
      <c r="E564" s="12" t="s">
        <v>45</v>
      </c>
      <c r="F564" s="32">
        <f ca="1">IF(AND(C564="NO",D564="NO"),IF(F564="",TODAY(),F564),"")</f>
        <v>46245</v>
      </c>
    </row>
    <row r="565" spans="1:6" x14ac:dyDescent="0.25">
      <c r="A565" s="9">
        <v>365</v>
      </c>
      <c r="B565" s="33" t="s">
        <v>1297</v>
      </c>
      <c r="C565" s="9" t="s">
        <v>6</v>
      </c>
      <c r="D565" s="9" t="s">
        <v>6</v>
      </c>
      <c r="E565" s="20" t="s">
        <v>337</v>
      </c>
      <c r="F565" s="32">
        <f ca="1">IF(AND(C565="NO",D565="NO"),IF(F565="",TODAY(),F565),"")</f>
        <v>46245</v>
      </c>
    </row>
    <row r="566" spans="1:6" x14ac:dyDescent="0.25">
      <c r="A566" s="9">
        <v>366</v>
      </c>
      <c r="B566" s="17" t="s">
        <v>1492</v>
      </c>
      <c r="C566" s="9" t="s">
        <v>6</v>
      </c>
      <c r="D566" s="9" t="s">
        <v>6</v>
      </c>
      <c r="E566" s="12" t="s">
        <v>45</v>
      </c>
      <c r="F566" s="32">
        <f ca="1">IF(AND(C566="NO",D566="NO"),IF(F566="",TODAY(),F566),"")</f>
        <v>46245</v>
      </c>
    </row>
    <row r="567" spans="1:6" x14ac:dyDescent="0.25">
      <c r="A567" s="9">
        <v>367</v>
      </c>
      <c r="B567" s="8" t="s">
        <v>100</v>
      </c>
      <c r="C567" s="9" t="s">
        <v>6</v>
      </c>
      <c r="D567" s="9" t="s">
        <v>6</v>
      </c>
      <c r="E567" s="12" t="s">
        <v>45</v>
      </c>
      <c r="F567" s="32">
        <f ca="1">IF(AND(C567="NO",D567="NO"),IF(F567="",TODAY(),F567),"")</f>
        <v>46245</v>
      </c>
    </row>
    <row r="568" spans="1:6" x14ac:dyDescent="0.25">
      <c r="A568" s="9">
        <v>368</v>
      </c>
      <c r="B568" s="33" t="s">
        <v>349</v>
      </c>
      <c r="C568" s="9" t="s">
        <v>6</v>
      </c>
      <c r="D568" s="9" t="s">
        <v>6</v>
      </c>
      <c r="E568" s="12" t="s">
        <v>45</v>
      </c>
      <c r="F568" s="32">
        <f ca="1">IF(AND(C568="NO",D568="NO"),IF(F568="",TODAY(),F568),"")</f>
        <v>46245</v>
      </c>
    </row>
    <row r="569" spans="1:6" x14ac:dyDescent="0.25">
      <c r="A569" s="9">
        <v>369</v>
      </c>
      <c r="B569" s="33" t="s">
        <v>765</v>
      </c>
      <c r="C569" s="9" t="s">
        <v>6</v>
      </c>
      <c r="D569" s="9" t="s">
        <v>6</v>
      </c>
      <c r="E569" s="12" t="s">
        <v>150</v>
      </c>
      <c r="F569" s="32">
        <f ca="1">IF(AND(C569="NO",D569="NO"),IF(F569="",TODAY(),F569),"")</f>
        <v>46245</v>
      </c>
    </row>
    <row r="570" spans="1:6" x14ac:dyDescent="0.25">
      <c r="A570" s="9">
        <v>370</v>
      </c>
      <c r="B570" s="33" t="s">
        <v>309</v>
      </c>
      <c r="C570" s="9" t="s">
        <v>6</v>
      </c>
      <c r="D570" s="9" t="s">
        <v>6</v>
      </c>
      <c r="E570" s="12" t="s">
        <v>150</v>
      </c>
      <c r="F570" s="32">
        <f ca="1">IF(AND(C570="NO",D570="NO"),IF(F570="",TODAY(),F570),"")</f>
        <v>46245</v>
      </c>
    </row>
    <row r="571" spans="1:6" x14ac:dyDescent="0.25">
      <c r="A571" s="9">
        <v>371</v>
      </c>
      <c r="B571" s="15" t="s">
        <v>2016</v>
      </c>
      <c r="C571" s="9" t="s">
        <v>6</v>
      </c>
      <c r="D571" s="9" t="s">
        <v>6</v>
      </c>
      <c r="E571" s="12" t="s">
        <v>45</v>
      </c>
      <c r="F571" s="32">
        <f ca="1">IF(AND(C571="NO",D571="NO"),IF(F571="",TODAY(),F571),"")</f>
        <v>46245</v>
      </c>
    </row>
    <row r="572" spans="1:6" x14ac:dyDescent="0.25">
      <c r="A572" s="9">
        <v>372</v>
      </c>
      <c r="B572" s="33" t="s">
        <v>1390</v>
      </c>
      <c r="C572" s="9" t="s">
        <v>6</v>
      </c>
      <c r="D572" s="9" t="s">
        <v>6</v>
      </c>
      <c r="E572" s="12" t="s">
        <v>45</v>
      </c>
      <c r="F572" s="32">
        <f ca="1">IF(AND(C572="NO",D572="NO"),IF(F572="",TODAY(),F572),"")</f>
        <v>46245</v>
      </c>
    </row>
    <row r="573" spans="1:6" x14ac:dyDescent="0.25">
      <c r="A573" s="9">
        <v>373</v>
      </c>
      <c r="B573" s="33" t="s">
        <v>309</v>
      </c>
      <c r="C573" s="9" t="s">
        <v>6</v>
      </c>
      <c r="D573" s="9" t="s">
        <v>6</v>
      </c>
      <c r="E573" s="12" t="s">
        <v>150</v>
      </c>
      <c r="F573" s="32">
        <f ca="1">IF(AND(C573="NO",D573="NO"),IF(F573="",TODAY(),F573),"")</f>
        <v>46245</v>
      </c>
    </row>
    <row r="574" spans="1:6" x14ac:dyDescent="0.25">
      <c r="A574" s="9">
        <v>374</v>
      </c>
      <c r="B574" s="47" t="s">
        <v>721</v>
      </c>
      <c r="C574" s="9" t="s">
        <v>6</v>
      </c>
      <c r="D574" s="9" t="s">
        <v>6</v>
      </c>
      <c r="E574" s="12" t="s">
        <v>45</v>
      </c>
      <c r="F574" s="32">
        <f ca="1">IF(AND(C574="NO",D574="NO"),IF(F574="",TODAY(),F574),"")</f>
        <v>46245</v>
      </c>
    </row>
    <row r="575" spans="1:6" x14ac:dyDescent="0.25">
      <c r="A575" s="9">
        <v>375</v>
      </c>
      <c r="B575" s="17" t="s">
        <v>1396</v>
      </c>
      <c r="C575" s="9" t="s">
        <v>6</v>
      </c>
      <c r="D575" s="9" t="s">
        <v>6</v>
      </c>
      <c r="E575" s="12" t="s">
        <v>45</v>
      </c>
      <c r="F575" s="32">
        <f ca="1">IF(AND(C575="NO",D575="NO"),IF(F575="",TODAY(),F575),"")</f>
        <v>46245</v>
      </c>
    </row>
    <row r="576" spans="1:6" x14ac:dyDescent="0.25">
      <c r="A576" s="9">
        <v>376</v>
      </c>
      <c r="B576" s="33" t="s">
        <v>1250</v>
      </c>
      <c r="C576" s="9" t="s">
        <v>6</v>
      </c>
      <c r="D576" s="9" t="s">
        <v>6</v>
      </c>
      <c r="E576" s="12" t="s">
        <v>45</v>
      </c>
      <c r="F576" s="32">
        <f ca="1">IF(AND(C576="NO",D576="NO"),IF(F576="",TODAY(),F576),"")</f>
        <v>46245</v>
      </c>
    </row>
    <row r="577" spans="1:6" x14ac:dyDescent="0.25">
      <c r="A577" s="9">
        <v>377</v>
      </c>
      <c r="B577" s="33" t="s">
        <v>302</v>
      </c>
      <c r="C577" s="9" t="s">
        <v>6</v>
      </c>
      <c r="D577" s="9" t="s">
        <v>6</v>
      </c>
      <c r="E577" s="12" t="s">
        <v>337</v>
      </c>
      <c r="F577" s="32">
        <f ca="1">IF(AND(C577="NO",D577="NO"),IF(F577="",TODAY(),F577),"")</f>
        <v>46245</v>
      </c>
    </row>
    <row r="578" spans="1:6" x14ac:dyDescent="0.25">
      <c r="A578" s="9">
        <v>378</v>
      </c>
      <c r="B578" s="33" t="s">
        <v>1314</v>
      </c>
      <c r="C578" s="9" t="s">
        <v>6</v>
      </c>
      <c r="D578" s="9" t="s">
        <v>6</v>
      </c>
      <c r="E578" s="12" t="s">
        <v>337</v>
      </c>
      <c r="F578" s="32">
        <f ca="1">IF(AND(C578="NO",D578="NO"),IF(F578="",TODAY(),F578),"")</f>
        <v>46245</v>
      </c>
    </row>
    <row r="579" spans="1:6" x14ac:dyDescent="0.25">
      <c r="A579" s="9">
        <v>379</v>
      </c>
      <c r="B579" s="17" t="s">
        <v>1948</v>
      </c>
      <c r="C579" s="9" t="s">
        <v>6</v>
      </c>
      <c r="D579" s="9" t="s">
        <v>6</v>
      </c>
      <c r="E579" s="12" t="s">
        <v>337</v>
      </c>
      <c r="F579" s="32">
        <f ca="1">IF(AND(C579="NO",D579="NO"),IF(F579="",TODAY(),F579),"")</f>
        <v>46245</v>
      </c>
    </row>
    <row r="580" spans="1:6" x14ac:dyDescent="0.25">
      <c r="A580" s="9">
        <v>380</v>
      </c>
      <c r="B580" s="17" t="s">
        <v>1946</v>
      </c>
      <c r="C580" s="9" t="s">
        <v>6</v>
      </c>
      <c r="D580" s="9" t="s">
        <v>6</v>
      </c>
      <c r="E580" s="12" t="s">
        <v>337</v>
      </c>
      <c r="F580" s="32">
        <f ca="1">IF(AND(C580="NO",D580="NO"),IF(F580="",TODAY(),F580),"")</f>
        <v>46245</v>
      </c>
    </row>
    <row r="581" spans="1:6" x14ac:dyDescent="0.25">
      <c r="A581" s="9">
        <v>381</v>
      </c>
      <c r="B581" s="17" t="s">
        <v>1947</v>
      </c>
      <c r="C581" s="9" t="s">
        <v>6</v>
      </c>
      <c r="D581" s="9" t="s">
        <v>6</v>
      </c>
      <c r="E581" s="12" t="s">
        <v>337</v>
      </c>
      <c r="F581" s="32">
        <f ca="1">IF(AND(C581="NO",D581="NO"),IF(F581="",TODAY(),F581),"")</f>
        <v>46245</v>
      </c>
    </row>
    <row r="582" spans="1:6" x14ac:dyDescent="0.25">
      <c r="A582" s="9">
        <v>382</v>
      </c>
      <c r="B582" s="33" t="s">
        <v>2017</v>
      </c>
      <c r="C582" s="9" t="s">
        <v>6</v>
      </c>
      <c r="D582" s="9" t="s">
        <v>6</v>
      </c>
      <c r="E582" s="12" t="s">
        <v>337</v>
      </c>
      <c r="F582" s="32">
        <f ca="1">IF(AND(C582="NO",D582="NO"),IF(F582="",TODAY(),F582),"")</f>
        <v>46245</v>
      </c>
    </row>
    <row r="583" spans="1:6" x14ac:dyDescent="0.25">
      <c r="A583" s="9">
        <v>383</v>
      </c>
      <c r="B583" s="33" t="s">
        <v>2031</v>
      </c>
      <c r="C583" s="9" t="s">
        <v>6</v>
      </c>
      <c r="D583" s="9" t="s">
        <v>6</v>
      </c>
      <c r="E583" s="12" t="s">
        <v>337</v>
      </c>
      <c r="F583" s="32">
        <f ca="1">IF(AND(C583="NO",D583="NO"),IF(F583="",TODAY(),F583),"")</f>
        <v>46245</v>
      </c>
    </row>
    <row r="584" spans="1:6" x14ac:dyDescent="0.25">
      <c r="A584" s="9">
        <v>384</v>
      </c>
      <c r="B584" s="33" t="s">
        <v>2032</v>
      </c>
      <c r="C584" s="9" t="s">
        <v>6</v>
      </c>
      <c r="D584" s="9" t="s">
        <v>6</v>
      </c>
      <c r="E584" s="12" t="s">
        <v>150</v>
      </c>
      <c r="F584" s="32">
        <f ca="1">IF(AND(C584="NO",D584="NO"),IF(F584="",TODAY(),F584),"")</f>
        <v>46245</v>
      </c>
    </row>
    <row r="585" spans="1:6" x14ac:dyDescent="0.25">
      <c r="A585" s="9">
        <v>385</v>
      </c>
      <c r="B585" s="33" t="s">
        <v>917</v>
      </c>
      <c r="C585" s="9" t="s">
        <v>6</v>
      </c>
      <c r="D585" s="9" t="s">
        <v>6</v>
      </c>
      <c r="E585" s="12" t="s">
        <v>150</v>
      </c>
      <c r="F585" s="32">
        <f ca="1">IF(AND(C585="NO",D585="NO"),IF(F585="",TODAY(),F585),"")</f>
        <v>46245</v>
      </c>
    </row>
    <row r="586" spans="1:6" x14ac:dyDescent="0.25">
      <c r="A586" s="9">
        <v>386</v>
      </c>
      <c r="B586" s="33" t="s">
        <v>1146</v>
      </c>
      <c r="C586" s="9" t="s">
        <v>6</v>
      </c>
      <c r="D586" s="9" t="s">
        <v>6</v>
      </c>
      <c r="E586" s="79" t="s">
        <v>150</v>
      </c>
      <c r="F586" s="93">
        <v>45992</v>
      </c>
    </row>
    <row r="587" spans="1:6" x14ac:dyDescent="0.25">
      <c r="A587" s="9">
        <v>387</v>
      </c>
      <c r="B587" s="33" t="s">
        <v>1157</v>
      </c>
      <c r="C587" s="9" t="s">
        <v>6</v>
      </c>
      <c r="D587" s="9" t="s">
        <v>6</v>
      </c>
      <c r="E587" s="79" t="s">
        <v>150</v>
      </c>
      <c r="F587" s="93">
        <v>45992</v>
      </c>
    </row>
    <row r="588" spans="1:6" x14ac:dyDescent="0.25">
      <c r="A588" s="9">
        <v>388</v>
      </c>
      <c r="B588" s="33" t="s">
        <v>1159</v>
      </c>
      <c r="C588" s="9" t="s">
        <v>6</v>
      </c>
      <c r="D588" s="9" t="s">
        <v>6</v>
      </c>
      <c r="E588" s="79" t="s">
        <v>45</v>
      </c>
      <c r="F588" s="93">
        <v>45992</v>
      </c>
    </row>
    <row r="589" spans="1:6" x14ac:dyDescent="0.25">
      <c r="A589" s="9">
        <v>389</v>
      </c>
      <c r="B589" s="33" t="s">
        <v>503</v>
      </c>
      <c r="C589" s="9" t="s">
        <v>6</v>
      </c>
      <c r="D589" s="9" t="s">
        <v>6</v>
      </c>
      <c r="E589" s="79" t="s">
        <v>45</v>
      </c>
      <c r="F589" s="93">
        <v>45998</v>
      </c>
    </row>
    <row r="590" spans="1:6" x14ac:dyDescent="0.25">
      <c r="A590" s="9">
        <v>390</v>
      </c>
      <c r="B590" s="33" t="s">
        <v>1188</v>
      </c>
      <c r="C590" s="9" t="s">
        <v>6</v>
      </c>
      <c r="D590" s="9" t="s">
        <v>6</v>
      </c>
      <c r="E590" s="79" t="s">
        <v>45</v>
      </c>
      <c r="F590" s="93">
        <v>45998</v>
      </c>
    </row>
    <row r="591" spans="1:6" x14ac:dyDescent="0.25">
      <c r="A591" s="9">
        <v>391</v>
      </c>
      <c r="B591" s="33" t="s">
        <v>1194</v>
      </c>
      <c r="C591" s="9" t="s">
        <v>6</v>
      </c>
      <c r="D591" s="9" t="s">
        <v>6</v>
      </c>
      <c r="E591" s="79" t="s">
        <v>45</v>
      </c>
      <c r="F591" s="93">
        <v>45998</v>
      </c>
    </row>
    <row r="592" spans="1:6" x14ac:dyDescent="0.25">
      <c r="A592" s="9">
        <v>392</v>
      </c>
      <c r="B592" s="33" t="s">
        <v>1208</v>
      </c>
      <c r="C592" s="9" t="s">
        <v>6</v>
      </c>
      <c r="D592" s="9" t="s">
        <v>6</v>
      </c>
      <c r="E592" s="79" t="s">
        <v>45</v>
      </c>
      <c r="F592" s="93">
        <v>45998</v>
      </c>
    </row>
    <row r="593" spans="1:6" x14ac:dyDescent="0.25">
      <c r="A593" s="9">
        <v>393</v>
      </c>
      <c r="B593" s="33" t="s">
        <v>905</v>
      </c>
      <c r="C593" s="9" t="s">
        <v>6</v>
      </c>
      <c r="D593" s="9" t="s">
        <v>6</v>
      </c>
      <c r="E593" s="79" t="s">
        <v>45</v>
      </c>
      <c r="F593" s="93">
        <v>45998</v>
      </c>
    </row>
    <row r="594" spans="1:6" x14ac:dyDescent="0.25">
      <c r="A594" s="9">
        <v>394</v>
      </c>
      <c r="B594" s="33" t="s">
        <v>1209</v>
      </c>
      <c r="C594" s="9" t="s">
        <v>6</v>
      </c>
      <c r="D594" s="9" t="s">
        <v>6</v>
      </c>
      <c r="E594" s="79" t="s">
        <v>45</v>
      </c>
      <c r="F594" s="93">
        <v>45998</v>
      </c>
    </row>
    <row r="595" spans="1:6" x14ac:dyDescent="0.25">
      <c r="A595" s="9">
        <v>395</v>
      </c>
      <c r="B595" s="33" t="s">
        <v>722</v>
      </c>
      <c r="C595" s="9" t="s">
        <v>6</v>
      </c>
      <c r="D595" s="9" t="s">
        <v>6</v>
      </c>
      <c r="E595" s="79" t="s">
        <v>45</v>
      </c>
      <c r="F595" s="93">
        <v>46005</v>
      </c>
    </row>
    <row r="596" spans="1:6" x14ac:dyDescent="0.25">
      <c r="A596" s="9">
        <v>396</v>
      </c>
      <c r="B596" s="33" t="s">
        <v>1211</v>
      </c>
      <c r="C596" s="9" t="s">
        <v>6</v>
      </c>
      <c r="D596" s="9" t="s">
        <v>6</v>
      </c>
      <c r="E596" s="79" t="s">
        <v>45</v>
      </c>
      <c r="F596" s="93">
        <v>45998</v>
      </c>
    </row>
    <row r="597" spans="1:6" x14ac:dyDescent="0.25">
      <c r="A597" s="9">
        <v>397</v>
      </c>
      <c r="B597" s="33" t="s">
        <v>1219</v>
      </c>
      <c r="C597" s="9" t="s">
        <v>6</v>
      </c>
      <c r="D597" s="9" t="s">
        <v>6</v>
      </c>
      <c r="E597" s="79" t="s">
        <v>45</v>
      </c>
      <c r="F597" s="93">
        <v>46005</v>
      </c>
    </row>
    <row r="598" spans="1:6" x14ac:dyDescent="0.25">
      <c r="A598" s="9">
        <v>398</v>
      </c>
      <c r="B598" s="33" t="s">
        <v>1220</v>
      </c>
      <c r="C598" s="9" t="s">
        <v>6</v>
      </c>
      <c r="D598" s="9" t="s">
        <v>6</v>
      </c>
      <c r="E598" s="79" t="s">
        <v>45</v>
      </c>
      <c r="F598" s="93">
        <v>46005</v>
      </c>
    </row>
    <row r="599" spans="1:6" x14ac:dyDescent="0.25">
      <c r="A599" s="9">
        <v>399</v>
      </c>
      <c r="B599" s="33" t="s">
        <v>1222</v>
      </c>
      <c r="C599" s="9" t="s">
        <v>6</v>
      </c>
      <c r="D599" s="9" t="s">
        <v>6</v>
      </c>
      <c r="E599" s="79" t="s">
        <v>45</v>
      </c>
      <c r="F599" s="93">
        <v>46005</v>
      </c>
    </row>
    <row r="600" spans="1:6" x14ac:dyDescent="0.25">
      <c r="A600" s="9">
        <v>400</v>
      </c>
      <c r="B600" s="33" t="s">
        <v>211</v>
      </c>
      <c r="C600" s="9" t="s">
        <v>6</v>
      </c>
      <c r="D600" s="9" t="s">
        <v>6</v>
      </c>
      <c r="E600" s="79" t="s">
        <v>45</v>
      </c>
      <c r="F600" s="93">
        <v>46005</v>
      </c>
    </row>
    <row r="601" spans="1:6" x14ac:dyDescent="0.25">
      <c r="A601" s="9">
        <v>401</v>
      </c>
      <c r="B601" s="33" t="s">
        <v>1240</v>
      </c>
      <c r="C601" s="9" t="s">
        <v>6</v>
      </c>
      <c r="D601" s="9" t="s">
        <v>6</v>
      </c>
      <c r="E601" s="79" t="s">
        <v>45</v>
      </c>
      <c r="F601" s="93">
        <v>46012</v>
      </c>
    </row>
    <row r="602" spans="1:6" x14ac:dyDescent="0.25">
      <c r="A602" s="9">
        <v>402</v>
      </c>
      <c r="B602" s="33" t="s">
        <v>1242</v>
      </c>
      <c r="C602" s="9" t="s">
        <v>6</v>
      </c>
      <c r="D602" s="9" t="s">
        <v>6</v>
      </c>
      <c r="E602" s="79" t="s">
        <v>45</v>
      </c>
      <c r="F602" s="93">
        <v>46012</v>
      </c>
    </row>
    <row r="603" spans="1:6" x14ac:dyDescent="0.25">
      <c r="A603" s="9">
        <v>403</v>
      </c>
      <c r="B603" s="33" t="s">
        <v>1245</v>
      </c>
      <c r="C603" s="9" t="s">
        <v>6</v>
      </c>
      <c r="D603" s="9" t="s">
        <v>6</v>
      </c>
      <c r="E603" s="79" t="s">
        <v>45</v>
      </c>
      <c r="F603" s="93">
        <v>46012</v>
      </c>
    </row>
    <row r="604" spans="1:6" x14ac:dyDescent="0.25">
      <c r="A604" s="9">
        <v>404</v>
      </c>
      <c r="B604" s="33" t="s">
        <v>1257</v>
      </c>
      <c r="C604" s="9" t="s">
        <v>6</v>
      </c>
      <c r="D604" s="9" t="s">
        <v>6</v>
      </c>
      <c r="E604" s="79" t="s">
        <v>45</v>
      </c>
      <c r="F604" s="93">
        <v>46023</v>
      </c>
    </row>
    <row r="605" spans="1:6" x14ac:dyDescent="0.25">
      <c r="A605" s="9">
        <v>405</v>
      </c>
      <c r="B605" s="33" t="s">
        <v>1261</v>
      </c>
      <c r="C605" s="9" t="s">
        <v>6</v>
      </c>
      <c r="D605" s="9" t="s">
        <v>6</v>
      </c>
      <c r="E605" s="79" t="s">
        <v>45</v>
      </c>
      <c r="F605" s="93">
        <v>46023</v>
      </c>
    </row>
    <row r="606" spans="1:6" x14ac:dyDescent="0.25">
      <c r="A606" s="9">
        <v>406</v>
      </c>
      <c r="B606" s="33" t="s">
        <v>1268</v>
      </c>
      <c r="C606" s="9" t="s">
        <v>6</v>
      </c>
      <c r="D606" s="9" t="s">
        <v>6</v>
      </c>
      <c r="E606" s="79" t="s">
        <v>45</v>
      </c>
      <c r="F606" s="93">
        <v>46023</v>
      </c>
    </row>
    <row r="607" spans="1:6" x14ac:dyDescent="0.25">
      <c r="A607" s="9">
        <v>407</v>
      </c>
      <c r="B607" s="33" t="s">
        <v>1277</v>
      </c>
      <c r="C607" s="9" t="s">
        <v>6</v>
      </c>
      <c r="D607" s="9" t="s">
        <v>6</v>
      </c>
      <c r="E607" s="79" t="s">
        <v>45</v>
      </c>
      <c r="F607" s="93">
        <v>46023</v>
      </c>
    </row>
    <row r="608" spans="1:6" x14ac:dyDescent="0.25">
      <c r="A608" s="9">
        <v>408</v>
      </c>
      <c r="B608" s="8" t="s">
        <v>62</v>
      </c>
      <c r="C608" s="9" t="s">
        <v>6</v>
      </c>
      <c r="D608" s="9" t="s">
        <v>6</v>
      </c>
      <c r="E608" s="82" t="s">
        <v>39</v>
      </c>
      <c r="F608" s="93">
        <v>46046</v>
      </c>
    </row>
    <row r="609" spans="1:6" x14ac:dyDescent="0.25">
      <c r="A609" s="9">
        <v>409</v>
      </c>
      <c r="B609" s="8" t="s">
        <v>768</v>
      </c>
      <c r="C609" s="9" t="s">
        <v>6</v>
      </c>
      <c r="D609" s="9" t="s">
        <v>6</v>
      </c>
      <c r="E609" s="82" t="s">
        <v>39</v>
      </c>
      <c r="F609" s="93">
        <v>46055</v>
      </c>
    </row>
    <row r="610" spans="1:6" x14ac:dyDescent="0.25">
      <c r="A610" s="9">
        <v>410</v>
      </c>
      <c r="B610" s="8" t="s">
        <v>1296</v>
      </c>
      <c r="C610" s="9" t="s">
        <v>6</v>
      </c>
      <c r="D610" s="9" t="s">
        <v>6</v>
      </c>
      <c r="E610" s="81" t="s">
        <v>337</v>
      </c>
      <c r="F610" s="93">
        <v>46046</v>
      </c>
    </row>
    <row r="611" spans="1:6" x14ac:dyDescent="0.25">
      <c r="A611" s="9">
        <v>411</v>
      </c>
      <c r="B611" s="33" t="s">
        <v>94</v>
      </c>
      <c r="C611" s="9" t="s">
        <v>6</v>
      </c>
      <c r="D611" s="9" t="s">
        <v>6</v>
      </c>
      <c r="E611" s="79" t="s">
        <v>45</v>
      </c>
      <c r="F611" s="93">
        <v>46061</v>
      </c>
    </row>
    <row r="612" spans="1:6" x14ac:dyDescent="0.25">
      <c r="A612" s="9">
        <v>412</v>
      </c>
      <c r="B612" s="33" t="s">
        <v>1306</v>
      </c>
      <c r="C612" s="9" t="s">
        <v>6</v>
      </c>
      <c r="D612" s="9" t="s">
        <v>6</v>
      </c>
      <c r="E612" s="79" t="s">
        <v>45</v>
      </c>
      <c r="F612" s="93">
        <v>46046</v>
      </c>
    </row>
    <row r="613" spans="1:6" x14ac:dyDescent="0.25">
      <c r="A613" s="9">
        <v>413</v>
      </c>
      <c r="B613" s="33" t="s">
        <v>1305</v>
      </c>
      <c r="C613" s="9" t="s">
        <v>6</v>
      </c>
      <c r="D613" s="9" t="s">
        <v>6</v>
      </c>
      <c r="E613" s="79" t="s">
        <v>45</v>
      </c>
      <c r="F613" s="93">
        <v>46046</v>
      </c>
    </row>
    <row r="614" spans="1:6" x14ac:dyDescent="0.25">
      <c r="A614" s="9">
        <v>414</v>
      </c>
      <c r="B614" s="33" t="s">
        <v>1315</v>
      </c>
      <c r="C614" s="9" t="s">
        <v>6</v>
      </c>
      <c r="D614" s="9" t="s">
        <v>6</v>
      </c>
      <c r="E614" s="79" t="s">
        <v>45</v>
      </c>
      <c r="F614" s="93">
        <v>46046</v>
      </c>
    </row>
    <row r="615" spans="1:6" x14ac:dyDescent="0.25">
      <c r="A615" s="9">
        <v>415</v>
      </c>
      <c r="B615" s="33" t="s">
        <v>1316</v>
      </c>
      <c r="C615" s="9" t="s">
        <v>6</v>
      </c>
      <c r="D615" s="9" t="s">
        <v>6</v>
      </c>
      <c r="E615" s="79" t="s">
        <v>45</v>
      </c>
      <c r="F615" s="93">
        <v>46046</v>
      </c>
    </row>
    <row r="616" spans="1:6" x14ac:dyDescent="0.25">
      <c r="A616" s="9">
        <v>416</v>
      </c>
      <c r="B616" s="33" t="s">
        <v>1313</v>
      </c>
      <c r="C616" s="9" t="s">
        <v>6</v>
      </c>
      <c r="D616" s="9" t="s">
        <v>6</v>
      </c>
      <c r="E616" s="79" t="s">
        <v>45</v>
      </c>
      <c r="F616" s="93">
        <v>46046</v>
      </c>
    </row>
    <row r="617" spans="1:6" x14ac:dyDescent="0.25">
      <c r="A617" s="9">
        <v>417</v>
      </c>
      <c r="B617" s="33" t="s">
        <v>689</v>
      </c>
      <c r="C617" s="9" t="s">
        <v>6</v>
      </c>
      <c r="D617" s="9" t="s">
        <v>6</v>
      </c>
      <c r="E617" s="79" t="s">
        <v>45</v>
      </c>
      <c r="F617" s="93">
        <v>46046</v>
      </c>
    </row>
    <row r="618" spans="1:6" x14ac:dyDescent="0.25">
      <c r="A618" s="9">
        <v>418</v>
      </c>
      <c r="B618" s="33" t="s">
        <v>1318</v>
      </c>
      <c r="C618" s="9" t="s">
        <v>6</v>
      </c>
      <c r="D618" s="9" t="s">
        <v>6</v>
      </c>
      <c r="E618" s="79" t="s">
        <v>45</v>
      </c>
      <c r="F618" s="93">
        <v>46046</v>
      </c>
    </row>
    <row r="619" spans="1:6" x14ac:dyDescent="0.25">
      <c r="A619" s="9">
        <v>419</v>
      </c>
      <c r="B619" s="33" t="s">
        <v>1319</v>
      </c>
      <c r="C619" s="9" t="s">
        <v>6</v>
      </c>
      <c r="D619" s="9" t="s">
        <v>6</v>
      </c>
      <c r="E619" s="79" t="s">
        <v>45</v>
      </c>
      <c r="F619" s="93">
        <v>46046</v>
      </c>
    </row>
    <row r="620" spans="1:6" x14ac:dyDescent="0.25">
      <c r="A620" s="9">
        <v>420</v>
      </c>
      <c r="B620" s="33" t="s">
        <v>1320</v>
      </c>
      <c r="C620" s="9" t="s">
        <v>6</v>
      </c>
      <c r="D620" s="9" t="s">
        <v>6</v>
      </c>
      <c r="E620" s="79" t="s">
        <v>45</v>
      </c>
      <c r="F620" s="93">
        <v>46046</v>
      </c>
    </row>
    <row r="621" spans="1:6" x14ac:dyDescent="0.25">
      <c r="A621" s="9">
        <v>421</v>
      </c>
      <c r="B621" s="33" t="s">
        <v>1334</v>
      </c>
      <c r="C621" s="9" t="s">
        <v>6</v>
      </c>
      <c r="D621" s="9" t="s">
        <v>6</v>
      </c>
      <c r="E621" s="79" t="s">
        <v>150</v>
      </c>
      <c r="F621" s="93">
        <v>46055</v>
      </c>
    </row>
    <row r="622" spans="1:6" x14ac:dyDescent="0.25">
      <c r="A622" s="9">
        <v>422</v>
      </c>
      <c r="B622" s="33" t="s">
        <v>1336</v>
      </c>
      <c r="C622" s="9" t="s">
        <v>6</v>
      </c>
      <c r="D622" s="9" t="s">
        <v>6</v>
      </c>
      <c r="E622" s="79" t="s">
        <v>150</v>
      </c>
      <c r="F622" s="93">
        <v>46055</v>
      </c>
    </row>
    <row r="623" spans="1:6" x14ac:dyDescent="0.25">
      <c r="A623" s="9">
        <v>423</v>
      </c>
      <c r="B623" s="33" t="s">
        <v>1349</v>
      </c>
      <c r="C623" s="9" t="s">
        <v>6</v>
      </c>
      <c r="D623" s="9" t="s">
        <v>6</v>
      </c>
      <c r="E623" s="79" t="s">
        <v>150</v>
      </c>
      <c r="F623" s="93">
        <v>46055</v>
      </c>
    </row>
    <row r="624" spans="1:6" x14ac:dyDescent="0.25">
      <c r="A624" s="9">
        <v>424</v>
      </c>
      <c r="B624" s="33" t="s">
        <v>1380</v>
      </c>
      <c r="C624" s="9" t="s">
        <v>6</v>
      </c>
      <c r="D624" s="9" t="s">
        <v>6</v>
      </c>
      <c r="E624" s="82" t="s">
        <v>45</v>
      </c>
      <c r="F624" s="93">
        <v>46061</v>
      </c>
    </row>
    <row r="625" spans="1:6" x14ac:dyDescent="0.25">
      <c r="A625" s="9">
        <v>425</v>
      </c>
      <c r="B625" s="33" t="s">
        <v>282</v>
      </c>
      <c r="C625" s="9" t="s">
        <v>6</v>
      </c>
      <c r="D625" s="9" t="s">
        <v>6</v>
      </c>
      <c r="E625" s="82" t="s">
        <v>45</v>
      </c>
      <c r="F625" s="93">
        <v>46061</v>
      </c>
    </row>
    <row r="626" spans="1:6" x14ac:dyDescent="0.25">
      <c r="A626" s="9">
        <v>426</v>
      </c>
      <c r="B626" s="33" t="s">
        <v>1389</v>
      </c>
      <c r="C626" s="9" t="s">
        <v>6</v>
      </c>
      <c r="D626" s="9" t="s">
        <v>6</v>
      </c>
      <c r="E626" s="82" t="s">
        <v>45</v>
      </c>
      <c r="F626" s="93">
        <v>46061</v>
      </c>
    </row>
    <row r="627" spans="1:6" x14ac:dyDescent="0.25">
      <c r="A627" s="9">
        <v>427</v>
      </c>
      <c r="B627" s="33" t="s">
        <v>1391</v>
      </c>
      <c r="C627" s="9" t="s">
        <v>6</v>
      </c>
      <c r="D627" s="9" t="s">
        <v>6</v>
      </c>
      <c r="E627" s="82" t="s">
        <v>45</v>
      </c>
      <c r="F627" s="93">
        <v>46061</v>
      </c>
    </row>
    <row r="628" spans="1:6" x14ac:dyDescent="0.25">
      <c r="A628" s="9">
        <v>428</v>
      </c>
      <c r="B628" s="33" t="s">
        <v>1392</v>
      </c>
      <c r="C628" s="9" t="s">
        <v>6</v>
      </c>
      <c r="D628" s="9" t="s">
        <v>6</v>
      </c>
      <c r="E628" s="82" t="s">
        <v>45</v>
      </c>
      <c r="F628" s="93">
        <v>46061</v>
      </c>
    </row>
    <row r="629" spans="1:6" x14ac:dyDescent="0.25">
      <c r="A629" s="9">
        <v>429</v>
      </c>
      <c r="B629" s="33" t="s">
        <v>126</v>
      </c>
      <c r="C629" s="9" t="s">
        <v>6</v>
      </c>
      <c r="D629" s="9" t="s">
        <v>6</v>
      </c>
      <c r="E629" s="79" t="s">
        <v>337</v>
      </c>
      <c r="F629" s="93">
        <v>46075</v>
      </c>
    </row>
    <row r="630" spans="1:6" x14ac:dyDescent="0.25">
      <c r="A630" s="9">
        <v>430</v>
      </c>
      <c r="B630" s="33" t="s">
        <v>1401</v>
      </c>
      <c r="C630" s="9" t="s">
        <v>6</v>
      </c>
      <c r="D630" s="9" t="s">
        <v>6</v>
      </c>
      <c r="E630" s="79" t="s">
        <v>45</v>
      </c>
      <c r="F630" s="93">
        <v>46068</v>
      </c>
    </row>
    <row r="631" spans="1:6" x14ac:dyDescent="0.25">
      <c r="A631" s="9">
        <v>431</v>
      </c>
      <c r="B631" s="33" t="s">
        <v>1402</v>
      </c>
      <c r="C631" s="9" t="s">
        <v>6</v>
      </c>
      <c r="D631" s="9" t="s">
        <v>6</v>
      </c>
      <c r="E631" s="79" t="s">
        <v>45</v>
      </c>
      <c r="F631" s="93">
        <v>46068</v>
      </c>
    </row>
    <row r="632" spans="1:6" x14ac:dyDescent="0.25">
      <c r="A632" s="9">
        <v>432</v>
      </c>
      <c r="B632" s="33" t="s">
        <v>1403</v>
      </c>
      <c r="C632" s="9" t="s">
        <v>6</v>
      </c>
      <c r="D632" s="9" t="s">
        <v>6</v>
      </c>
      <c r="E632" s="82" t="s">
        <v>45</v>
      </c>
      <c r="F632" s="93">
        <v>46075</v>
      </c>
    </row>
    <row r="633" spans="1:6" x14ac:dyDescent="0.25">
      <c r="A633" s="9">
        <v>433</v>
      </c>
      <c r="B633" s="33" t="s">
        <v>1434</v>
      </c>
      <c r="C633" s="9" t="s">
        <v>6</v>
      </c>
      <c r="D633" s="9" t="s">
        <v>6</v>
      </c>
      <c r="E633" s="82" t="s">
        <v>45</v>
      </c>
      <c r="F633" s="93">
        <v>46075</v>
      </c>
    </row>
    <row r="634" spans="1:6" x14ac:dyDescent="0.25">
      <c r="A634" s="9">
        <v>434</v>
      </c>
      <c r="B634" s="33" t="s">
        <v>1435</v>
      </c>
      <c r="C634" s="9" t="s">
        <v>6</v>
      </c>
      <c r="D634" s="9" t="s">
        <v>6</v>
      </c>
      <c r="E634" s="82" t="s">
        <v>45</v>
      </c>
      <c r="F634" s="93">
        <v>46075</v>
      </c>
    </row>
    <row r="635" spans="1:6" x14ac:dyDescent="0.25">
      <c r="A635" s="9">
        <v>435</v>
      </c>
      <c r="B635" s="33" t="s">
        <v>1375</v>
      </c>
      <c r="C635" s="9" t="s">
        <v>6</v>
      </c>
      <c r="D635" s="9" t="s">
        <v>6</v>
      </c>
      <c r="E635" s="82" t="s">
        <v>45</v>
      </c>
      <c r="F635" s="93">
        <v>46068</v>
      </c>
    </row>
    <row r="636" spans="1:6" x14ac:dyDescent="0.25">
      <c r="A636" s="9">
        <v>436</v>
      </c>
      <c r="B636" s="8" t="s">
        <v>719</v>
      </c>
      <c r="C636" s="9" t="s">
        <v>6</v>
      </c>
      <c r="D636" s="9" t="s">
        <v>6</v>
      </c>
      <c r="E636" s="81" t="s">
        <v>337</v>
      </c>
      <c r="F636" s="93">
        <v>46075</v>
      </c>
    </row>
    <row r="637" spans="1:6" x14ac:dyDescent="0.25">
      <c r="A637" s="9">
        <v>437</v>
      </c>
      <c r="B637" s="33" t="s">
        <v>1400</v>
      </c>
      <c r="C637" s="9" t="s">
        <v>6</v>
      </c>
      <c r="D637" s="9" t="s">
        <v>6</v>
      </c>
      <c r="E637" s="82" t="s">
        <v>45</v>
      </c>
      <c r="F637" s="93">
        <v>46068</v>
      </c>
    </row>
    <row r="638" spans="1:6" x14ac:dyDescent="0.25">
      <c r="A638" s="9">
        <v>438</v>
      </c>
      <c r="B638" s="33" t="s">
        <v>1409</v>
      </c>
      <c r="C638" s="9" t="s">
        <v>6</v>
      </c>
      <c r="D638" s="9" t="s">
        <v>6</v>
      </c>
      <c r="E638" s="82" t="s">
        <v>45</v>
      </c>
      <c r="F638" s="93">
        <v>46068</v>
      </c>
    </row>
    <row r="639" spans="1:6" x14ac:dyDescent="0.25">
      <c r="A639" s="9">
        <v>439</v>
      </c>
      <c r="B639" s="33" t="s">
        <v>1428</v>
      </c>
      <c r="C639" s="9" t="s">
        <v>6</v>
      </c>
      <c r="D639" s="9" t="s">
        <v>6</v>
      </c>
      <c r="E639" s="82" t="s">
        <v>45</v>
      </c>
      <c r="F639" s="93">
        <v>46075</v>
      </c>
    </row>
    <row r="640" spans="1:6" x14ac:dyDescent="0.25">
      <c r="A640" s="9">
        <v>440</v>
      </c>
      <c r="B640" s="33" t="s">
        <v>1431</v>
      </c>
      <c r="C640" s="9" t="s">
        <v>6</v>
      </c>
      <c r="D640" s="9" t="s">
        <v>6</v>
      </c>
      <c r="E640" s="82" t="s">
        <v>45</v>
      </c>
      <c r="F640" s="93">
        <v>46075</v>
      </c>
    </row>
    <row r="641" spans="1:6" x14ac:dyDescent="0.25">
      <c r="A641" s="9">
        <v>441</v>
      </c>
      <c r="B641" s="33" t="s">
        <v>1443</v>
      </c>
      <c r="C641" s="9" t="s">
        <v>6</v>
      </c>
      <c r="D641" s="9" t="s">
        <v>6</v>
      </c>
      <c r="E641" s="82" t="s">
        <v>45</v>
      </c>
      <c r="F641" s="93">
        <v>46075</v>
      </c>
    </row>
    <row r="642" spans="1:6" x14ac:dyDescent="0.25">
      <c r="A642" s="9">
        <v>442</v>
      </c>
      <c r="B642" s="33" t="s">
        <v>1445</v>
      </c>
      <c r="C642" s="9" t="s">
        <v>6</v>
      </c>
      <c r="D642" s="9" t="s">
        <v>6</v>
      </c>
      <c r="E642" s="82" t="s">
        <v>45</v>
      </c>
      <c r="F642" s="93">
        <v>46075</v>
      </c>
    </row>
    <row r="643" spans="1:6" x14ac:dyDescent="0.25">
      <c r="A643" s="9">
        <v>443</v>
      </c>
      <c r="B643" s="8" t="s">
        <v>112</v>
      </c>
      <c r="C643" s="9" t="s">
        <v>6</v>
      </c>
      <c r="D643" s="9" t="s">
        <v>6</v>
      </c>
      <c r="E643" s="82" t="s">
        <v>40</v>
      </c>
      <c r="F643" s="93">
        <v>46090</v>
      </c>
    </row>
    <row r="644" spans="1:6" x14ac:dyDescent="0.25">
      <c r="A644" s="9">
        <v>444</v>
      </c>
      <c r="B644" s="8" t="s">
        <v>308</v>
      </c>
      <c r="C644" s="9" t="s">
        <v>6</v>
      </c>
      <c r="D644" s="9" t="s">
        <v>6</v>
      </c>
      <c r="E644" s="81" t="s">
        <v>39</v>
      </c>
      <c r="F644" s="93">
        <v>46095</v>
      </c>
    </row>
    <row r="645" spans="1:6" x14ac:dyDescent="0.25">
      <c r="A645" s="9">
        <v>445</v>
      </c>
      <c r="B645" s="8" t="s">
        <v>1487</v>
      </c>
      <c r="C645" s="9" t="s">
        <v>6</v>
      </c>
      <c r="D645" s="9" t="s">
        <v>6</v>
      </c>
      <c r="E645" s="81" t="s">
        <v>45</v>
      </c>
      <c r="F645" s="93">
        <v>46090</v>
      </c>
    </row>
    <row r="646" spans="1:6" x14ac:dyDescent="0.25">
      <c r="A646" s="9">
        <v>446</v>
      </c>
      <c r="B646" s="17" t="s">
        <v>304</v>
      </c>
      <c r="C646" s="9" t="s">
        <v>6</v>
      </c>
      <c r="D646" s="9" t="s">
        <v>6</v>
      </c>
      <c r="E646" s="79" t="s">
        <v>39</v>
      </c>
      <c r="F646" s="93">
        <v>46082</v>
      </c>
    </row>
    <row r="647" spans="1:6" x14ac:dyDescent="0.25">
      <c r="A647" s="9">
        <v>447</v>
      </c>
      <c r="B647" s="33" t="s">
        <v>1091</v>
      </c>
      <c r="C647" s="9" t="s">
        <v>6</v>
      </c>
      <c r="D647" s="9" t="s">
        <v>6</v>
      </c>
      <c r="E647" s="79" t="s">
        <v>45</v>
      </c>
      <c r="F647" s="93">
        <v>46095</v>
      </c>
    </row>
    <row r="648" spans="1:6" x14ac:dyDescent="0.25">
      <c r="A648" s="9">
        <v>448</v>
      </c>
      <c r="B648" s="17" t="s">
        <v>1299</v>
      </c>
      <c r="C648" s="9" t="s">
        <v>6</v>
      </c>
      <c r="D648" s="9" t="s">
        <v>6</v>
      </c>
      <c r="E648" s="82" t="s">
        <v>45</v>
      </c>
      <c r="F648" s="93">
        <v>46095</v>
      </c>
    </row>
    <row r="649" spans="1:6" x14ac:dyDescent="0.25">
      <c r="A649" s="9">
        <v>449</v>
      </c>
      <c r="B649" s="33" t="s">
        <v>853</v>
      </c>
      <c r="C649" s="9" t="s">
        <v>6</v>
      </c>
      <c r="D649" s="9" t="s">
        <v>6</v>
      </c>
      <c r="E649" s="79" t="s">
        <v>45</v>
      </c>
      <c r="F649" s="93">
        <v>46082</v>
      </c>
    </row>
    <row r="650" spans="1:6" x14ac:dyDescent="0.25">
      <c r="A650" s="9">
        <v>450</v>
      </c>
      <c r="B650" s="33" t="s">
        <v>1218</v>
      </c>
      <c r="C650" s="9" t="s">
        <v>6</v>
      </c>
      <c r="D650" s="9" t="s">
        <v>6</v>
      </c>
      <c r="E650" s="79" t="s">
        <v>45</v>
      </c>
      <c r="F650" s="93">
        <v>46082</v>
      </c>
    </row>
    <row r="651" spans="1:6" x14ac:dyDescent="0.25">
      <c r="A651" s="9">
        <v>451</v>
      </c>
      <c r="B651" s="33" t="s">
        <v>1210</v>
      </c>
      <c r="C651" s="9" t="s">
        <v>6</v>
      </c>
      <c r="D651" s="9" t="s">
        <v>6</v>
      </c>
      <c r="E651" s="79" t="s">
        <v>45</v>
      </c>
      <c r="F651" s="93">
        <v>46082</v>
      </c>
    </row>
    <row r="652" spans="1:6" ht="15.75" x14ac:dyDescent="0.25">
      <c r="A652" s="9">
        <v>452</v>
      </c>
      <c r="B652" s="33" t="s">
        <v>1441</v>
      </c>
      <c r="C652" s="9" t="s">
        <v>6</v>
      </c>
      <c r="D652" s="9" t="s">
        <v>6</v>
      </c>
      <c r="E652" s="80" t="s">
        <v>45</v>
      </c>
      <c r="F652" s="93">
        <v>46095</v>
      </c>
    </row>
    <row r="653" spans="1:6" ht="14.25" customHeight="1" x14ac:dyDescent="0.25">
      <c r="A653" s="9">
        <v>453</v>
      </c>
      <c r="B653" s="33" t="s">
        <v>1442</v>
      </c>
      <c r="C653" s="9" t="s">
        <v>6</v>
      </c>
      <c r="D653" s="9" t="s">
        <v>6</v>
      </c>
      <c r="E653" s="79" t="s">
        <v>45</v>
      </c>
      <c r="F653" s="93">
        <v>46090</v>
      </c>
    </row>
    <row r="655" spans="1:6" x14ac:dyDescent="0.25">
      <c r="A655" s="9">
        <v>455</v>
      </c>
      <c r="B655" s="8" t="s">
        <v>769</v>
      </c>
      <c r="C655" s="9" t="s">
        <v>6</v>
      </c>
      <c r="D655" s="9" t="s">
        <v>6</v>
      </c>
      <c r="E655" s="82" t="s">
        <v>42</v>
      </c>
      <c r="F655" s="93">
        <v>46095</v>
      </c>
    </row>
    <row r="656" spans="1:6" x14ac:dyDescent="0.25">
      <c r="A656" s="9">
        <v>456</v>
      </c>
      <c r="B656" s="33" t="s">
        <v>584</v>
      </c>
      <c r="C656" s="9" t="s">
        <v>6</v>
      </c>
      <c r="D656" s="9" t="s">
        <v>6</v>
      </c>
      <c r="E656" s="79" t="s">
        <v>45</v>
      </c>
      <c r="F656" s="93">
        <v>46082</v>
      </c>
    </row>
    <row r="657" spans="1:10" x14ac:dyDescent="0.25">
      <c r="A657" s="9">
        <v>457</v>
      </c>
      <c r="B657" s="33" t="s">
        <v>1430</v>
      </c>
      <c r="C657" s="9" t="s">
        <v>6</v>
      </c>
      <c r="D657" s="9" t="s">
        <v>6</v>
      </c>
      <c r="E657" s="82" t="s">
        <v>45</v>
      </c>
      <c r="F657" s="93">
        <v>46095</v>
      </c>
    </row>
    <row r="658" spans="1:10" x14ac:dyDescent="0.25">
      <c r="A658" s="9">
        <v>458</v>
      </c>
      <c r="B658" s="33" t="s">
        <v>1456</v>
      </c>
      <c r="C658" s="9" t="s">
        <v>6</v>
      </c>
      <c r="D658" s="9" t="s">
        <v>6</v>
      </c>
      <c r="E658" s="82" t="s">
        <v>45</v>
      </c>
      <c r="F658" s="93">
        <v>46082</v>
      </c>
    </row>
    <row r="659" spans="1:10" x14ac:dyDescent="0.25">
      <c r="A659" s="9">
        <v>459</v>
      </c>
      <c r="B659" s="33" t="s">
        <v>1457</v>
      </c>
      <c r="C659" s="9" t="s">
        <v>6</v>
      </c>
      <c r="D659" s="9" t="s">
        <v>6</v>
      </c>
      <c r="E659" s="82" t="s">
        <v>45</v>
      </c>
      <c r="F659" s="93">
        <v>46082</v>
      </c>
    </row>
    <row r="660" spans="1:10" x14ac:dyDescent="0.25">
      <c r="A660" s="9">
        <v>460</v>
      </c>
      <c r="B660" s="33" t="s">
        <v>1491</v>
      </c>
      <c r="C660" s="9" t="s">
        <v>6</v>
      </c>
      <c r="D660" s="9" t="s">
        <v>6</v>
      </c>
      <c r="E660" s="82" t="s">
        <v>45</v>
      </c>
      <c r="F660" s="93">
        <v>46095</v>
      </c>
    </row>
    <row r="661" spans="1:10" x14ac:dyDescent="0.25">
      <c r="A661" s="9">
        <v>461</v>
      </c>
      <c r="B661" s="33" t="s">
        <v>1496</v>
      </c>
      <c r="C661" s="9" t="s">
        <v>6</v>
      </c>
      <c r="D661" s="9" t="s">
        <v>6</v>
      </c>
      <c r="E661" s="82" t="s">
        <v>45</v>
      </c>
      <c r="F661" s="93">
        <v>46095</v>
      </c>
    </row>
    <row r="662" spans="1:10" x14ac:dyDescent="0.25">
      <c r="A662" s="9">
        <v>462</v>
      </c>
      <c r="B662" s="33" t="s">
        <v>1499</v>
      </c>
      <c r="C662" s="9" t="s">
        <v>6</v>
      </c>
      <c r="D662" s="9" t="s">
        <v>6</v>
      </c>
      <c r="E662" s="82" t="s">
        <v>45</v>
      </c>
      <c r="F662" s="93">
        <v>46095</v>
      </c>
    </row>
    <row r="663" spans="1:10" x14ac:dyDescent="0.25">
      <c r="A663" s="9">
        <v>463</v>
      </c>
      <c r="B663" s="33" t="s">
        <v>1501</v>
      </c>
      <c r="C663" s="9" t="s">
        <v>6</v>
      </c>
      <c r="D663" s="9" t="s">
        <v>6</v>
      </c>
      <c r="E663" s="82" t="s">
        <v>45</v>
      </c>
      <c r="F663" s="93">
        <v>46095</v>
      </c>
    </row>
    <row r="664" spans="1:10" x14ac:dyDescent="0.25">
      <c r="A664" s="9">
        <v>464</v>
      </c>
      <c r="B664" s="8" t="s">
        <v>1679</v>
      </c>
      <c r="C664" s="9" t="s">
        <v>6</v>
      </c>
      <c r="D664" s="9" t="s">
        <v>6</v>
      </c>
      <c r="E664" s="12" t="s">
        <v>45</v>
      </c>
      <c r="F664" s="104">
        <v>46166</v>
      </c>
    </row>
    <row r="665" spans="1:10" x14ac:dyDescent="0.25">
      <c r="A665" s="9">
        <v>465</v>
      </c>
      <c r="B665" s="33" t="s">
        <v>1811</v>
      </c>
      <c r="C665" s="9" t="s">
        <v>6</v>
      </c>
      <c r="D665" s="9" t="s">
        <v>6</v>
      </c>
      <c r="E665" s="20" t="s">
        <v>45</v>
      </c>
      <c r="F665" s="104">
        <v>46166</v>
      </c>
    </row>
    <row r="666" spans="1:10" x14ac:dyDescent="0.25">
      <c r="A666" s="9">
        <v>466</v>
      </c>
      <c r="B666" s="8" t="s">
        <v>1812</v>
      </c>
      <c r="C666" s="9" t="s">
        <v>6</v>
      </c>
      <c r="D666" s="9" t="s">
        <v>6</v>
      </c>
      <c r="E666" s="13" t="s">
        <v>45</v>
      </c>
      <c r="F666" s="104">
        <v>46166</v>
      </c>
    </row>
    <row r="667" spans="1:10" x14ac:dyDescent="0.25">
      <c r="A667" s="9">
        <v>467</v>
      </c>
      <c r="B667" s="33" t="s">
        <v>1656</v>
      </c>
      <c r="C667" s="9" t="s">
        <v>6</v>
      </c>
      <c r="D667" s="9" t="s">
        <v>6</v>
      </c>
      <c r="E667" s="12" t="s">
        <v>45</v>
      </c>
      <c r="F667" s="104">
        <v>46166</v>
      </c>
    </row>
    <row r="668" spans="1:10" x14ac:dyDescent="0.25">
      <c r="A668" s="9">
        <v>468</v>
      </c>
      <c r="B668" s="33" t="s">
        <v>1663</v>
      </c>
      <c r="C668" s="9" t="s">
        <v>6</v>
      </c>
      <c r="D668" s="9" t="s">
        <v>6</v>
      </c>
      <c r="E668" s="12" t="s">
        <v>45</v>
      </c>
      <c r="F668" s="104">
        <v>46166</v>
      </c>
    </row>
    <row r="669" spans="1:10" x14ac:dyDescent="0.25">
      <c r="A669" s="9">
        <v>469</v>
      </c>
      <c r="B669" s="33" t="s">
        <v>1572</v>
      </c>
      <c r="C669" s="9" t="s">
        <v>6</v>
      </c>
      <c r="D669" s="9" t="s">
        <v>6</v>
      </c>
      <c r="E669" s="12" t="s">
        <v>45</v>
      </c>
      <c r="F669" s="104">
        <v>46166</v>
      </c>
    </row>
    <row r="670" spans="1:10" x14ac:dyDescent="0.25">
      <c r="A670" s="9">
        <v>470</v>
      </c>
      <c r="B670" s="33" t="s">
        <v>1559</v>
      </c>
      <c r="C670" s="9" t="s">
        <v>6</v>
      </c>
      <c r="D670" s="9" t="s">
        <v>6</v>
      </c>
      <c r="E670" s="12" t="s">
        <v>45</v>
      </c>
      <c r="F670" s="104">
        <v>46166</v>
      </c>
    </row>
    <row r="671" spans="1:10" x14ac:dyDescent="0.25">
      <c r="A671" s="9">
        <v>471</v>
      </c>
      <c r="B671" s="33" t="s">
        <v>1678</v>
      </c>
      <c r="C671" s="9" t="s">
        <v>6</v>
      </c>
      <c r="D671" s="9" t="s">
        <v>6</v>
      </c>
      <c r="E671" s="20" t="s">
        <v>45</v>
      </c>
      <c r="F671" s="104">
        <v>46166</v>
      </c>
    </row>
    <row r="672" spans="1:10" ht="15" customHeight="1" x14ac:dyDescent="0.25">
      <c r="A672" s="9">
        <v>472</v>
      </c>
      <c r="B672" s="8" t="s">
        <v>335</v>
      </c>
      <c r="C672" s="9" t="s">
        <v>6</v>
      </c>
      <c r="D672" s="9" t="s">
        <v>6</v>
      </c>
      <c r="E672" s="12" t="s">
        <v>45</v>
      </c>
      <c r="F672" s="105">
        <v>46173</v>
      </c>
      <c r="I672" s="102"/>
      <c r="J672" s="102"/>
    </row>
    <row r="673" spans="1:10" ht="15" customHeight="1" x14ac:dyDescent="0.25">
      <c r="A673" s="9">
        <v>473</v>
      </c>
      <c r="B673" s="8" t="s">
        <v>1696</v>
      </c>
      <c r="C673" s="9" t="s">
        <v>6</v>
      </c>
      <c r="D673" s="9" t="s">
        <v>6</v>
      </c>
      <c r="E673" s="12" t="s">
        <v>45</v>
      </c>
      <c r="F673" s="105">
        <v>46173</v>
      </c>
      <c r="I673" s="102"/>
      <c r="J673" s="102"/>
    </row>
    <row r="674" spans="1:10" ht="15" customHeight="1" x14ac:dyDescent="0.25">
      <c r="A674" s="9">
        <v>474</v>
      </c>
      <c r="B674" s="8" t="s">
        <v>1631</v>
      </c>
      <c r="C674" s="9" t="s">
        <v>6</v>
      </c>
      <c r="D674" s="9" t="s">
        <v>6</v>
      </c>
      <c r="E674" s="12" t="s">
        <v>45</v>
      </c>
      <c r="F674" s="105">
        <v>46173</v>
      </c>
      <c r="I674" s="102"/>
      <c r="J674" s="102"/>
    </row>
    <row r="675" spans="1:10" ht="15" customHeight="1" x14ac:dyDescent="0.25">
      <c r="A675" s="9">
        <v>475</v>
      </c>
      <c r="B675" s="8" t="s">
        <v>262</v>
      </c>
      <c r="C675" s="9" t="s">
        <v>6</v>
      </c>
      <c r="D675" s="9" t="s">
        <v>6</v>
      </c>
      <c r="E675" s="28" t="s">
        <v>45</v>
      </c>
      <c r="F675" s="105">
        <v>46173</v>
      </c>
      <c r="I675" s="102"/>
      <c r="J675" s="102"/>
    </row>
    <row r="676" spans="1:10" ht="15" customHeight="1" x14ac:dyDescent="0.25">
      <c r="A676" s="9">
        <v>476</v>
      </c>
      <c r="B676" s="47" t="s">
        <v>1694</v>
      </c>
      <c r="C676" s="9" t="s">
        <v>6</v>
      </c>
      <c r="D676" s="9" t="s">
        <v>6</v>
      </c>
      <c r="E676" s="20" t="s">
        <v>45</v>
      </c>
      <c r="F676" s="105">
        <v>46173</v>
      </c>
      <c r="I676" s="102"/>
      <c r="J676" s="102"/>
    </row>
    <row r="678" spans="1:10" ht="15" customHeight="1" x14ac:dyDescent="0.25">
      <c r="A678" s="9">
        <v>478</v>
      </c>
      <c r="B678" s="33" t="s">
        <v>490</v>
      </c>
      <c r="C678" s="9" t="s">
        <v>6</v>
      </c>
      <c r="D678" s="9" t="s">
        <v>6</v>
      </c>
      <c r="E678" s="36" t="s">
        <v>45</v>
      </c>
      <c r="F678" s="105">
        <v>46173</v>
      </c>
      <c r="I678" s="102"/>
      <c r="J678" s="102"/>
    </row>
    <row r="679" spans="1:10" ht="15" customHeight="1" x14ac:dyDescent="0.25">
      <c r="A679" s="9">
        <v>479</v>
      </c>
      <c r="B679" s="33" t="s">
        <v>1605</v>
      </c>
      <c r="C679" s="9" t="s">
        <v>6</v>
      </c>
      <c r="D679" s="9" t="s">
        <v>6</v>
      </c>
      <c r="E679" s="12" t="s">
        <v>45</v>
      </c>
      <c r="F679" s="105">
        <v>46173</v>
      </c>
      <c r="I679" s="102"/>
      <c r="J679" s="102"/>
    </row>
    <row r="680" spans="1:10" ht="15" customHeight="1" x14ac:dyDescent="0.25">
      <c r="A680" s="9">
        <v>480</v>
      </c>
      <c r="B680" s="33" t="s">
        <v>516</v>
      </c>
      <c r="C680" s="9" t="s">
        <v>6</v>
      </c>
      <c r="D680" s="9" t="s">
        <v>6</v>
      </c>
      <c r="E680" s="20" t="s">
        <v>45</v>
      </c>
      <c r="F680" s="105">
        <v>46173</v>
      </c>
      <c r="I680" s="102"/>
      <c r="J680" s="102"/>
    </row>
    <row r="681" spans="1:10" ht="15" customHeight="1" x14ac:dyDescent="0.25">
      <c r="A681" s="9">
        <v>481</v>
      </c>
      <c r="B681" s="33" t="s">
        <v>1639</v>
      </c>
      <c r="C681" s="9" t="s">
        <v>6</v>
      </c>
      <c r="D681" s="9" t="s">
        <v>6</v>
      </c>
      <c r="E681" s="12" t="s">
        <v>45</v>
      </c>
      <c r="F681" s="105">
        <v>46173</v>
      </c>
      <c r="I681" s="102"/>
      <c r="J681" s="102"/>
    </row>
    <row r="682" spans="1:10" ht="15" customHeight="1" x14ac:dyDescent="0.25">
      <c r="A682" s="9">
        <v>482</v>
      </c>
      <c r="B682" s="33" t="s">
        <v>1660</v>
      </c>
      <c r="C682" s="9" t="s">
        <v>6</v>
      </c>
      <c r="D682" s="9" t="s">
        <v>6</v>
      </c>
      <c r="E682" s="12" t="s">
        <v>45</v>
      </c>
      <c r="F682" s="105">
        <v>46173</v>
      </c>
      <c r="I682" s="102"/>
      <c r="J682" s="102"/>
    </row>
    <row r="683" spans="1:10" ht="15" customHeight="1" x14ac:dyDescent="0.25">
      <c r="A683" s="9">
        <v>483</v>
      </c>
      <c r="B683" s="33" t="s">
        <v>1693</v>
      </c>
      <c r="C683" s="9" t="s">
        <v>6</v>
      </c>
      <c r="D683" s="9" t="s">
        <v>6</v>
      </c>
      <c r="E683" s="12" t="s">
        <v>45</v>
      </c>
      <c r="F683" s="105">
        <v>46173</v>
      </c>
      <c r="I683" s="102"/>
      <c r="J683" s="102"/>
    </row>
    <row r="684" spans="1:10" x14ac:dyDescent="0.25">
      <c r="A684" s="9">
        <v>484</v>
      </c>
      <c r="B684" s="8" t="s">
        <v>596</v>
      </c>
      <c r="C684" s="9" t="s">
        <v>6</v>
      </c>
      <c r="D684" s="9" t="s">
        <v>6</v>
      </c>
      <c r="E684" s="82" t="s">
        <v>45</v>
      </c>
      <c r="F684" s="93">
        <v>46110</v>
      </c>
    </row>
    <row r="685" spans="1:10" x14ac:dyDescent="0.25">
      <c r="A685" s="9">
        <v>485</v>
      </c>
      <c r="B685" s="33" t="s">
        <v>1497</v>
      </c>
      <c r="C685" s="9" t="s">
        <v>6</v>
      </c>
      <c r="D685" s="9" t="s">
        <v>6</v>
      </c>
      <c r="E685" s="79" t="s">
        <v>45</v>
      </c>
      <c r="F685" s="93">
        <v>46104</v>
      </c>
    </row>
    <row r="686" spans="1:10" x14ac:dyDescent="0.25">
      <c r="A686" s="9">
        <v>486</v>
      </c>
      <c r="B686" s="33" t="s">
        <v>1550</v>
      </c>
      <c r="C686" s="9" t="s">
        <v>6</v>
      </c>
      <c r="D686" s="9" t="s">
        <v>6</v>
      </c>
      <c r="E686" s="79" t="s">
        <v>45</v>
      </c>
      <c r="F686" s="93">
        <v>46104</v>
      </c>
    </row>
    <row r="687" spans="1:10" x14ac:dyDescent="0.25">
      <c r="A687" s="9">
        <v>487</v>
      </c>
      <c r="B687" s="33" t="s">
        <v>1337</v>
      </c>
      <c r="C687" s="9" t="s">
        <v>6</v>
      </c>
      <c r="D687" s="9" t="s">
        <v>6</v>
      </c>
      <c r="E687" s="79" t="s">
        <v>150</v>
      </c>
      <c r="F687" s="93">
        <v>46110</v>
      </c>
    </row>
    <row r="688" spans="1:10" x14ac:dyDescent="0.25">
      <c r="A688" s="9">
        <v>488</v>
      </c>
      <c r="B688" s="33" t="s">
        <v>1498</v>
      </c>
      <c r="C688" s="9" t="s">
        <v>6</v>
      </c>
      <c r="D688" s="9" t="s">
        <v>6</v>
      </c>
      <c r="E688" s="82" t="s">
        <v>45</v>
      </c>
      <c r="F688" s="93">
        <v>46110</v>
      </c>
    </row>
    <row r="689" spans="1:6" x14ac:dyDescent="0.25">
      <c r="A689" s="9">
        <v>489</v>
      </c>
      <c r="B689" s="33" t="s">
        <v>1432</v>
      </c>
      <c r="C689" s="9" t="s">
        <v>6</v>
      </c>
      <c r="D689" s="9" t="s">
        <v>6</v>
      </c>
      <c r="E689" s="82" t="s">
        <v>45</v>
      </c>
      <c r="F689" s="93">
        <v>46104</v>
      </c>
    </row>
    <row r="690" spans="1:6" x14ac:dyDescent="0.25">
      <c r="A690" s="9">
        <v>490</v>
      </c>
      <c r="B690" s="33" t="s">
        <v>1563</v>
      </c>
      <c r="C690" s="9" t="s">
        <v>6</v>
      </c>
      <c r="D690" s="9" t="s">
        <v>6</v>
      </c>
      <c r="E690" s="82" t="s">
        <v>45</v>
      </c>
      <c r="F690" s="93">
        <v>46110</v>
      </c>
    </row>
    <row r="691" spans="1:6" x14ac:dyDescent="0.25">
      <c r="A691" s="9">
        <v>491</v>
      </c>
      <c r="B691" s="33" t="s">
        <v>1540</v>
      </c>
      <c r="C691" s="9" t="s">
        <v>6</v>
      </c>
      <c r="D691" s="9" t="s">
        <v>6</v>
      </c>
      <c r="E691" s="82" t="s">
        <v>45</v>
      </c>
      <c r="F691" s="93">
        <v>46110</v>
      </c>
    </row>
    <row r="692" spans="1:6" x14ac:dyDescent="0.25">
      <c r="A692" s="9">
        <v>492</v>
      </c>
      <c r="B692" s="33" t="s">
        <v>1539</v>
      </c>
      <c r="C692" s="9" t="s">
        <v>6</v>
      </c>
      <c r="D692" s="9" t="s">
        <v>6</v>
      </c>
      <c r="E692" s="82" t="s">
        <v>45</v>
      </c>
      <c r="F692" s="93">
        <v>46104</v>
      </c>
    </row>
    <row r="693" spans="1:6" x14ac:dyDescent="0.25">
      <c r="A693" s="9">
        <v>493</v>
      </c>
      <c r="B693" s="33" t="s">
        <v>1549</v>
      </c>
      <c r="C693" s="9" t="s">
        <v>6</v>
      </c>
      <c r="D693" s="9" t="s">
        <v>6</v>
      </c>
      <c r="E693" s="82" t="s">
        <v>45</v>
      </c>
      <c r="F693" s="93">
        <v>46104</v>
      </c>
    </row>
    <row r="694" spans="1:6" x14ac:dyDescent="0.25">
      <c r="A694" s="9">
        <v>494</v>
      </c>
      <c r="B694" s="33" t="s">
        <v>1562</v>
      </c>
      <c r="C694" s="9" t="s">
        <v>6</v>
      </c>
      <c r="D694" s="9" t="s">
        <v>6</v>
      </c>
      <c r="E694" s="82" t="s">
        <v>45</v>
      </c>
      <c r="F694" s="93">
        <v>46110</v>
      </c>
    </row>
    <row r="695" spans="1:6" x14ac:dyDescent="0.25">
      <c r="A695" s="9">
        <v>495</v>
      </c>
      <c r="B695" s="33" t="s">
        <v>1571</v>
      </c>
      <c r="C695" s="9" t="s">
        <v>6</v>
      </c>
      <c r="D695" s="9" t="s">
        <v>6</v>
      </c>
      <c r="E695" s="82" t="s">
        <v>45</v>
      </c>
      <c r="F695" s="93">
        <v>46110</v>
      </c>
    </row>
    <row r="696" spans="1:6" x14ac:dyDescent="0.25">
      <c r="A696" s="9">
        <v>496</v>
      </c>
      <c r="B696" s="33" t="s">
        <v>1573</v>
      </c>
      <c r="C696" s="9" t="s">
        <v>6</v>
      </c>
      <c r="D696" s="9" t="s">
        <v>6</v>
      </c>
      <c r="E696" s="82" t="s">
        <v>45</v>
      </c>
      <c r="F696" s="93">
        <v>46110</v>
      </c>
    </row>
    <row r="697" spans="1:6" x14ac:dyDescent="0.25">
      <c r="A697" s="9">
        <v>497</v>
      </c>
      <c r="B697" s="33" t="s">
        <v>1574</v>
      </c>
      <c r="C697" s="9" t="s">
        <v>6</v>
      </c>
      <c r="D697" s="9" t="s">
        <v>6</v>
      </c>
      <c r="E697" s="82" t="s">
        <v>45</v>
      </c>
      <c r="F697" s="93">
        <v>46110</v>
      </c>
    </row>
    <row r="698" spans="1:6" ht="14.25" customHeight="1" x14ac:dyDescent="0.25">
      <c r="A698" s="9">
        <v>498</v>
      </c>
      <c r="B698" s="8" t="s">
        <v>1602</v>
      </c>
      <c r="C698" s="9" t="s">
        <v>6</v>
      </c>
      <c r="D698" s="9" t="s">
        <v>6</v>
      </c>
      <c r="E698" s="82" t="s">
        <v>45</v>
      </c>
      <c r="F698" s="93">
        <v>46131</v>
      </c>
    </row>
    <row r="699" spans="1:6" x14ac:dyDescent="0.25">
      <c r="A699" s="9">
        <v>499</v>
      </c>
      <c r="B699" s="33" t="s">
        <v>482</v>
      </c>
      <c r="C699" s="9" t="s">
        <v>6</v>
      </c>
      <c r="D699" s="9" t="s">
        <v>6</v>
      </c>
      <c r="E699" s="79" t="s">
        <v>45</v>
      </c>
      <c r="F699" s="93">
        <v>46131</v>
      </c>
    </row>
    <row r="700" spans="1:6" x14ac:dyDescent="0.25">
      <c r="A700" s="9">
        <v>500</v>
      </c>
      <c r="B700" s="8" t="s">
        <v>145</v>
      </c>
      <c r="C700" s="9" t="s">
        <v>6</v>
      </c>
      <c r="D700" s="9" t="s">
        <v>6</v>
      </c>
      <c r="E700" s="82" t="s">
        <v>337</v>
      </c>
      <c r="F700" s="93">
        <v>46131</v>
      </c>
    </row>
    <row r="701" spans="1:6" x14ac:dyDescent="0.25">
      <c r="A701" s="9">
        <v>501</v>
      </c>
      <c r="B701" s="33" t="s">
        <v>1241</v>
      </c>
      <c r="C701" s="9" t="s">
        <v>6</v>
      </c>
      <c r="D701" s="9" t="s">
        <v>6</v>
      </c>
      <c r="E701" s="79" t="s">
        <v>45</v>
      </c>
      <c r="F701" s="93">
        <v>46131</v>
      </c>
    </row>
    <row r="702" spans="1:6" x14ac:dyDescent="0.25">
      <c r="A702" s="9">
        <v>502</v>
      </c>
      <c r="B702" s="33" t="s">
        <v>1613</v>
      </c>
      <c r="C702" s="9" t="s">
        <v>6</v>
      </c>
      <c r="D702" s="9" t="s">
        <v>6</v>
      </c>
      <c r="E702" s="82" t="s">
        <v>45</v>
      </c>
      <c r="F702" s="93">
        <v>46131</v>
      </c>
    </row>
    <row r="703" spans="1:6" x14ac:dyDescent="0.25">
      <c r="A703" s="9">
        <v>503</v>
      </c>
      <c r="B703" s="33" t="s">
        <v>1612</v>
      </c>
      <c r="C703" s="9" t="s">
        <v>6</v>
      </c>
      <c r="D703" s="9" t="s">
        <v>6</v>
      </c>
      <c r="E703" s="82"/>
      <c r="F703" s="93">
        <v>46131</v>
      </c>
    </row>
    <row r="704" spans="1:6" x14ac:dyDescent="0.25">
      <c r="A704" s="9">
        <v>504</v>
      </c>
      <c r="B704" s="33" t="s">
        <v>1583</v>
      </c>
      <c r="C704" s="9" t="s">
        <v>6</v>
      </c>
      <c r="D704" s="9" t="s">
        <v>6</v>
      </c>
      <c r="E704" s="82" t="s">
        <v>45</v>
      </c>
      <c r="F704" s="93">
        <v>46131</v>
      </c>
    </row>
    <row r="705" spans="1:6" x14ac:dyDescent="0.25">
      <c r="A705" s="9">
        <v>505</v>
      </c>
      <c r="B705" s="33" t="s">
        <v>1554</v>
      </c>
      <c r="C705" s="9" t="s">
        <v>6</v>
      </c>
      <c r="D705" s="9" t="s">
        <v>6</v>
      </c>
      <c r="E705" s="82" t="s">
        <v>45</v>
      </c>
      <c r="F705" s="93">
        <v>46131</v>
      </c>
    </row>
    <row r="706" spans="1:6" x14ac:dyDescent="0.25">
      <c r="A706" s="9">
        <v>506</v>
      </c>
      <c r="B706" s="33" t="s">
        <v>1560</v>
      </c>
      <c r="C706" s="9" t="s">
        <v>6</v>
      </c>
      <c r="D706" s="9" t="s">
        <v>6</v>
      </c>
      <c r="E706" s="82" t="s">
        <v>45</v>
      </c>
      <c r="F706" s="93">
        <v>46131</v>
      </c>
    </row>
    <row r="707" spans="1:6" x14ac:dyDescent="0.25">
      <c r="A707" s="9">
        <v>507</v>
      </c>
      <c r="B707" s="33" t="s">
        <v>68</v>
      </c>
      <c r="C707" s="9" t="s">
        <v>6</v>
      </c>
      <c r="D707" s="9" t="s">
        <v>6</v>
      </c>
      <c r="E707" s="82" t="s">
        <v>45</v>
      </c>
      <c r="F707" s="93">
        <v>46131</v>
      </c>
    </row>
    <row r="708" spans="1:6" x14ac:dyDescent="0.25">
      <c r="A708" s="9">
        <v>508</v>
      </c>
      <c r="B708" s="33" t="s">
        <v>1564</v>
      </c>
      <c r="C708" s="9" t="s">
        <v>6</v>
      </c>
      <c r="D708" s="9" t="s">
        <v>6</v>
      </c>
      <c r="E708" s="82" t="s">
        <v>45</v>
      </c>
      <c r="F708" s="93">
        <v>46131</v>
      </c>
    </row>
    <row r="709" spans="1:6" x14ac:dyDescent="0.25">
      <c r="A709" s="9">
        <v>509</v>
      </c>
      <c r="B709" s="33" t="s">
        <v>1595</v>
      </c>
      <c r="C709" s="9" t="s">
        <v>6</v>
      </c>
      <c r="D709" s="9" t="s">
        <v>6</v>
      </c>
      <c r="E709" s="82" t="s">
        <v>45</v>
      </c>
      <c r="F709" s="93">
        <v>46131</v>
      </c>
    </row>
    <row r="710" spans="1:6" x14ac:dyDescent="0.25">
      <c r="A710" s="9">
        <v>510</v>
      </c>
      <c r="B710" s="33" t="s">
        <v>1596</v>
      </c>
      <c r="C710" s="9" t="s">
        <v>6</v>
      </c>
      <c r="D710" s="9" t="s">
        <v>6</v>
      </c>
      <c r="E710" s="82" t="s">
        <v>45</v>
      </c>
      <c r="F710" s="93">
        <v>46131</v>
      </c>
    </row>
    <row r="711" spans="1:6" x14ac:dyDescent="0.25">
      <c r="A711" s="9">
        <v>511</v>
      </c>
      <c r="B711" s="33" t="s">
        <v>1603</v>
      </c>
      <c r="C711" s="9" t="s">
        <v>6</v>
      </c>
      <c r="D711" s="9" t="s">
        <v>6</v>
      </c>
      <c r="E711" s="82" t="s">
        <v>45</v>
      </c>
      <c r="F711" s="93">
        <v>46131</v>
      </c>
    </row>
    <row r="712" spans="1:6" x14ac:dyDescent="0.25">
      <c r="A712" s="9">
        <v>512</v>
      </c>
      <c r="B712" s="33" t="s">
        <v>575</v>
      </c>
      <c r="C712" s="9" t="s">
        <v>6</v>
      </c>
      <c r="D712" s="9" t="s">
        <v>6</v>
      </c>
      <c r="E712" s="82" t="s">
        <v>45</v>
      </c>
      <c r="F712" s="93">
        <v>46115</v>
      </c>
    </row>
    <row r="713" spans="1:6" x14ac:dyDescent="0.25">
      <c r="A713" s="9">
        <v>513</v>
      </c>
      <c r="B713" s="33" t="s">
        <v>1667</v>
      </c>
      <c r="C713" s="9" t="s">
        <v>6</v>
      </c>
      <c r="D713" s="9" t="s">
        <v>6</v>
      </c>
      <c r="E713" s="82" t="s">
        <v>45</v>
      </c>
      <c r="F713" s="93">
        <v>46131</v>
      </c>
    </row>
    <row r="714" spans="1:6" x14ac:dyDescent="0.25">
      <c r="A714" s="9">
        <v>514</v>
      </c>
      <c r="B714" s="33" t="s">
        <v>1602</v>
      </c>
      <c r="C714" s="9" t="s">
        <v>6</v>
      </c>
      <c r="D714" s="9" t="s">
        <v>6</v>
      </c>
      <c r="E714" s="82" t="s">
        <v>45</v>
      </c>
      <c r="F714" s="93">
        <v>46115</v>
      </c>
    </row>
    <row r="715" spans="1:6" x14ac:dyDescent="0.25">
      <c r="A715" s="9">
        <v>515</v>
      </c>
      <c r="B715" s="33" t="s">
        <v>1634</v>
      </c>
      <c r="C715" s="9" t="s">
        <v>6</v>
      </c>
      <c r="D715" s="9" t="s">
        <v>6</v>
      </c>
      <c r="E715" s="82" t="s">
        <v>45</v>
      </c>
      <c r="F715" s="93">
        <v>46115</v>
      </c>
    </row>
    <row r="716" spans="1:6" x14ac:dyDescent="0.25">
      <c r="A716" s="9">
        <v>516</v>
      </c>
      <c r="B716" s="33" t="s">
        <v>1635</v>
      </c>
      <c r="C716" s="9" t="s">
        <v>6</v>
      </c>
      <c r="D716" s="9" t="s">
        <v>6</v>
      </c>
      <c r="E716" s="82" t="s">
        <v>45</v>
      </c>
      <c r="F716" s="93">
        <v>46115</v>
      </c>
    </row>
    <row r="717" spans="1:6" x14ac:dyDescent="0.25">
      <c r="A717" s="9">
        <v>517</v>
      </c>
      <c r="B717" s="33" t="s">
        <v>81</v>
      </c>
      <c r="C717" s="9" t="s">
        <v>6</v>
      </c>
      <c r="D717" s="9" t="s">
        <v>6</v>
      </c>
      <c r="E717" s="82" t="s">
        <v>45</v>
      </c>
      <c r="F717" s="93">
        <v>46115</v>
      </c>
    </row>
    <row r="718" spans="1:6" x14ac:dyDescent="0.25">
      <c r="A718" s="9">
        <v>518</v>
      </c>
      <c r="B718" s="8" t="s">
        <v>327</v>
      </c>
      <c r="C718" s="9" t="s">
        <v>6</v>
      </c>
      <c r="D718" s="9" t="s">
        <v>6</v>
      </c>
      <c r="E718" s="12" t="s">
        <v>45</v>
      </c>
      <c r="F718" s="32">
        <f ca="1">IF(AND(C718="NO",D718="NO"),IF(F718="",TODAY(),F718),"")</f>
        <v>46177</v>
      </c>
    </row>
    <row r="719" spans="1:6" x14ac:dyDescent="0.25">
      <c r="A719" s="9">
        <v>519</v>
      </c>
      <c r="B719" s="17" t="s">
        <v>775</v>
      </c>
      <c r="C719" s="9" t="s">
        <v>6</v>
      </c>
      <c r="D719" s="9" t="s">
        <v>6</v>
      </c>
      <c r="E719" s="85" t="s">
        <v>45</v>
      </c>
      <c r="F719" s="32">
        <f ca="1">IF(AND(C719="NO",D719="NO"),IF(F719="",TODAY(),F719),"")</f>
        <v>46177</v>
      </c>
    </row>
    <row r="720" spans="1:6" x14ac:dyDescent="0.25">
      <c r="A720" s="9">
        <v>520</v>
      </c>
      <c r="B720" s="33" t="s">
        <v>997</v>
      </c>
      <c r="C720" s="9" t="s">
        <v>6</v>
      </c>
      <c r="D720" s="9" t="s">
        <v>6</v>
      </c>
      <c r="E720" s="20" t="s">
        <v>45</v>
      </c>
      <c r="F720" s="32">
        <f ca="1">IF(AND(C720="NO",D720="NO"),IF(F720="",TODAY(),F720),"")</f>
        <v>46177</v>
      </c>
    </row>
    <row r="721" spans="1:6" x14ac:dyDescent="0.25">
      <c r="A721" s="9">
        <v>521</v>
      </c>
      <c r="B721" s="8" t="s">
        <v>1697</v>
      </c>
      <c r="C721" s="9" t="s">
        <v>6</v>
      </c>
      <c r="D721" s="9" t="s">
        <v>6</v>
      </c>
      <c r="E721" s="12" t="s">
        <v>45</v>
      </c>
      <c r="F721" s="32">
        <f ca="1">IF(AND(C721="NO",D721="NO"),IF(F721="",TODAY(),F721),"")</f>
        <v>46177</v>
      </c>
    </row>
    <row r="722" spans="1:6" x14ac:dyDescent="0.25">
      <c r="A722" s="9">
        <v>522</v>
      </c>
      <c r="B722" s="33" t="s">
        <v>1788</v>
      </c>
      <c r="C722" s="9" t="s">
        <v>6</v>
      </c>
      <c r="D722" s="9" t="s">
        <v>6</v>
      </c>
      <c r="E722" s="12" t="s">
        <v>45</v>
      </c>
      <c r="F722" s="32">
        <f ca="1">IF(AND(C722="NO",D722="NO"),IF(F722="",TODAY(),F722),"")</f>
        <v>46177</v>
      </c>
    </row>
    <row r="723" spans="1:6" x14ac:dyDescent="0.25">
      <c r="A723" s="9">
        <v>523</v>
      </c>
      <c r="B723" s="33" t="s">
        <v>1790</v>
      </c>
      <c r="C723" s="9" t="s">
        <v>6</v>
      </c>
      <c r="D723" s="9" t="s">
        <v>6</v>
      </c>
      <c r="E723" s="12" t="s">
        <v>45</v>
      </c>
      <c r="F723" s="32">
        <f ca="1">IF(AND(C723="NO",D723="NO"),IF(F723="",TODAY(),F723),"")</f>
        <v>46177</v>
      </c>
    </row>
    <row r="724" spans="1:6" x14ac:dyDescent="0.25">
      <c r="A724" s="9">
        <v>524</v>
      </c>
      <c r="B724" s="8" t="s">
        <v>1763</v>
      </c>
      <c r="C724" s="9" t="s">
        <v>6</v>
      </c>
      <c r="D724" s="9" t="s">
        <v>6</v>
      </c>
      <c r="E724" s="12" t="s">
        <v>150</v>
      </c>
      <c r="F724" s="32">
        <f ca="1">IF(AND(C724="NO",D724="NO"),IF(F724="",TODAY(),F724),"")</f>
        <v>46195</v>
      </c>
    </row>
    <row r="725" spans="1:6" x14ac:dyDescent="0.25">
      <c r="A725" s="9">
        <v>525</v>
      </c>
      <c r="B725" s="33" t="s">
        <v>1156</v>
      </c>
      <c r="C725" s="9" t="s">
        <v>6</v>
      </c>
      <c r="D725" s="9" t="s">
        <v>6</v>
      </c>
      <c r="E725" s="12" t="s">
        <v>150</v>
      </c>
      <c r="F725" s="32">
        <f ca="1">IF(AND(C725="NO",D725="NO"),IF(F725="",TODAY(),F725),"")</f>
        <v>46195</v>
      </c>
    </row>
    <row r="726" spans="1:6" x14ac:dyDescent="0.25">
      <c r="A726" s="9">
        <v>526</v>
      </c>
      <c r="B726" s="33" t="s">
        <v>1636</v>
      </c>
      <c r="C726" s="9" t="s">
        <v>6</v>
      </c>
      <c r="D726" s="9" t="s">
        <v>6</v>
      </c>
      <c r="E726" s="12" t="s">
        <v>45</v>
      </c>
      <c r="F726" s="32">
        <f ca="1">IF(AND(C726="NO",D726="NO"),IF(F726="",TODAY(),F726),"")</f>
        <v>46195</v>
      </c>
    </row>
    <row r="727" spans="1:6" x14ac:dyDescent="0.25">
      <c r="A727" s="9">
        <v>527</v>
      </c>
      <c r="B727" s="33" t="s">
        <v>1047</v>
      </c>
      <c r="C727" s="9" t="s">
        <v>6</v>
      </c>
      <c r="D727" s="9" t="s">
        <v>6</v>
      </c>
      <c r="E727" s="12" t="s">
        <v>45</v>
      </c>
      <c r="F727" s="32">
        <f ca="1">IF(AND(C727="NO",D727="NO"),IF(F727="",TODAY(),F727),"")</f>
        <v>46202</v>
      </c>
    </row>
    <row r="728" spans="1:6" ht="16.5" customHeight="1" x14ac:dyDescent="0.25">
      <c r="A728" s="9">
        <v>528</v>
      </c>
      <c r="B728" s="33" t="s">
        <v>1046</v>
      </c>
      <c r="C728" s="9" t="s">
        <v>6</v>
      </c>
      <c r="D728" s="9" t="s">
        <v>6</v>
      </c>
      <c r="E728" s="12" t="s">
        <v>45</v>
      </c>
      <c r="F728" s="32">
        <f ca="1">IF(AND(C728="NO",D728="NO"),IF(F728="",TODAY(),F728),"")</f>
        <v>46202</v>
      </c>
    </row>
    <row r="729" spans="1:6" x14ac:dyDescent="0.25">
      <c r="A729" s="9">
        <v>529</v>
      </c>
      <c r="B729" s="8" t="s">
        <v>1353</v>
      </c>
      <c r="C729" s="9" t="s">
        <v>6</v>
      </c>
      <c r="D729" s="9" t="s">
        <v>6</v>
      </c>
      <c r="E729" s="12" t="s">
        <v>45</v>
      </c>
      <c r="F729" s="32">
        <f ca="1">IF(AND(C729="NO",D729="NO"),IF(F729="",TODAY(),F729),"")</f>
        <v>46209</v>
      </c>
    </row>
    <row r="730" spans="1:6" x14ac:dyDescent="0.25">
      <c r="A730" s="9">
        <v>530</v>
      </c>
      <c r="B730" s="33" t="s">
        <v>1843</v>
      </c>
      <c r="C730" s="9" t="s">
        <v>6</v>
      </c>
      <c r="D730" s="9" t="s">
        <v>6</v>
      </c>
      <c r="E730" s="12" t="s">
        <v>337</v>
      </c>
      <c r="F730" s="32">
        <f ca="1">IF(AND(C730="NO",D730="NO"),IF(F730="",TODAY(),F730),"")</f>
        <v>46209</v>
      </c>
    </row>
    <row r="731" spans="1:6" x14ac:dyDescent="0.25">
      <c r="A731" s="9">
        <v>531</v>
      </c>
      <c r="B731" s="33" t="s">
        <v>1844</v>
      </c>
      <c r="C731" s="9" t="s">
        <v>6</v>
      </c>
      <c r="D731" s="9" t="s">
        <v>6</v>
      </c>
      <c r="E731" s="12" t="s">
        <v>337</v>
      </c>
      <c r="F731" s="32">
        <f ca="1">IF(AND(C731="NO",D731="NO"),IF(F731="",TODAY(),F731),"")</f>
        <v>46209</v>
      </c>
    </row>
    <row r="732" spans="1:6" x14ac:dyDescent="0.25">
      <c r="A732" s="9">
        <v>532</v>
      </c>
      <c r="B732" s="8" t="s">
        <v>1243</v>
      </c>
      <c r="C732" s="9" t="s">
        <v>6</v>
      </c>
      <c r="D732" s="9" t="s">
        <v>6</v>
      </c>
      <c r="E732" s="12" t="s">
        <v>45</v>
      </c>
      <c r="F732" s="32">
        <f ca="1">IF(AND(C732="NO",D732="NO"),IF(F732="",TODAY(),F732),"")</f>
        <v>46216</v>
      </c>
    </row>
    <row r="733" spans="1:6" x14ac:dyDescent="0.25">
      <c r="A733" s="9">
        <v>533</v>
      </c>
      <c r="B733" s="33" t="s">
        <v>1585</v>
      </c>
      <c r="C733" s="9" t="s">
        <v>6</v>
      </c>
      <c r="D733" s="9" t="s">
        <v>6</v>
      </c>
      <c r="E733" s="12" t="s">
        <v>45</v>
      </c>
      <c r="F733" s="32">
        <f ca="1">IF(AND(C733="NO",D733="NO"),IF(F733="",TODAY(),F733),"")</f>
        <v>46216</v>
      </c>
    </row>
    <row r="734" spans="1:6" x14ac:dyDescent="0.25">
      <c r="A734" s="9">
        <v>534</v>
      </c>
      <c r="B734" s="8" t="s">
        <v>400</v>
      </c>
      <c r="C734" s="9" t="s">
        <v>6</v>
      </c>
      <c r="D734" s="9" t="s">
        <v>6</v>
      </c>
      <c r="E734" s="12" t="s">
        <v>45</v>
      </c>
      <c r="F734" s="32">
        <f ca="1">IF(AND(C734="NO",D734="NO"),IF(F734="",TODAY(),F734),"")</f>
        <v>46216</v>
      </c>
    </row>
    <row r="735" spans="1:6" x14ac:dyDescent="0.25">
      <c r="A735" s="9">
        <v>535</v>
      </c>
      <c r="B735" s="33" t="s">
        <v>1808</v>
      </c>
      <c r="C735" s="9" t="s">
        <v>6</v>
      </c>
      <c r="D735" s="9" t="s">
        <v>6</v>
      </c>
      <c r="E735" s="12" t="s">
        <v>150</v>
      </c>
      <c r="F735" s="32">
        <f ca="1">IF(AND(C735="NO",D735="NO"),IF(F735="",TODAY(),F735),"")</f>
        <v>46216</v>
      </c>
    </row>
    <row r="736" spans="1:6" x14ac:dyDescent="0.25">
      <c r="A736" s="9">
        <v>536</v>
      </c>
      <c r="B736" s="33" t="s">
        <v>1604</v>
      </c>
      <c r="C736" s="9" t="s">
        <v>6</v>
      </c>
      <c r="D736" s="9" t="s">
        <v>6</v>
      </c>
      <c r="E736" s="12" t="s">
        <v>45</v>
      </c>
      <c r="F736" s="32">
        <f ca="1">IF(AND(C736="NO",D736="NO"),IF(F736="",TODAY(),F736),"")</f>
        <v>46216</v>
      </c>
    </row>
    <row r="737" spans="1:6" x14ac:dyDescent="0.25">
      <c r="A737" s="9">
        <v>537</v>
      </c>
      <c r="B737" s="8" t="s">
        <v>67</v>
      </c>
      <c r="C737" s="9" t="s">
        <v>6</v>
      </c>
      <c r="D737" s="9" t="s">
        <v>6</v>
      </c>
      <c r="E737" s="12" t="s">
        <v>337</v>
      </c>
      <c r="F737" s="32">
        <f ca="1">IF(AND(C737="NO",D737="NO"),IF(F737="",TODAY(),F737),"")</f>
        <v>46216</v>
      </c>
    </row>
    <row r="738" spans="1:6" x14ac:dyDescent="0.25">
      <c r="A738" s="9">
        <v>538</v>
      </c>
      <c r="B738" s="33" t="s">
        <v>1867</v>
      </c>
      <c r="C738" s="9" t="s">
        <v>6</v>
      </c>
      <c r="D738" s="9" t="s">
        <v>6</v>
      </c>
      <c r="E738" s="12" t="s">
        <v>45</v>
      </c>
      <c r="F738" s="32">
        <f ca="1">IF(AND(C738="NO",D738="NO"),IF(F738="",TODAY(),F738),"")</f>
        <v>46216</v>
      </c>
    </row>
    <row r="739" spans="1:6" x14ac:dyDescent="0.25">
      <c r="A739" s="9">
        <v>539</v>
      </c>
      <c r="B739" s="33" t="s">
        <v>1859</v>
      </c>
      <c r="C739" s="9" t="s">
        <v>6</v>
      </c>
      <c r="D739" s="9" t="s">
        <v>6</v>
      </c>
      <c r="E739" s="12" t="s">
        <v>45</v>
      </c>
      <c r="F739" s="32">
        <f ca="1">IF(AND(C739="NO",D739="NO"),IF(F739="",TODAY(),F739),"")</f>
        <v>46216</v>
      </c>
    </row>
    <row r="740" spans="1:6" x14ac:dyDescent="0.25">
      <c r="A740" s="9">
        <v>540</v>
      </c>
      <c r="B740" s="33" t="s">
        <v>1862</v>
      </c>
      <c r="C740" s="9" t="s">
        <v>6</v>
      </c>
      <c r="D740" s="9" t="s">
        <v>6</v>
      </c>
      <c r="E740" s="12" t="s">
        <v>45</v>
      </c>
      <c r="F740" s="32">
        <f ca="1">IF(AND(C740="NO",D740="NO"),IF(F740="",TODAY(),F740),"")</f>
        <v>46216</v>
      </c>
    </row>
    <row r="741" spans="1:6" x14ac:dyDescent="0.25">
      <c r="A741" s="9">
        <v>541</v>
      </c>
      <c r="B741" s="33" t="s">
        <v>1864</v>
      </c>
      <c r="C741" s="9" t="s">
        <v>6</v>
      </c>
      <c r="D741" s="9" t="s">
        <v>6</v>
      </c>
      <c r="E741" s="12" t="s">
        <v>45</v>
      </c>
      <c r="F741" s="32">
        <f ca="1">IF(AND(C741="NO",D741="NO"),IF(F741="",TODAY(),F741),"")</f>
        <v>46216</v>
      </c>
    </row>
    <row r="742" spans="1:6" x14ac:dyDescent="0.25">
      <c r="A742" s="9">
        <v>542</v>
      </c>
      <c r="B742" s="33" t="s">
        <v>1863</v>
      </c>
      <c r="C742" s="9" t="s">
        <v>6</v>
      </c>
      <c r="D742" s="9" t="s">
        <v>6</v>
      </c>
      <c r="E742" s="12" t="s">
        <v>45</v>
      </c>
      <c r="F742" s="32">
        <f ca="1">IF(AND(C742="NO",D742="NO"),IF(F742="",TODAY(),F742),"")</f>
        <v>46216</v>
      </c>
    </row>
    <row r="743" spans="1:6" x14ac:dyDescent="0.25">
      <c r="A743" s="9">
        <v>543</v>
      </c>
      <c r="B743" s="33" t="s">
        <v>1865</v>
      </c>
      <c r="C743" s="9" t="s">
        <v>6</v>
      </c>
      <c r="D743" s="9" t="s">
        <v>6</v>
      </c>
      <c r="E743" s="12" t="s">
        <v>45</v>
      </c>
      <c r="F743" s="32">
        <f ca="1">IF(AND(C743="NO",D743="NO"),IF(F743="",TODAY(),F743),"")</f>
        <v>46216</v>
      </c>
    </row>
    <row r="744" spans="1:6" x14ac:dyDescent="0.25">
      <c r="A744" s="9">
        <v>544</v>
      </c>
      <c r="B744" s="33" t="s">
        <v>1866</v>
      </c>
      <c r="C744" s="9" t="s">
        <v>6</v>
      </c>
      <c r="D744" s="9" t="s">
        <v>6</v>
      </c>
      <c r="E744" s="12" t="s">
        <v>45</v>
      </c>
      <c r="F744" s="32">
        <f ca="1">IF(AND(C744="NO",D744="NO"),IF(F744="",TODAY(),F744),"")</f>
        <v>46216</v>
      </c>
    </row>
    <row r="745" spans="1:6" x14ac:dyDescent="0.25">
      <c r="A745" s="9">
        <v>545</v>
      </c>
      <c r="B745" s="33" t="s">
        <v>1869</v>
      </c>
      <c r="C745" s="9" t="s">
        <v>6</v>
      </c>
      <c r="D745" s="9" t="s">
        <v>6</v>
      </c>
      <c r="E745" s="12" t="s">
        <v>45</v>
      </c>
      <c r="F745" s="32">
        <f ca="1">IF(AND(C745="NO",D745="NO"),IF(F745="",TODAY(),F745),"")</f>
        <v>46216</v>
      </c>
    </row>
    <row r="746" spans="1:6" x14ac:dyDescent="0.25">
      <c r="A746" s="9">
        <v>546</v>
      </c>
      <c r="B746" s="33" t="s">
        <v>1875</v>
      </c>
      <c r="C746" s="9" t="s">
        <v>6</v>
      </c>
      <c r="D746" s="9" t="s">
        <v>6</v>
      </c>
      <c r="E746" s="12" t="s">
        <v>337</v>
      </c>
      <c r="F746" s="32">
        <f ca="1">IF(AND(C746="NO",D746="NO"),IF(F746="",TODAY(),F746),"")</f>
        <v>46216</v>
      </c>
    </row>
    <row r="747" spans="1:6" x14ac:dyDescent="0.25">
      <c r="A747" s="9">
        <v>549</v>
      </c>
      <c r="B747" s="33" t="s">
        <v>1444</v>
      </c>
      <c r="C747" s="9" t="s">
        <v>6</v>
      </c>
      <c r="D747" s="9" t="s">
        <v>6</v>
      </c>
      <c r="E747" s="12" t="s">
        <v>45</v>
      </c>
      <c r="F747" s="32">
        <f ca="1">IF(AND(C747="NO",D747="NO"),IF(F747="",TODAY(),F747),"")</f>
        <v>46237</v>
      </c>
    </row>
    <row r="748" spans="1:6" x14ac:dyDescent="0.25">
      <c r="A748" s="9">
        <v>550</v>
      </c>
      <c r="B748" s="33" t="s">
        <v>1939</v>
      </c>
      <c r="C748" s="9" t="s">
        <v>6</v>
      </c>
      <c r="D748" s="9" t="s">
        <v>6</v>
      </c>
      <c r="E748" s="12" t="s">
        <v>45</v>
      </c>
      <c r="F748" s="32">
        <f ca="1">IF(AND(C748="NO",D748="NO"),IF(F748="",TODAY(),F748),"")</f>
        <v>46237</v>
      </c>
    </row>
    <row r="749" spans="1:6" x14ac:dyDescent="0.25">
      <c r="A749" s="9">
        <v>551</v>
      </c>
      <c r="B749" s="33" t="s">
        <v>1190</v>
      </c>
      <c r="C749" s="9" t="s">
        <v>6</v>
      </c>
      <c r="D749" s="9" t="s">
        <v>6</v>
      </c>
      <c r="E749" s="12" t="s">
        <v>45</v>
      </c>
      <c r="F749" s="32">
        <f ca="1">IF(AND(C749="NO",D749="NO"),IF(F749="",TODAY(),F749),"")</f>
        <v>46237</v>
      </c>
    </row>
    <row r="750" spans="1:6" x14ac:dyDescent="0.25">
      <c r="A750" s="9">
        <v>552</v>
      </c>
      <c r="B750" s="33" t="s">
        <v>1796</v>
      </c>
      <c r="C750" s="9" t="s">
        <v>6</v>
      </c>
      <c r="D750" s="9" t="s">
        <v>6</v>
      </c>
      <c r="E750" s="12" t="s">
        <v>337</v>
      </c>
      <c r="F750" s="32">
        <f ca="1">IF(AND(C750="NO",D750="NO"),IF(F750="",TODAY(),F750),"")</f>
        <v>46237</v>
      </c>
    </row>
    <row r="751" spans="1:6" x14ac:dyDescent="0.25">
      <c r="A751" s="9">
        <v>553</v>
      </c>
      <c r="B751" s="33" t="s">
        <v>1692</v>
      </c>
      <c r="C751" s="9" t="s">
        <v>6</v>
      </c>
      <c r="D751" s="9" t="s">
        <v>6</v>
      </c>
      <c r="E751" s="12" t="s">
        <v>337</v>
      </c>
      <c r="F751" s="32">
        <f ca="1">IF(AND(C751="NO",D751="NO"),IF(F751="",TODAY(),F751),"")</f>
        <v>46237</v>
      </c>
    </row>
    <row r="752" spans="1:6" x14ac:dyDescent="0.25">
      <c r="A752" s="9">
        <v>554</v>
      </c>
      <c r="B752" s="33" t="s">
        <v>1921</v>
      </c>
      <c r="C752" s="9" t="s">
        <v>6</v>
      </c>
      <c r="D752" s="9" t="s">
        <v>6</v>
      </c>
      <c r="E752" s="12" t="s">
        <v>337</v>
      </c>
      <c r="F752" s="32">
        <f ca="1">IF(AND(C752="NO",D752="NO"),IF(F752="",TODAY(),F752),"")</f>
        <v>46237</v>
      </c>
    </row>
    <row r="753" spans="1:6" x14ac:dyDescent="0.25">
      <c r="A753" s="9">
        <v>555</v>
      </c>
      <c r="B753" s="33" t="s">
        <v>1890</v>
      </c>
      <c r="C753" s="9" t="s">
        <v>6</v>
      </c>
      <c r="D753" s="9" t="s">
        <v>6</v>
      </c>
      <c r="E753" s="12" t="s">
        <v>45</v>
      </c>
      <c r="F753" s="32">
        <f ca="1">IF(AND(C753="NO",D753="NO"),IF(F753="",TODAY(),F753),"")</f>
        <v>46237</v>
      </c>
    </row>
    <row r="754" spans="1:6" x14ac:dyDescent="0.25">
      <c r="A754" s="9">
        <v>556</v>
      </c>
      <c r="B754" s="33" t="s">
        <v>1912</v>
      </c>
      <c r="C754" s="9" t="s">
        <v>6</v>
      </c>
      <c r="D754" s="9" t="s">
        <v>6</v>
      </c>
      <c r="E754" s="12" t="s">
        <v>45</v>
      </c>
      <c r="F754" s="32">
        <f ca="1">IF(AND(C754="NO",D754="NO"),IF(F754="",TODAY(),F754),"")</f>
        <v>46237</v>
      </c>
    </row>
    <row r="755" spans="1:6" x14ac:dyDescent="0.25">
      <c r="A755" s="9">
        <v>557</v>
      </c>
      <c r="B755" s="33" t="s">
        <v>1938</v>
      </c>
      <c r="C755" s="9" t="s">
        <v>6</v>
      </c>
      <c r="D755" s="9" t="s">
        <v>6</v>
      </c>
      <c r="E755" s="12" t="s">
        <v>337</v>
      </c>
      <c r="F755" s="32">
        <f ca="1">IF(AND(C755="NO",D755="NO"),IF(F755="",TODAY(),F755),"")</f>
        <v>46237</v>
      </c>
    </row>
    <row r="756" spans="1:6" x14ac:dyDescent="0.25">
      <c r="A756" s="9">
        <v>558</v>
      </c>
      <c r="B756" s="33" t="s">
        <v>1959</v>
      </c>
      <c r="C756" s="9" t="s">
        <v>6</v>
      </c>
      <c r="D756" s="9" t="s">
        <v>6</v>
      </c>
      <c r="E756" s="12" t="s">
        <v>337</v>
      </c>
      <c r="F756" s="32">
        <f ca="1">IF(AND(C756="NO",D756="NO"),IF(F756="",TODAY(),F756),"")</f>
        <v>46237</v>
      </c>
    </row>
    <row r="757" spans="1:6" x14ac:dyDescent="0.25">
      <c r="A757" s="9">
        <v>559</v>
      </c>
      <c r="B757" s="33" t="s">
        <v>1950</v>
      </c>
      <c r="C757" s="9" t="s">
        <v>6</v>
      </c>
      <c r="D757" s="9" t="s">
        <v>6</v>
      </c>
      <c r="E757" s="12" t="s">
        <v>337</v>
      </c>
      <c r="F757" s="32">
        <f ca="1">IF(AND(C757="NO",D757="NO"),IF(F757="",TODAY(),F757),"")</f>
        <v>46237</v>
      </c>
    </row>
    <row r="758" spans="1:6" x14ac:dyDescent="0.25">
      <c r="A758" s="9">
        <v>560</v>
      </c>
      <c r="B758" s="33" t="s">
        <v>1953</v>
      </c>
      <c r="C758" s="9" t="s">
        <v>6</v>
      </c>
      <c r="D758" s="9" t="s">
        <v>6</v>
      </c>
      <c r="E758" s="12" t="s">
        <v>337</v>
      </c>
      <c r="F758" s="32">
        <f ca="1">IF(AND(C758="NO",D758="NO"),IF(F758="",TODAY(),F758),"")</f>
        <v>46237</v>
      </c>
    </row>
    <row r="759" spans="1:6" x14ac:dyDescent="0.25">
      <c r="A759" s="9">
        <v>561</v>
      </c>
      <c r="B759" s="8" t="s">
        <v>1918</v>
      </c>
      <c r="C759" s="9" t="s">
        <v>6</v>
      </c>
      <c r="D759" s="9" t="s">
        <v>6</v>
      </c>
      <c r="E759" s="81" t="s">
        <v>39</v>
      </c>
      <c r="F759" s="32">
        <f ca="1">IF(AND(C759="NO",D759="NO"),IF(F759="",TODAY(),F759),"")</f>
        <v>46242</v>
      </c>
    </row>
    <row r="760" spans="1:6" x14ac:dyDescent="0.25">
      <c r="A760" s="9">
        <v>562</v>
      </c>
      <c r="B760" s="8" t="s">
        <v>90</v>
      </c>
      <c r="C760" s="9" t="s">
        <v>6</v>
      </c>
      <c r="D760" s="9" t="s">
        <v>6</v>
      </c>
      <c r="E760" s="12" t="s">
        <v>45</v>
      </c>
      <c r="F760" s="32">
        <f ca="1">IF(AND(C760="NO",D760="NO"),IF(F760="",TODAY(),F760),"")</f>
        <v>46242</v>
      </c>
    </row>
    <row r="761" spans="1:6" x14ac:dyDescent="0.25">
      <c r="A761" s="9">
        <v>563</v>
      </c>
      <c r="B761" s="8" t="s">
        <v>206</v>
      </c>
      <c r="C761" s="9" t="s">
        <v>6</v>
      </c>
      <c r="D761" s="9" t="s">
        <v>6</v>
      </c>
      <c r="E761" s="12" t="s">
        <v>45</v>
      </c>
      <c r="F761" s="32">
        <f ca="1">IF(AND(C761="NO",D761="NO"),IF(F761="",TODAY(),F761),"")</f>
        <v>46242</v>
      </c>
    </row>
    <row r="762" spans="1:6" x14ac:dyDescent="0.25">
      <c r="A762" s="9">
        <v>564</v>
      </c>
      <c r="B762" s="33" t="s">
        <v>1541</v>
      </c>
      <c r="C762" s="9" t="s">
        <v>6</v>
      </c>
      <c r="D762" s="9" t="s">
        <v>6</v>
      </c>
      <c r="E762" s="12" t="s">
        <v>45</v>
      </c>
      <c r="F762" s="32">
        <f ca="1">IF(AND(C762="NO",D762="NO"),IF(F762="",TODAY(),F762),"")</f>
        <v>46242</v>
      </c>
    </row>
    <row r="763" spans="1:6" x14ac:dyDescent="0.25">
      <c r="A763" s="9">
        <v>565</v>
      </c>
      <c r="B763" s="33" t="s">
        <v>618</v>
      </c>
      <c r="C763" s="9" t="s">
        <v>6</v>
      </c>
      <c r="D763" s="9" t="s">
        <v>6</v>
      </c>
      <c r="E763" s="12" t="s">
        <v>45</v>
      </c>
      <c r="F763" s="32">
        <f ca="1">IF(AND(C763="NO",D763="NO"),IF(F763="",TODAY(),F763),"")</f>
        <v>46242</v>
      </c>
    </row>
    <row r="764" spans="1:6" x14ac:dyDescent="0.25">
      <c r="A764" s="9">
        <v>566</v>
      </c>
      <c r="B764" s="8" t="s">
        <v>1677</v>
      </c>
      <c r="C764" s="9" t="s">
        <v>6</v>
      </c>
      <c r="D764" s="9" t="s">
        <v>6</v>
      </c>
      <c r="E764" s="12" t="s">
        <v>45</v>
      </c>
      <c r="F764" s="32">
        <f ca="1">IF(AND(C764="NO",D764="NO"),IF(F764="",TODAY(),F764),"")</f>
        <v>46242</v>
      </c>
    </row>
    <row r="765" spans="1:6" x14ac:dyDescent="0.25">
      <c r="A765" s="9">
        <v>567</v>
      </c>
      <c r="B765" s="33" t="s">
        <v>1940</v>
      </c>
      <c r="C765" s="9" t="s">
        <v>6</v>
      </c>
      <c r="D765" s="9" t="s">
        <v>6</v>
      </c>
      <c r="E765" s="12" t="s">
        <v>337</v>
      </c>
      <c r="F765" s="32">
        <f ca="1">IF(AND(C765="NO",D765="NO"),IF(F765="",TODAY(),F765),"")</f>
        <v>46242</v>
      </c>
    </row>
    <row r="766" spans="1:6" x14ac:dyDescent="0.25">
      <c r="A766" s="9">
        <v>568</v>
      </c>
      <c r="B766" s="8" t="s">
        <v>28</v>
      </c>
      <c r="C766" s="9" t="s">
        <v>6</v>
      </c>
      <c r="D766" s="9" t="s">
        <v>6</v>
      </c>
      <c r="E766" s="12" t="s">
        <v>150</v>
      </c>
      <c r="F766" s="32">
        <f ca="1">IF(AND(C766="NO",D766="NO"),IF(F766="",TODAY(),F766),"")</f>
        <v>46242</v>
      </c>
    </row>
    <row r="767" spans="1:6" x14ac:dyDescent="0.25">
      <c r="A767" s="9">
        <v>569</v>
      </c>
      <c r="B767" s="33" t="s">
        <v>1971</v>
      </c>
      <c r="C767" s="9" t="s">
        <v>6</v>
      </c>
      <c r="D767" s="9" t="s">
        <v>6</v>
      </c>
      <c r="E767" s="12" t="s">
        <v>337</v>
      </c>
      <c r="F767" s="32">
        <f ca="1">IF(AND(C767="NO",D767="NO"),IF(F767="",TODAY(),F767),"")</f>
        <v>46242</v>
      </c>
    </row>
    <row r="768" spans="1:6" x14ac:dyDescent="0.25">
      <c r="A768" s="9">
        <v>570</v>
      </c>
      <c r="B768" s="33" t="s">
        <v>1297</v>
      </c>
      <c r="C768" s="9" t="s">
        <v>6</v>
      </c>
      <c r="D768" s="9" t="s">
        <v>6</v>
      </c>
      <c r="E768" s="20" t="s">
        <v>337</v>
      </c>
      <c r="F768" s="32">
        <f ca="1">IF(AND(C768="NO",D768="NO"),IF(F768="",TODAY(),F768),"")</f>
        <v>46245</v>
      </c>
    </row>
    <row r="769" spans="1:7" x14ac:dyDescent="0.25">
      <c r="A769" s="9">
        <v>571</v>
      </c>
      <c r="B769" s="17" t="s">
        <v>1492</v>
      </c>
      <c r="C769" s="9" t="s">
        <v>6</v>
      </c>
      <c r="D769" s="9" t="s">
        <v>6</v>
      </c>
      <c r="E769" s="12" t="s">
        <v>45</v>
      </c>
      <c r="F769" s="32">
        <f ca="1">IF(AND(C769="NO",D769="NO"),IF(F769="",TODAY(),F769),"")</f>
        <v>46245</v>
      </c>
    </row>
    <row r="770" spans="1:7" x14ac:dyDescent="0.25">
      <c r="A770" s="9">
        <v>572</v>
      </c>
      <c r="B770" s="33" t="s">
        <v>1976</v>
      </c>
      <c r="C770" s="9" t="s">
        <v>6</v>
      </c>
      <c r="D770" s="9" t="s">
        <v>6</v>
      </c>
      <c r="E770" s="12" t="s">
        <v>337</v>
      </c>
      <c r="F770" s="32">
        <f ca="1">IF(AND(C770="NO",D770="NO"),IF(F770="",TODAY(),F770),"")</f>
        <v>46242</v>
      </c>
      <c r="G770" s="130"/>
    </row>
    <row r="771" spans="1:7" x14ac:dyDescent="0.25">
      <c r="A771" s="9">
        <v>573</v>
      </c>
      <c r="B771" s="33" t="s">
        <v>1979</v>
      </c>
      <c r="C771" s="9" t="s">
        <v>6</v>
      </c>
      <c r="D771" s="9" t="s">
        <v>6</v>
      </c>
      <c r="E771" s="12" t="s">
        <v>337</v>
      </c>
      <c r="F771" s="32">
        <f ca="1">IF(AND(C771="NO",D771="NO"),IF(F771="",TODAY(),F771),"")</f>
        <v>46242</v>
      </c>
    </row>
    <row r="772" spans="1:7" x14ac:dyDescent="0.25">
      <c r="A772" s="9">
        <v>574</v>
      </c>
      <c r="B772" s="8" t="s">
        <v>100</v>
      </c>
      <c r="C772" s="9" t="s">
        <v>6</v>
      </c>
      <c r="D772" s="9" t="s">
        <v>6</v>
      </c>
      <c r="E772" s="12" t="s">
        <v>45</v>
      </c>
      <c r="F772" s="32">
        <f ca="1">IF(AND(C772="NO",D772="NO"),IF(F772="",TODAY(),F772),"")</f>
        <v>46245</v>
      </c>
    </row>
    <row r="773" spans="1:7" x14ac:dyDescent="0.25">
      <c r="A773" s="9">
        <v>575</v>
      </c>
      <c r="B773" s="33" t="s">
        <v>349</v>
      </c>
      <c r="C773" s="9" t="s">
        <v>6</v>
      </c>
      <c r="D773" s="9" t="s">
        <v>6</v>
      </c>
      <c r="E773" s="12" t="s">
        <v>45</v>
      </c>
      <c r="F773" s="32">
        <f ca="1">IF(AND(C773="NO",D773="NO"),IF(F773="",TODAY(),F773),"")</f>
        <v>46245</v>
      </c>
    </row>
    <row r="774" spans="1:7" x14ac:dyDescent="0.25">
      <c r="A774" s="9">
        <v>576</v>
      </c>
      <c r="B774" s="33" t="s">
        <v>765</v>
      </c>
      <c r="C774" s="9" t="s">
        <v>6</v>
      </c>
      <c r="D774" s="9" t="s">
        <v>6</v>
      </c>
      <c r="E774" s="12" t="s">
        <v>150</v>
      </c>
      <c r="F774" s="32">
        <f ca="1">IF(AND(C774="NO",D774="NO"),IF(F774="",TODAY(),F774),"")</f>
        <v>46245</v>
      </c>
    </row>
    <row r="775" spans="1:7" x14ac:dyDescent="0.25">
      <c r="A775" s="9">
        <v>577</v>
      </c>
      <c r="B775" s="33" t="s">
        <v>309</v>
      </c>
      <c r="C775" s="9" t="s">
        <v>6</v>
      </c>
      <c r="D775" s="9" t="s">
        <v>6</v>
      </c>
      <c r="E775" s="12" t="s">
        <v>150</v>
      </c>
      <c r="F775" s="32">
        <f ca="1">IF(AND(C775="NO",D775="NO"),IF(F775="",TODAY(),F775),"")</f>
        <v>46245</v>
      </c>
    </row>
    <row r="776" spans="1:7" x14ac:dyDescent="0.25">
      <c r="A776" s="9">
        <v>578</v>
      </c>
      <c r="B776" s="33" t="s">
        <v>1390</v>
      </c>
      <c r="C776" s="9" t="s">
        <v>6</v>
      </c>
      <c r="D776" s="9" t="s">
        <v>6</v>
      </c>
      <c r="E776" s="12" t="s">
        <v>45</v>
      </c>
      <c r="F776" s="32">
        <f ca="1">IF(AND(C776="NO",D776="NO"),IF(F776="",TODAY(),F776),"")</f>
        <v>46245</v>
      </c>
    </row>
    <row r="777" spans="1:7" x14ac:dyDescent="0.25">
      <c r="A777" s="9">
        <v>579</v>
      </c>
      <c r="B777" s="33" t="s">
        <v>309</v>
      </c>
      <c r="C777" s="9" t="s">
        <v>6</v>
      </c>
      <c r="D777" s="9" t="s">
        <v>6</v>
      </c>
      <c r="E777" s="12" t="s">
        <v>150</v>
      </c>
      <c r="F777" s="32">
        <f ca="1">IF(AND(C777="NO",D777="NO"),IF(F777="",TODAY(),F777),"")</f>
        <v>46245</v>
      </c>
    </row>
    <row r="778" spans="1:7" x14ac:dyDescent="0.25">
      <c r="A778" s="9">
        <v>580</v>
      </c>
      <c r="B778" s="47" t="s">
        <v>721</v>
      </c>
      <c r="C778" s="9" t="s">
        <v>6</v>
      </c>
      <c r="D778" s="9" t="s">
        <v>6</v>
      </c>
      <c r="E778" s="12" t="s">
        <v>45</v>
      </c>
      <c r="F778" s="32">
        <f ca="1">IF(AND(C778="NO",D778="NO"),IF(F778="",TODAY(),F778),"")</f>
        <v>46245</v>
      </c>
    </row>
    <row r="779" spans="1:7" x14ac:dyDescent="0.25">
      <c r="A779" s="9">
        <v>581</v>
      </c>
      <c r="B779" s="17" t="s">
        <v>1396</v>
      </c>
      <c r="C779" s="9" t="s">
        <v>6</v>
      </c>
      <c r="D779" s="9" t="s">
        <v>6</v>
      </c>
      <c r="E779" s="12" t="s">
        <v>45</v>
      </c>
      <c r="F779" s="32">
        <f ca="1">IF(AND(C779="NO",D779="NO"),IF(F779="",TODAY(),F779),"")</f>
        <v>46245</v>
      </c>
    </row>
    <row r="780" spans="1:7" x14ac:dyDescent="0.25">
      <c r="A780" s="9">
        <v>582</v>
      </c>
      <c r="B780" s="33" t="s">
        <v>1250</v>
      </c>
      <c r="C780" s="9" t="s">
        <v>6</v>
      </c>
      <c r="D780" s="9" t="s">
        <v>6</v>
      </c>
      <c r="E780" s="12" t="s">
        <v>45</v>
      </c>
      <c r="F780" s="32">
        <f ca="1">IF(AND(C780="NO",D780="NO"),IF(F780="",TODAY(),F780),"")</f>
        <v>46245</v>
      </c>
    </row>
    <row r="781" spans="1:7" x14ac:dyDescent="0.25">
      <c r="A781" s="9">
        <v>583</v>
      </c>
      <c r="B781" s="33" t="s">
        <v>302</v>
      </c>
      <c r="C781" s="9" t="s">
        <v>6</v>
      </c>
      <c r="D781" s="9" t="s">
        <v>6</v>
      </c>
      <c r="E781" s="12" t="s">
        <v>337</v>
      </c>
      <c r="F781" s="32">
        <f ca="1">IF(AND(C781="NO",D781="NO"),IF(F781="",TODAY(),F781),"")</f>
        <v>46245</v>
      </c>
    </row>
    <row r="782" spans="1:7" x14ac:dyDescent="0.25">
      <c r="A782" s="9">
        <v>584</v>
      </c>
      <c r="B782" s="33" t="s">
        <v>1314</v>
      </c>
      <c r="C782" s="9" t="s">
        <v>6</v>
      </c>
      <c r="D782" s="9" t="s">
        <v>6</v>
      </c>
      <c r="E782" s="12" t="s">
        <v>337</v>
      </c>
      <c r="F782" s="32">
        <f ca="1">IF(AND(C782="NO",D782="NO"),IF(F782="",TODAY(),F782),"")</f>
        <v>46245</v>
      </c>
    </row>
    <row r="783" spans="1:7" x14ac:dyDescent="0.25">
      <c r="A783" s="9">
        <v>585</v>
      </c>
      <c r="B783" s="17" t="s">
        <v>1948</v>
      </c>
      <c r="C783" s="9" t="s">
        <v>6</v>
      </c>
      <c r="D783" s="9" t="s">
        <v>6</v>
      </c>
      <c r="E783" s="12" t="s">
        <v>337</v>
      </c>
      <c r="F783" s="32">
        <f ca="1">IF(AND(C783="NO",D783="NO"),IF(F783="",TODAY(),F783),"")</f>
        <v>46245</v>
      </c>
    </row>
    <row r="784" spans="1:7" x14ac:dyDescent="0.25">
      <c r="A784" s="9">
        <v>586</v>
      </c>
      <c r="B784" s="17" t="s">
        <v>1946</v>
      </c>
      <c r="C784" s="9" t="s">
        <v>6</v>
      </c>
      <c r="D784" s="9" t="s">
        <v>6</v>
      </c>
      <c r="E784" s="12" t="s">
        <v>337</v>
      </c>
      <c r="F784" s="32">
        <f ca="1">IF(AND(C784="NO",D784="NO"),IF(F784="",TODAY(),F784),"")</f>
        <v>46245</v>
      </c>
    </row>
    <row r="785" spans="1:6" x14ac:dyDescent="0.25">
      <c r="A785" s="9">
        <v>587</v>
      </c>
      <c r="B785" s="17" t="s">
        <v>1947</v>
      </c>
      <c r="C785" s="9" t="s">
        <v>6</v>
      </c>
      <c r="D785" s="9" t="s">
        <v>6</v>
      </c>
      <c r="E785" s="12" t="s">
        <v>337</v>
      </c>
      <c r="F785" s="32">
        <f ca="1">IF(AND(C785="NO",D785="NO"),IF(F785="",TODAY(),F785),"")</f>
        <v>46245</v>
      </c>
    </row>
    <row r="786" spans="1:6" x14ac:dyDescent="0.25">
      <c r="A786" s="9">
        <v>588</v>
      </c>
      <c r="B786" s="33" t="s">
        <v>2017</v>
      </c>
      <c r="C786" s="9" t="s">
        <v>6</v>
      </c>
      <c r="D786" s="9" t="s">
        <v>6</v>
      </c>
      <c r="E786" s="12" t="s">
        <v>337</v>
      </c>
      <c r="F786" s="32">
        <f ca="1">IF(AND(C786="NO",D786="NO"),IF(F786="",TODAY(),F786),"")</f>
        <v>46245</v>
      </c>
    </row>
    <row r="787" spans="1:6" x14ac:dyDescent="0.25">
      <c r="A787" s="9">
        <v>589</v>
      </c>
      <c r="B787" s="33" t="s">
        <v>2031</v>
      </c>
      <c r="C787" s="9" t="s">
        <v>6</v>
      </c>
      <c r="D787" s="9" t="s">
        <v>6</v>
      </c>
      <c r="E787" s="12" t="s">
        <v>337</v>
      </c>
      <c r="F787" s="32">
        <f ca="1">IF(AND(C787="NO",D787="NO"),IF(F787="",TODAY(),F787),"")</f>
        <v>46245</v>
      </c>
    </row>
    <row r="788" spans="1:6" x14ac:dyDescent="0.25">
      <c r="A788" s="9">
        <v>590</v>
      </c>
      <c r="B788" s="8" t="s">
        <v>100</v>
      </c>
      <c r="C788" s="9" t="s">
        <v>6</v>
      </c>
      <c r="D788" s="9" t="s">
        <v>6</v>
      </c>
      <c r="E788" s="12" t="s">
        <v>45</v>
      </c>
      <c r="F788" s="32">
        <f ca="1">IF(AND(C788="NO",D788="NO"),IF(F788="",TODAY(),F788),"")</f>
        <v>46245</v>
      </c>
    </row>
    <row r="789" spans="1:6" x14ac:dyDescent="0.25">
      <c r="A789" s="9">
        <v>591</v>
      </c>
      <c r="B789" s="33" t="s">
        <v>2032</v>
      </c>
      <c r="C789" s="9" t="s">
        <v>6</v>
      </c>
      <c r="D789" s="9" t="s">
        <v>6</v>
      </c>
      <c r="E789" s="12" t="s">
        <v>150</v>
      </c>
      <c r="F789" s="32">
        <f ca="1">IF(AND(C789="NO",D789="NO"),IF(F789="",TODAY(),F789),"")</f>
        <v>46245</v>
      </c>
    </row>
    <row r="790" spans="1:6" x14ac:dyDescent="0.25">
      <c r="A790" s="9">
        <v>592</v>
      </c>
      <c r="B790" s="33" t="s">
        <v>917</v>
      </c>
      <c r="C790" s="9" t="s">
        <v>6</v>
      </c>
      <c r="D790" s="9" t="s">
        <v>6</v>
      </c>
      <c r="E790" s="12" t="s">
        <v>150</v>
      </c>
      <c r="F790" s="32">
        <f ca="1">IF(AND(C790="NO",D790="NO"),IF(F790="",TODAY(),F790),"")</f>
        <v>46245</v>
      </c>
    </row>
    <row r="791" spans="1:6" x14ac:dyDescent="0.25">
      <c r="A791" s="9">
        <v>593</v>
      </c>
      <c r="B791" s="33" t="s">
        <v>349</v>
      </c>
      <c r="C791" s="9" t="s">
        <v>6</v>
      </c>
      <c r="D791" s="9" t="s">
        <v>6</v>
      </c>
      <c r="E791" s="12" t="s">
        <v>45</v>
      </c>
      <c r="F791" s="32">
        <f ca="1">IF(AND(C791="NO",D791="NO"),IF(F791="",TODAY(),F791),"")</f>
        <v>46245</v>
      </c>
    </row>
    <row r="792" spans="1:6" x14ac:dyDescent="0.25">
      <c r="A792" s="9">
        <v>594</v>
      </c>
      <c r="B792" s="33" t="s">
        <v>765</v>
      </c>
      <c r="C792" s="9" t="s">
        <v>6</v>
      </c>
      <c r="D792" s="9" t="s">
        <v>6</v>
      </c>
      <c r="E792" s="12" t="s">
        <v>150</v>
      </c>
      <c r="F792" s="32">
        <f ca="1">IF(AND(C792="NO",D792="NO"),IF(F792="",TODAY(),F792),"")</f>
        <v>46245</v>
      </c>
    </row>
    <row r="793" spans="1:6" x14ac:dyDescent="0.25">
      <c r="A793" s="9">
        <v>595</v>
      </c>
      <c r="B793" s="33" t="s">
        <v>309</v>
      </c>
      <c r="C793" s="9" t="s">
        <v>6</v>
      </c>
      <c r="D793" s="9" t="s">
        <v>6</v>
      </c>
      <c r="E793" s="12" t="s">
        <v>150</v>
      </c>
      <c r="F793" s="32">
        <f ca="1">IF(AND(C793="NO",D793="NO"),IF(F793="",TODAY(),F793),"")</f>
        <v>46245</v>
      </c>
    </row>
    <row r="794" spans="1:6" x14ac:dyDescent="0.25">
      <c r="A794" s="9">
        <v>596</v>
      </c>
      <c r="B794" s="15" t="s">
        <v>2016</v>
      </c>
      <c r="C794" s="9" t="s">
        <v>6</v>
      </c>
      <c r="D794" s="9" t="s">
        <v>6</v>
      </c>
      <c r="E794" s="12" t="s">
        <v>45</v>
      </c>
      <c r="F794" s="32">
        <f ca="1">IF(AND(C794="NO",D794="NO"),IF(F794="",TODAY(),F794),"")</f>
        <v>46245</v>
      </c>
    </row>
    <row r="795" spans="1:6" x14ac:dyDescent="0.25">
      <c r="A795" s="9">
        <v>597</v>
      </c>
      <c r="B795" s="33" t="s">
        <v>1390</v>
      </c>
      <c r="C795" s="9" t="s">
        <v>6</v>
      </c>
      <c r="D795" s="9" t="s">
        <v>6</v>
      </c>
      <c r="E795" s="12" t="s">
        <v>45</v>
      </c>
      <c r="F795" s="32">
        <f ca="1">IF(AND(C795="NO",D795="NO"),IF(F795="",TODAY(),F795),"")</f>
        <v>46245</v>
      </c>
    </row>
    <row r="796" spans="1:6" x14ac:dyDescent="0.25">
      <c r="A796" s="9">
        <v>598</v>
      </c>
      <c r="B796" s="33" t="s">
        <v>309</v>
      </c>
      <c r="C796" s="9" t="s">
        <v>6</v>
      </c>
      <c r="D796" s="9" t="s">
        <v>6</v>
      </c>
      <c r="E796" s="12" t="s">
        <v>150</v>
      </c>
      <c r="F796" s="32">
        <f ca="1">IF(AND(C796="NO",D796="NO"),IF(F796="",TODAY(),F796),"")</f>
        <v>46245</v>
      </c>
    </row>
    <row r="797" spans="1:6" x14ac:dyDescent="0.25">
      <c r="A797" s="9">
        <v>599</v>
      </c>
      <c r="B797" s="47" t="s">
        <v>721</v>
      </c>
      <c r="C797" s="9" t="s">
        <v>6</v>
      </c>
      <c r="D797" s="9" t="s">
        <v>6</v>
      </c>
      <c r="E797" s="12" t="s">
        <v>45</v>
      </c>
      <c r="F797" s="32">
        <f ca="1">IF(AND(C797="NO",D797="NO"),IF(F797="",TODAY(),F797),"")</f>
        <v>46245</v>
      </c>
    </row>
    <row r="798" spans="1:6" x14ac:dyDescent="0.25">
      <c r="A798" s="9">
        <v>600</v>
      </c>
      <c r="B798" s="17" t="s">
        <v>1396</v>
      </c>
      <c r="C798" s="9" t="s">
        <v>6</v>
      </c>
      <c r="D798" s="9" t="s">
        <v>6</v>
      </c>
      <c r="E798" s="12" t="s">
        <v>45</v>
      </c>
      <c r="F798" s="32">
        <f ca="1">IF(AND(C798="NO",D798="NO"),IF(F798="",TODAY(),F798),"")</f>
        <v>46245</v>
      </c>
    </row>
    <row r="799" spans="1:6" x14ac:dyDescent="0.25">
      <c r="A799" s="9">
        <v>601</v>
      </c>
      <c r="B799" s="33" t="s">
        <v>1250</v>
      </c>
      <c r="C799" s="9" t="s">
        <v>6</v>
      </c>
      <c r="D799" s="9" t="s">
        <v>6</v>
      </c>
      <c r="E799" s="12" t="s">
        <v>45</v>
      </c>
      <c r="F799" s="32">
        <f ca="1">IF(AND(C799="NO",D799="NO"),IF(F799="",TODAY(),F799),"")</f>
        <v>46245</v>
      </c>
    </row>
    <row r="800" spans="1:6" x14ac:dyDescent="0.25">
      <c r="A800" s="9">
        <v>602</v>
      </c>
      <c r="B800" s="33" t="s">
        <v>302</v>
      </c>
      <c r="C800" s="9" t="s">
        <v>6</v>
      </c>
      <c r="D800" s="9" t="s">
        <v>6</v>
      </c>
      <c r="E800" s="12" t="s">
        <v>337</v>
      </c>
      <c r="F800" s="32">
        <f ca="1">IF(AND(C800="NO",D800="NO"),IF(F800="",TODAY(),F800),"")</f>
        <v>46245</v>
      </c>
    </row>
    <row r="801" spans="1:6" x14ac:dyDescent="0.25">
      <c r="A801" s="9">
        <v>603</v>
      </c>
      <c r="B801" s="33" t="s">
        <v>1314</v>
      </c>
      <c r="C801" s="9" t="s">
        <v>6</v>
      </c>
      <c r="D801" s="9" t="s">
        <v>6</v>
      </c>
      <c r="E801" s="12" t="s">
        <v>337</v>
      </c>
      <c r="F801" s="32">
        <f ca="1">IF(AND(C801="NO",D801="NO"),IF(F801="",TODAY(),F801),"")</f>
        <v>46245</v>
      </c>
    </row>
    <row r="802" spans="1:6" x14ac:dyDescent="0.25">
      <c r="A802" s="9">
        <v>604</v>
      </c>
      <c r="B802" s="17" t="s">
        <v>1948</v>
      </c>
      <c r="C802" s="9" t="s">
        <v>6</v>
      </c>
      <c r="D802" s="9" t="s">
        <v>6</v>
      </c>
      <c r="E802" s="12" t="s">
        <v>337</v>
      </c>
      <c r="F802" s="32">
        <f ca="1">IF(AND(C802="NO",D802="NO"),IF(F802="",TODAY(),F802),"")</f>
        <v>46245</v>
      </c>
    </row>
    <row r="803" spans="1:6" x14ac:dyDescent="0.25">
      <c r="A803" s="9">
        <v>605</v>
      </c>
      <c r="B803" s="17" t="s">
        <v>1946</v>
      </c>
      <c r="C803" s="9" t="s">
        <v>6</v>
      </c>
      <c r="D803" s="9" t="s">
        <v>6</v>
      </c>
      <c r="E803" s="12" t="s">
        <v>337</v>
      </c>
      <c r="F803" s="32">
        <f ca="1">IF(AND(C803="NO",D803="NO"),IF(F803="",TODAY(),F803),"")</f>
        <v>46245</v>
      </c>
    </row>
    <row r="804" spans="1:6" x14ac:dyDescent="0.25">
      <c r="A804" s="9">
        <v>606</v>
      </c>
      <c r="B804" s="17" t="s">
        <v>1947</v>
      </c>
      <c r="C804" s="9" t="s">
        <v>6</v>
      </c>
      <c r="D804" s="9" t="s">
        <v>6</v>
      </c>
      <c r="E804" s="12" t="s">
        <v>337</v>
      </c>
      <c r="F804" s="32">
        <f ca="1">IF(AND(C804="NO",D804="NO"),IF(F804="",TODAY(),F804),"")</f>
        <v>46245</v>
      </c>
    </row>
    <row r="805" spans="1:6" x14ac:dyDescent="0.25">
      <c r="A805" s="9">
        <v>607</v>
      </c>
      <c r="B805" s="33" t="s">
        <v>2017</v>
      </c>
      <c r="C805" s="9" t="s">
        <v>6</v>
      </c>
      <c r="D805" s="9" t="s">
        <v>6</v>
      </c>
      <c r="E805" s="12" t="s">
        <v>337</v>
      </c>
      <c r="F805" s="32">
        <f ca="1">IF(AND(C805="NO",D805="NO"),IF(F805="",TODAY(),F805),"")</f>
        <v>46245</v>
      </c>
    </row>
    <row r="806" spans="1:6" x14ac:dyDescent="0.25">
      <c r="A806" s="9">
        <v>608</v>
      </c>
      <c r="B806" s="33" t="s">
        <v>2031</v>
      </c>
      <c r="C806" s="9" t="s">
        <v>6</v>
      </c>
      <c r="D806" s="9" t="s">
        <v>6</v>
      </c>
      <c r="E806" s="12" t="s">
        <v>337</v>
      </c>
      <c r="F806" s="32">
        <f ca="1">IF(AND(C806="NO",D806="NO"),IF(F806="",TODAY(),F806),"")</f>
        <v>46245</v>
      </c>
    </row>
    <row r="807" spans="1:6" x14ac:dyDescent="0.25">
      <c r="A807" s="9">
        <v>609</v>
      </c>
      <c r="B807" s="33" t="s">
        <v>2032</v>
      </c>
      <c r="C807" s="9" t="s">
        <v>6</v>
      </c>
      <c r="D807" s="9" t="s">
        <v>6</v>
      </c>
      <c r="E807" s="12" t="s">
        <v>150</v>
      </c>
      <c r="F807" s="32">
        <f ca="1">IF(AND(C807="NO",D807="NO"),IF(F807="",TODAY(),F807),"")</f>
        <v>46245</v>
      </c>
    </row>
    <row r="808" spans="1:6" x14ac:dyDescent="0.25">
      <c r="A808" s="9">
        <v>610</v>
      </c>
      <c r="B808" s="33" t="s">
        <v>917</v>
      </c>
      <c r="C808" s="9" t="s">
        <v>6</v>
      </c>
      <c r="D808" s="9" t="s">
        <v>6</v>
      </c>
      <c r="E808" s="12" t="s">
        <v>150</v>
      </c>
      <c r="F808" s="32">
        <f ca="1">IF(AND(C808="NO",D808="NO"),IF(F808="",TODAY(),F808),"")</f>
        <v>46245</v>
      </c>
    </row>
    <row r="809" spans="1:6" x14ac:dyDescent="0.25">
      <c r="A809" s="9">
        <v>62</v>
      </c>
      <c r="B809" s="17" t="s">
        <v>415</v>
      </c>
      <c r="C809" s="9" t="s">
        <v>6</v>
      </c>
      <c r="D809" s="9" t="s">
        <v>6</v>
      </c>
      <c r="E809" s="12" t="s">
        <v>45</v>
      </c>
      <c r="F809" s="32">
        <f ca="1">IF(AND(C809="NO",D809="NO"),IF(F809="",TODAY(),F809),"")</f>
        <v>46272</v>
      </c>
    </row>
    <row r="810" spans="1:6" x14ac:dyDescent="0.25">
      <c r="A810" s="9">
        <v>158</v>
      </c>
      <c r="B810" s="33" t="s">
        <v>818</v>
      </c>
      <c r="C810" s="9" t="s">
        <v>6</v>
      </c>
      <c r="D810" s="9" t="s">
        <v>6</v>
      </c>
      <c r="E810" s="12" t="s">
        <v>150</v>
      </c>
      <c r="F810" s="32">
        <f ca="1">IF(AND(C810="NO",D810="NO"),IF(F810="",TODAY(),F810),"")</f>
        <v>46272</v>
      </c>
    </row>
    <row r="811" spans="1:6" x14ac:dyDescent="0.25">
      <c r="A811" s="9">
        <v>54</v>
      </c>
      <c r="B811" s="8" t="s">
        <v>790</v>
      </c>
      <c r="C811" s="9" t="s">
        <v>6</v>
      </c>
      <c r="D811" s="9" t="s">
        <v>6</v>
      </c>
      <c r="E811" s="81" t="s">
        <v>150</v>
      </c>
      <c r="F811" s="32">
        <f ca="1">IF(AND(C811="NO",D811="NO"),IF(F811="",TODAY(),F811),"")</f>
        <v>46279</v>
      </c>
    </row>
    <row r="813" spans="1:6" x14ac:dyDescent="0.25">
      <c r="A813" s="9">
        <v>113</v>
      </c>
      <c r="B813" s="33" t="s">
        <v>2102</v>
      </c>
      <c r="C813" s="9" t="s">
        <v>6</v>
      </c>
      <c r="D813" s="9" t="s">
        <v>6</v>
      </c>
      <c r="E813" s="12" t="s">
        <v>45</v>
      </c>
      <c r="F813" s="32">
        <f ca="1">IF(AND(C813="NO",D813="NO"),IF(F813="",TODAY(),F813),"")</f>
        <v>46279</v>
      </c>
    </row>
    <row r="815" spans="1:6" x14ac:dyDescent="0.25">
      <c r="A815" s="91" t="s">
        <v>1325</v>
      </c>
      <c r="C815" s="129"/>
      <c r="D815" s="129"/>
      <c r="E815" s="129"/>
      <c r="F815" s="129"/>
    </row>
    <row r="816" spans="1:6" x14ac:dyDescent="0.25">
      <c r="A816" s="9">
        <v>1</v>
      </c>
      <c r="B816" s="17" t="s">
        <v>1632</v>
      </c>
      <c r="C816" s="19" t="s">
        <v>6</v>
      </c>
      <c r="D816" s="19" t="s">
        <v>6</v>
      </c>
      <c r="E816" s="82" t="s">
        <v>45</v>
      </c>
      <c r="F816" s="93">
        <v>46145</v>
      </c>
    </row>
    <row r="817" spans="1:7" x14ac:dyDescent="0.25">
      <c r="A817" s="9">
        <v>2</v>
      </c>
      <c r="B817" s="17" t="s">
        <v>1173</v>
      </c>
      <c r="C817" s="19" t="s">
        <v>6</v>
      </c>
      <c r="D817" s="19" t="s">
        <v>6</v>
      </c>
      <c r="E817" s="85" t="s">
        <v>45</v>
      </c>
      <c r="F817" s="94">
        <v>46152</v>
      </c>
      <c r="G817" s="123">
        <v>584125461461</v>
      </c>
    </row>
    <row r="818" spans="1:7" x14ac:dyDescent="0.25">
      <c r="A818" s="9">
        <v>3</v>
      </c>
      <c r="B818" s="17" t="s">
        <v>1673</v>
      </c>
      <c r="C818" s="19" t="s">
        <v>6</v>
      </c>
      <c r="D818" s="19" t="s">
        <v>6</v>
      </c>
      <c r="E818" s="12" t="s">
        <v>45</v>
      </c>
      <c r="F818" s="105">
        <v>46166</v>
      </c>
    </row>
    <row r="819" spans="1:7" x14ac:dyDescent="0.25">
      <c r="A819" s="9">
        <v>4</v>
      </c>
      <c r="B819" s="33" t="s">
        <v>316</v>
      </c>
      <c r="C819" s="19" t="s">
        <v>6</v>
      </c>
      <c r="D819" s="19" t="s">
        <v>6</v>
      </c>
      <c r="E819" s="20" t="s">
        <v>45</v>
      </c>
      <c r="F819" s="106">
        <v>46173</v>
      </c>
    </row>
    <row r="820" spans="1:7" x14ac:dyDescent="0.25">
      <c r="A820" s="9">
        <v>5</v>
      </c>
      <c r="B820" s="8" t="s">
        <v>1690</v>
      </c>
      <c r="C820" s="19" t="s">
        <v>6</v>
      </c>
      <c r="D820" s="19" t="s">
        <v>6</v>
      </c>
      <c r="E820" s="12" t="s">
        <v>45</v>
      </c>
      <c r="F820" s="106">
        <v>46173</v>
      </c>
    </row>
    <row r="821" spans="1:7" x14ac:dyDescent="0.25">
      <c r="A821" s="9">
        <v>6</v>
      </c>
      <c r="B821" s="17" t="s">
        <v>1542</v>
      </c>
      <c r="C821" s="19" t="s">
        <v>6</v>
      </c>
      <c r="D821" s="19" t="s">
        <v>6</v>
      </c>
      <c r="E821" s="85" t="s">
        <v>45</v>
      </c>
      <c r="F821" s="94">
        <v>46152</v>
      </c>
    </row>
    <row r="822" spans="1:7" x14ac:dyDescent="0.25">
      <c r="A822" s="9">
        <v>7</v>
      </c>
      <c r="B822" s="33" t="s">
        <v>1652</v>
      </c>
      <c r="C822" s="19" t="s">
        <v>6</v>
      </c>
      <c r="D822" s="19" t="s">
        <v>6</v>
      </c>
      <c r="E822" s="79" t="s">
        <v>45</v>
      </c>
      <c r="F822" s="93">
        <v>46159</v>
      </c>
    </row>
    <row r="823" spans="1:7" x14ac:dyDescent="0.25">
      <c r="A823" s="9">
        <v>8</v>
      </c>
      <c r="B823" s="8" t="s">
        <v>1669</v>
      </c>
      <c r="C823" s="19" t="s">
        <v>6</v>
      </c>
      <c r="D823" s="19" t="s">
        <v>6</v>
      </c>
      <c r="E823" s="82" t="s">
        <v>45</v>
      </c>
      <c r="F823" s="93">
        <v>46159</v>
      </c>
    </row>
    <row r="824" spans="1:7" x14ac:dyDescent="0.25">
      <c r="A824" s="9">
        <v>9</v>
      </c>
      <c r="B824" s="8" t="s">
        <v>1670</v>
      </c>
      <c r="C824" s="19" t="s">
        <v>6</v>
      </c>
      <c r="D824" s="19" t="s">
        <v>6</v>
      </c>
      <c r="E824" s="82" t="s">
        <v>45</v>
      </c>
      <c r="F824" s="93">
        <v>46159</v>
      </c>
    </row>
    <row r="825" spans="1:7" x14ac:dyDescent="0.25">
      <c r="A825" s="9">
        <v>10</v>
      </c>
      <c r="B825" s="8" t="s">
        <v>1671</v>
      </c>
      <c r="C825" s="19" t="s">
        <v>6</v>
      </c>
      <c r="D825" s="19" t="s">
        <v>6</v>
      </c>
      <c r="E825" s="82" t="s">
        <v>45</v>
      </c>
      <c r="F825" s="93">
        <v>46159</v>
      </c>
    </row>
    <row r="826" spans="1:7" x14ac:dyDescent="0.25">
      <c r="A826" s="9">
        <v>11</v>
      </c>
      <c r="B826" s="8" t="s">
        <v>1672</v>
      </c>
      <c r="C826" s="19" t="s">
        <v>6</v>
      </c>
      <c r="D826" s="19" t="s">
        <v>6</v>
      </c>
      <c r="E826" s="82" t="s">
        <v>45</v>
      </c>
      <c r="F826" s="93">
        <v>46159</v>
      </c>
    </row>
    <row r="827" spans="1:7" x14ac:dyDescent="0.25">
      <c r="A827" s="9">
        <v>12</v>
      </c>
      <c r="B827" s="8" t="s">
        <v>1642</v>
      </c>
      <c r="C827" s="19" t="s">
        <v>6</v>
      </c>
      <c r="D827" s="19" t="s">
        <v>6</v>
      </c>
      <c r="E827" s="82"/>
      <c r="F827" s="94">
        <v>46152</v>
      </c>
    </row>
    <row r="828" spans="1:7" x14ac:dyDescent="0.25">
      <c r="A828" s="9">
        <v>13</v>
      </c>
      <c r="B828" s="83" t="s">
        <v>411</v>
      </c>
      <c r="C828" s="76" t="s">
        <v>6</v>
      </c>
      <c r="D828" s="76" t="s">
        <v>6</v>
      </c>
      <c r="E828" s="84" t="s">
        <v>45</v>
      </c>
      <c r="F828" s="93" t="s">
        <v>445</v>
      </c>
    </row>
    <row r="829" spans="1:7" x14ac:dyDescent="0.25">
      <c r="A829" s="9">
        <v>14</v>
      </c>
      <c r="B829" s="17" t="s">
        <v>412</v>
      </c>
      <c r="C829" s="19" t="s">
        <v>6</v>
      </c>
      <c r="D829" s="19" t="s">
        <v>6</v>
      </c>
      <c r="E829" s="79" t="s">
        <v>45</v>
      </c>
      <c r="F829" s="93" t="s">
        <v>445</v>
      </c>
    </row>
    <row r="830" spans="1:7" x14ac:dyDescent="0.25">
      <c r="A830" s="9">
        <v>15</v>
      </c>
      <c r="B830" s="17" t="s">
        <v>422</v>
      </c>
      <c r="C830" s="19" t="s">
        <v>6</v>
      </c>
      <c r="D830" s="19" t="s">
        <v>6</v>
      </c>
      <c r="E830" s="79" t="s">
        <v>45</v>
      </c>
      <c r="F830" s="93" t="s">
        <v>445</v>
      </c>
    </row>
    <row r="831" spans="1:7" x14ac:dyDescent="0.25">
      <c r="A831" s="9">
        <v>16</v>
      </c>
      <c r="B831" s="17" t="s">
        <v>387</v>
      </c>
      <c r="C831" s="19" t="s">
        <v>6</v>
      </c>
      <c r="D831" s="19" t="s">
        <v>6</v>
      </c>
      <c r="E831" s="79" t="s">
        <v>150</v>
      </c>
      <c r="F831" s="93">
        <v>45837</v>
      </c>
    </row>
    <row r="832" spans="1:7" x14ac:dyDescent="0.25">
      <c r="A832" s="9">
        <v>17</v>
      </c>
      <c r="B832" s="17" t="s">
        <v>274</v>
      </c>
      <c r="C832" s="19" t="s">
        <v>6</v>
      </c>
      <c r="D832" s="19" t="s">
        <v>6</v>
      </c>
      <c r="E832" s="81" t="s">
        <v>43</v>
      </c>
      <c r="F832" s="93" t="s">
        <v>445</v>
      </c>
    </row>
    <row r="833" spans="1:6" x14ac:dyDescent="0.25">
      <c r="A833" s="9">
        <v>18</v>
      </c>
      <c r="B833" s="8" t="s">
        <v>376</v>
      </c>
      <c r="C833" s="19" t="s">
        <v>6</v>
      </c>
      <c r="D833" s="19" t="s">
        <v>6</v>
      </c>
      <c r="E833" s="82" t="s">
        <v>45</v>
      </c>
      <c r="F833" s="93">
        <v>45845</v>
      </c>
    </row>
    <row r="834" spans="1:6" x14ac:dyDescent="0.25">
      <c r="A834" s="9">
        <v>19</v>
      </c>
      <c r="B834" s="17" t="s">
        <v>475</v>
      </c>
      <c r="C834" s="19" t="s">
        <v>6</v>
      </c>
      <c r="D834" s="19" t="s">
        <v>6</v>
      </c>
      <c r="E834" s="81" t="s">
        <v>45</v>
      </c>
      <c r="F834" s="93">
        <v>45845</v>
      </c>
    </row>
    <row r="835" spans="1:6" x14ac:dyDescent="0.25">
      <c r="A835" s="9">
        <v>20</v>
      </c>
      <c r="B835" s="17" t="s">
        <v>427</v>
      </c>
      <c r="C835" s="19" t="s">
        <v>6</v>
      </c>
      <c r="D835" s="19" t="s">
        <v>6</v>
      </c>
      <c r="E835" s="79" t="s">
        <v>45</v>
      </c>
      <c r="F835" s="93">
        <v>45845</v>
      </c>
    </row>
    <row r="836" spans="1:6" x14ac:dyDescent="0.25">
      <c r="A836" s="9">
        <v>21</v>
      </c>
      <c r="B836" s="17" t="s">
        <v>466</v>
      </c>
      <c r="C836" s="19" t="s">
        <v>6</v>
      </c>
      <c r="D836" s="19" t="s">
        <v>6</v>
      </c>
      <c r="E836" s="79" t="s">
        <v>45</v>
      </c>
      <c r="F836" s="93">
        <v>45845</v>
      </c>
    </row>
    <row r="837" spans="1:6" x14ac:dyDescent="0.25">
      <c r="A837" s="9">
        <v>22</v>
      </c>
      <c r="B837" s="17" t="s">
        <v>471</v>
      </c>
      <c r="C837" s="19" t="s">
        <v>6</v>
      </c>
      <c r="D837" s="19" t="s">
        <v>6</v>
      </c>
      <c r="E837" s="79" t="s">
        <v>45</v>
      </c>
      <c r="F837" s="93">
        <v>45845</v>
      </c>
    </row>
    <row r="838" spans="1:6" x14ac:dyDescent="0.25">
      <c r="A838" s="9">
        <v>23</v>
      </c>
      <c r="B838" s="17" t="s">
        <v>476</v>
      </c>
      <c r="C838" s="19" t="s">
        <v>6</v>
      </c>
      <c r="D838" s="19" t="s">
        <v>6</v>
      </c>
      <c r="E838" s="79" t="s">
        <v>150</v>
      </c>
      <c r="F838" s="93">
        <v>45845</v>
      </c>
    </row>
    <row r="839" spans="1:6" x14ac:dyDescent="0.25">
      <c r="A839" s="9">
        <v>24</v>
      </c>
      <c r="B839" s="17" t="s">
        <v>477</v>
      </c>
      <c r="C839" s="19" t="s">
        <v>6</v>
      </c>
      <c r="D839" s="19" t="s">
        <v>6</v>
      </c>
      <c r="E839" s="79" t="s">
        <v>45</v>
      </c>
      <c r="F839" s="93">
        <v>45845</v>
      </c>
    </row>
    <row r="840" spans="1:6" x14ac:dyDescent="0.25">
      <c r="A840" s="9">
        <v>25</v>
      </c>
      <c r="B840" s="8" t="s">
        <v>533</v>
      </c>
      <c r="C840" s="19" t="s">
        <v>6</v>
      </c>
      <c r="D840" s="19" t="s">
        <v>6</v>
      </c>
      <c r="E840" s="82" t="s">
        <v>45</v>
      </c>
      <c r="F840" s="93">
        <v>45859</v>
      </c>
    </row>
    <row r="841" spans="1:6" x14ac:dyDescent="0.25">
      <c r="A841" s="9">
        <v>26</v>
      </c>
      <c r="B841" s="8" t="s">
        <v>534</v>
      </c>
      <c r="C841" s="19" t="s">
        <v>6</v>
      </c>
      <c r="D841" s="19" t="s">
        <v>6</v>
      </c>
      <c r="E841" s="82" t="s">
        <v>45</v>
      </c>
      <c r="F841" s="93">
        <v>45859</v>
      </c>
    </row>
    <row r="842" spans="1:6" x14ac:dyDescent="0.25">
      <c r="A842" s="9">
        <v>27</v>
      </c>
      <c r="B842" s="8" t="s">
        <v>523</v>
      </c>
      <c r="C842" s="19" t="s">
        <v>6</v>
      </c>
      <c r="D842" s="19" t="s">
        <v>6</v>
      </c>
      <c r="E842" s="82" t="s">
        <v>42</v>
      </c>
      <c r="F842" s="93">
        <v>45866</v>
      </c>
    </row>
    <row r="843" spans="1:6" x14ac:dyDescent="0.25">
      <c r="A843" s="9">
        <v>28</v>
      </c>
      <c r="B843" s="8" t="s">
        <v>524</v>
      </c>
      <c r="C843" s="19" t="s">
        <v>6</v>
      </c>
      <c r="D843" s="19" t="s">
        <v>6</v>
      </c>
      <c r="E843" s="82" t="s">
        <v>42</v>
      </c>
      <c r="F843" s="93">
        <v>45866</v>
      </c>
    </row>
    <row r="844" spans="1:6" x14ac:dyDescent="0.25">
      <c r="A844" s="9">
        <v>29</v>
      </c>
      <c r="B844" s="17" t="s">
        <v>160</v>
      </c>
      <c r="C844" s="19" t="s">
        <v>6</v>
      </c>
      <c r="D844" s="19" t="s">
        <v>6</v>
      </c>
      <c r="E844" s="81" t="s">
        <v>43</v>
      </c>
      <c r="F844" s="93">
        <v>45859</v>
      </c>
    </row>
    <row r="845" spans="1:6" x14ac:dyDescent="0.25">
      <c r="A845" s="9">
        <v>30</v>
      </c>
      <c r="B845" s="17" t="s">
        <v>535</v>
      </c>
      <c r="C845" s="19" t="s">
        <v>6</v>
      </c>
      <c r="D845" s="19" t="s">
        <v>6</v>
      </c>
      <c r="E845" s="79" t="s">
        <v>45</v>
      </c>
      <c r="F845" s="93">
        <v>45859</v>
      </c>
    </row>
    <row r="846" spans="1:6" x14ac:dyDescent="0.25">
      <c r="A846" s="9">
        <v>31</v>
      </c>
      <c r="B846" s="17" t="s">
        <v>474</v>
      </c>
      <c r="C846" s="19" t="s">
        <v>6</v>
      </c>
      <c r="D846" s="19" t="s">
        <v>6</v>
      </c>
      <c r="E846" s="79" t="s">
        <v>45</v>
      </c>
      <c r="F846" s="93">
        <v>45859</v>
      </c>
    </row>
    <row r="847" spans="1:6" ht="15.75" x14ac:dyDescent="0.25">
      <c r="A847" s="9">
        <v>32</v>
      </c>
      <c r="B847" s="17" t="s">
        <v>506</v>
      </c>
      <c r="C847" s="19" t="s">
        <v>6</v>
      </c>
      <c r="D847" s="19" t="s">
        <v>6</v>
      </c>
      <c r="E847" s="78" t="s">
        <v>42</v>
      </c>
      <c r="F847" s="93">
        <v>45859</v>
      </c>
    </row>
    <row r="848" spans="1:6" ht="15.75" x14ac:dyDescent="0.25">
      <c r="A848" s="9">
        <v>33</v>
      </c>
      <c r="B848" s="17" t="s">
        <v>507</v>
      </c>
      <c r="C848" s="19" t="s">
        <v>6</v>
      </c>
      <c r="D848" s="19" t="s">
        <v>6</v>
      </c>
      <c r="E848" s="78" t="s">
        <v>42</v>
      </c>
      <c r="F848" s="93">
        <v>45859</v>
      </c>
    </row>
    <row r="849" spans="1:6" x14ac:dyDescent="0.25">
      <c r="A849" s="9">
        <v>34</v>
      </c>
      <c r="B849" s="17" t="s">
        <v>325</v>
      </c>
      <c r="C849" s="19" t="s">
        <v>6</v>
      </c>
      <c r="D849" s="19" t="s">
        <v>6</v>
      </c>
      <c r="E849" s="79" t="s">
        <v>39</v>
      </c>
      <c r="F849" s="93">
        <v>45866</v>
      </c>
    </row>
    <row r="850" spans="1:6" x14ac:dyDescent="0.25">
      <c r="A850" s="9">
        <v>35</v>
      </c>
      <c r="B850" s="17" t="s">
        <v>547</v>
      </c>
      <c r="C850" s="19" t="s">
        <v>6</v>
      </c>
      <c r="D850" s="19" t="s">
        <v>6</v>
      </c>
      <c r="E850" s="79" t="s">
        <v>45</v>
      </c>
      <c r="F850" s="93">
        <v>45866</v>
      </c>
    </row>
    <row r="851" spans="1:6" x14ac:dyDescent="0.25">
      <c r="A851" s="9">
        <v>36</v>
      </c>
      <c r="B851" s="17" t="s">
        <v>548</v>
      </c>
      <c r="C851" s="19" t="s">
        <v>6</v>
      </c>
      <c r="D851" s="19" t="s">
        <v>6</v>
      </c>
      <c r="E851" s="79" t="s">
        <v>45</v>
      </c>
      <c r="F851" s="93">
        <v>45866</v>
      </c>
    </row>
    <row r="852" spans="1:6" x14ac:dyDescent="0.25">
      <c r="A852" s="9">
        <v>37</v>
      </c>
      <c r="B852" s="17" t="s">
        <v>549</v>
      </c>
      <c r="C852" s="19" t="s">
        <v>6</v>
      </c>
      <c r="D852" s="19" t="s">
        <v>6</v>
      </c>
      <c r="E852" s="79" t="s">
        <v>45</v>
      </c>
      <c r="F852" s="93">
        <v>45866</v>
      </c>
    </row>
    <row r="853" spans="1:6" x14ac:dyDescent="0.25">
      <c r="A853" s="9">
        <v>38</v>
      </c>
      <c r="B853" s="17" t="s">
        <v>550</v>
      </c>
      <c r="C853" s="19" t="s">
        <v>6</v>
      </c>
      <c r="D853" s="19" t="s">
        <v>6</v>
      </c>
      <c r="E853" s="79" t="s">
        <v>45</v>
      </c>
      <c r="F853" s="93">
        <v>45866</v>
      </c>
    </row>
    <row r="854" spans="1:6" x14ac:dyDescent="0.25">
      <c r="A854" s="9">
        <v>39</v>
      </c>
      <c r="B854" s="17" t="s">
        <v>555</v>
      </c>
      <c r="C854" s="19" t="s">
        <v>6</v>
      </c>
      <c r="D854" s="19" t="s">
        <v>6</v>
      </c>
      <c r="E854" s="79" t="s">
        <v>150</v>
      </c>
      <c r="F854" s="93">
        <v>45866</v>
      </c>
    </row>
    <row r="855" spans="1:6" x14ac:dyDescent="0.25">
      <c r="A855" s="9">
        <v>40</v>
      </c>
      <c r="B855" s="17" t="s">
        <v>556</v>
      </c>
      <c r="C855" s="19" t="s">
        <v>6</v>
      </c>
      <c r="D855" s="19" t="s">
        <v>6</v>
      </c>
      <c r="E855" s="79" t="s">
        <v>150</v>
      </c>
      <c r="F855" s="93">
        <v>45866</v>
      </c>
    </row>
    <row r="856" spans="1:6" x14ac:dyDescent="0.25">
      <c r="A856" s="9">
        <v>41</v>
      </c>
      <c r="B856" s="17" t="s">
        <v>572</v>
      </c>
      <c r="C856" s="19" t="s">
        <v>6</v>
      </c>
      <c r="D856" s="19" t="s">
        <v>6</v>
      </c>
      <c r="E856" s="79" t="s">
        <v>45</v>
      </c>
      <c r="F856" s="93">
        <v>45866</v>
      </c>
    </row>
    <row r="857" spans="1:6" x14ac:dyDescent="0.25">
      <c r="A857" s="9">
        <v>42</v>
      </c>
      <c r="B857" s="8" t="s">
        <v>350</v>
      </c>
      <c r="C857" s="19" t="s">
        <v>6</v>
      </c>
      <c r="D857" s="19" t="s">
        <v>6</v>
      </c>
      <c r="E857" s="82" t="s">
        <v>39</v>
      </c>
      <c r="F857" s="94">
        <v>45886</v>
      </c>
    </row>
    <row r="858" spans="1:6" x14ac:dyDescent="0.25">
      <c r="A858" s="9">
        <v>43</v>
      </c>
      <c r="B858" s="8" t="s">
        <v>631</v>
      </c>
      <c r="C858" s="19" t="s">
        <v>6</v>
      </c>
      <c r="D858" s="19" t="s">
        <v>6</v>
      </c>
      <c r="E858" s="82" t="s">
        <v>45</v>
      </c>
      <c r="F858" s="94">
        <v>45886</v>
      </c>
    </row>
    <row r="859" spans="1:6" x14ac:dyDescent="0.25">
      <c r="A859" s="9">
        <v>44</v>
      </c>
      <c r="B859" s="8" t="s">
        <v>174</v>
      </c>
      <c r="C859" s="19" t="s">
        <v>6</v>
      </c>
      <c r="D859" s="19" t="s">
        <v>6</v>
      </c>
      <c r="E859" s="81" t="s">
        <v>45</v>
      </c>
      <c r="F859" s="94">
        <v>45886</v>
      </c>
    </row>
    <row r="860" spans="1:6" x14ac:dyDescent="0.25">
      <c r="A860" s="9">
        <v>45</v>
      </c>
      <c r="B860" s="8" t="s">
        <v>182</v>
      </c>
      <c r="C860" s="19" t="s">
        <v>6</v>
      </c>
      <c r="D860" s="19" t="s">
        <v>6</v>
      </c>
      <c r="E860" s="81" t="s">
        <v>45</v>
      </c>
      <c r="F860" s="94">
        <v>45886</v>
      </c>
    </row>
    <row r="861" spans="1:6" x14ac:dyDescent="0.25">
      <c r="A861" s="9">
        <v>46</v>
      </c>
      <c r="B861" s="17" t="s">
        <v>311</v>
      </c>
      <c r="C861" s="19" t="s">
        <v>6</v>
      </c>
      <c r="D861" s="19" t="s">
        <v>6</v>
      </c>
      <c r="E861" s="81" t="s">
        <v>43</v>
      </c>
      <c r="F861" s="94">
        <v>45886</v>
      </c>
    </row>
    <row r="862" spans="1:6" x14ac:dyDescent="0.25">
      <c r="A862" s="9">
        <v>47</v>
      </c>
      <c r="B862" s="17" t="s">
        <v>319</v>
      </c>
      <c r="C862" s="19" t="s">
        <v>6</v>
      </c>
      <c r="D862" s="19" t="s">
        <v>6</v>
      </c>
      <c r="E862" s="81" t="s">
        <v>43</v>
      </c>
      <c r="F862" s="94">
        <v>45886</v>
      </c>
    </row>
    <row r="863" spans="1:6" x14ac:dyDescent="0.25">
      <c r="A863" s="9">
        <v>48</v>
      </c>
      <c r="B863" s="17" t="s">
        <v>384</v>
      </c>
      <c r="C863" s="19" t="s">
        <v>6</v>
      </c>
      <c r="D863" s="19" t="s">
        <v>6</v>
      </c>
      <c r="E863" s="81" t="s">
        <v>43</v>
      </c>
      <c r="F863" s="94">
        <v>45886</v>
      </c>
    </row>
    <row r="864" spans="1:6" x14ac:dyDescent="0.25">
      <c r="A864" s="9">
        <v>49</v>
      </c>
      <c r="B864" s="17" t="s">
        <v>472</v>
      </c>
      <c r="C864" s="19" t="s">
        <v>6</v>
      </c>
      <c r="D864" s="19" t="s">
        <v>6</v>
      </c>
      <c r="E864" s="79" t="s">
        <v>45</v>
      </c>
      <c r="F864" s="93">
        <v>45886</v>
      </c>
    </row>
    <row r="865" spans="1:6" x14ac:dyDescent="0.25">
      <c r="A865" s="9">
        <v>50</v>
      </c>
      <c r="B865" s="17" t="s">
        <v>468</v>
      </c>
      <c r="C865" s="19" t="s">
        <v>6</v>
      </c>
      <c r="D865" s="19" t="s">
        <v>6</v>
      </c>
      <c r="E865" s="79" t="s">
        <v>45</v>
      </c>
      <c r="F865" s="93">
        <v>45886</v>
      </c>
    </row>
    <row r="866" spans="1:6" x14ac:dyDescent="0.25">
      <c r="A866" s="9">
        <v>51</v>
      </c>
      <c r="B866" s="17" t="s">
        <v>632</v>
      </c>
      <c r="C866" s="19" t="s">
        <v>6</v>
      </c>
      <c r="D866" s="19" t="s">
        <v>6</v>
      </c>
      <c r="E866" s="79" t="s">
        <v>45</v>
      </c>
      <c r="F866" s="93">
        <v>45886</v>
      </c>
    </row>
    <row r="867" spans="1:6" x14ac:dyDescent="0.25">
      <c r="A867" s="9">
        <v>52</v>
      </c>
      <c r="B867" s="17" t="s">
        <v>478</v>
      </c>
      <c r="C867" s="19" t="s">
        <v>6</v>
      </c>
      <c r="D867" s="19" t="s">
        <v>6</v>
      </c>
      <c r="E867" s="79" t="s">
        <v>150</v>
      </c>
      <c r="F867" s="93">
        <v>45886</v>
      </c>
    </row>
    <row r="868" spans="1:6" x14ac:dyDescent="0.25">
      <c r="A868" s="9">
        <v>53</v>
      </c>
      <c r="B868" s="17" t="s">
        <v>560</v>
      </c>
      <c r="C868" s="19" t="s">
        <v>6</v>
      </c>
      <c r="D868" s="19" t="s">
        <v>6</v>
      </c>
      <c r="E868" s="79" t="s">
        <v>45</v>
      </c>
      <c r="F868" s="93">
        <v>45886</v>
      </c>
    </row>
    <row r="869" spans="1:6" x14ac:dyDescent="0.25">
      <c r="A869" s="9">
        <v>54</v>
      </c>
      <c r="B869" s="17" t="s">
        <v>561</v>
      </c>
      <c r="C869" s="19" t="s">
        <v>6</v>
      </c>
      <c r="D869" s="19" t="s">
        <v>6</v>
      </c>
      <c r="E869" s="79" t="s">
        <v>45</v>
      </c>
      <c r="F869" s="93">
        <v>45886</v>
      </c>
    </row>
    <row r="870" spans="1:6" x14ac:dyDescent="0.25">
      <c r="A870" s="9">
        <v>55</v>
      </c>
      <c r="B870" s="17" t="s">
        <v>609</v>
      </c>
      <c r="C870" s="19" t="s">
        <v>6</v>
      </c>
      <c r="D870" s="19" t="s">
        <v>6</v>
      </c>
      <c r="E870" s="79" t="s">
        <v>45</v>
      </c>
      <c r="F870" s="93">
        <v>45886</v>
      </c>
    </row>
    <row r="871" spans="1:6" x14ac:dyDescent="0.25">
      <c r="A871" s="9">
        <v>56</v>
      </c>
      <c r="B871" s="17" t="s">
        <v>605</v>
      </c>
      <c r="C871" s="19" t="s">
        <v>6</v>
      </c>
      <c r="D871" s="19" t="s">
        <v>6</v>
      </c>
      <c r="E871" s="79" t="s">
        <v>150</v>
      </c>
      <c r="F871" s="93">
        <v>45886</v>
      </c>
    </row>
    <row r="872" spans="1:6" x14ac:dyDescent="0.25">
      <c r="A872" s="9">
        <v>57</v>
      </c>
      <c r="B872" s="17" t="s">
        <v>606</v>
      </c>
      <c r="C872" s="19" t="s">
        <v>6</v>
      </c>
      <c r="D872" s="19" t="s">
        <v>6</v>
      </c>
      <c r="E872" s="79" t="s">
        <v>45</v>
      </c>
      <c r="F872" s="93">
        <v>45886</v>
      </c>
    </row>
    <row r="873" spans="1:6" x14ac:dyDescent="0.25">
      <c r="A873" s="9">
        <v>58</v>
      </c>
      <c r="B873" s="17" t="s">
        <v>633</v>
      </c>
      <c r="C873" s="19" t="s">
        <v>6</v>
      </c>
      <c r="D873" s="19" t="s">
        <v>6</v>
      </c>
      <c r="E873" s="79" t="s">
        <v>45</v>
      </c>
      <c r="F873" s="93">
        <v>45886</v>
      </c>
    </row>
    <row r="874" spans="1:6" x14ac:dyDescent="0.25">
      <c r="A874" s="9">
        <v>59</v>
      </c>
      <c r="B874" s="17" t="s">
        <v>635</v>
      </c>
      <c r="C874" s="19" t="s">
        <v>6</v>
      </c>
      <c r="D874" s="19" t="s">
        <v>6</v>
      </c>
      <c r="E874" s="79" t="s">
        <v>150</v>
      </c>
      <c r="F874" s="93">
        <v>45886</v>
      </c>
    </row>
    <row r="875" spans="1:6" x14ac:dyDescent="0.25">
      <c r="A875" s="9">
        <v>60</v>
      </c>
      <c r="B875" s="17" t="s">
        <v>636</v>
      </c>
      <c r="C875" s="19" t="s">
        <v>6</v>
      </c>
      <c r="D875" s="19" t="s">
        <v>6</v>
      </c>
      <c r="E875" s="79" t="s">
        <v>150</v>
      </c>
      <c r="F875" s="93">
        <v>45886</v>
      </c>
    </row>
    <row r="876" spans="1:6" x14ac:dyDescent="0.25">
      <c r="A876" s="9">
        <v>61</v>
      </c>
      <c r="B876" s="17" t="s">
        <v>667</v>
      </c>
      <c r="C876" s="19" t="s">
        <v>6</v>
      </c>
      <c r="D876" s="19" t="s">
        <v>6</v>
      </c>
      <c r="E876" s="81" t="s">
        <v>150</v>
      </c>
      <c r="F876" s="93">
        <v>45886</v>
      </c>
    </row>
    <row r="877" spans="1:6" x14ac:dyDescent="0.25">
      <c r="A877" s="9">
        <v>62</v>
      </c>
      <c r="B877" s="17" t="s">
        <v>656</v>
      </c>
      <c r="C877" s="19" t="s">
        <v>6</v>
      </c>
      <c r="D877" s="19" t="s">
        <v>6</v>
      </c>
      <c r="E877" s="79" t="s">
        <v>45</v>
      </c>
      <c r="F877" s="93">
        <v>45886</v>
      </c>
    </row>
    <row r="878" spans="1:6" x14ac:dyDescent="0.25">
      <c r="A878" s="9">
        <v>63</v>
      </c>
      <c r="B878" s="17" t="s">
        <v>669</v>
      </c>
      <c r="C878" s="19" t="s">
        <v>6</v>
      </c>
      <c r="D878" s="19" t="s">
        <v>6</v>
      </c>
      <c r="E878" s="79" t="s">
        <v>45</v>
      </c>
      <c r="F878" s="93">
        <v>45886</v>
      </c>
    </row>
    <row r="879" spans="1:6" x14ac:dyDescent="0.25">
      <c r="A879" s="9">
        <v>64</v>
      </c>
      <c r="B879" s="8" t="s">
        <v>760</v>
      </c>
      <c r="C879" s="19" t="s">
        <v>6</v>
      </c>
      <c r="D879" s="19" t="s">
        <v>6</v>
      </c>
      <c r="E879" s="82" t="s">
        <v>45</v>
      </c>
      <c r="F879" s="93">
        <v>45907</v>
      </c>
    </row>
    <row r="880" spans="1:6" x14ac:dyDescent="0.25">
      <c r="A880" s="9">
        <v>65</v>
      </c>
      <c r="B880" s="8" t="s">
        <v>723</v>
      </c>
      <c r="C880" s="19" t="s">
        <v>6</v>
      </c>
      <c r="D880" s="19" t="s">
        <v>6</v>
      </c>
      <c r="E880" s="82" t="s">
        <v>45</v>
      </c>
      <c r="F880" s="93">
        <v>45907</v>
      </c>
    </row>
    <row r="881" spans="1:6" x14ac:dyDescent="0.25">
      <c r="A881" s="9">
        <v>66</v>
      </c>
      <c r="B881" s="33" t="s">
        <v>529</v>
      </c>
      <c r="C881" s="19" t="s">
        <v>6</v>
      </c>
      <c r="D881" s="19" t="s">
        <v>6</v>
      </c>
      <c r="E881" s="79" t="s">
        <v>45</v>
      </c>
      <c r="F881" s="93">
        <v>45907</v>
      </c>
    </row>
    <row r="882" spans="1:6" x14ac:dyDescent="0.25">
      <c r="A882" s="9">
        <v>67</v>
      </c>
      <c r="B882" s="48" t="s">
        <v>711</v>
      </c>
      <c r="C882" s="19" t="s">
        <v>6</v>
      </c>
      <c r="D882" s="19" t="s">
        <v>6</v>
      </c>
      <c r="E882" s="85" t="s">
        <v>45</v>
      </c>
      <c r="F882" s="93">
        <v>45900</v>
      </c>
    </row>
    <row r="883" spans="1:6" x14ac:dyDescent="0.25">
      <c r="A883" s="9">
        <v>68</v>
      </c>
      <c r="B883" s="48" t="s">
        <v>735</v>
      </c>
      <c r="C883" s="19" t="s">
        <v>6</v>
      </c>
      <c r="D883" s="19" t="s">
        <v>6</v>
      </c>
      <c r="E883" s="85" t="s">
        <v>45</v>
      </c>
      <c r="F883" s="93">
        <v>45907</v>
      </c>
    </row>
    <row r="884" spans="1:6" x14ac:dyDescent="0.25">
      <c r="A884" s="9">
        <v>69</v>
      </c>
      <c r="B884" s="48" t="s">
        <v>736</v>
      </c>
      <c r="C884" s="19" t="s">
        <v>6</v>
      </c>
      <c r="D884" s="19" t="s">
        <v>6</v>
      </c>
      <c r="E884" s="85" t="s">
        <v>45</v>
      </c>
      <c r="F884" s="93">
        <v>45907</v>
      </c>
    </row>
    <row r="885" spans="1:6" x14ac:dyDescent="0.25">
      <c r="A885" s="9">
        <v>70</v>
      </c>
      <c r="B885" s="48" t="s">
        <v>738</v>
      </c>
      <c r="C885" s="19" t="s">
        <v>6</v>
      </c>
      <c r="D885" s="19" t="s">
        <v>6</v>
      </c>
      <c r="E885" s="85" t="s">
        <v>45</v>
      </c>
      <c r="F885" s="93">
        <v>45907</v>
      </c>
    </row>
    <row r="886" spans="1:6" x14ac:dyDescent="0.25">
      <c r="A886" s="9">
        <v>71</v>
      </c>
      <c r="B886" s="48" t="s">
        <v>739</v>
      </c>
      <c r="C886" s="19" t="s">
        <v>6</v>
      </c>
      <c r="D886" s="19" t="s">
        <v>6</v>
      </c>
      <c r="E886" s="85" t="s">
        <v>45</v>
      </c>
      <c r="F886" s="93">
        <v>45907</v>
      </c>
    </row>
    <row r="887" spans="1:6" x14ac:dyDescent="0.25">
      <c r="A887" s="9">
        <v>72</v>
      </c>
      <c r="B887" s="48" t="s">
        <v>740</v>
      </c>
      <c r="C887" s="19" t="s">
        <v>6</v>
      </c>
      <c r="D887" s="19" t="s">
        <v>6</v>
      </c>
      <c r="E887" s="85" t="s">
        <v>150</v>
      </c>
      <c r="F887" s="93">
        <v>45907</v>
      </c>
    </row>
    <row r="888" spans="1:6" x14ac:dyDescent="0.25">
      <c r="A888" s="9">
        <v>73</v>
      </c>
      <c r="B888" s="48" t="s">
        <v>741</v>
      </c>
      <c r="C888" s="19" t="s">
        <v>6</v>
      </c>
      <c r="D888" s="19" t="s">
        <v>6</v>
      </c>
      <c r="E888" s="85" t="s">
        <v>150</v>
      </c>
      <c r="F888" s="93">
        <v>45907</v>
      </c>
    </row>
    <row r="889" spans="1:6" x14ac:dyDescent="0.25">
      <c r="A889" s="9">
        <v>74</v>
      </c>
      <c r="B889" s="48" t="s">
        <v>724</v>
      </c>
      <c r="C889" s="19" t="s">
        <v>6</v>
      </c>
      <c r="D889" s="19" t="s">
        <v>6</v>
      </c>
      <c r="E889" s="85" t="s">
        <v>45</v>
      </c>
      <c r="F889" s="93">
        <v>45900</v>
      </c>
    </row>
    <row r="890" spans="1:6" x14ac:dyDescent="0.25">
      <c r="A890" s="9">
        <v>75</v>
      </c>
      <c r="B890" s="17" t="s">
        <v>752</v>
      </c>
      <c r="C890" s="19" t="s">
        <v>6</v>
      </c>
      <c r="D890" s="19" t="s">
        <v>6</v>
      </c>
      <c r="E890" s="85" t="s">
        <v>45</v>
      </c>
      <c r="F890" s="93">
        <v>45907</v>
      </c>
    </row>
    <row r="891" spans="1:6" x14ac:dyDescent="0.25">
      <c r="A891" s="9">
        <v>76</v>
      </c>
      <c r="B891" s="17" t="s">
        <v>751</v>
      </c>
      <c r="C891" s="19" t="s">
        <v>6</v>
      </c>
      <c r="D891" s="19" t="s">
        <v>6</v>
      </c>
      <c r="E891" s="85" t="s">
        <v>45</v>
      </c>
      <c r="F891" s="93">
        <v>45907</v>
      </c>
    </row>
    <row r="892" spans="1:6" x14ac:dyDescent="0.25">
      <c r="A892" s="9">
        <v>77</v>
      </c>
      <c r="B892" s="17" t="s">
        <v>758</v>
      </c>
      <c r="C892" s="19" t="s">
        <v>6</v>
      </c>
      <c r="D892" s="19" t="s">
        <v>6</v>
      </c>
      <c r="E892" s="85" t="s">
        <v>45</v>
      </c>
      <c r="F892" s="93">
        <v>45907</v>
      </c>
    </row>
    <row r="893" spans="1:6" x14ac:dyDescent="0.25">
      <c r="A893" s="9">
        <v>78</v>
      </c>
      <c r="B893" s="17" t="s">
        <v>761</v>
      </c>
      <c r="C893" s="19" t="s">
        <v>6</v>
      </c>
      <c r="D893" s="19" t="s">
        <v>6</v>
      </c>
      <c r="E893" s="85" t="s">
        <v>45</v>
      </c>
      <c r="F893" s="93">
        <v>45907</v>
      </c>
    </row>
    <row r="894" spans="1:6" x14ac:dyDescent="0.25">
      <c r="A894" s="9">
        <v>79</v>
      </c>
      <c r="B894" s="17" t="s">
        <v>377</v>
      </c>
      <c r="C894" s="19" t="s">
        <v>6</v>
      </c>
      <c r="D894" s="19" t="s">
        <v>6</v>
      </c>
      <c r="E894" s="82" t="s">
        <v>45</v>
      </c>
      <c r="F894" s="93">
        <v>45914</v>
      </c>
    </row>
    <row r="895" spans="1:6" x14ac:dyDescent="0.25">
      <c r="A895" s="9">
        <v>80</v>
      </c>
      <c r="B895" s="8" t="s">
        <v>197</v>
      </c>
      <c r="C895" s="19" t="s">
        <v>6</v>
      </c>
      <c r="D895" s="19" t="s">
        <v>6</v>
      </c>
      <c r="E895" s="81" t="s">
        <v>45</v>
      </c>
      <c r="F895" s="93">
        <v>45914</v>
      </c>
    </row>
    <row r="896" spans="1:6" x14ac:dyDescent="0.25">
      <c r="A896" s="9">
        <v>81</v>
      </c>
      <c r="B896" s="8" t="s">
        <v>295</v>
      </c>
      <c r="C896" s="19" t="s">
        <v>6</v>
      </c>
      <c r="D896" s="19" t="s">
        <v>6</v>
      </c>
      <c r="E896" s="81" t="s">
        <v>45</v>
      </c>
      <c r="F896" s="93">
        <v>45914</v>
      </c>
    </row>
    <row r="897" spans="1:6" x14ac:dyDescent="0.25">
      <c r="A897" s="9">
        <v>82</v>
      </c>
      <c r="B897" s="8" t="s">
        <v>621</v>
      </c>
      <c r="C897" s="19" t="s">
        <v>6</v>
      </c>
      <c r="D897" s="19" t="s">
        <v>6</v>
      </c>
      <c r="E897" s="81" t="s">
        <v>45</v>
      </c>
      <c r="F897" s="93">
        <v>45914</v>
      </c>
    </row>
    <row r="898" spans="1:6" x14ac:dyDescent="0.25">
      <c r="A898" s="9">
        <v>83</v>
      </c>
      <c r="B898" s="8" t="s">
        <v>424</v>
      </c>
      <c r="C898" s="19" t="s">
        <v>6</v>
      </c>
      <c r="D898" s="112" t="s">
        <v>6</v>
      </c>
      <c r="E898" s="12" t="s">
        <v>150</v>
      </c>
      <c r="F898" s="32">
        <f ca="1">IF(AND(C898="NO",D898="NO"),IF(F898="",TODAY(),F898),"")</f>
        <v>46258</v>
      </c>
    </row>
    <row r="899" spans="1:6" x14ac:dyDescent="0.25">
      <c r="A899" s="9">
        <v>84</v>
      </c>
      <c r="B899" s="8" t="s">
        <v>1988</v>
      </c>
      <c r="C899" s="19" t="s">
        <v>6</v>
      </c>
      <c r="D899" s="112" t="s">
        <v>6</v>
      </c>
      <c r="E899" s="12" t="s">
        <v>150</v>
      </c>
      <c r="F899" s="32">
        <f ca="1">IF(AND(C899="NO",D899="NO"),IF(F899="",TODAY(),F899),"")</f>
        <v>46258</v>
      </c>
    </row>
    <row r="900" spans="1:6" x14ac:dyDescent="0.25">
      <c r="A900" s="9">
        <v>85</v>
      </c>
      <c r="B900" s="8" t="s">
        <v>1989</v>
      </c>
      <c r="C900" s="19" t="s">
        <v>6</v>
      </c>
      <c r="D900" s="112" t="s">
        <v>6</v>
      </c>
      <c r="E900" s="12" t="s">
        <v>150</v>
      </c>
      <c r="F900" s="32">
        <f ca="1">IF(AND(C900="NO",D900="NO"),IF(F900="",TODAY(),F900),"")</f>
        <v>46258</v>
      </c>
    </row>
    <row r="901" spans="1:6" x14ac:dyDescent="0.25">
      <c r="A901" s="9">
        <v>86</v>
      </c>
      <c r="B901" s="8" t="s">
        <v>1998</v>
      </c>
      <c r="C901" s="19" t="s">
        <v>6</v>
      </c>
      <c r="D901" s="112" t="s">
        <v>6</v>
      </c>
      <c r="E901" s="12" t="s">
        <v>45</v>
      </c>
      <c r="F901" s="32">
        <f ca="1">IF(AND(C901="NO",D901="NO"),IF(F901="",TODAY(),F901),"")</f>
        <v>46258</v>
      </c>
    </row>
    <row r="902" spans="1:6" x14ac:dyDescent="0.25">
      <c r="A902" s="9">
        <v>88</v>
      </c>
      <c r="B902" s="8" t="s">
        <v>2043</v>
      </c>
      <c r="C902" s="19" t="s">
        <v>6</v>
      </c>
      <c r="D902" s="112" t="s">
        <v>6</v>
      </c>
      <c r="E902" s="12" t="s">
        <v>337</v>
      </c>
      <c r="F902" s="32">
        <f ca="1">IF(AND(C902="NO",D902="NO"),IF(F902="",TODAY(),F902),"")</f>
        <v>46262</v>
      </c>
    </row>
    <row r="903" spans="1:6" x14ac:dyDescent="0.25">
      <c r="A903" s="9">
        <v>89</v>
      </c>
      <c r="B903" s="8" t="s">
        <v>2059</v>
      </c>
      <c r="C903" s="19" t="s">
        <v>6</v>
      </c>
      <c r="D903" s="112" t="s">
        <v>6</v>
      </c>
      <c r="E903" s="12" t="s">
        <v>337</v>
      </c>
      <c r="F903" s="32">
        <f ca="1">IF(AND(C903="NO",D903="NO"),IF(F903="",TODAY(),F903),"")</f>
        <v>46262</v>
      </c>
    </row>
    <row r="904" spans="1:6" x14ac:dyDescent="0.25">
      <c r="A904" s="9">
        <v>90</v>
      </c>
      <c r="B904" s="8" t="s">
        <v>2060</v>
      </c>
      <c r="C904" s="19" t="s">
        <v>6</v>
      </c>
      <c r="D904" s="112" t="s">
        <v>6</v>
      </c>
      <c r="E904" s="12" t="s">
        <v>337</v>
      </c>
      <c r="F904" s="32">
        <f ca="1">IF(AND(C904="NO",D904="NO"),IF(F904="",TODAY(),F904),"")</f>
        <v>46262</v>
      </c>
    </row>
    <row r="905" spans="1:6" x14ac:dyDescent="0.25">
      <c r="A905" s="9">
        <v>91</v>
      </c>
      <c r="B905" s="8" t="s">
        <v>2062</v>
      </c>
      <c r="C905" s="19" t="s">
        <v>6</v>
      </c>
      <c r="D905" s="112" t="s">
        <v>6</v>
      </c>
      <c r="E905" s="12" t="s">
        <v>337</v>
      </c>
      <c r="F905" s="32">
        <f ca="1">IF(AND(C905="NO",D905="NO"),IF(F905="",TODAY(),F905),"")</f>
        <v>46262</v>
      </c>
    </row>
    <row r="906" spans="1:6" x14ac:dyDescent="0.25">
      <c r="A906" s="9">
        <v>92</v>
      </c>
      <c r="B906" s="8" t="s">
        <v>2066</v>
      </c>
      <c r="C906" s="19" t="s">
        <v>6</v>
      </c>
      <c r="D906" s="112" t="s">
        <v>6</v>
      </c>
      <c r="E906" s="12" t="s">
        <v>337</v>
      </c>
      <c r="F906" s="32">
        <f ca="1">IF(AND(C906="NO",D906="NO"),IF(F906="",TODAY(),F906),"")</f>
        <v>46262</v>
      </c>
    </row>
    <row r="907" spans="1:6" x14ac:dyDescent="0.25">
      <c r="A907" s="9">
        <v>93</v>
      </c>
      <c r="B907" s="8" t="s">
        <v>2067</v>
      </c>
      <c r="C907" s="19" t="s">
        <v>6</v>
      </c>
      <c r="D907" s="112" t="s">
        <v>6</v>
      </c>
      <c r="E907" s="12" t="s">
        <v>337</v>
      </c>
      <c r="F907" s="32">
        <f ca="1">IF(AND(C907="NO",D907="NO"),IF(F907="",TODAY(),F907),"")</f>
        <v>46262</v>
      </c>
    </row>
    <row r="908" spans="1:6" x14ac:dyDescent="0.25">
      <c r="A908" s="9">
        <v>94</v>
      </c>
      <c r="B908" s="8" t="s">
        <v>2076</v>
      </c>
      <c r="C908" s="19" t="s">
        <v>6</v>
      </c>
      <c r="D908" s="112" t="s">
        <v>6</v>
      </c>
      <c r="E908" s="12" t="s">
        <v>337</v>
      </c>
      <c r="F908" s="32">
        <f ca="1">IF(AND(C908="NO",D908="NO"),IF(F908="",TODAY(),F908),"")</f>
        <v>46262</v>
      </c>
    </row>
    <row r="909" spans="1:6" x14ac:dyDescent="0.25">
      <c r="A909" s="9">
        <v>95</v>
      </c>
      <c r="B909" s="17" t="s">
        <v>657</v>
      </c>
      <c r="C909" s="19" t="s">
        <v>6</v>
      </c>
      <c r="D909" s="19" t="s">
        <v>6</v>
      </c>
      <c r="E909" s="79" t="s">
        <v>45</v>
      </c>
      <c r="F909" s="93">
        <v>45914</v>
      </c>
    </row>
    <row r="910" spans="1:6" x14ac:dyDescent="0.25">
      <c r="A910" s="9">
        <v>96</v>
      </c>
      <c r="B910" s="48" t="s">
        <v>742</v>
      </c>
      <c r="C910" s="19" t="s">
        <v>6</v>
      </c>
      <c r="D910" s="19" t="s">
        <v>6</v>
      </c>
      <c r="E910" s="85" t="s">
        <v>150</v>
      </c>
      <c r="F910" s="93">
        <v>45914</v>
      </c>
    </row>
    <row r="911" spans="1:6" x14ac:dyDescent="0.25">
      <c r="A911" s="9">
        <v>97</v>
      </c>
      <c r="B911" s="17" t="s">
        <v>753</v>
      </c>
      <c r="C911" s="19" t="s">
        <v>6</v>
      </c>
      <c r="D911" s="19" t="s">
        <v>6</v>
      </c>
      <c r="E911" s="85" t="s">
        <v>45</v>
      </c>
      <c r="F911" s="93">
        <v>45914</v>
      </c>
    </row>
    <row r="912" spans="1:6" x14ac:dyDescent="0.25">
      <c r="A912" s="9">
        <v>98</v>
      </c>
      <c r="B912" s="17" t="s">
        <v>776</v>
      </c>
      <c r="C912" s="19" t="s">
        <v>6</v>
      </c>
      <c r="D912" s="19" t="s">
        <v>6</v>
      </c>
      <c r="E912" s="85" t="s">
        <v>45</v>
      </c>
      <c r="F912" s="93">
        <v>45914</v>
      </c>
    </row>
    <row r="913" spans="1:6" x14ac:dyDescent="0.25">
      <c r="A913" s="9">
        <v>99</v>
      </c>
      <c r="B913" s="17" t="s">
        <v>785</v>
      </c>
      <c r="C913" s="19" t="s">
        <v>6</v>
      </c>
      <c r="D913" s="19" t="s">
        <v>6</v>
      </c>
      <c r="E913" s="85" t="s">
        <v>45</v>
      </c>
      <c r="F913" s="93">
        <v>45914</v>
      </c>
    </row>
    <row r="914" spans="1:6" x14ac:dyDescent="0.25">
      <c r="A914" s="9">
        <v>100</v>
      </c>
      <c r="B914" s="17" t="s">
        <v>786</v>
      </c>
      <c r="C914" s="19" t="s">
        <v>6</v>
      </c>
      <c r="D914" s="19" t="s">
        <v>6</v>
      </c>
      <c r="E914" s="85" t="s">
        <v>45</v>
      </c>
      <c r="F914" s="93">
        <v>45914</v>
      </c>
    </row>
    <row r="915" spans="1:6" x14ac:dyDescent="0.25">
      <c r="A915" s="9">
        <v>101</v>
      </c>
      <c r="B915" s="8" t="s">
        <v>426</v>
      </c>
      <c r="C915" s="19" t="s">
        <v>6</v>
      </c>
      <c r="D915" s="19" t="s">
        <v>6</v>
      </c>
      <c r="E915" s="82" t="s">
        <v>45</v>
      </c>
      <c r="F915" s="93">
        <v>45929</v>
      </c>
    </row>
    <row r="916" spans="1:6" x14ac:dyDescent="0.25">
      <c r="A916" s="9">
        <v>102</v>
      </c>
      <c r="B916" s="8" t="s">
        <v>285</v>
      </c>
      <c r="C916" s="19" t="s">
        <v>6</v>
      </c>
      <c r="D916" s="19" t="s">
        <v>6</v>
      </c>
      <c r="E916" s="82" t="s">
        <v>45</v>
      </c>
      <c r="F916" s="93">
        <v>45922</v>
      </c>
    </row>
    <row r="917" spans="1:6" x14ac:dyDescent="0.25">
      <c r="A917" s="9">
        <v>103</v>
      </c>
      <c r="B917" s="8" t="s">
        <v>662</v>
      </c>
      <c r="C917" s="19" t="s">
        <v>6</v>
      </c>
      <c r="D917" s="19" t="s">
        <v>6</v>
      </c>
      <c r="E917" s="82" t="s">
        <v>45</v>
      </c>
      <c r="F917" s="93">
        <v>45922</v>
      </c>
    </row>
    <row r="918" spans="1:6" x14ac:dyDescent="0.25">
      <c r="A918" s="9">
        <v>104</v>
      </c>
      <c r="B918" s="8" t="s">
        <v>823</v>
      </c>
      <c r="C918" s="19" t="s">
        <v>6</v>
      </c>
      <c r="D918" s="19" t="s">
        <v>6</v>
      </c>
      <c r="E918" s="82" t="s">
        <v>150</v>
      </c>
      <c r="F918" s="93">
        <v>45922</v>
      </c>
    </row>
    <row r="919" spans="1:6" x14ac:dyDescent="0.25">
      <c r="A919" s="9">
        <v>105</v>
      </c>
      <c r="B919" s="8" t="s">
        <v>725</v>
      </c>
      <c r="C919" s="19" t="s">
        <v>6</v>
      </c>
      <c r="D919" s="19" t="s">
        <v>6</v>
      </c>
      <c r="E919" s="81" t="s">
        <v>45</v>
      </c>
      <c r="F919" s="93">
        <v>45907</v>
      </c>
    </row>
    <row r="920" spans="1:6" x14ac:dyDescent="0.25">
      <c r="A920" s="9">
        <v>106</v>
      </c>
      <c r="B920" s="8" t="s">
        <v>791</v>
      </c>
      <c r="C920" s="19" t="s">
        <v>6</v>
      </c>
      <c r="D920" s="19" t="s">
        <v>6</v>
      </c>
      <c r="E920" s="82" t="s">
        <v>150</v>
      </c>
      <c r="F920" s="93">
        <v>45929</v>
      </c>
    </row>
    <row r="921" spans="1:6" x14ac:dyDescent="0.25">
      <c r="A921" s="9">
        <v>107</v>
      </c>
      <c r="B921" s="8" t="s">
        <v>792</v>
      </c>
      <c r="C921" s="19" t="s">
        <v>6</v>
      </c>
      <c r="D921" s="19" t="s">
        <v>6</v>
      </c>
      <c r="E921" s="82" t="s">
        <v>150</v>
      </c>
      <c r="F921" s="93">
        <v>45929</v>
      </c>
    </row>
    <row r="922" spans="1:6" x14ac:dyDescent="0.25">
      <c r="A922" s="9">
        <v>108</v>
      </c>
      <c r="B922" s="8" t="s">
        <v>793</v>
      </c>
      <c r="C922" s="19" t="s">
        <v>6</v>
      </c>
      <c r="D922" s="19" t="s">
        <v>6</v>
      </c>
      <c r="E922" s="82" t="s">
        <v>44</v>
      </c>
      <c r="F922" s="93">
        <v>45922</v>
      </c>
    </row>
    <row r="923" spans="1:6" x14ac:dyDescent="0.25">
      <c r="A923" s="9">
        <v>109</v>
      </c>
      <c r="B923" s="17" t="s">
        <v>821</v>
      </c>
      <c r="C923" s="19" t="s">
        <v>6</v>
      </c>
      <c r="D923" s="19" t="s">
        <v>6</v>
      </c>
      <c r="E923" s="81" t="s">
        <v>337</v>
      </c>
      <c r="F923" s="93">
        <v>45922</v>
      </c>
    </row>
    <row r="924" spans="1:6" x14ac:dyDescent="0.25">
      <c r="A924" s="9">
        <v>110</v>
      </c>
      <c r="B924" s="17" t="s">
        <v>570</v>
      </c>
      <c r="C924" s="19" t="s">
        <v>6</v>
      </c>
      <c r="D924" s="19" t="s">
        <v>6</v>
      </c>
      <c r="E924" s="79" t="s">
        <v>45</v>
      </c>
      <c r="F924" s="93">
        <v>45929</v>
      </c>
    </row>
    <row r="925" spans="1:6" x14ac:dyDescent="0.25">
      <c r="A925" s="9">
        <v>111</v>
      </c>
      <c r="B925" s="17" t="s">
        <v>668</v>
      </c>
      <c r="C925" s="19" t="s">
        <v>6</v>
      </c>
      <c r="D925" s="19" t="s">
        <v>6</v>
      </c>
      <c r="E925" s="81" t="s">
        <v>150</v>
      </c>
      <c r="F925" s="93">
        <v>45922</v>
      </c>
    </row>
    <row r="926" spans="1:6" x14ac:dyDescent="0.25">
      <c r="A926" s="9">
        <v>112</v>
      </c>
      <c r="B926" s="48" t="s">
        <v>798</v>
      </c>
      <c r="C926" s="19" t="s">
        <v>6</v>
      </c>
      <c r="D926" s="19" t="s">
        <v>6</v>
      </c>
      <c r="E926" s="85" t="s">
        <v>45</v>
      </c>
      <c r="F926" s="93">
        <v>45922</v>
      </c>
    </row>
    <row r="927" spans="1:6" x14ac:dyDescent="0.25">
      <c r="A927" s="9">
        <v>113</v>
      </c>
      <c r="B927" s="48" t="s">
        <v>799</v>
      </c>
      <c r="C927" s="19" t="s">
        <v>6</v>
      </c>
      <c r="D927" s="19" t="s">
        <v>6</v>
      </c>
      <c r="E927" s="85" t="s">
        <v>45</v>
      </c>
      <c r="F927" s="93">
        <v>45922</v>
      </c>
    </row>
    <row r="928" spans="1:6" x14ac:dyDescent="0.25">
      <c r="A928" s="9">
        <v>114</v>
      </c>
      <c r="B928" s="48" t="s">
        <v>811</v>
      </c>
      <c r="C928" s="19" t="s">
        <v>6</v>
      </c>
      <c r="D928" s="19" t="s">
        <v>6</v>
      </c>
      <c r="E928" s="85" t="s">
        <v>45</v>
      </c>
      <c r="F928" s="93">
        <v>45949</v>
      </c>
    </row>
    <row r="929" spans="1:6" x14ac:dyDescent="0.25">
      <c r="A929" s="9">
        <v>115</v>
      </c>
      <c r="B929" s="48" t="s">
        <v>810</v>
      </c>
      <c r="C929" s="19" t="s">
        <v>6</v>
      </c>
      <c r="D929" s="19" t="s">
        <v>6</v>
      </c>
      <c r="E929" s="85" t="s">
        <v>45</v>
      </c>
      <c r="F929" s="93">
        <v>45922</v>
      </c>
    </row>
    <row r="930" spans="1:6" x14ac:dyDescent="0.25">
      <c r="A930" s="9">
        <v>116</v>
      </c>
      <c r="B930" s="48" t="s">
        <v>799</v>
      </c>
      <c r="C930" s="19" t="s">
        <v>6</v>
      </c>
      <c r="D930" s="19" t="s">
        <v>6</v>
      </c>
      <c r="E930" s="85" t="s">
        <v>45</v>
      </c>
      <c r="F930" s="93">
        <v>45922</v>
      </c>
    </row>
    <row r="931" spans="1:6" x14ac:dyDescent="0.25">
      <c r="A931" s="9">
        <v>117</v>
      </c>
      <c r="B931" s="17" t="s">
        <v>854</v>
      </c>
      <c r="C931" s="19" t="s">
        <v>6</v>
      </c>
      <c r="D931" s="19" t="s">
        <v>6</v>
      </c>
      <c r="E931" s="85" t="s">
        <v>45</v>
      </c>
      <c r="F931" s="93">
        <v>45929</v>
      </c>
    </row>
    <row r="932" spans="1:6" x14ac:dyDescent="0.25">
      <c r="A932" s="9">
        <v>118</v>
      </c>
      <c r="B932" s="17" t="s">
        <v>857</v>
      </c>
      <c r="C932" s="19" t="s">
        <v>6</v>
      </c>
      <c r="D932" s="19" t="s">
        <v>6</v>
      </c>
      <c r="E932" s="85" t="s">
        <v>45</v>
      </c>
      <c r="F932" s="93">
        <v>45929</v>
      </c>
    </row>
    <row r="933" spans="1:6" x14ac:dyDescent="0.25">
      <c r="A933" s="9">
        <v>119</v>
      </c>
      <c r="B933" s="17" t="s">
        <v>871</v>
      </c>
      <c r="C933" s="19" t="s">
        <v>6</v>
      </c>
      <c r="D933" s="19" t="s">
        <v>6</v>
      </c>
      <c r="E933" s="85" t="s">
        <v>45</v>
      </c>
      <c r="F933" s="93">
        <v>45929</v>
      </c>
    </row>
    <row r="934" spans="1:6" x14ac:dyDescent="0.25">
      <c r="A934" s="9">
        <v>120</v>
      </c>
      <c r="B934" s="17" t="s">
        <v>869</v>
      </c>
      <c r="C934" s="19" t="s">
        <v>6</v>
      </c>
      <c r="D934" s="19" t="s">
        <v>6</v>
      </c>
      <c r="E934" s="85" t="s">
        <v>45</v>
      </c>
      <c r="F934" s="93">
        <v>45929</v>
      </c>
    </row>
    <row r="935" spans="1:6" x14ac:dyDescent="0.25">
      <c r="A935" s="9">
        <v>121</v>
      </c>
      <c r="B935" s="17" t="s">
        <v>870</v>
      </c>
      <c r="C935" s="19" t="s">
        <v>6</v>
      </c>
      <c r="D935" s="19" t="s">
        <v>6</v>
      </c>
      <c r="E935" s="85" t="s">
        <v>45</v>
      </c>
      <c r="F935" s="93">
        <v>45929</v>
      </c>
    </row>
    <row r="936" spans="1:6" x14ac:dyDescent="0.25">
      <c r="A936" s="9">
        <v>122</v>
      </c>
      <c r="B936" s="17" t="s">
        <v>855</v>
      </c>
      <c r="C936" s="19" t="s">
        <v>6</v>
      </c>
      <c r="D936" s="19" t="s">
        <v>6</v>
      </c>
      <c r="E936" s="85" t="s">
        <v>45</v>
      </c>
      <c r="F936" s="93">
        <v>45929</v>
      </c>
    </row>
    <row r="937" spans="1:6" x14ac:dyDescent="0.25">
      <c r="A937" s="9">
        <v>123</v>
      </c>
      <c r="B937" s="17" t="s">
        <v>874</v>
      </c>
      <c r="C937" s="19" t="s">
        <v>6</v>
      </c>
      <c r="D937" s="19" t="s">
        <v>6</v>
      </c>
      <c r="E937" s="85" t="s">
        <v>45</v>
      </c>
      <c r="F937" s="93">
        <v>45929</v>
      </c>
    </row>
    <row r="938" spans="1:6" x14ac:dyDescent="0.25">
      <c r="A938" s="9">
        <v>124</v>
      </c>
      <c r="B938" s="17" t="s">
        <v>875</v>
      </c>
      <c r="C938" s="19" t="s">
        <v>6</v>
      </c>
      <c r="D938" s="19" t="s">
        <v>6</v>
      </c>
      <c r="E938" s="85" t="s">
        <v>45</v>
      </c>
      <c r="F938" s="93">
        <v>45929</v>
      </c>
    </row>
    <row r="939" spans="1:6" x14ac:dyDescent="0.25">
      <c r="A939" s="9">
        <v>125</v>
      </c>
      <c r="B939" s="17" t="s">
        <v>876</v>
      </c>
      <c r="C939" s="19" t="s">
        <v>6</v>
      </c>
      <c r="D939" s="19" t="s">
        <v>6</v>
      </c>
      <c r="E939" s="85" t="s">
        <v>45</v>
      </c>
      <c r="F939" s="93">
        <v>45929</v>
      </c>
    </row>
    <row r="940" spans="1:6" x14ac:dyDescent="0.25">
      <c r="A940" s="9">
        <v>126</v>
      </c>
      <c r="B940" s="17" t="s">
        <v>877</v>
      </c>
      <c r="C940" s="19" t="s">
        <v>6</v>
      </c>
      <c r="D940" s="19" t="s">
        <v>6</v>
      </c>
      <c r="E940" s="85" t="s">
        <v>45</v>
      </c>
      <c r="F940" s="93">
        <v>45929</v>
      </c>
    </row>
    <row r="941" spans="1:6" x14ac:dyDescent="0.25">
      <c r="A941" s="9">
        <v>127</v>
      </c>
      <c r="B941" s="17" t="s">
        <v>881</v>
      </c>
      <c r="C941" s="19" t="s">
        <v>6</v>
      </c>
      <c r="D941" s="19" t="s">
        <v>6</v>
      </c>
      <c r="E941" s="85" t="s">
        <v>45</v>
      </c>
      <c r="F941" s="93">
        <v>45929</v>
      </c>
    </row>
    <row r="942" spans="1:6" x14ac:dyDescent="0.25">
      <c r="A942" s="9">
        <v>128</v>
      </c>
      <c r="B942" s="17" t="s">
        <v>880</v>
      </c>
      <c r="C942" s="19" t="s">
        <v>6</v>
      </c>
      <c r="D942" s="19" t="s">
        <v>6</v>
      </c>
      <c r="E942" s="85" t="s">
        <v>45</v>
      </c>
      <c r="F942" s="93">
        <v>45929</v>
      </c>
    </row>
    <row r="943" spans="1:6" x14ac:dyDescent="0.25">
      <c r="A943" s="9">
        <v>129</v>
      </c>
      <c r="B943" s="17" t="s">
        <v>892</v>
      </c>
      <c r="C943" s="19" t="s">
        <v>6</v>
      </c>
      <c r="D943" s="19" t="s">
        <v>6</v>
      </c>
      <c r="E943" s="85" t="s">
        <v>45</v>
      </c>
      <c r="F943" s="93">
        <v>45929</v>
      </c>
    </row>
    <row r="944" spans="1:6" x14ac:dyDescent="0.25">
      <c r="A944" s="9">
        <v>130</v>
      </c>
      <c r="B944" s="17" t="s">
        <v>895</v>
      </c>
      <c r="C944" s="19" t="s">
        <v>6</v>
      </c>
      <c r="D944" s="19" t="s">
        <v>6</v>
      </c>
      <c r="E944" s="85" t="s">
        <v>45</v>
      </c>
      <c r="F944" s="93">
        <v>45929</v>
      </c>
    </row>
    <row r="945" spans="1:6" x14ac:dyDescent="0.25">
      <c r="A945" s="9">
        <v>131</v>
      </c>
      <c r="B945" s="17" t="s">
        <v>897</v>
      </c>
      <c r="C945" s="19" t="s">
        <v>6</v>
      </c>
      <c r="D945" s="19" t="s">
        <v>6</v>
      </c>
      <c r="E945" s="85" t="s">
        <v>45</v>
      </c>
      <c r="F945" s="93">
        <v>45929</v>
      </c>
    </row>
    <row r="946" spans="1:6" x14ac:dyDescent="0.25">
      <c r="A946" s="9">
        <v>132</v>
      </c>
      <c r="B946" s="17" t="s">
        <v>899</v>
      </c>
      <c r="C946" s="19" t="s">
        <v>6</v>
      </c>
      <c r="D946" s="19" t="s">
        <v>6</v>
      </c>
      <c r="E946" s="85" t="s">
        <v>45</v>
      </c>
      <c r="F946" s="93">
        <v>45929</v>
      </c>
    </row>
    <row r="947" spans="1:6" x14ac:dyDescent="0.25">
      <c r="A947" s="9">
        <v>133</v>
      </c>
      <c r="B947" s="8" t="s">
        <v>850</v>
      </c>
      <c r="C947" s="19" t="s">
        <v>6</v>
      </c>
      <c r="D947" s="19" t="s">
        <v>6</v>
      </c>
      <c r="E947" s="82" t="s">
        <v>45</v>
      </c>
      <c r="F947" s="94">
        <v>45935</v>
      </c>
    </row>
    <row r="948" spans="1:6" x14ac:dyDescent="0.25">
      <c r="A948" s="9">
        <v>134</v>
      </c>
      <c r="B948" s="8" t="s">
        <v>199</v>
      </c>
      <c r="C948" s="19" t="s">
        <v>6</v>
      </c>
      <c r="D948" s="19" t="s">
        <v>6</v>
      </c>
      <c r="E948" s="81" t="s">
        <v>39</v>
      </c>
      <c r="F948" s="94">
        <v>45935</v>
      </c>
    </row>
    <row r="949" spans="1:6" x14ac:dyDescent="0.25">
      <c r="A949" s="9">
        <v>135</v>
      </c>
      <c r="B949" s="8" t="s">
        <v>930</v>
      </c>
      <c r="C949" s="19" t="s">
        <v>6</v>
      </c>
      <c r="D949" s="19" t="s">
        <v>6</v>
      </c>
      <c r="E949" s="81" t="s">
        <v>45</v>
      </c>
      <c r="F949" s="94">
        <v>45935</v>
      </c>
    </row>
    <row r="950" spans="1:6" x14ac:dyDescent="0.25">
      <c r="A950" s="9">
        <v>136</v>
      </c>
      <c r="B950" s="8" t="s">
        <v>202</v>
      </c>
      <c r="C950" s="19" t="s">
        <v>6</v>
      </c>
      <c r="D950" s="19" t="s">
        <v>6</v>
      </c>
      <c r="E950" s="82" t="s">
        <v>42</v>
      </c>
      <c r="F950" s="94">
        <v>45935</v>
      </c>
    </row>
    <row r="951" spans="1:6" x14ac:dyDescent="0.25">
      <c r="A951" s="9">
        <v>137</v>
      </c>
      <c r="B951" s="17" t="s">
        <v>949</v>
      </c>
      <c r="C951" s="19" t="s">
        <v>6</v>
      </c>
      <c r="D951" s="19" t="s">
        <v>6</v>
      </c>
      <c r="E951" s="79" t="s">
        <v>337</v>
      </c>
      <c r="F951" s="94">
        <v>45935</v>
      </c>
    </row>
    <row r="952" spans="1:6" x14ac:dyDescent="0.25">
      <c r="A952" s="9">
        <v>138</v>
      </c>
      <c r="B952" s="48" t="s">
        <v>713</v>
      </c>
      <c r="C952" s="19" t="s">
        <v>6</v>
      </c>
      <c r="D952" s="19" t="s">
        <v>6</v>
      </c>
      <c r="E952" s="85" t="s">
        <v>45</v>
      </c>
      <c r="F952" s="94">
        <v>45935</v>
      </c>
    </row>
    <row r="953" spans="1:6" x14ac:dyDescent="0.25">
      <c r="A953" s="9">
        <v>139</v>
      </c>
      <c r="B953" s="48" t="s">
        <v>822</v>
      </c>
      <c r="C953" s="19" t="s">
        <v>6</v>
      </c>
      <c r="D953" s="19" t="s">
        <v>6</v>
      </c>
      <c r="E953" s="85" t="s">
        <v>45</v>
      </c>
      <c r="F953" s="94">
        <v>45935</v>
      </c>
    </row>
    <row r="954" spans="1:6" x14ac:dyDescent="0.25">
      <c r="A954" s="9">
        <v>140</v>
      </c>
      <c r="B954" s="17" t="s">
        <v>931</v>
      </c>
      <c r="C954" s="19" t="s">
        <v>6</v>
      </c>
      <c r="D954" s="19" t="s">
        <v>6</v>
      </c>
      <c r="E954" s="85" t="s">
        <v>45</v>
      </c>
      <c r="F954" s="94">
        <v>45935</v>
      </c>
    </row>
    <row r="955" spans="1:6" x14ac:dyDescent="0.25">
      <c r="A955" s="9">
        <v>141</v>
      </c>
      <c r="B955" s="48" t="s">
        <v>878</v>
      </c>
      <c r="C955" s="19" t="s">
        <v>6</v>
      </c>
      <c r="D955" s="19" t="s">
        <v>6</v>
      </c>
      <c r="E955" s="85" t="s">
        <v>45</v>
      </c>
      <c r="F955" s="93">
        <v>45942</v>
      </c>
    </row>
    <row r="956" spans="1:6" x14ac:dyDescent="0.25">
      <c r="A956" s="9">
        <v>142</v>
      </c>
      <c r="B956" s="17" t="s">
        <v>986</v>
      </c>
      <c r="C956" s="19" t="s">
        <v>6</v>
      </c>
      <c r="D956" s="19" t="s">
        <v>6</v>
      </c>
      <c r="E956" s="85" t="s">
        <v>337</v>
      </c>
      <c r="F956" s="93">
        <v>45942</v>
      </c>
    </row>
    <row r="957" spans="1:6" x14ac:dyDescent="0.25">
      <c r="A957" s="9">
        <v>143</v>
      </c>
      <c r="B957" s="17" t="s">
        <v>968</v>
      </c>
      <c r="C957" s="19" t="s">
        <v>6</v>
      </c>
      <c r="D957" s="19" t="s">
        <v>6</v>
      </c>
      <c r="E957" s="85" t="s">
        <v>45</v>
      </c>
      <c r="F957" s="93">
        <v>45942</v>
      </c>
    </row>
    <row r="958" spans="1:6" x14ac:dyDescent="0.25">
      <c r="A958" s="9">
        <v>144</v>
      </c>
      <c r="B958" s="17" t="s">
        <v>982</v>
      </c>
      <c r="C958" s="19" t="s">
        <v>6</v>
      </c>
      <c r="D958" s="19" t="s">
        <v>6</v>
      </c>
      <c r="E958" s="85" t="s">
        <v>45</v>
      </c>
      <c r="F958" s="93">
        <v>45942</v>
      </c>
    </row>
    <row r="959" spans="1:6" x14ac:dyDescent="0.25">
      <c r="A959" s="9">
        <v>145</v>
      </c>
      <c r="B959" s="17" t="s">
        <v>983</v>
      </c>
      <c r="C959" s="19" t="s">
        <v>6</v>
      </c>
      <c r="D959" s="19" t="s">
        <v>6</v>
      </c>
      <c r="E959" s="85" t="s">
        <v>45</v>
      </c>
      <c r="F959" s="93">
        <v>45942</v>
      </c>
    </row>
    <row r="960" spans="1:6" x14ac:dyDescent="0.25">
      <c r="A960" s="9">
        <v>146</v>
      </c>
      <c r="B960" s="17" t="s">
        <v>985</v>
      </c>
      <c r="C960" s="19" t="s">
        <v>6</v>
      </c>
      <c r="D960" s="19" t="s">
        <v>6</v>
      </c>
      <c r="E960" s="85" t="s">
        <v>45</v>
      </c>
      <c r="F960" s="93">
        <v>45942</v>
      </c>
    </row>
    <row r="961" spans="1:6" x14ac:dyDescent="0.25">
      <c r="A961" s="9">
        <v>147</v>
      </c>
      <c r="B961" s="17" t="s">
        <v>987</v>
      </c>
      <c r="C961" s="19" t="s">
        <v>6</v>
      </c>
      <c r="D961" s="19" t="s">
        <v>6</v>
      </c>
      <c r="E961" s="85" t="s">
        <v>45</v>
      </c>
      <c r="F961" s="93">
        <v>45942</v>
      </c>
    </row>
    <row r="962" spans="1:6" x14ac:dyDescent="0.25">
      <c r="A962" s="9">
        <v>148</v>
      </c>
      <c r="B962" s="8" t="s">
        <v>551</v>
      </c>
      <c r="C962" s="19" t="s">
        <v>6</v>
      </c>
      <c r="D962" s="19" t="s">
        <v>6</v>
      </c>
      <c r="E962" s="81" t="s">
        <v>151</v>
      </c>
      <c r="F962" s="93">
        <v>45949</v>
      </c>
    </row>
    <row r="963" spans="1:6" x14ac:dyDescent="0.25">
      <c r="A963" s="9">
        <v>149</v>
      </c>
      <c r="B963" s="17" t="s">
        <v>757</v>
      </c>
      <c r="C963" s="19" t="s">
        <v>6</v>
      </c>
      <c r="D963" s="19" t="s">
        <v>6</v>
      </c>
      <c r="E963" s="85" t="s">
        <v>45</v>
      </c>
      <c r="F963" s="93">
        <v>45949</v>
      </c>
    </row>
    <row r="964" spans="1:6" x14ac:dyDescent="0.25">
      <c r="A964" s="9">
        <v>150</v>
      </c>
      <c r="B964" s="48" t="s">
        <v>820</v>
      </c>
      <c r="C964" s="19" t="s">
        <v>6</v>
      </c>
      <c r="D964" s="19" t="s">
        <v>6</v>
      </c>
      <c r="E964" s="85" t="s">
        <v>45</v>
      </c>
      <c r="F964" s="93">
        <v>45949</v>
      </c>
    </row>
    <row r="965" spans="1:6" x14ac:dyDescent="0.25">
      <c r="A965" s="9">
        <v>151</v>
      </c>
      <c r="B965" s="17" t="s">
        <v>898</v>
      </c>
      <c r="C965" s="19" t="s">
        <v>6</v>
      </c>
      <c r="D965" s="19" t="s">
        <v>6</v>
      </c>
      <c r="E965" s="85" t="s">
        <v>45</v>
      </c>
      <c r="F965" s="93">
        <v>45949</v>
      </c>
    </row>
    <row r="966" spans="1:6" x14ac:dyDescent="0.25">
      <c r="A966" s="9">
        <v>152</v>
      </c>
      <c r="B966" s="17" t="s">
        <v>951</v>
      </c>
      <c r="C966" s="19" t="s">
        <v>6</v>
      </c>
      <c r="D966" s="19" t="s">
        <v>6</v>
      </c>
      <c r="E966" s="85" t="s">
        <v>337</v>
      </c>
      <c r="F966" s="93">
        <v>45949</v>
      </c>
    </row>
    <row r="967" spans="1:6" x14ac:dyDescent="0.25">
      <c r="A967" s="9">
        <v>153</v>
      </c>
      <c r="B967" s="17" t="s">
        <v>1000</v>
      </c>
      <c r="C967" s="19" t="s">
        <v>6</v>
      </c>
      <c r="D967" s="19" t="s">
        <v>6</v>
      </c>
      <c r="E967" s="81" t="s">
        <v>150</v>
      </c>
      <c r="F967" s="93">
        <v>45949</v>
      </c>
    </row>
    <row r="968" spans="1:6" x14ac:dyDescent="0.25">
      <c r="A968" s="9">
        <v>154</v>
      </c>
      <c r="B968" s="17" t="s">
        <v>1017</v>
      </c>
      <c r="C968" s="19" t="s">
        <v>6</v>
      </c>
      <c r="D968" s="19" t="s">
        <v>6</v>
      </c>
      <c r="E968" s="85" t="s">
        <v>45</v>
      </c>
      <c r="F968" s="93">
        <v>45949</v>
      </c>
    </row>
    <row r="969" spans="1:6" x14ac:dyDescent="0.25">
      <c r="A969" s="9">
        <v>155</v>
      </c>
      <c r="B969" s="17" t="s">
        <v>955</v>
      </c>
      <c r="C969" s="19" t="s">
        <v>6</v>
      </c>
      <c r="D969" s="19" t="s">
        <v>6</v>
      </c>
      <c r="E969" s="85" t="s">
        <v>337</v>
      </c>
      <c r="F969" s="93">
        <v>45956</v>
      </c>
    </row>
    <row r="970" spans="1:6" x14ac:dyDescent="0.25">
      <c r="A970" s="9">
        <v>156</v>
      </c>
      <c r="B970" s="17" t="s">
        <v>1018</v>
      </c>
      <c r="C970" s="19" t="s">
        <v>6</v>
      </c>
      <c r="D970" s="19" t="s">
        <v>6</v>
      </c>
      <c r="E970" s="85" t="s">
        <v>45</v>
      </c>
      <c r="F970" s="93">
        <v>45956</v>
      </c>
    </row>
    <row r="971" spans="1:6" x14ac:dyDescent="0.25">
      <c r="A971" s="9">
        <v>157</v>
      </c>
      <c r="B971" s="17" t="s">
        <v>1030</v>
      </c>
      <c r="C971" s="19" t="s">
        <v>6</v>
      </c>
      <c r="D971" s="19" t="s">
        <v>6</v>
      </c>
      <c r="E971" s="85" t="s">
        <v>45</v>
      </c>
      <c r="F971" s="93">
        <v>45956</v>
      </c>
    </row>
    <row r="972" spans="1:6" x14ac:dyDescent="0.25">
      <c r="A972" s="9">
        <v>158</v>
      </c>
      <c r="B972" s="17" t="s">
        <v>1031</v>
      </c>
      <c r="C972" s="19" t="s">
        <v>6</v>
      </c>
      <c r="D972" s="19" t="s">
        <v>6</v>
      </c>
      <c r="E972" s="85" t="s">
        <v>45</v>
      </c>
      <c r="F972" s="93">
        <v>45956</v>
      </c>
    </row>
    <row r="973" spans="1:6" x14ac:dyDescent="0.25">
      <c r="A973" s="9">
        <v>159</v>
      </c>
      <c r="B973" s="17" t="s">
        <v>1032</v>
      </c>
      <c r="C973" s="19" t="s">
        <v>6</v>
      </c>
      <c r="D973" s="19" t="s">
        <v>6</v>
      </c>
      <c r="E973" s="85" t="s">
        <v>45</v>
      </c>
      <c r="F973" s="93">
        <v>45956</v>
      </c>
    </row>
    <row r="974" spans="1:6" x14ac:dyDescent="0.25">
      <c r="A974" s="9">
        <v>160</v>
      </c>
      <c r="B974" s="17" t="s">
        <v>1034</v>
      </c>
      <c r="C974" s="19" t="s">
        <v>6</v>
      </c>
      <c r="D974" s="19" t="s">
        <v>6</v>
      </c>
      <c r="E974" s="85" t="s">
        <v>45</v>
      </c>
      <c r="F974" s="93">
        <v>45956</v>
      </c>
    </row>
    <row r="975" spans="1:6" x14ac:dyDescent="0.25">
      <c r="A975" s="9">
        <v>161</v>
      </c>
      <c r="B975" s="17" t="s">
        <v>1035</v>
      </c>
      <c r="C975" s="19" t="s">
        <v>6</v>
      </c>
      <c r="D975" s="19" t="s">
        <v>6</v>
      </c>
      <c r="E975" s="85" t="s">
        <v>45</v>
      </c>
      <c r="F975" s="93">
        <v>45956</v>
      </c>
    </row>
    <row r="976" spans="1:6" x14ac:dyDescent="0.25">
      <c r="A976" s="9">
        <v>162</v>
      </c>
      <c r="B976" s="17" t="s">
        <v>1053</v>
      </c>
      <c r="C976" s="19" t="s">
        <v>6</v>
      </c>
      <c r="D976" s="19" t="s">
        <v>6</v>
      </c>
      <c r="E976" s="85" t="s">
        <v>45</v>
      </c>
      <c r="F976" s="93">
        <v>45956</v>
      </c>
    </row>
    <row r="977" spans="1:6" x14ac:dyDescent="0.25">
      <c r="A977" s="9">
        <v>163</v>
      </c>
      <c r="B977" s="17" t="s">
        <v>1054</v>
      </c>
      <c r="C977" s="19" t="s">
        <v>6</v>
      </c>
      <c r="D977" s="19" t="s">
        <v>6</v>
      </c>
      <c r="E977" s="85" t="s">
        <v>45</v>
      </c>
      <c r="F977" s="93">
        <v>45956</v>
      </c>
    </row>
    <row r="978" spans="1:6" x14ac:dyDescent="0.25">
      <c r="A978" s="9">
        <v>164</v>
      </c>
      <c r="B978" s="17" t="s">
        <v>1056</v>
      </c>
      <c r="C978" s="19" t="s">
        <v>6</v>
      </c>
      <c r="D978" s="19" t="s">
        <v>6</v>
      </c>
      <c r="E978" s="85" t="s">
        <v>45</v>
      </c>
      <c r="F978" s="93">
        <v>45956</v>
      </c>
    </row>
    <row r="979" spans="1:6" x14ac:dyDescent="0.25">
      <c r="A979" s="9">
        <v>165</v>
      </c>
      <c r="B979" s="17" t="s">
        <v>1059</v>
      </c>
      <c r="C979" s="19" t="s">
        <v>6</v>
      </c>
      <c r="D979" s="19" t="s">
        <v>6</v>
      </c>
      <c r="E979" s="85" t="s">
        <v>45</v>
      </c>
      <c r="F979" s="93">
        <v>45956</v>
      </c>
    </row>
    <row r="980" spans="1:6" x14ac:dyDescent="0.25">
      <c r="A980" s="9">
        <v>166</v>
      </c>
      <c r="B980" s="8" t="s">
        <v>1075</v>
      </c>
      <c r="C980" s="19" t="s">
        <v>6</v>
      </c>
      <c r="D980" s="19" t="s">
        <v>6</v>
      </c>
      <c r="E980" s="82" t="s">
        <v>45</v>
      </c>
      <c r="F980" s="93">
        <v>45964</v>
      </c>
    </row>
    <row r="981" spans="1:6" x14ac:dyDescent="0.25">
      <c r="A981" s="9">
        <v>167</v>
      </c>
      <c r="B981" s="8" t="s">
        <v>1080</v>
      </c>
      <c r="C981" s="19" t="s">
        <v>6</v>
      </c>
      <c r="D981" s="19" t="s">
        <v>6</v>
      </c>
      <c r="E981" s="82" t="s">
        <v>337</v>
      </c>
      <c r="F981" s="93">
        <v>45964</v>
      </c>
    </row>
    <row r="982" spans="1:6" x14ac:dyDescent="0.25">
      <c r="A982" s="9">
        <v>168</v>
      </c>
      <c r="B982" s="8" t="s">
        <v>203</v>
      </c>
      <c r="C982" s="19" t="s">
        <v>6</v>
      </c>
      <c r="D982" s="19" t="s">
        <v>6</v>
      </c>
      <c r="E982" s="82" t="s">
        <v>42</v>
      </c>
      <c r="F982" s="93">
        <v>45964</v>
      </c>
    </row>
    <row r="983" spans="1:6" x14ac:dyDescent="0.25">
      <c r="A983" s="9">
        <v>169</v>
      </c>
      <c r="B983" s="17" t="s">
        <v>969</v>
      </c>
      <c r="C983" s="19" t="s">
        <v>6</v>
      </c>
      <c r="D983" s="19" t="s">
        <v>6</v>
      </c>
      <c r="E983" s="85" t="s">
        <v>45</v>
      </c>
      <c r="F983" s="93">
        <v>45964</v>
      </c>
    </row>
    <row r="984" spans="1:6" x14ac:dyDescent="0.25">
      <c r="A984" s="9">
        <v>170</v>
      </c>
      <c r="B984" s="17" t="s">
        <v>984</v>
      </c>
      <c r="C984" s="19" t="s">
        <v>6</v>
      </c>
      <c r="D984" s="19" t="s">
        <v>6</v>
      </c>
      <c r="E984" s="85" t="s">
        <v>45</v>
      </c>
      <c r="F984" s="93">
        <v>45964</v>
      </c>
    </row>
    <row r="985" spans="1:6" x14ac:dyDescent="0.25">
      <c r="A985" s="9">
        <v>171</v>
      </c>
      <c r="B985" s="17" t="s">
        <v>1070</v>
      </c>
      <c r="C985" s="19" t="s">
        <v>6</v>
      </c>
      <c r="D985" s="19" t="s">
        <v>6</v>
      </c>
      <c r="E985" s="85" t="s">
        <v>45</v>
      </c>
      <c r="F985" s="93">
        <v>45964</v>
      </c>
    </row>
    <row r="986" spans="1:6" x14ac:dyDescent="0.25">
      <c r="A986" s="9">
        <v>172</v>
      </c>
      <c r="B986" s="8" t="s">
        <v>637</v>
      </c>
      <c r="C986" s="19" t="s">
        <v>6</v>
      </c>
      <c r="D986" s="19" t="s">
        <v>6</v>
      </c>
      <c r="E986" s="82" t="s">
        <v>45</v>
      </c>
      <c r="F986" s="93">
        <v>45970</v>
      </c>
    </row>
    <row r="987" spans="1:6" x14ac:dyDescent="0.25">
      <c r="A987" s="9">
        <v>173</v>
      </c>
      <c r="B987" s="8" t="s">
        <v>1099</v>
      </c>
      <c r="C987" s="19" t="s">
        <v>6</v>
      </c>
      <c r="D987" s="19" t="s">
        <v>6</v>
      </c>
      <c r="E987" s="82" t="s">
        <v>337</v>
      </c>
      <c r="F987" s="93">
        <v>45970</v>
      </c>
    </row>
    <row r="988" spans="1:6" x14ac:dyDescent="0.25">
      <c r="A988" s="9">
        <v>174</v>
      </c>
      <c r="B988" s="8" t="s">
        <v>200</v>
      </c>
      <c r="C988" s="19" t="s">
        <v>6</v>
      </c>
      <c r="D988" s="19" t="s">
        <v>6</v>
      </c>
      <c r="E988" s="82" t="s">
        <v>44</v>
      </c>
      <c r="F988" s="93">
        <v>45970</v>
      </c>
    </row>
    <row r="989" spans="1:6" x14ac:dyDescent="0.25">
      <c r="A989" s="9">
        <v>175</v>
      </c>
      <c r="B989" s="17" t="s">
        <v>634</v>
      </c>
      <c r="C989" s="19" t="s">
        <v>6</v>
      </c>
      <c r="D989" s="19" t="s">
        <v>6</v>
      </c>
      <c r="E989" s="79" t="s">
        <v>45</v>
      </c>
      <c r="F989" s="93">
        <v>45970</v>
      </c>
    </row>
    <row r="990" spans="1:6" x14ac:dyDescent="0.25">
      <c r="A990" s="9">
        <v>176</v>
      </c>
      <c r="B990" s="17" t="s">
        <v>666</v>
      </c>
      <c r="C990" s="19" t="s">
        <v>6</v>
      </c>
      <c r="D990" s="19" t="s">
        <v>6</v>
      </c>
      <c r="E990" s="79" t="s">
        <v>45</v>
      </c>
      <c r="F990" s="93">
        <v>45970</v>
      </c>
    </row>
    <row r="991" spans="1:6" x14ac:dyDescent="0.25">
      <c r="A991" s="9">
        <v>177</v>
      </c>
      <c r="B991" s="48" t="s">
        <v>737</v>
      </c>
      <c r="C991" s="19" t="s">
        <v>6</v>
      </c>
      <c r="D991" s="19" t="s">
        <v>6</v>
      </c>
      <c r="E991" s="85" t="s">
        <v>45</v>
      </c>
      <c r="F991" s="93">
        <v>45970</v>
      </c>
    </row>
    <row r="992" spans="1:6" x14ac:dyDescent="0.25">
      <c r="A992" s="9">
        <v>178</v>
      </c>
      <c r="B992" s="17" t="s">
        <v>1094</v>
      </c>
      <c r="C992" s="19" t="s">
        <v>6</v>
      </c>
      <c r="D992" s="19" t="s">
        <v>6</v>
      </c>
      <c r="E992" s="85" t="s">
        <v>45</v>
      </c>
      <c r="F992" s="93">
        <v>45970</v>
      </c>
    </row>
    <row r="993" spans="1:6" x14ac:dyDescent="0.25">
      <c r="A993" s="9">
        <v>179</v>
      </c>
      <c r="B993" s="17" t="s">
        <v>1101</v>
      </c>
      <c r="C993" s="19" t="s">
        <v>6</v>
      </c>
      <c r="D993" s="19" t="s">
        <v>6</v>
      </c>
      <c r="E993" s="85" t="s">
        <v>45</v>
      </c>
      <c r="F993" s="93">
        <v>45970</v>
      </c>
    </row>
    <row r="994" spans="1:6" x14ac:dyDescent="0.25">
      <c r="A994" s="9">
        <v>180</v>
      </c>
      <c r="B994" s="17" t="s">
        <v>1102</v>
      </c>
      <c r="C994" s="19" t="s">
        <v>6</v>
      </c>
      <c r="D994" s="19" t="s">
        <v>6</v>
      </c>
      <c r="E994" s="85" t="s">
        <v>45</v>
      </c>
      <c r="F994" s="93">
        <v>45970</v>
      </c>
    </row>
    <row r="995" spans="1:6" x14ac:dyDescent="0.25">
      <c r="A995" s="9">
        <v>181</v>
      </c>
      <c r="B995" s="17" t="s">
        <v>1018</v>
      </c>
      <c r="C995" s="19" t="s">
        <v>6</v>
      </c>
      <c r="D995" s="19" t="s">
        <v>6</v>
      </c>
      <c r="E995" s="85" t="s">
        <v>45</v>
      </c>
      <c r="F995" s="93">
        <v>45970</v>
      </c>
    </row>
    <row r="996" spans="1:6" x14ac:dyDescent="0.25">
      <c r="A996" s="9">
        <v>182</v>
      </c>
      <c r="B996" s="8" t="s">
        <v>1108</v>
      </c>
      <c r="C996" s="19" t="s">
        <v>6</v>
      </c>
      <c r="D996" s="19" t="s">
        <v>6</v>
      </c>
      <c r="E996" s="82" t="s">
        <v>45</v>
      </c>
      <c r="F996" s="93">
        <v>45977</v>
      </c>
    </row>
    <row r="997" spans="1:6" x14ac:dyDescent="0.25">
      <c r="A997" s="9">
        <v>183</v>
      </c>
      <c r="B997" s="8" t="s">
        <v>1110</v>
      </c>
      <c r="C997" s="19" t="s">
        <v>6</v>
      </c>
      <c r="D997" s="19" t="s">
        <v>6</v>
      </c>
      <c r="E997" s="82" t="s">
        <v>45</v>
      </c>
      <c r="F997" s="93">
        <v>45977</v>
      </c>
    </row>
    <row r="998" spans="1:6" x14ac:dyDescent="0.25">
      <c r="A998" s="9">
        <v>184</v>
      </c>
      <c r="B998" s="8" t="s">
        <v>1123</v>
      </c>
      <c r="C998" s="19" t="s">
        <v>6</v>
      </c>
      <c r="D998" s="19" t="s">
        <v>6</v>
      </c>
      <c r="E998" s="82" t="s">
        <v>45</v>
      </c>
      <c r="F998" s="93">
        <v>45984</v>
      </c>
    </row>
    <row r="999" spans="1:6" x14ac:dyDescent="0.25">
      <c r="A999" s="9">
        <v>185</v>
      </c>
      <c r="B999" s="8" t="s">
        <v>1078</v>
      </c>
      <c r="C999" s="19" t="s">
        <v>6</v>
      </c>
      <c r="D999" s="19" t="s">
        <v>6</v>
      </c>
      <c r="E999" s="82" t="s">
        <v>42</v>
      </c>
      <c r="F999" s="93">
        <v>45977</v>
      </c>
    </row>
    <row r="1000" spans="1:6" x14ac:dyDescent="0.25">
      <c r="A1000" s="9">
        <v>186</v>
      </c>
      <c r="B1000" s="8" t="s">
        <v>188</v>
      </c>
      <c r="C1000" s="19" t="s">
        <v>6</v>
      </c>
      <c r="D1000" s="19" t="s">
        <v>6</v>
      </c>
      <c r="E1000" s="81" t="s">
        <v>45</v>
      </c>
      <c r="F1000" s="93">
        <v>45984</v>
      </c>
    </row>
    <row r="1001" spans="1:6" x14ac:dyDescent="0.25">
      <c r="A1001" s="9">
        <v>187</v>
      </c>
      <c r="B1001" s="8" t="s">
        <v>1112</v>
      </c>
      <c r="C1001" s="19" t="s">
        <v>6</v>
      </c>
      <c r="D1001" s="19" t="s">
        <v>6</v>
      </c>
      <c r="E1001" s="82" t="s">
        <v>45</v>
      </c>
      <c r="F1001" s="93">
        <v>45984</v>
      </c>
    </row>
    <row r="1002" spans="1:6" x14ac:dyDescent="0.25">
      <c r="A1002" s="9">
        <v>188</v>
      </c>
      <c r="B1002" s="17" t="s">
        <v>896</v>
      </c>
      <c r="C1002" s="19" t="s">
        <v>6</v>
      </c>
      <c r="D1002" s="19" t="s">
        <v>6</v>
      </c>
      <c r="E1002" s="85" t="s">
        <v>45</v>
      </c>
      <c r="F1002" s="93">
        <v>45977</v>
      </c>
    </row>
    <row r="1003" spans="1:6" x14ac:dyDescent="0.25">
      <c r="A1003" s="9">
        <v>189</v>
      </c>
      <c r="B1003" s="17" t="s">
        <v>950</v>
      </c>
      <c r="C1003" s="19" t="s">
        <v>6</v>
      </c>
      <c r="D1003" s="19" t="s">
        <v>6</v>
      </c>
      <c r="E1003" s="85" t="s">
        <v>150</v>
      </c>
      <c r="F1003" s="93">
        <v>45977</v>
      </c>
    </row>
    <row r="1004" spans="1:6" x14ac:dyDescent="0.25">
      <c r="A1004" s="9">
        <v>190</v>
      </c>
      <c r="B1004" s="17" t="s">
        <v>1008</v>
      </c>
      <c r="C1004" s="19" t="s">
        <v>6</v>
      </c>
      <c r="D1004" s="19" t="s">
        <v>6</v>
      </c>
      <c r="E1004" s="85" t="s">
        <v>45</v>
      </c>
      <c r="F1004" s="93">
        <v>45977</v>
      </c>
    </row>
    <row r="1005" spans="1:6" x14ac:dyDescent="0.25">
      <c r="A1005" s="9">
        <v>191</v>
      </c>
      <c r="B1005" s="17" t="s">
        <v>1058</v>
      </c>
      <c r="C1005" s="19" t="s">
        <v>6</v>
      </c>
      <c r="D1005" s="19" t="s">
        <v>6</v>
      </c>
      <c r="E1005" s="85" t="s">
        <v>45</v>
      </c>
      <c r="F1005" s="93">
        <v>45984</v>
      </c>
    </row>
    <row r="1006" spans="1:6" x14ac:dyDescent="0.25">
      <c r="A1006" s="9">
        <v>192</v>
      </c>
      <c r="B1006" s="17" t="s">
        <v>1072</v>
      </c>
      <c r="C1006" s="19" t="s">
        <v>6</v>
      </c>
      <c r="D1006" s="19" t="s">
        <v>6</v>
      </c>
      <c r="E1006" s="85" t="s">
        <v>45</v>
      </c>
      <c r="F1006" s="93">
        <v>45977</v>
      </c>
    </row>
    <row r="1007" spans="1:6" x14ac:dyDescent="0.25">
      <c r="A1007" s="9">
        <v>193</v>
      </c>
      <c r="B1007" s="17" t="s">
        <v>1122</v>
      </c>
      <c r="C1007" s="19" t="s">
        <v>6</v>
      </c>
      <c r="D1007" s="19" t="s">
        <v>6</v>
      </c>
      <c r="E1007" s="85" t="s">
        <v>45</v>
      </c>
      <c r="F1007" s="93">
        <v>45984</v>
      </c>
    </row>
    <row r="1008" spans="1:6" x14ac:dyDescent="0.25">
      <c r="A1008" s="9">
        <v>194</v>
      </c>
      <c r="B1008" s="17" t="s">
        <v>1100</v>
      </c>
      <c r="C1008" s="19" t="s">
        <v>6</v>
      </c>
      <c r="D1008" s="19" t="s">
        <v>6</v>
      </c>
      <c r="E1008" s="85" t="s">
        <v>45</v>
      </c>
      <c r="F1008" s="93">
        <v>46005</v>
      </c>
    </row>
    <row r="1009" spans="1:7" x14ac:dyDescent="0.25">
      <c r="A1009" s="9">
        <v>195</v>
      </c>
      <c r="B1009" s="17" t="s">
        <v>1111</v>
      </c>
      <c r="C1009" s="19" t="s">
        <v>6</v>
      </c>
      <c r="D1009" s="19" t="s">
        <v>6</v>
      </c>
      <c r="E1009" s="85" t="s">
        <v>45</v>
      </c>
      <c r="F1009" s="93">
        <v>45977</v>
      </c>
    </row>
    <row r="1010" spans="1:7" x14ac:dyDescent="0.25">
      <c r="A1010" s="9">
        <v>196</v>
      </c>
      <c r="B1010" s="17" t="s">
        <v>1113</v>
      </c>
      <c r="C1010" s="19" t="s">
        <v>6</v>
      </c>
      <c r="D1010" s="19" t="s">
        <v>6</v>
      </c>
      <c r="E1010" s="85" t="s">
        <v>45</v>
      </c>
      <c r="F1010" s="93">
        <v>45977</v>
      </c>
    </row>
    <row r="1011" spans="1:7" x14ac:dyDescent="0.25">
      <c r="A1011" s="9">
        <v>197</v>
      </c>
      <c r="B1011" s="17" t="s">
        <v>683</v>
      </c>
      <c r="C1011" s="19" t="s">
        <v>6</v>
      </c>
      <c r="D1011" s="19" t="s">
        <v>6</v>
      </c>
      <c r="E1011" s="85" t="s">
        <v>45</v>
      </c>
      <c r="F1011" s="93">
        <v>45977</v>
      </c>
    </row>
    <row r="1012" spans="1:7" x14ac:dyDescent="0.25">
      <c r="A1012" s="9">
        <v>198</v>
      </c>
      <c r="B1012" s="17" t="s">
        <v>1140</v>
      </c>
      <c r="C1012" s="19" t="s">
        <v>6</v>
      </c>
      <c r="D1012" s="19" t="s">
        <v>6</v>
      </c>
      <c r="E1012" s="85" t="s">
        <v>45</v>
      </c>
      <c r="F1012" s="93">
        <v>45984</v>
      </c>
    </row>
    <row r="1013" spans="1:7" x14ac:dyDescent="0.25">
      <c r="A1013" s="9">
        <v>199</v>
      </c>
      <c r="B1013" s="17" t="s">
        <v>1117</v>
      </c>
      <c r="C1013" s="19" t="s">
        <v>6</v>
      </c>
      <c r="D1013" s="19" t="s">
        <v>6</v>
      </c>
      <c r="E1013" s="85" t="s">
        <v>45</v>
      </c>
      <c r="F1013" s="93">
        <v>45984</v>
      </c>
    </row>
    <row r="1014" spans="1:7" x14ac:dyDescent="0.25">
      <c r="A1014" s="9">
        <v>200</v>
      </c>
      <c r="B1014" s="17" t="s">
        <v>1119</v>
      </c>
      <c r="C1014" s="19" t="s">
        <v>6</v>
      </c>
      <c r="D1014" s="19" t="s">
        <v>6</v>
      </c>
      <c r="E1014" s="85" t="s">
        <v>45</v>
      </c>
      <c r="F1014" s="93">
        <v>45977</v>
      </c>
    </row>
    <row r="1015" spans="1:7" x14ac:dyDescent="0.25">
      <c r="A1015" s="9">
        <v>201</v>
      </c>
      <c r="B1015" s="17" t="s">
        <v>1120</v>
      </c>
      <c r="C1015" s="19" t="s">
        <v>6</v>
      </c>
      <c r="D1015" s="19" t="s">
        <v>6</v>
      </c>
      <c r="E1015" s="85" t="s">
        <v>45</v>
      </c>
      <c r="F1015" s="93">
        <v>45977</v>
      </c>
    </row>
    <row r="1016" spans="1:7" x14ac:dyDescent="0.25">
      <c r="A1016" s="9">
        <v>202</v>
      </c>
      <c r="B1016" s="17" t="s">
        <v>1124</v>
      </c>
      <c r="C1016" s="19" t="s">
        <v>6</v>
      </c>
      <c r="D1016" s="19" t="s">
        <v>6</v>
      </c>
      <c r="E1016" s="85" t="s">
        <v>45</v>
      </c>
      <c r="F1016" s="93">
        <v>45984</v>
      </c>
    </row>
    <row r="1017" spans="1:7" x14ac:dyDescent="0.25">
      <c r="A1017" s="9">
        <v>203</v>
      </c>
      <c r="B1017" s="17" t="s">
        <v>1127</v>
      </c>
      <c r="C1017" s="19" t="s">
        <v>6</v>
      </c>
      <c r="D1017" s="19" t="s">
        <v>6</v>
      </c>
      <c r="E1017" s="85" t="s">
        <v>45</v>
      </c>
      <c r="F1017" s="93">
        <v>45984</v>
      </c>
    </row>
    <row r="1018" spans="1:7" x14ac:dyDescent="0.25">
      <c r="A1018" s="9">
        <v>204</v>
      </c>
      <c r="B1018" s="8" t="s">
        <v>328</v>
      </c>
      <c r="C1018" s="19" t="s">
        <v>6</v>
      </c>
      <c r="D1018" s="19" t="s">
        <v>6</v>
      </c>
      <c r="E1018" s="82" t="s">
        <v>42</v>
      </c>
      <c r="F1018" s="94">
        <v>45998</v>
      </c>
    </row>
    <row r="1019" spans="1:7" x14ac:dyDescent="0.25">
      <c r="A1019" s="9">
        <v>205</v>
      </c>
      <c r="B1019" s="8" t="s">
        <v>1069</v>
      </c>
      <c r="C1019" s="19" t="s">
        <v>6</v>
      </c>
      <c r="D1019" s="19" t="s">
        <v>6</v>
      </c>
      <c r="E1019" s="82" t="s">
        <v>45</v>
      </c>
      <c r="F1019" s="94">
        <v>45998</v>
      </c>
    </row>
    <row r="1020" spans="1:7" x14ac:dyDescent="0.25">
      <c r="A1020" s="9">
        <v>206</v>
      </c>
      <c r="B1020" s="8" t="s">
        <v>326</v>
      </c>
      <c r="C1020" s="19" t="s">
        <v>6</v>
      </c>
      <c r="D1020" s="19" t="s">
        <v>6</v>
      </c>
      <c r="E1020" s="82" t="s">
        <v>45</v>
      </c>
      <c r="F1020" s="93">
        <v>45992</v>
      </c>
    </row>
    <row r="1021" spans="1:7" x14ac:dyDescent="0.25">
      <c r="A1021" s="9">
        <v>207</v>
      </c>
      <c r="B1021" s="8" t="s">
        <v>894</v>
      </c>
      <c r="C1021" s="19" t="s">
        <v>6</v>
      </c>
      <c r="D1021" s="19" t="s">
        <v>6</v>
      </c>
      <c r="E1021" s="81" t="s">
        <v>45</v>
      </c>
      <c r="F1021" s="93">
        <v>46005</v>
      </c>
    </row>
    <row r="1022" spans="1:7" ht="15.75" x14ac:dyDescent="0.25">
      <c r="A1022" s="9">
        <v>208</v>
      </c>
      <c r="B1022" s="8" t="s">
        <v>259</v>
      </c>
      <c r="C1022" s="19" t="s">
        <v>6</v>
      </c>
      <c r="D1022" s="19" t="s">
        <v>6</v>
      </c>
      <c r="E1022" s="78" t="s">
        <v>383</v>
      </c>
      <c r="F1022" s="93">
        <v>45992</v>
      </c>
    </row>
    <row r="1023" spans="1:7" x14ac:dyDescent="0.25">
      <c r="A1023" s="9">
        <v>209</v>
      </c>
      <c r="B1023" s="33" t="s">
        <v>900</v>
      </c>
      <c r="C1023" s="19" t="s">
        <v>6</v>
      </c>
      <c r="D1023" s="19" t="s">
        <v>6</v>
      </c>
      <c r="E1023" s="79" t="s">
        <v>337</v>
      </c>
      <c r="F1023" s="93">
        <v>45992</v>
      </c>
      <c r="G1023" s="126">
        <v>584246241775</v>
      </c>
    </row>
    <row r="1024" spans="1:7" x14ac:dyDescent="0.25">
      <c r="A1024" s="9">
        <v>210</v>
      </c>
      <c r="B1024" s="33" t="s">
        <v>539</v>
      </c>
      <c r="C1024" s="19" t="s">
        <v>6</v>
      </c>
      <c r="D1024" s="19" t="s">
        <v>6</v>
      </c>
      <c r="E1024" s="79" t="s">
        <v>45</v>
      </c>
      <c r="F1024" s="93">
        <v>46005</v>
      </c>
    </row>
    <row r="1025" spans="1:6" x14ac:dyDescent="0.25">
      <c r="A1025" s="9">
        <v>211</v>
      </c>
      <c r="B1025" s="33" t="s">
        <v>625</v>
      </c>
      <c r="C1025" s="19" t="s">
        <v>6</v>
      </c>
      <c r="D1025" s="19" t="s">
        <v>6</v>
      </c>
      <c r="E1025" s="79" t="s">
        <v>45</v>
      </c>
      <c r="F1025" s="93">
        <v>45992</v>
      </c>
    </row>
    <row r="1026" spans="1:6" x14ac:dyDescent="0.25">
      <c r="A1026" s="9">
        <v>212</v>
      </c>
      <c r="B1026" s="48" t="s">
        <v>1160</v>
      </c>
      <c r="C1026" s="19" t="s">
        <v>6</v>
      </c>
      <c r="D1026" s="19" t="s">
        <v>6</v>
      </c>
      <c r="E1026" s="85" t="s">
        <v>45</v>
      </c>
      <c r="F1026" s="93">
        <v>45992</v>
      </c>
    </row>
    <row r="1027" spans="1:6" x14ac:dyDescent="0.25">
      <c r="A1027" s="9">
        <v>213</v>
      </c>
      <c r="B1027" s="48" t="s">
        <v>189</v>
      </c>
      <c r="C1027" s="19" t="s">
        <v>6</v>
      </c>
      <c r="D1027" s="19" t="s">
        <v>6</v>
      </c>
      <c r="E1027" s="85" t="s">
        <v>45</v>
      </c>
      <c r="F1027" s="93">
        <v>46005</v>
      </c>
    </row>
    <row r="1028" spans="1:6" x14ac:dyDescent="0.25">
      <c r="A1028" s="9">
        <v>214</v>
      </c>
      <c r="B1028" s="48" t="s">
        <v>824</v>
      </c>
      <c r="C1028" s="19" t="s">
        <v>6</v>
      </c>
      <c r="D1028" s="19" t="s">
        <v>6</v>
      </c>
      <c r="E1028" s="85" t="s">
        <v>45</v>
      </c>
      <c r="F1028" s="93">
        <v>46005</v>
      </c>
    </row>
    <row r="1029" spans="1:6" x14ac:dyDescent="0.25">
      <c r="A1029" s="9">
        <v>215</v>
      </c>
      <c r="B1029" s="17" t="s">
        <v>942</v>
      </c>
      <c r="C1029" s="19" t="s">
        <v>6</v>
      </c>
      <c r="D1029" s="19" t="s">
        <v>6</v>
      </c>
      <c r="E1029" s="85" t="s">
        <v>150</v>
      </c>
      <c r="F1029" s="94">
        <v>45998</v>
      </c>
    </row>
    <row r="1030" spans="1:6" x14ac:dyDescent="0.25">
      <c r="A1030" s="9">
        <v>216</v>
      </c>
      <c r="B1030" s="17" t="s">
        <v>940</v>
      </c>
      <c r="C1030" s="19" t="s">
        <v>6</v>
      </c>
      <c r="D1030" s="19" t="s">
        <v>6</v>
      </c>
      <c r="E1030" s="85" t="s">
        <v>45</v>
      </c>
      <c r="F1030" s="93">
        <v>46005</v>
      </c>
    </row>
    <row r="1031" spans="1:6" x14ac:dyDescent="0.25">
      <c r="A1031" s="9">
        <v>217</v>
      </c>
      <c r="B1031" s="17" t="s">
        <v>941</v>
      </c>
      <c r="C1031" s="19" t="s">
        <v>6</v>
      </c>
      <c r="D1031" s="19" t="s">
        <v>6</v>
      </c>
      <c r="E1031" s="85" t="s">
        <v>45</v>
      </c>
      <c r="F1031" s="94">
        <v>45998</v>
      </c>
    </row>
    <row r="1032" spans="1:6" x14ac:dyDescent="0.25">
      <c r="A1032" s="9">
        <v>218</v>
      </c>
      <c r="B1032" s="17" t="s">
        <v>1201</v>
      </c>
      <c r="C1032" s="19" t="s">
        <v>6</v>
      </c>
      <c r="D1032" s="19" t="s">
        <v>6</v>
      </c>
      <c r="E1032" s="85" t="s">
        <v>45</v>
      </c>
      <c r="F1032" s="94">
        <v>45998</v>
      </c>
    </row>
    <row r="1033" spans="1:6" x14ac:dyDescent="0.25">
      <c r="A1033" s="9">
        <v>219</v>
      </c>
      <c r="B1033" s="17" t="s">
        <v>1071</v>
      </c>
      <c r="C1033" s="19" t="s">
        <v>6</v>
      </c>
      <c r="D1033" s="19" t="s">
        <v>6</v>
      </c>
      <c r="E1033" s="85" t="s">
        <v>45</v>
      </c>
      <c r="F1033" s="93">
        <v>45992</v>
      </c>
    </row>
    <row r="1034" spans="1:6" x14ac:dyDescent="0.25">
      <c r="A1034" s="9">
        <v>220</v>
      </c>
      <c r="B1034" s="17" t="s">
        <v>1163</v>
      </c>
      <c r="C1034" s="19" t="s">
        <v>6</v>
      </c>
      <c r="D1034" s="19" t="s">
        <v>6</v>
      </c>
      <c r="E1034" s="81" t="s">
        <v>150</v>
      </c>
      <c r="F1034" s="93">
        <v>45992</v>
      </c>
    </row>
    <row r="1035" spans="1:6" x14ac:dyDescent="0.25">
      <c r="A1035" s="9">
        <v>221</v>
      </c>
      <c r="B1035" s="17" t="s">
        <v>1166</v>
      </c>
      <c r="C1035" s="19" t="s">
        <v>6</v>
      </c>
      <c r="D1035" s="19" t="s">
        <v>6</v>
      </c>
      <c r="E1035" s="85" t="s">
        <v>45</v>
      </c>
      <c r="F1035" s="93">
        <v>45992</v>
      </c>
    </row>
    <row r="1036" spans="1:6" x14ac:dyDescent="0.25">
      <c r="A1036" s="9">
        <v>222</v>
      </c>
      <c r="B1036" s="17" t="s">
        <v>1167</v>
      </c>
      <c r="C1036" s="19" t="s">
        <v>6</v>
      </c>
      <c r="D1036" s="19" t="s">
        <v>6</v>
      </c>
      <c r="E1036" s="85" t="s">
        <v>45</v>
      </c>
      <c r="F1036" s="93">
        <v>45992</v>
      </c>
    </row>
    <row r="1037" spans="1:6" x14ac:dyDescent="0.25">
      <c r="A1037" s="9">
        <v>223</v>
      </c>
      <c r="B1037" s="17" t="s">
        <v>1169</v>
      </c>
      <c r="C1037" s="19" t="s">
        <v>6</v>
      </c>
      <c r="D1037" s="19" t="s">
        <v>6</v>
      </c>
      <c r="E1037" s="85" t="s">
        <v>45</v>
      </c>
      <c r="F1037" s="93">
        <v>45992</v>
      </c>
    </row>
    <row r="1038" spans="1:6" x14ac:dyDescent="0.25">
      <c r="A1038" s="9">
        <v>224</v>
      </c>
      <c r="B1038" s="17" t="s">
        <v>1170</v>
      </c>
      <c r="C1038" s="19" t="s">
        <v>6</v>
      </c>
      <c r="D1038" s="19" t="s">
        <v>6</v>
      </c>
      <c r="E1038" s="85" t="s">
        <v>45</v>
      </c>
      <c r="F1038" s="93">
        <v>45992</v>
      </c>
    </row>
    <row r="1039" spans="1:6" x14ac:dyDescent="0.25">
      <c r="A1039" s="9">
        <v>225</v>
      </c>
      <c r="B1039" s="17" t="s">
        <v>1171</v>
      </c>
      <c r="C1039" s="19" t="s">
        <v>6</v>
      </c>
      <c r="D1039" s="19" t="s">
        <v>6</v>
      </c>
      <c r="E1039" s="85" t="s">
        <v>45</v>
      </c>
      <c r="F1039" s="93">
        <v>46005</v>
      </c>
    </row>
    <row r="1040" spans="1:6" x14ac:dyDescent="0.25">
      <c r="A1040" s="9">
        <v>226</v>
      </c>
      <c r="B1040" s="17" t="s">
        <v>1173</v>
      </c>
      <c r="C1040" s="19" t="s">
        <v>6</v>
      </c>
      <c r="D1040" s="19" t="s">
        <v>6</v>
      </c>
      <c r="E1040" s="85" t="s">
        <v>45</v>
      </c>
      <c r="F1040" s="93">
        <v>46012</v>
      </c>
    </row>
    <row r="1041" spans="1:6" x14ac:dyDescent="0.25">
      <c r="A1041" s="9">
        <v>227</v>
      </c>
      <c r="B1041" s="17" t="s">
        <v>1195</v>
      </c>
      <c r="C1041" s="19" t="s">
        <v>6</v>
      </c>
      <c r="D1041" s="19" t="s">
        <v>6</v>
      </c>
      <c r="E1041" s="85" t="s">
        <v>45</v>
      </c>
      <c r="F1041" s="94">
        <v>45998</v>
      </c>
    </row>
    <row r="1042" spans="1:6" x14ac:dyDescent="0.25">
      <c r="A1042" s="9">
        <v>228</v>
      </c>
      <c r="B1042" s="17" t="s">
        <v>1196</v>
      </c>
      <c r="C1042" s="19" t="s">
        <v>6</v>
      </c>
      <c r="D1042" s="19" t="s">
        <v>6</v>
      </c>
      <c r="E1042" s="85" t="s">
        <v>45</v>
      </c>
      <c r="F1042" s="94">
        <v>45998</v>
      </c>
    </row>
    <row r="1043" spans="1:6" x14ac:dyDescent="0.25">
      <c r="A1043" s="9">
        <v>229</v>
      </c>
      <c r="B1043" s="17" t="s">
        <v>1197</v>
      </c>
      <c r="C1043" s="19" t="s">
        <v>6</v>
      </c>
      <c r="D1043" s="19" t="s">
        <v>6</v>
      </c>
      <c r="E1043" s="85" t="s">
        <v>45</v>
      </c>
      <c r="F1043" s="94">
        <v>45998</v>
      </c>
    </row>
    <row r="1044" spans="1:6" x14ac:dyDescent="0.25">
      <c r="A1044" s="9">
        <v>230</v>
      </c>
      <c r="B1044" s="17" t="s">
        <v>1206</v>
      </c>
      <c r="C1044" s="19" t="s">
        <v>6</v>
      </c>
      <c r="D1044" s="19" t="s">
        <v>6</v>
      </c>
      <c r="E1044" s="85" t="s">
        <v>45</v>
      </c>
      <c r="F1044" s="94">
        <v>45998</v>
      </c>
    </row>
    <row r="1045" spans="1:6" x14ac:dyDescent="0.25">
      <c r="A1045" s="9">
        <v>231</v>
      </c>
      <c r="B1045" s="17" t="s">
        <v>1230</v>
      </c>
      <c r="C1045" s="19" t="s">
        <v>6</v>
      </c>
      <c r="D1045" s="19" t="s">
        <v>6</v>
      </c>
      <c r="E1045" s="85" t="s">
        <v>45</v>
      </c>
      <c r="F1045" s="93">
        <v>46005</v>
      </c>
    </row>
    <row r="1046" spans="1:6" x14ac:dyDescent="0.25">
      <c r="A1046" s="9">
        <v>232</v>
      </c>
      <c r="B1046" s="17" t="s">
        <v>1232</v>
      </c>
      <c r="C1046" s="19" t="s">
        <v>6</v>
      </c>
      <c r="D1046" s="19" t="s">
        <v>6</v>
      </c>
      <c r="E1046" s="85" t="s">
        <v>45</v>
      </c>
      <c r="F1046" s="93">
        <v>46005</v>
      </c>
    </row>
    <row r="1047" spans="1:6" x14ac:dyDescent="0.25">
      <c r="A1047" s="9">
        <v>233</v>
      </c>
      <c r="B1047" s="17" t="s">
        <v>1233</v>
      </c>
      <c r="C1047" s="19" t="s">
        <v>6</v>
      </c>
      <c r="D1047" s="19" t="s">
        <v>6</v>
      </c>
      <c r="E1047" s="85" t="s">
        <v>45</v>
      </c>
      <c r="F1047" s="93">
        <v>46005</v>
      </c>
    </row>
    <row r="1048" spans="1:6" x14ac:dyDescent="0.25">
      <c r="A1048" s="9">
        <v>234</v>
      </c>
      <c r="B1048" s="17" t="s">
        <v>1234</v>
      </c>
      <c r="C1048" s="19" t="s">
        <v>6</v>
      </c>
      <c r="D1048" s="19" t="s">
        <v>6</v>
      </c>
      <c r="E1048" s="85" t="s">
        <v>45</v>
      </c>
      <c r="F1048" s="93">
        <v>46012</v>
      </c>
    </row>
    <row r="1049" spans="1:6" x14ac:dyDescent="0.25">
      <c r="A1049" s="9">
        <v>235</v>
      </c>
      <c r="B1049" s="17" t="s">
        <v>1246</v>
      </c>
      <c r="C1049" s="19" t="s">
        <v>6</v>
      </c>
      <c r="D1049" s="19" t="s">
        <v>6</v>
      </c>
      <c r="E1049" s="85" t="s">
        <v>45</v>
      </c>
      <c r="F1049" s="93">
        <v>46012</v>
      </c>
    </row>
    <row r="1050" spans="1:6" x14ac:dyDescent="0.25">
      <c r="A1050" s="9">
        <v>236</v>
      </c>
      <c r="B1050" s="17" t="s">
        <v>1247</v>
      </c>
      <c r="C1050" s="19" t="s">
        <v>6</v>
      </c>
      <c r="D1050" s="19" t="s">
        <v>6</v>
      </c>
      <c r="E1050" s="85" t="s">
        <v>45</v>
      </c>
      <c r="F1050" s="93">
        <v>46012</v>
      </c>
    </row>
    <row r="1051" spans="1:6" x14ac:dyDescent="0.25">
      <c r="A1051" s="9">
        <v>237</v>
      </c>
      <c r="B1051" s="8" t="s">
        <v>1282</v>
      </c>
      <c r="C1051" s="19" t="s">
        <v>6</v>
      </c>
      <c r="D1051" s="19" t="s">
        <v>6</v>
      </c>
      <c r="E1051" s="82" t="s">
        <v>45</v>
      </c>
      <c r="F1051" s="93">
        <v>46023</v>
      </c>
    </row>
    <row r="1052" spans="1:6" x14ac:dyDescent="0.25">
      <c r="A1052" s="9">
        <v>238</v>
      </c>
      <c r="B1052" s="33" t="s">
        <v>1608</v>
      </c>
      <c r="C1052" s="19" t="s">
        <v>6</v>
      </c>
      <c r="D1052" s="19" t="s">
        <v>6</v>
      </c>
      <c r="E1052" s="79" t="s">
        <v>45</v>
      </c>
      <c r="F1052" s="94">
        <v>46131</v>
      </c>
    </row>
    <row r="1053" spans="1:6" x14ac:dyDescent="0.25">
      <c r="A1053" s="9">
        <v>239</v>
      </c>
      <c r="B1053" s="8" t="s">
        <v>1283</v>
      </c>
      <c r="C1053" s="19" t="s">
        <v>6</v>
      </c>
      <c r="D1053" s="19" t="s">
        <v>6</v>
      </c>
      <c r="E1053" s="81" t="s">
        <v>45</v>
      </c>
      <c r="F1053" s="93">
        <v>46023</v>
      </c>
    </row>
    <row r="1054" spans="1:6" x14ac:dyDescent="0.25">
      <c r="A1054" s="9">
        <v>240</v>
      </c>
      <c r="B1054" s="8" t="s">
        <v>201</v>
      </c>
      <c r="C1054" s="19" t="s">
        <v>6</v>
      </c>
      <c r="D1054" s="19" t="s">
        <v>6</v>
      </c>
      <c r="E1054" s="81" t="s">
        <v>43</v>
      </c>
      <c r="F1054" s="93">
        <v>46023</v>
      </c>
    </row>
    <row r="1055" spans="1:6" x14ac:dyDescent="0.25">
      <c r="A1055" s="9">
        <v>241</v>
      </c>
      <c r="B1055" s="8" t="s">
        <v>1224</v>
      </c>
      <c r="C1055" s="19" t="s">
        <v>6</v>
      </c>
      <c r="D1055" s="19" t="s">
        <v>6</v>
      </c>
      <c r="E1055" s="81" t="s">
        <v>45</v>
      </c>
      <c r="F1055" s="93">
        <v>46023</v>
      </c>
    </row>
    <row r="1056" spans="1:6" x14ac:dyDescent="0.25">
      <c r="A1056" s="9">
        <v>242</v>
      </c>
      <c r="B1056" s="8" t="s">
        <v>256</v>
      </c>
      <c r="C1056" s="19" t="s">
        <v>6</v>
      </c>
      <c r="D1056" s="19" t="s">
        <v>6</v>
      </c>
      <c r="E1056" s="82" t="s">
        <v>151</v>
      </c>
      <c r="F1056" s="93">
        <v>46023</v>
      </c>
    </row>
    <row r="1057" spans="1:7" x14ac:dyDescent="0.25">
      <c r="A1057" s="9">
        <v>243</v>
      </c>
      <c r="B1057" s="17" t="s">
        <v>1286</v>
      </c>
      <c r="C1057" s="19" t="s">
        <v>6</v>
      </c>
      <c r="D1057" s="19" t="s">
        <v>6</v>
      </c>
      <c r="E1057" s="85" t="s">
        <v>45</v>
      </c>
      <c r="F1057" s="93">
        <v>46040</v>
      </c>
    </row>
    <row r="1058" spans="1:7" x14ac:dyDescent="0.25">
      <c r="A1058" s="9">
        <v>244</v>
      </c>
      <c r="B1058" s="17" t="s">
        <v>1273</v>
      </c>
      <c r="C1058" s="19" t="s">
        <v>6</v>
      </c>
      <c r="D1058" s="19" t="s">
        <v>6</v>
      </c>
      <c r="E1058" s="85" t="s">
        <v>45</v>
      </c>
      <c r="F1058" s="93">
        <v>46023</v>
      </c>
    </row>
    <row r="1059" spans="1:7" x14ac:dyDescent="0.25">
      <c r="A1059" s="9">
        <v>245</v>
      </c>
      <c r="B1059" s="17" t="s">
        <v>1300</v>
      </c>
      <c r="C1059" s="19" t="s">
        <v>6</v>
      </c>
      <c r="D1059" s="19" t="s">
        <v>6</v>
      </c>
      <c r="E1059" s="85" t="s">
        <v>45</v>
      </c>
      <c r="F1059" s="93">
        <v>46040</v>
      </c>
    </row>
    <row r="1060" spans="1:7" x14ac:dyDescent="0.25">
      <c r="A1060" s="9">
        <v>246</v>
      </c>
      <c r="B1060" s="17" t="s">
        <v>1162</v>
      </c>
      <c r="C1060" s="19" t="s">
        <v>6</v>
      </c>
      <c r="D1060" s="19" t="s">
        <v>6</v>
      </c>
      <c r="E1060" s="81" t="s">
        <v>150</v>
      </c>
      <c r="F1060" s="93">
        <v>46023</v>
      </c>
      <c r="G1060" s="126">
        <v>4246445845</v>
      </c>
    </row>
    <row r="1061" spans="1:7" x14ac:dyDescent="0.25">
      <c r="A1061" s="9">
        <v>247</v>
      </c>
      <c r="B1061" s="17" t="s">
        <v>1223</v>
      </c>
      <c r="C1061" s="19" t="s">
        <v>6</v>
      </c>
      <c r="D1061" s="19" t="s">
        <v>6</v>
      </c>
      <c r="E1061" s="85" t="s">
        <v>45</v>
      </c>
      <c r="F1061" s="93">
        <v>46023</v>
      </c>
    </row>
    <row r="1062" spans="1:7" x14ac:dyDescent="0.25">
      <c r="A1062" s="9">
        <v>248</v>
      </c>
      <c r="B1062" s="17" t="s">
        <v>1263</v>
      </c>
      <c r="C1062" s="19" t="s">
        <v>6</v>
      </c>
      <c r="D1062" s="19" t="s">
        <v>6</v>
      </c>
      <c r="E1062" s="85" t="s">
        <v>45</v>
      </c>
      <c r="F1062" s="93">
        <v>46023</v>
      </c>
    </row>
    <row r="1063" spans="1:7" x14ac:dyDescent="0.25">
      <c r="A1063" s="9">
        <v>249</v>
      </c>
      <c r="B1063" s="8" t="s">
        <v>1410</v>
      </c>
      <c r="C1063" s="19" t="s">
        <v>6</v>
      </c>
      <c r="D1063" s="19" t="s">
        <v>6</v>
      </c>
      <c r="E1063" s="82" t="s">
        <v>337</v>
      </c>
      <c r="F1063" s="94">
        <v>46131</v>
      </c>
    </row>
    <row r="1064" spans="1:7" x14ac:dyDescent="0.25">
      <c r="A1064" s="9">
        <v>250</v>
      </c>
      <c r="B1064" s="8" t="s">
        <v>168</v>
      </c>
      <c r="C1064" s="19" t="s">
        <v>6</v>
      </c>
      <c r="D1064" s="112" t="s">
        <v>6</v>
      </c>
      <c r="E1064" s="12" t="s">
        <v>45</v>
      </c>
      <c r="F1064" s="32">
        <f ca="1">IF(AND(C1064="NO",D1064="NO"),IF(F1064="",TODAY(),F1064),"")</f>
        <v>46195</v>
      </c>
    </row>
    <row r="1065" spans="1:7" x14ac:dyDescent="0.25">
      <c r="A1065" s="9">
        <v>251</v>
      </c>
      <c r="B1065" s="17" t="s">
        <v>194</v>
      </c>
      <c r="C1065" s="19" t="s">
        <v>6</v>
      </c>
      <c r="D1065" s="112" t="s">
        <v>6</v>
      </c>
      <c r="E1065" s="12" t="s">
        <v>45</v>
      </c>
      <c r="F1065" s="32">
        <f ca="1">IF(AND(C1065="NO",D1065="NO"),IF(F1065="",TODAY(),F1065),"")</f>
        <v>46195</v>
      </c>
    </row>
    <row r="1066" spans="1:7" x14ac:dyDescent="0.25">
      <c r="A1066" s="9">
        <v>252</v>
      </c>
      <c r="B1066" s="17" t="s">
        <v>1641</v>
      </c>
      <c r="C1066" s="19" t="s">
        <v>6</v>
      </c>
      <c r="D1066" s="112" t="s">
        <v>6</v>
      </c>
      <c r="E1066" s="12" t="s">
        <v>45</v>
      </c>
      <c r="F1066" s="32">
        <f ca="1">IF(AND(C1066="NO",D1066="NO"),IF(F1066="",TODAY(),F1066),"")</f>
        <v>46195</v>
      </c>
    </row>
    <row r="1067" spans="1:7" x14ac:dyDescent="0.25">
      <c r="A1067" s="9">
        <v>253</v>
      </c>
      <c r="B1067" s="8" t="s">
        <v>1689</v>
      </c>
      <c r="C1067" s="19" t="s">
        <v>6</v>
      </c>
      <c r="D1067" s="112" t="s">
        <v>6</v>
      </c>
      <c r="E1067" s="12" t="s">
        <v>45</v>
      </c>
      <c r="F1067" s="32">
        <f ca="1">IF(AND(C1067="NO",D1067="NO"),IF(F1067="",TODAY(),F1067),"")</f>
        <v>46195</v>
      </c>
    </row>
    <row r="1068" spans="1:7" x14ac:dyDescent="0.25">
      <c r="A1068" s="9">
        <v>254</v>
      </c>
      <c r="B1068" s="8" t="s">
        <v>1737</v>
      </c>
      <c r="C1068" s="19" t="s">
        <v>6</v>
      </c>
      <c r="D1068" s="112" t="s">
        <v>6</v>
      </c>
      <c r="E1068" s="12" t="s">
        <v>45</v>
      </c>
      <c r="F1068" s="32">
        <f ca="1">IF(AND(C1068="NO",D1068="NO"),IF(F1068="",TODAY(),F1068),"")</f>
        <v>46195</v>
      </c>
    </row>
    <row r="1069" spans="1:7" ht="15.75" x14ac:dyDescent="0.25">
      <c r="A1069" s="9">
        <v>255</v>
      </c>
      <c r="B1069" s="8" t="s">
        <v>1359</v>
      </c>
      <c r="C1069" s="19" t="s">
        <v>6</v>
      </c>
      <c r="D1069" s="19" t="s">
        <v>6</v>
      </c>
      <c r="E1069" s="78" t="s">
        <v>45</v>
      </c>
      <c r="F1069" s="93">
        <v>46055</v>
      </c>
    </row>
    <row r="1070" spans="1:7" x14ac:dyDescent="0.25">
      <c r="A1070" s="9">
        <v>256</v>
      </c>
      <c r="B1070" s="17" t="s">
        <v>1229</v>
      </c>
      <c r="C1070" s="19" t="s">
        <v>6</v>
      </c>
      <c r="D1070" s="19" t="s">
        <v>6</v>
      </c>
      <c r="E1070" s="85" t="s">
        <v>45</v>
      </c>
      <c r="F1070" s="93">
        <v>46055</v>
      </c>
    </row>
    <row r="1071" spans="1:7" ht="15.75" x14ac:dyDescent="0.25">
      <c r="A1071" s="9">
        <v>257</v>
      </c>
      <c r="B1071" s="8" t="s">
        <v>1258</v>
      </c>
      <c r="C1071" s="19" t="s">
        <v>6</v>
      </c>
      <c r="D1071" s="19" t="s">
        <v>6</v>
      </c>
      <c r="E1071" s="78" t="s">
        <v>45</v>
      </c>
      <c r="F1071" s="93">
        <v>46046</v>
      </c>
    </row>
    <row r="1072" spans="1:7" x14ac:dyDescent="0.25">
      <c r="A1072" s="9">
        <v>258</v>
      </c>
      <c r="B1072" s="17" t="s">
        <v>573</v>
      </c>
      <c r="C1072" s="19" t="s">
        <v>6</v>
      </c>
      <c r="D1072" s="19" t="s">
        <v>6</v>
      </c>
      <c r="E1072" s="79" t="s">
        <v>150</v>
      </c>
      <c r="F1072" s="93">
        <v>46061</v>
      </c>
    </row>
    <row r="1073" spans="1:6" x14ac:dyDescent="0.25">
      <c r="A1073" s="9">
        <v>259</v>
      </c>
      <c r="B1073" s="8" t="s">
        <v>1260</v>
      </c>
      <c r="C1073" s="19" t="s">
        <v>6</v>
      </c>
      <c r="D1073" s="19" t="s">
        <v>6</v>
      </c>
      <c r="E1073" s="82"/>
      <c r="F1073" s="93">
        <v>46061</v>
      </c>
    </row>
    <row r="1074" spans="1:6" x14ac:dyDescent="0.25">
      <c r="A1074" s="9">
        <v>260</v>
      </c>
      <c r="B1074" s="17" t="s">
        <v>571</v>
      </c>
      <c r="C1074" s="19" t="s">
        <v>6</v>
      </c>
      <c r="D1074" s="19" t="s">
        <v>6</v>
      </c>
      <c r="E1074" s="79" t="s">
        <v>45</v>
      </c>
      <c r="F1074" s="93">
        <v>46061</v>
      </c>
    </row>
    <row r="1075" spans="1:6" x14ac:dyDescent="0.25">
      <c r="A1075" s="9">
        <v>261</v>
      </c>
      <c r="B1075" s="42" t="s">
        <v>1005</v>
      </c>
      <c r="C1075" s="19" t="s">
        <v>6</v>
      </c>
      <c r="D1075" s="19" t="s">
        <v>6</v>
      </c>
      <c r="E1075" s="79" t="s">
        <v>45</v>
      </c>
      <c r="F1075" s="93">
        <v>46061</v>
      </c>
    </row>
    <row r="1076" spans="1:6" x14ac:dyDescent="0.25">
      <c r="A1076" s="9">
        <v>262</v>
      </c>
      <c r="B1076" s="8" t="s">
        <v>1357</v>
      </c>
      <c r="C1076" s="19" t="s">
        <v>6</v>
      </c>
      <c r="D1076" s="19" t="s">
        <v>6</v>
      </c>
      <c r="E1076" s="81" t="s">
        <v>45</v>
      </c>
      <c r="F1076" s="93">
        <v>46055</v>
      </c>
    </row>
    <row r="1077" spans="1:6" x14ac:dyDescent="0.25">
      <c r="A1077" s="9">
        <v>263</v>
      </c>
      <c r="B1077" s="8" t="s">
        <v>1358</v>
      </c>
      <c r="C1077" s="19" t="s">
        <v>6</v>
      </c>
      <c r="D1077" s="19" t="s">
        <v>6</v>
      </c>
      <c r="E1077" s="82" t="s">
        <v>45</v>
      </c>
      <c r="F1077" s="93">
        <v>46055</v>
      </c>
    </row>
    <row r="1078" spans="1:6" x14ac:dyDescent="0.25">
      <c r="A1078" s="9">
        <v>264</v>
      </c>
      <c r="B1078" s="17" t="s">
        <v>990</v>
      </c>
      <c r="C1078" s="19" t="s">
        <v>6</v>
      </c>
      <c r="D1078" s="19" t="s">
        <v>6</v>
      </c>
      <c r="E1078" s="85" t="s">
        <v>45</v>
      </c>
      <c r="F1078" s="93">
        <v>46055</v>
      </c>
    </row>
    <row r="1079" spans="1:6" x14ac:dyDescent="0.25">
      <c r="A1079" s="9">
        <v>265</v>
      </c>
      <c r="B1079" s="8" t="s">
        <v>1284</v>
      </c>
      <c r="C1079" s="19" t="s">
        <v>6</v>
      </c>
      <c r="D1079" s="19" t="s">
        <v>6</v>
      </c>
      <c r="E1079" s="81" t="s">
        <v>45</v>
      </c>
      <c r="F1079" s="93">
        <v>46046</v>
      </c>
    </row>
    <row r="1080" spans="1:6" x14ac:dyDescent="0.25">
      <c r="A1080" s="9">
        <v>266</v>
      </c>
      <c r="B1080" s="8" t="s">
        <v>1360</v>
      </c>
      <c r="C1080" s="19" t="s">
        <v>6</v>
      </c>
      <c r="D1080" s="19" t="s">
        <v>6</v>
      </c>
      <c r="E1080" s="81" t="s">
        <v>45</v>
      </c>
      <c r="F1080" s="93">
        <v>46055</v>
      </c>
    </row>
    <row r="1081" spans="1:6" x14ac:dyDescent="0.25">
      <c r="A1081" s="9">
        <v>267</v>
      </c>
      <c r="B1081" s="17" t="s">
        <v>1362</v>
      </c>
      <c r="C1081" s="19" t="s">
        <v>6</v>
      </c>
      <c r="D1081" s="19" t="s">
        <v>6</v>
      </c>
      <c r="E1081" s="85" t="s">
        <v>45</v>
      </c>
      <c r="F1081" s="93">
        <v>46055</v>
      </c>
    </row>
    <row r="1082" spans="1:6" x14ac:dyDescent="0.25">
      <c r="A1082" s="9">
        <v>268</v>
      </c>
      <c r="B1082" s="17" t="s">
        <v>275</v>
      </c>
      <c r="C1082" s="19" t="s">
        <v>6</v>
      </c>
      <c r="D1082" s="19" t="s">
        <v>6</v>
      </c>
      <c r="E1082" s="85" t="s">
        <v>45</v>
      </c>
      <c r="F1082" s="93">
        <v>46046</v>
      </c>
    </row>
    <row r="1083" spans="1:6" x14ac:dyDescent="0.25">
      <c r="A1083" s="9">
        <v>269</v>
      </c>
      <c r="B1083" s="17" t="s">
        <v>1304</v>
      </c>
      <c r="C1083" s="19" t="s">
        <v>6</v>
      </c>
      <c r="D1083" s="19" t="s">
        <v>6</v>
      </c>
      <c r="E1083" s="85" t="s">
        <v>45</v>
      </c>
      <c r="F1083" s="93">
        <v>46046</v>
      </c>
    </row>
    <row r="1084" spans="1:6" x14ac:dyDescent="0.25">
      <c r="A1084" s="9">
        <v>270</v>
      </c>
      <c r="B1084" s="17" t="s">
        <v>175</v>
      </c>
      <c r="C1084" s="19" t="s">
        <v>6</v>
      </c>
      <c r="D1084" s="19" t="s">
        <v>6</v>
      </c>
      <c r="E1084" s="85" t="s">
        <v>45</v>
      </c>
      <c r="F1084" s="93">
        <v>46046</v>
      </c>
    </row>
    <row r="1085" spans="1:6" x14ac:dyDescent="0.25">
      <c r="A1085" s="9">
        <v>271</v>
      </c>
      <c r="B1085" s="17" t="s">
        <v>1332</v>
      </c>
      <c r="C1085" s="19" t="s">
        <v>6</v>
      </c>
      <c r="D1085" s="19" t="s">
        <v>6</v>
      </c>
      <c r="E1085" s="85" t="s">
        <v>45</v>
      </c>
      <c r="F1085" s="93">
        <v>46055</v>
      </c>
    </row>
    <row r="1086" spans="1:6" x14ac:dyDescent="0.25">
      <c r="A1086" s="9">
        <v>272</v>
      </c>
      <c r="B1086" s="17" t="s">
        <v>469</v>
      </c>
      <c r="C1086" s="19" t="s">
        <v>6</v>
      </c>
      <c r="D1086" s="19" t="s">
        <v>6</v>
      </c>
      <c r="E1086" s="79" t="s">
        <v>45</v>
      </c>
      <c r="F1086" s="93">
        <v>46055</v>
      </c>
    </row>
    <row r="1087" spans="1:6" x14ac:dyDescent="0.25">
      <c r="A1087" s="9">
        <v>273</v>
      </c>
      <c r="B1087" s="17" t="s">
        <v>1345</v>
      </c>
      <c r="C1087" s="19" t="s">
        <v>6</v>
      </c>
      <c r="D1087" s="19" t="s">
        <v>6</v>
      </c>
      <c r="E1087" s="85" t="s">
        <v>45</v>
      </c>
      <c r="F1087" s="93">
        <v>46055</v>
      </c>
    </row>
    <row r="1088" spans="1:6" x14ac:dyDescent="0.25">
      <c r="A1088" s="9">
        <v>274</v>
      </c>
      <c r="B1088" s="17" t="s">
        <v>1346</v>
      </c>
      <c r="C1088" s="19" t="s">
        <v>6</v>
      </c>
      <c r="D1088" s="19" t="s">
        <v>6</v>
      </c>
      <c r="E1088" s="85" t="s">
        <v>45</v>
      </c>
      <c r="F1088" s="93">
        <v>46055</v>
      </c>
    </row>
    <row r="1089" spans="1:6" x14ac:dyDescent="0.25">
      <c r="A1089" s="9">
        <v>275</v>
      </c>
      <c r="B1089" s="17" t="s">
        <v>1377</v>
      </c>
      <c r="C1089" s="19" t="s">
        <v>6</v>
      </c>
      <c r="D1089" s="19" t="s">
        <v>6</v>
      </c>
      <c r="E1089" s="85" t="s">
        <v>45</v>
      </c>
      <c r="F1089" s="93">
        <v>46061</v>
      </c>
    </row>
    <row r="1090" spans="1:6" x14ac:dyDescent="0.25">
      <c r="A1090" s="9">
        <v>276</v>
      </c>
      <c r="B1090" s="17" t="s">
        <v>1378</v>
      </c>
      <c r="C1090" s="19" t="s">
        <v>6</v>
      </c>
      <c r="D1090" s="19" t="s">
        <v>6</v>
      </c>
      <c r="E1090" s="85" t="s">
        <v>45</v>
      </c>
      <c r="F1090" s="93">
        <v>46061</v>
      </c>
    </row>
    <row r="1091" spans="1:6" x14ac:dyDescent="0.25">
      <c r="A1091" s="9">
        <v>277</v>
      </c>
      <c r="B1091" s="48" t="s">
        <v>893</v>
      </c>
      <c r="C1091" s="19" t="s">
        <v>6</v>
      </c>
      <c r="D1091" s="19" t="s">
        <v>6</v>
      </c>
      <c r="E1091" s="85" t="s">
        <v>45</v>
      </c>
      <c r="F1091" s="93">
        <v>46061</v>
      </c>
    </row>
    <row r="1092" spans="1:6" x14ac:dyDescent="0.25">
      <c r="A1092" s="9">
        <v>278</v>
      </c>
      <c r="B1092" s="17" t="s">
        <v>1103</v>
      </c>
      <c r="C1092" s="19" t="s">
        <v>6</v>
      </c>
      <c r="D1092" s="19" t="s">
        <v>6</v>
      </c>
      <c r="E1092" s="85" t="s">
        <v>45</v>
      </c>
      <c r="F1092" s="93">
        <v>46061</v>
      </c>
    </row>
    <row r="1093" spans="1:6" x14ac:dyDescent="0.25">
      <c r="A1093" s="9">
        <v>279</v>
      </c>
      <c r="B1093" s="17" t="s">
        <v>1532</v>
      </c>
      <c r="C1093" s="19" t="s">
        <v>6</v>
      </c>
      <c r="D1093" s="19" t="s">
        <v>6</v>
      </c>
      <c r="E1093" s="85" t="s">
        <v>45</v>
      </c>
      <c r="F1093" s="93">
        <v>46061</v>
      </c>
    </row>
    <row r="1094" spans="1:6" x14ac:dyDescent="0.25">
      <c r="A1094" s="9">
        <v>280</v>
      </c>
      <c r="B1094" s="17" t="s">
        <v>1168</v>
      </c>
      <c r="C1094" s="19" t="s">
        <v>6</v>
      </c>
      <c r="D1094" s="19" t="s">
        <v>6</v>
      </c>
      <c r="E1094" s="85" t="s">
        <v>45</v>
      </c>
      <c r="F1094" s="94">
        <v>46068</v>
      </c>
    </row>
    <row r="1095" spans="1:6" x14ac:dyDescent="0.25">
      <c r="A1095" s="9">
        <v>281</v>
      </c>
      <c r="B1095" s="17" t="s">
        <v>465</v>
      </c>
      <c r="C1095" s="19" t="s">
        <v>6</v>
      </c>
      <c r="D1095" s="19" t="s">
        <v>6</v>
      </c>
      <c r="E1095" s="79" t="s">
        <v>45</v>
      </c>
      <c r="F1095" s="93">
        <v>46082</v>
      </c>
    </row>
    <row r="1096" spans="1:6" ht="15.75" x14ac:dyDescent="0.25">
      <c r="A1096" s="9">
        <v>282</v>
      </c>
      <c r="B1096" s="33" t="s">
        <v>1023</v>
      </c>
      <c r="C1096" s="19" t="s">
        <v>6</v>
      </c>
      <c r="D1096" s="19" t="s">
        <v>6</v>
      </c>
      <c r="E1096" s="80" t="s">
        <v>45</v>
      </c>
      <c r="F1096" s="93">
        <v>46089</v>
      </c>
    </row>
    <row r="1097" spans="1:6" x14ac:dyDescent="0.25">
      <c r="A1097" s="9">
        <v>283</v>
      </c>
      <c r="B1097" s="8" t="s">
        <v>1361</v>
      </c>
      <c r="C1097" s="19" t="s">
        <v>6</v>
      </c>
      <c r="D1097" s="19" t="s">
        <v>6</v>
      </c>
      <c r="E1097" s="82" t="s">
        <v>258</v>
      </c>
      <c r="F1097" s="93">
        <v>46075</v>
      </c>
    </row>
    <row r="1098" spans="1:6" x14ac:dyDescent="0.25">
      <c r="A1098" s="9">
        <v>284</v>
      </c>
      <c r="B1098" s="17" t="s">
        <v>1231</v>
      </c>
      <c r="C1098" s="19" t="s">
        <v>6</v>
      </c>
      <c r="D1098" s="19" t="s">
        <v>6</v>
      </c>
      <c r="E1098" s="85" t="s">
        <v>45</v>
      </c>
      <c r="F1098" s="94">
        <v>46068</v>
      </c>
    </row>
    <row r="1099" spans="1:6" x14ac:dyDescent="0.25">
      <c r="A1099" s="9">
        <v>285</v>
      </c>
      <c r="B1099" s="8" t="s">
        <v>1411</v>
      </c>
      <c r="C1099" s="19" t="s">
        <v>6</v>
      </c>
      <c r="D1099" s="19" t="s">
        <v>6</v>
      </c>
      <c r="E1099" s="81" t="s">
        <v>45</v>
      </c>
      <c r="F1099" s="94">
        <v>46068</v>
      </c>
    </row>
    <row r="1100" spans="1:6" x14ac:dyDescent="0.25">
      <c r="A1100" s="9">
        <v>286</v>
      </c>
      <c r="B1100" s="8" t="s">
        <v>1454</v>
      </c>
      <c r="C1100" s="19" t="s">
        <v>6</v>
      </c>
      <c r="D1100" s="19" t="s">
        <v>6</v>
      </c>
      <c r="E1100" s="81" t="s">
        <v>150</v>
      </c>
      <c r="F1100" s="93">
        <v>46082</v>
      </c>
    </row>
    <row r="1101" spans="1:6" x14ac:dyDescent="0.25">
      <c r="A1101" s="9">
        <v>287</v>
      </c>
      <c r="B1101" s="8" t="s">
        <v>1467</v>
      </c>
      <c r="C1101" s="19" t="s">
        <v>6</v>
      </c>
      <c r="D1101" s="19" t="s">
        <v>6</v>
      </c>
      <c r="E1101" s="81" t="s">
        <v>45</v>
      </c>
      <c r="F1101" s="93">
        <v>46082</v>
      </c>
    </row>
    <row r="1102" spans="1:6" x14ac:dyDescent="0.25">
      <c r="A1102" s="9">
        <v>288</v>
      </c>
      <c r="B1102" s="8" t="s">
        <v>759</v>
      </c>
      <c r="C1102" s="19" t="s">
        <v>6</v>
      </c>
      <c r="D1102" s="19" t="s">
        <v>6</v>
      </c>
      <c r="E1102" s="81" t="s">
        <v>45</v>
      </c>
      <c r="F1102" s="93">
        <v>46082</v>
      </c>
    </row>
    <row r="1103" spans="1:6" x14ac:dyDescent="0.25">
      <c r="A1103" s="9">
        <v>289</v>
      </c>
      <c r="B1103" s="8" t="s">
        <v>1376</v>
      </c>
      <c r="C1103" s="19" t="s">
        <v>6</v>
      </c>
      <c r="D1103" s="19" t="s">
        <v>6</v>
      </c>
      <c r="E1103" s="81" t="s">
        <v>45</v>
      </c>
      <c r="F1103" s="94">
        <v>46068</v>
      </c>
    </row>
    <row r="1104" spans="1:6" x14ac:dyDescent="0.25">
      <c r="A1104" s="9">
        <v>290</v>
      </c>
      <c r="B1104" s="48" t="s">
        <v>1413</v>
      </c>
      <c r="C1104" s="19" t="s">
        <v>6</v>
      </c>
      <c r="D1104" s="19" t="s">
        <v>6</v>
      </c>
      <c r="E1104" s="85" t="s">
        <v>150</v>
      </c>
      <c r="F1104" s="94">
        <v>46068</v>
      </c>
    </row>
    <row r="1105" spans="1:6" x14ac:dyDescent="0.25">
      <c r="A1105" s="9">
        <v>291</v>
      </c>
      <c r="B1105" s="17" t="s">
        <v>855</v>
      </c>
      <c r="C1105" s="19" t="s">
        <v>6</v>
      </c>
      <c r="D1105" s="19" t="s">
        <v>6</v>
      </c>
      <c r="E1105" s="85" t="s">
        <v>45</v>
      </c>
      <c r="F1105" s="93">
        <v>46075</v>
      </c>
    </row>
    <row r="1106" spans="1:6" x14ac:dyDescent="0.25">
      <c r="A1106" s="9">
        <v>292</v>
      </c>
      <c r="B1106" s="8" t="s">
        <v>1466</v>
      </c>
      <c r="C1106" s="19" t="s">
        <v>6</v>
      </c>
      <c r="D1106" s="19" t="s">
        <v>6</v>
      </c>
      <c r="E1106" s="82" t="s">
        <v>45</v>
      </c>
      <c r="F1106" s="93">
        <v>46082</v>
      </c>
    </row>
    <row r="1107" spans="1:6" x14ac:dyDescent="0.25">
      <c r="A1107" s="9">
        <v>293</v>
      </c>
      <c r="B1107" s="8" t="s">
        <v>1448</v>
      </c>
      <c r="C1107" s="19" t="s">
        <v>6</v>
      </c>
      <c r="D1107" s="19" t="s">
        <v>6</v>
      </c>
      <c r="E1107" s="82" t="s">
        <v>45</v>
      </c>
      <c r="F1107" s="93">
        <v>46075</v>
      </c>
    </row>
    <row r="1108" spans="1:6" x14ac:dyDescent="0.25">
      <c r="A1108" s="9">
        <v>294</v>
      </c>
      <c r="B1108" s="8" t="s">
        <v>1412</v>
      </c>
      <c r="C1108" s="19" t="s">
        <v>6</v>
      </c>
      <c r="D1108" s="19" t="s">
        <v>6</v>
      </c>
      <c r="E1108" s="82" t="s">
        <v>45</v>
      </c>
      <c r="F1108" s="94">
        <v>46068</v>
      </c>
    </row>
    <row r="1109" spans="1:6" x14ac:dyDescent="0.25">
      <c r="A1109" s="9">
        <v>295</v>
      </c>
      <c r="B1109" s="17" t="s">
        <v>1172</v>
      </c>
      <c r="C1109" s="19" t="s">
        <v>6</v>
      </c>
      <c r="D1109" s="19" t="s">
        <v>6</v>
      </c>
      <c r="E1109" s="85" t="s">
        <v>337</v>
      </c>
      <c r="F1109" s="93">
        <v>46075</v>
      </c>
    </row>
    <row r="1110" spans="1:6" x14ac:dyDescent="0.25">
      <c r="A1110" s="9">
        <v>296</v>
      </c>
      <c r="B1110" s="17" t="s">
        <v>1404</v>
      </c>
      <c r="C1110" s="19" t="s">
        <v>6</v>
      </c>
      <c r="D1110" s="19" t="s">
        <v>6</v>
      </c>
      <c r="E1110" s="85" t="s">
        <v>1405</v>
      </c>
      <c r="F1110" s="94">
        <v>46068</v>
      </c>
    </row>
    <row r="1111" spans="1:6" x14ac:dyDescent="0.25">
      <c r="A1111" s="9">
        <v>297</v>
      </c>
      <c r="B1111" s="17" t="s">
        <v>1464</v>
      </c>
      <c r="C1111" s="19" t="s">
        <v>6</v>
      </c>
      <c r="D1111" s="19" t="s">
        <v>6</v>
      </c>
      <c r="E1111" s="85" t="s">
        <v>45</v>
      </c>
      <c r="F1111" s="93">
        <v>46104</v>
      </c>
    </row>
    <row r="1112" spans="1:6" x14ac:dyDescent="0.25">
      <c r="A1112" s="9">
        <v>298</v>
      </c>
      <c r="B1112" s="17" t="s">
        <v>1395</v>
      </c>
      <c r="C1112" s="19" t="s">
        <v>6</v>
      </c>
      <c r="D1112" s="19" t="s">
        <v>6</v>
      </c>
      <c r="E1112" s="85" t="s">
        <v>45</v>
      </c>
      <c r="F1112" s="94">
        <v>46068</v>
      </c>
    </row>
    <row r="1113" spans="1:6" x14ac:dyDescent="0.25">
      <c r="A1113" s="9">
        <v>299</v>
      </c>
      <c r="B1113" s="17" t="s">
        <v>1447</v>
      </c>
      <c r="C1113" s="19" t="s">
        <v>6</v>
      </c>
      <c r="D1113" s="19" t="s">
        <v>6</v>
      </c>
      <c r="E1113" s="85" t="s">
        <v>45</v>
      </c>
      <c r="F1113" s="93">
        <v>46082</v>
      </c>
    </row>
    <row r="1114" spans="1:6" x14ac:dyDescent="0.25">
      <c r="A1114" s="9">
        <v>300</v>
      </c>
      <c r="B1114" s="17" t="s">
        <v>1465</v>
      </c>
      <c r="C1114" s="19" t="s">
        <v>6</v>
      </c>
      <c r="D1114" s="19" t="s">
        <v>6</v>
      </c>
      <c r="E1114" s="85" t="s">
        <v>45</v>
      </c>
      <c r="F1114" s="93">
        <v>46082</v>
      </c>
    </row>
    <row r="1115" spans="1:6" x14ac:dyDescent="0.25">
      <c r="A1115" s="9">
        <v>301</v>
      </c>
      <c r="B1115" s="17" t="s">
        <v>1446</v>
      </c>
      <c r="C1115" s="19" t="s">
        <v>6</v>
      </c>
      <c r="D1115" s="19" t="s">
        <v>6</v>
      </c>
      <c r="E1115" s="85" t="s">
        <v>45</v>
      </c>
      <c r="F1115" s="93">
        <v>46089</v>
      </c>
    </row>
    <row r="1116" spans="1:6" x14ac:dyDescent="0.25">
      <c r="A1116" s="9">
        <v>302</v>
      </c>
      <c r="B1116" s="8" t="s">
        <v>161</v>
      </c>
      <c r="C1116" s="19" t="s">
        <v>6</v>
      </c>
      <c r="D1116" s="19" t="s">
        <v>6</v>
      </c>
      <c r="E1116" s="82" t="s">
        <v>40</v>
      </c>
      <c r="F1116" s="93">
        <v>46138</v>
      </c>
    </row>
    <row r="1117" spans="1:6" x14ac:dyDescent="0.25">
      <c r="A1117" s="9">
        <v>303</v>
      </c>
      <c r="B1117" s="8" t="s">
        <v>1576</v>
      </c>
      <c r="C1117" s="19" t="s">
        <v>6</v>
      </c>
      <c r="D1117" s="19" t="s">
        <v>6</v>
      </c>
      <c r="E1117" s="81" t="s">
        <v>45</v>
      </c>
      <c r="F1117" s="94">
        <v>46131</v>
      </c>
    </row>
    <row r="1118" spans="1:6" x14ac:dyDescent="0.25">
      <c r="A1118" s="9">
        <v>304</v>
      </c>
      <c r="B1118" s="17" t="s">
        <v>683</v>
      </c>
      <c r="C1118" s="19" t="s">
        <v>6</v>
      </c>
      <c r="D1118" s="19" t="s">
        <v>6</v>
      </c>
      <c r="E1118" s="79" t="s">
        <v>45</v>
      </c>
      <c r="F1118" s="93">
        <v>46104</v>
      </c>
    </row>
    <row r="1119" spans="1:6" x14ac:dyDescent="0.25">
      <c r="A1119" s="9">
        <v>305</v>
      </c>
      <c r="B1119" s="17" t="s">
        <v>1581</v>
      </c>
      <c r="C1119" s="19" t="s">
        <v>6</v>
      </c>
      <c r="D1119" s="19" t="s">
        <v>6</v>
      </c>
      <c r="E1119" s="85" t="s">
        <v>45</v>
      </c>
      <c r="F1119" s="94">
        <v>46131</v>
      </c>
    </row>
    <row r="1120" spans="1:6" x14ac:dyDescent="0.25">
      <c r="A1120" s="9">
        <v>306</v>
      </c>
      <c r="B1120" s="17" t="s">
        <v>1533</v>
      </c>
      <c r="C1120" s="19" t="s">
        <v>6</v>
      </c>
      <c r="D1120" s="19" t="s">
        <v>6</v>
      </c>
      <c r="E1120" s="85" t="s">
        <v>45</v>
      </c>
      <c r="F1120" s="93">
        <v>46104</v>
      </c>
    </row>
    <row r="1121" spans="1:7" x14ac:dyDescent="0.25">
      <c r="A1121" s="9">
        <v>307</v>
      </c>
      <c r="B1121" s="17" t="s">
        <v>1593</v>
      </c>
      <c r="C1121" s="19" t="s">
        <v>6</v>
      </c>
      <c r="D1121" s="19" t="s">
        <v>6</v>
      </c>
      <c r="E1121" s="85" t="s">
        <v>45</v>
      </c>
      <c r="F1121" s="94">
        <v>46131</v>
      </c>
    </row>
    <row r="1122" spans="1:7" x14ac:dyDescent="0.25">
      <c r="A1122" s="9">
        <v>308</v>
      </c>
      <c r="B1122" s="17" t="s">
        <v>1614</v>
      </c>
      <c r="C1122" s="19" t="s">
        <v>6</v>
      </c>
      <c r="D1122" s="19" t="s">
        <v>6</v>
      </c>
      <c r="E1122" s="85" t="s">
        <v>45</v>
      </c>
      <c r="F1122" s="94">
        <v>46131</v>
      </c>
    </row>
    <row r="1123" spans="1:7" x14ac:dyDescent="0.25">
      <c r="A1123" s="9">
        <v>309</v>
      </c>
      <c r="B1123" s="17" t="s">
        <v>1615</v>
      </c>
      <c r="C1123" s="19" t="s">
        <v>6</v>
      </c>
      <c r="D1123" s="19" t="s">
        <v>6</v>
      </c>
      <c r="E1123" s="85" t="s">
        <v>45</v>
      </c>
      <c r="F1123" s="94">
        <v>46131</v>
      </c>
    </row>
    <row r="1124" spans="1:7" x14ac:dyDescent="0.25">
      <c r="A1124" s="9">
        <v>310</v>
      </c>
      <c r="B1124" s="17" t="s">
        <v>1207</v>
      </c>
      <c r="C1124" s="19" t="s">
        <v>6</v>
      </c>
      <c r="D1124" s="112" t="s">
        <v>6</v>
      </c>
      <c r="E1124" s="113" t="s">
        <v>45</v>
      </c>
      <c r="F1124" s="32">
        <f ca="1">IF(AND(C1124="NO",D1124="NO"),IF(F1124="",TODAY(),F1124),"")</f>
        <v>46177</v>
      </c>
    </row>
    <row r="1125" spans="1:7" x14ac:dyDescent="0.25">
      <c r="A1125" s="9">
        <v>311</v>
      </c>
      <c r="B1125" s="17" t="s">
        <v>1057</v>
      </c>
      <c r="C1125" s="19" t="s">
        <v>6</v>
      </c>
      <c r="D1125" s="112" t="s">
        <v>6</v>
      </c>
      <c r="E1125" s="113" t="s">
        <v>45</v>
      </c>
      <c r="F1125" s="32">
        <f ca="1">IF(AND(C1125="NO",D1125="NO"),IF(F1125="",TODAY(),F1125),"")</f>
        <v>46188</v>
      </c>
    </row>
    <row r="1126" spans="1:7" x14ac:dyDescent="0.25">
      <c r="A1126" s="9">
        <v>312</v>
      </c>
      <c r="B1126" s="8" t="s">
        <v>279</v>
      </c>
      <c r="C1126" s="19" t="s">
        <v>6</v>
      </c>
      <c r="D1126" s="112" t="s">
        <v>6</v>
      </c>
      <c r="E1126" s="114" t="s">
        <v>150</v>
      </c>
      <c r="F1126" s="32">
        <f ca="1">IF(AND(C1126="NO",D1126="NO"),IF(F1126="",TODAY(),F1126),"")</f>
        <v>46188</v>
      </c>
    </row>
    <row r="1127" spans="1:7" x14ac:dyDescent="0.25">
      <c r="A1127" s="9">
        <v>313</v>
      </c>
      <c r="B1127" s="8" t="s">
        <v>1756</v>
      </c>
      <c r="C1127" s="19" t="s">
        <v>6</v>
      </c>
      <c r="D1127" s="112" t="s">
        <v>6</v>
      </c>
      <c r="E1127" s="116" t="s">
        <v>45</v>
      </c>
      <c r="F1127" s="32">
        <f ca="1">IF(AND(C1127="NO",D1127="NO"),IF(F1127="",TODAY(),F1127),"")</f>
        <v>46188</v>
      </c>
    </row>
    <row r="1128" spans="1:7" x14ac:dyDescent="0.25">
      <c r="A1128" s="9">
        <v>314</v>
      </c>
      <c r="B1128" s="17" t="s">
        <v>1700</v>
      </c>
      <c r="C1128" s="19" t="s">
        <v>6</v>
      </c>
      <c r="D1128" s="112" t="s">
        <v>6</v>
      </c>
      <c r="E1128" s="12" t="s">
        <v>45</v>
      </c>
      <c r="F1128" s="32">
        <f ca="1">IF(AND(C1128="NO",D1128="NO"),IF(F1128="",TODAY(),F1128),"")</f>
        <v>46209</v>
      </c>
    </row>
    <row r="1129" spans="1:7" x14ac:dyDescent="0.25">
      <c r="A1129" s="9">
        <v>315</v>
      </c>
      <c r="B1129" s="8" t="s">
        <v>1738</v>
      </c>
      <c r="C1129" s="19" t="s">
        <v>6</v>
      </c>
      <c r="D1129" s="112" t="s">
        <v>6</v>
      </c>
      <c r="E1129" s="12" t="s">
        <v>45</v>
      </c>
      <c r="F1129" s="32">
        <f ca="1">IF(AND(C1129="NO",D1129="NO"),IF(F1129="",TODAY(),F1129),"")</f>
        <v>46209</v>
      </c>
    </row>
    <row r="1130" spans="1:7" x14ac:dyDescent="0.25">
      <c r="A1130" s="9">
        <v>316</v>
      </c>
      <c r="B1130" s="8" t="s">
        <v>1827</v>
      </c>
      <c r="C1130" s="19" t="s">
        <v>6</v>
      </c>
      <c r="D1130" s="112" t="s">
        <v>6</v>
      </c>
      <c r="E1130" s="12" t="s">
        <v>45</v>
      </c>
      <c r="F1130" s="32">
        <f ca="1">IF(AND(C1130="NO",D1130="NO"),IF(F1130="",TODAY(),F1130),"")</f>
        <v>46209</v>
      </c>
    </row>
    <row r="1131" spans="1:7" x14ac:dyDescent="0.25">
      <c r="A1131" s="9">
        <v>317</v>
      </c>
      <c r="B1131" s="8" t="s">
        <v>1828</v>
      </c>
      <c r="C1131" s="19" t="s">
        <v>6</v>
      </c>
      <c r="D1131" s="112" t="s">
        <v>6</v>
      </c>
      <c r="E1131" s="12" t="s">
        <v>45</v>
      </c>
      <c r="F1131" s="32">
        <f ca="1">IF(AND(C1131="NO",D1131="NO"),IF(F1131="",TODAY(),F1131),"")</f>
        <v>46209</v>
      </c>
    </row>
    <row r="1132" spans="1:7" x14ac:dyDescent="0.25">
      <c r="A1132" s="9">
        <v>318</v>
      </c>
      <c r="B1132" s="8" t="s">
        <v>1829</v>
      </c>
      <c r="C1132" s="19" t="s">
        <v>6</v>
      </c>
      <c r="D1132" s="112" t="s">
        <v>6</v>
      </c>
      <c r="E1132" s="12" t="s">
        <v>45</v>
      </c>
      <c r="F1132" s="32">
        <f ca="1">IF(AND(C1132="NO",D1132="NO"),IF(F1132="",TODAY(),F1132),"")</f>
        <v>46209</v>
      </c>
      <c r="G1132" s="126">
        <v>4246742641</v>
      </c>
    </row>
    <row r="1133" spans="1:7" x14ac:dyDescent="0.25">
      <c r="A1133" s="9">
        <v>319</v>
      </c>
      <c r="B1133" s="8" t="s">
        <v>1830</v>
      </c>
      <c r="C1133" s="19" t="s">
        <v>6</v>
      </c>
      <c r="D1133" s="112" t="s">
        <v>6</v>
      </c>
      <c r="E1133" s="12" t="s">
        <v>45</v>
      </c>
      <c r="F1133" s="32">
        <f ca="1">IF(AND(C1133="NO",D1133="NO"),IF(F1133="",TODAY(),F1133),"")</f>
        <v>46209</v>
      </c>
    </row>
    <row r="1134" spans="1:7" x14ac:dyDescent="0.25">
      <c r="A1134" s="9">
        <v>320</v>
      </c>
      <c r="B1134" s="8" t="s">
        <v>1826</v>
      </c>
      <c r="C1134" s="19" t="s">
        <v>6</v>
      </c>
      <c r="D1134" s="112" t="s">
        <v>6</v>
      </c>
      <c r="E1134" s="12" t="s">
        <v>45</v>
      </c>
      <c r="F1134" s="32">
        <f ca="1">IF(AND(C1134="NO",D1134="NO"),IF(F1134="",TODAY(),F1134),"")</f>
        <v>46209</v>
      </c>
    </row>
    <row r="1135" spans="1:7" x14ac:dyDescent="0.25">
      <c r="A1135" s="9">
        <v>321</v>
      </c>
      <c r="B1135" s="101" t="s">
        <v>1841</v>
      </c>
      <c r="C1135" s="19" t="s">
        <v>6</v>
      </c>
      <c r="D1135" s="112" t="s">
        <v>6</v>
      </c>
      <c r="E1135" s="12" t="s">
        <v>45</v>
      </c>
      <c r="F1135" s="32">
        <f ca="1">IF(AND(C1135="NO",D1135="NO"),IF(F1135="",TODAY(),F1135),"")</f>
        <v>46209</v>
      </c>
    </row>
    <row r="1136" spans="1:7" x14ac:dyDescent="0.25">
      <c r="A1136" s="9">
        <v>322</v>
      </c>
      <c r="B1136" s="8" t="s">
        <v>296</v>
      </c>
      <c r="C1136" s="19" t="s">
        <v>6</v>
      </c>
      <c r="D1136" s="112" t="s">
        <v>6</v>
      </c>
      <c r="E1136" s="12" t="s">
        <v>45</v>
      </c>
      <c r="F1136" s="32">
        <f ca="1">IF(AND(C1136="NO",D1136="NO"),IF(F1136="",TODAY(),F1136),"")</f>
        <v>46216</v>
      </c>
    </row>
    <row r="1137" spans="1:6" x14ac:dyDescent="0.25">
      <c r="A1137" s="9">
        <v>323</v>
      </c>
      <c r="B1137" s="8" t="s">
        <v>1880</v>
      </c>
      <c r="C1137" s="19" t="s">
        <v>6</v>
      </c>
      <c r="D1137" s="112" t="s">
        <v>6</v>
      </c>
      <c r="E1137" s="12" t="s">
        <v>45</v>
      </c>
      <c r="F1137" s="32">
        <f ca="1">IF(AND(C1137="NO",D1137="NO"),IF(F1137="",TODAY(),F1137),"")</f>
        <v>46216</v>
      </c>
    </row>
    <row r="1138" spans="1:6" x14ac:dyDescent="0.25">
      <c r="A1138" s="9">
        <v>324</v>
      </c>
      <c r="B1138" s="8" t="s">
        <v>177</v>
      </c>
      <c r="C1138" s="19" t="s">
        <v>6</v>
      </c>
      <c r="D1138" s="112" t="s">
        <v>6</v>
      </c>
      <c r="E1138" s="12" t="s">
        <v>45</v>
      </c>
      <c r="F1138" s="32">
        <f ca="1">IF(AND(C1138="NO",D1138="NO"),IF(F1138="",TODAY(),F1138),"")</f>
        <v>46216</v>
      </c>
    </row>
    <row r="1139" spans="1:6" x14ac:dyDescent="0.25">
      <c r="A1139" s="9">
        <v>325</v>
      </c>
      <c r="B1139" s="17" t="s">
        <v>1128</v>
      </c>
      <c r="C1139" s="19" t="s">
        <v>6</v>
      </c>
      <c r="D1139" s="112" t="s">
        <v>6</v>
      </c>
      <c r="E1139" s="12" t="s">
        <v>45</v>
      </c>
      <c r="F1139" s="32">
        <f ca="1">IF(AND(C1139="NO",D1139="NO"),IF(F1139="",TODAY(),F1139),"")</f>
        <v>46216</v>
      </c>
    </row>
    <row r="1140" spans="1:6" x14ac:dyDescent="0.25">
      <c r="A1140" s="9">
        <v>326</v>
      </c>
      <c r="B1140" s="17" t="s">
        <v>1394</v>
      </c>
      <c r="C1140" s="19" t="s">
        <v>6</v>
      </c>
      <c r="D1140" s="112" t="s">
        <v>6</v>
      </c>
      <c r="E1140" s="12" t="s">
        <v>45</v>
      </c>
      <c r="F1140" s="32">
        <f ca="1">IF(AND(C1140="NO",D1140="NO"),IF(F1140="",TODAY(),F1140),"")</f>
        <v>46216</v>
      </c>
    </row>
    <row r="1141" spans="1:6" x14ac:dyDescent="0.25">
      <c r="A1141" s="9">
        <v>327</v>
      </c>
      <c r="B1141" s="17" t="s">
        <v>772</v>
      </c>
      <c r="C1141" s="19" t="s">
        <v>6</v>
      </c>
      <c r="D1141" s="112" t="s">
        <v>6</v>
      </c>
      <c r="E1141" s="12" t="s">
        <v>45</v>
      </c>
      <c r="F1141" s="32">
        <f ca="1">IF(AND(C1141="NO",D1141="NO"),IF(F1141="",TODAY(),F1141),"")</f>
        <v>46216</v>
      </c>
    </row>
    <row r="1142" spans="1:6" x14ac:dyDescent="0.25">
      <c r="A1142" s="9">
        <v>328</v>
      </c>
      <c r="B1142" s="8" t="s">
        <v>1852</v>
      </c>
      <c r="C1142" s="19" t="s">
        <v>6</v>
      </c>
      <c r="D1142" s="112" t="s">
        <v>6</v>
      </c>
      <c r="E1142" s="12" t="s">
        <v>45</v>
      </c>
      <c r="F1142" s="32">
        <f ca="1">IF(AND(C1142="NO",D1142="NO"),IF(F1142="",TODAY(),F1142),"")</f>
        <v>46216</v>
      </c>
    </row>
    <row r="1143" spans="1:6" x14ac:dyDescent="0.25">
      <c r="A1143" s="9">
        <v>329</v>
      </c>
      <c r="B1143" s="8" t="s">
        <v>1851</v>
      </c>
      <c r="C1143" s="19" t="s">
        <v>6</v>
      </c>
      <c r="D1143" s="112" t="s">
        <v>6</v>
      </c>
      <c r="E1143" s="12" t="s">
        <v>45</v>
      </c>
      <c r="F1143" s="32">
        <f ca="1">IF(AND(C1143="NO",D1143="NO"),IF(F1143="",TODAY(),F1143),"")</f>
        <v>46216</v>
      </c>
    </row>
    <row r="1144" spans="1:6" x14ac:dyDescent="0.25">
      <c r="A1144" s="9">
        <v>330</v>
      </c>
      <c r="B1144" s="8" t="s">
        <v>1855</v>
      </c>
      <c r="C1144" s="19" t="s">
        <v>6</v>
      </c>
      <c r="D1144" s="112" t="s">
        <v>6</v>
      </c>
      <c r="E1144" s="12" t="s">
        <v>45</v>
      </c>
      <c r="F1144" s="32">
        <f ca="1">IF(AND(C1144="NO",D1144="NO"),IF(F1144="",TODAY(),F1144),"")</f>
        <v>46216</v>
      </c>
    </row>
    <row r="1145" spans="1:6" x14ac:dyDescent="0.25">
      <c r="A1145" s="9">
        <v>331</v>
      </c>
      <c r="B1145" s="8" t="s">
        <v>1854</v>
      </c>
      <c r="C1145" s="19" t="s">
        <v>6</v>
      </c>
      <c r="D1145" s="112" t="s">
        <v>6</v>
      </c>
      <c r="E1145" s="12" t="s">
        <v>45</v>
      </c>
      <c r="F1145" s="32">
        <f ca="1">IF(AND(C1145="NO",D1145="NO"),IF(F1145="",TODAY(),F1145),"")</f>
        <v>46216</v>
      </c>
    </row>
    <row r="1146" spans="1:6" x14ac:dyDescent="0.25">
      <c r="A1146" s="9">
        <v>332</v>
      </c>
      <c r="B1146" s="8" t="s">
        <v>1074</v>
      </c>
      <c r="C1146" s="19" t="s">
        <v>6</v>
      </c>
      <c r="D1146" s="112" t="s">
        <v>6</v>
      </c>
      <c r="E1146" s="12" t="s">
        <v>45</v>
      </c>
      <c r="F1146" s="32">
        <f ca="1">IF(AND(C1146="NO",D1146="NO"),IF(F1146="",TODAY(),F1146),"")</f>
        <v>46216</v>
      </c>
    </row>
    <row r="1147" spans="1:6" x14ac:dyDescent="0.25">
      <c r="A1147" s="9">
        <v>333</v>
      </c>
      <c r="B1147" s="8" t="s">
        <v>1850</v>
      </c>
      <c r="C1147" s="19" t="s">
        <v>6</v>
      </c>
      <c r="D1147" s="112" t="s">
        <v>6</v>
      </c>
      <c r="E1147" s="12" t="s">
        <v>45</v>
      </c>
      <c r="F1147" s="32">
        <f ca="1">IF(AND(C1147="NO",D1147="NO"),IF(F1147="",TODAY(),F1147),"")</f>
        <v>46216</v>
      </c>
    </row>
    <row r="1148" spans="1:6" x14ac:dyDescent="0.25">
      <c r="A1148" s="9">
        <v>334</v>
      </c>
      <c r="B1148" s="8" t="s">
        <v>1393</v>
      </c>
      <c r="C1148" s="19" t="s">
        <v>6</v>
      </c>
      <c r="D1148" s="112" t="s">
        <v>6</v>
      </c>
      <c r="E1148" s="12" t="s">
        <v>45</v>
      </c>
      <c r="F1148" s="32">
        <f ca="1">IF(AND(C1148="NO",D1148="NO"),IF(F1148="",TODAY(),F1148),"")</f>
        <v>46222</v>
      </c>
    </row>
    <row r="1149" spans="1:6" x14ac:dyDescent="0.25">
      <c r="A1149" s="9">
        <v>335</v>
      </c>
      <c r="B1149" s="17" t="s">
        <v>1494</v>
      </c>
      <c r="C1149" s="19" t="s">
        <v>6</v>
      </c>
      <c r="D1149" s="112" t="s">
        <v>6</v>
      </c>
      <c r="E1149" s="12" t="s">
        <v>45</v>
      </c>
      <c r="F1149" s="32">
        <f ca="1">IF(AND(C1149="NO",D1149="NO"),IF(F1149="",TODAY(),F1149),"")</f>
        <v>46222</v>
      </c>
    </row>
    <row r="1150" spans="1:6" x14ac:dyDescent="0.25">
      <c r="A1150" s="9">
        <v>336</v>
      </c>
      <c r="B1150" s="33" t="s">
        <v>720</v>
      </c>
      <c r="C1150" s="19" t="s">
        <v>6</v>
      </c>
      <c r="D1150" s="112" t="s">
        <v>6</v>
      </c>
      <c r="E1150" s="12" t="s">
        <v>45</v>
      </c>
      <c r="F1150" s="32">
        <f ca="1">IF(AND(C1150="NO",D1150="NO"),IF(F1150="",TODAY(),F1150),"")</f>
        <v>46222</v>
      </c>
    </row>
    <row r="1151" spans="1:6" x14ac:dyDescent="0.25">
      <c r="A1151" s="9">
        <v>337</v>
      </c>
      <c r="B1151" s="17" t="s">
        <v>999</v>
      </c>
      <c r="C1151" s="19" t="s">
        <v>6</v>
      </c>
      <c r="D1151" s="112" t="s">
        <v>6</v>
      </c>
      <c r="E1151" s="12" t="s">
        <v>150</v>
      </c>
      <c r="F1151" s="32">
        <f ca="1">IF(AND(C1151="NO",D1151="NO"),IF(F1151="",TODAY(),F1151),"")</f>
        <v>46222</v>
      </c>
    </row>
    <row r="1152" spans="1:6" x14ac:dyDescent="0.25">
      <c r="A1152" s="9">
        <v>338</v>
      </c>
      <c r="B1152" s="8" t="s">
        <v>1886</v>
      </c>
      <c r="C1152" s="19" t="s">
        <v>6</v>
      </c>
      <c r="D1152" s="112" t="s">
        <v>6</v>
      </c>
      <c r="E1152" s="12" t="s">
        <v>45</v>
      </c>
      <c r="F1152" s="32">
        <f ca="1">IF(AND(C1152="NO",D1152="NO"),IF(F1152="",TODAY(),F1152),"")</f>
        <v>46222</v>
      </c>
    </row>
    <row r="1153" spans="1:6" x14ac:dyDescent="0.25">
      <c r="A1153" s="9">
        <v>339</v>
      </c>
      <c r="B1153" s="8" t="s">
        <v>1887</v>
      </c>
      <c r="C1153" s="19" t="s">
        <v>6</v>
      </c>
      <c r="D1153" s="112" t="s">
        <v>6</v>
      </c>
      <c r="E1153" s="12" t="s">
        <v>45</v>
      </c>
      <c r="F1153" s="32">
        <f ca="1">IF(AND(C1153="NO",D1153="NO"),IF(F1153="",TODAY(),F1153),"")</f>
        <v>46222</v>
      </c>
    </row>
    <row r="1154" spans="1:6" x14ac:dyDescent="0.25">
      <c r="A1154" s="9">
        <v>340</v>
      </c>
      <c r="B1154" s="8" t="s">
        <v>1575</v>
      </c>
      <c r="C1154" s="19" t="s">
        <v>6</v>
      </c>
      <c r="D1154" s="112" t="s">
        <v>6</v>
      </c>
      <c r="E1154" s="12" t="s">
        <v>45</v>
      </c>
      <c r="F1154" s="32">
        <f ca="1">IF(AND(C1154="NO",D1154="NO"),IF(F1154="",TODAY(),F1154),"")</f>
        <v>46230</v>
      </c>
    </row>
    <row r="1155" spans="1:6" x14ac:dyDescent="0.25">
      <c r="A1155" s="9">
        <v>341</v>
      </c>
      <c r="B1155" s="17" t="s">
        <v>697</v>
      </c>
      <c r="C1155" s="19" t="s">
        <v>6</v>
      </c>
      <c r="D1155" s="112" t="s">
        <v>6</v>
      </c>
      <c r="E1155" s="12" t="s">
        <v>45</v>
      </c>
      <c r="F1155" s="32">
        <f ca="1">IF(AND(C1155="NO",D1155="NO"),IF(F1155="",TODAY(),F1155),"")</f>
        <v>46230</v>
      </c>
    </row>
    <row r="1156" spans="1:6" x14ac:dyDescent="0.25">
      <c r="A1156" s="9">
        <v>342</v>
      </c>
      <c r="B1156" s="17" t="s">
        <v>1285</v>
      </c>
      <c r="C1156" s="19" t="s">
        <v>6</v>
      </c>
      <c r="D1156" s="112" t="s">
        <v>6</v>
      </c>
      <c r="E1156" s="12" t="s">
        <v>45</v>
      </c>
      <c r="F1156" s="32">
        <f ca="1">IF(AND(C1156="NO",D1156="NO"),IF(F1156="",TODAY(),F1156),"")</f>
        <v>46230</v>
      </c>
    </row>
    <row r="1157" spans="1:6" x14ac:dyDescent="0.25">
      <c r="A1157" s="9">
        <v>343</v>
      </c>
      <c r="B1157" s="8" t="s">
        <v>1896</v>
      </c>
      <c r="C1157" s="19" t="s">
        <v>6</v>
      </c>
      <c r="D1157" s="112" t="s">
        <v>6</v>
      </c>
      <c r="E1157" s="12" t="s">
        <v>45</v>
      </c>
      <c r="F1157" s="32">
        <f ca="1">IF(AND(C1157="NO",D1157="NO"),IF(F1157="",TODAY(),F1157),"")</f>
        <v>46230</v>
      </c>
    </row>
    <row r="1158" spans="1:6" x14ac:dyDescent="0.25">
      <c r="A1158" s="9">
        <v>344</v>
      </c>
      <c r="B1158" s="8" t="s">
        <v>1909</v>
      </c>
      <c r="C1158" s="19" t="s">
        <v>6</v>
      </c>
      <c r="D1158" s="112" t="s">
        <v>6</v>
      </c>
      <c r="E1158" s="12" t="s">
        <v>45</v>
      </c>
      <c r="F1158" s="32">
        <f ca="1">IF(AND(C1158="NO",D1158="NO"),IF(F1158="",TODAY(),F1158),"")</f>
        <v>46230</v>
      </c>
    </row>
    <row r="1159" spans="1:6" x14ac:dyDescent="0.25">
      <c r="A1159" s="9">
        <v>345</v>
      </c>
      <c r="B1159" s="17" t="s">
        <v>604</v>
      </c>
      <c r="C1159" s="19" t="s">
        <v>6</v>
      </c>
      <c r="D1159" s="112" t="s">
        <v>6</v>
      </c>
      <c r="E1159" s="12" t="s">
        <v>45</v>
      </c>
      <c r="F1159" s="32">
        <f ca="1">IF(AND(C1159="NO",D1159="NO"),IF(F1159="",TODAY(),F1159),"")</f>
        <v>46237</v>
      </c>
    </row>
    <row r="1160" spans="1:6" x14ac:dyDescent="0.25">
      <c r="A1160" s="9">
        <v>346</v>
      </c>
      <c r="B1160" s="17" t="s">
        <v>1153</v>
      </c>
      <c r="C1160" s="19" t="s">
        <v>6</v>
      </c>
      <c r="D1160" s="112" t="s">
        <v>6</v>
      </c>
      <c r="E1160" s="12" t="s">
        <v>150</v>
      </c>
      <c r="F1160" s="32">
        <f ca="1">IF(AND(C1160="NO",D1160="NO"),IF(F1160="",TODAY(),F1160),"")</f>
        <v>46237</v>
      </c>
    </row>
    <row r="1161" spans="1:6" x14ac:dyDescent="0.25">
      <c r="A1161" s="9">
        <v>347</v>
      </c>
      <c r="B1161" s="17" t="s">
        <v>1935</v>
      </c>
      <c r="C1161" s="19" t="s">
        <v>6</v>
      </c>
      <c r="D1161" s="112" t="s">
        <v>6</v>
      </c>
      <c r="E1161" s="12" t="s">
        <v>45</v>
      </c>
      <c r="F1161" s="32">
        <f ca="1">IF(AND(C1161="NO",D1161="NO"),IF(F1161="",TODAY(),F1161),"")</f>
        <v>46237</v>
      </c>
    </row>
    <row r="1162" spans="1:6" x14ac:dyDescent="0.25">
      <c r="A1162" s="9">
        <v>348</v>
      </c>
      <c r="B1162" s="8" t="s">
        <v>1931</v>
      </c>
      <c r="C1162" s="19" t="s">
        <v>6</v>
      </c>
      <c r="D1162" s="112" t="s">
        <v>6</v>
      </c>
      <c r="E1162" s="12" t="s">
        <v>337</v>
      </c>
      <c r="F1162" s="32">
        <f ca="1">IF(AND(C1162="NO",D1162="NO"),IF(F1162="",TODAY(),F1162),"")</f>
        <v>46237</v>
      </c>
    </row>
    <row r="1163" spans="1:6" x14ac:dyDescent="0.25">
      <c r="A1163" s="9">
        <v>349</v>
      </c>
      <c r="B1163" s="8" t="s">
        <v>1937</v>
      </c>
      <c r="C1163" s="19" t="s">
        <v>6</v>
      </c>
      <c r="D1163" s="112" t="s">
        <v>6</v>
      </c>
      <c r="E1163" s="12" t="s">
        <v>337</v>
      </c>
      <c r="F1163" s="32">
        <f ca="1">IF(AND(C1163="NO",D1163="NO"),IF(F1163="",TODAY(),F1163),"")</f>
        <v>46237</v>
      </c>
    </row>
    <row r="1164" spans="1:6" x14ac:dyDescent="0.25">
      <c r="A1164" s="9">
        <v>350</v>
      </c>
      <c r="B1164" s="17" t="s">
        <v>1558</v>
      </c>
      <c r="C1164" s="19" t="s">
        <v>6</v>
      </c>
      <c r="D1164" s="112" t="s">
        <v>6</v>
      </c>
      <c r="E1164" s="12" t="s">
        <v>45</v>
      </c>
      <c r="F1164" s="32">
        <f ca="1">IF(AND(C1164="NO",D1164="NO"),IF(F1164="",TODAY(),F1164),"")</f>
        <v>46242</v>
      </c>
    </row>
    <row r="1165" spans="1:6" x14ac:dyDescent="0.25">
      <c r="A1165" s="9">
        <v>351</v>
      </c>
      <c r="B1165" s="17" t="s">
        <v>191</v>
      </c>
      <c r="C1165" s="19" t="s">
        <v>6</v>
      </c>
      <c r="D1165" s="112" t="s">
        <v>6</v>
      </c>
      <c r="E1165" s="12" t="s">
        <v>45</v>
      </c>
      <c r="F1165" s="32">
        <f ca="1">IF(AND(C1165="NO",D1165="NO"),IF(F1165="",TODAY(),F1165),"")</f>
        <v>46242</v>
      </c>
    </row>
    <row r="1166" spans="1:6" x14ac:dyDescent="0.25">
      <c r="A1166" s="9">
        <v>352</v>
      </c>
      <c r="B1166" s="17" t="s">
        <v>1917</v>
      </c>
      <c r="C1166" s="19" t="s">
        <v>6</v>
      </c>
      <c r="D1166" s="112" t="s">
        <v>6</v>
      </c>
      <c r="E1166" s="12" t="s">
        <v>45</v>
      </c>
      <c r="F1166" s="32">
        <f ca="1">IF(AND(C1166="NO",D1166="NO"),IF(F1166="",TODAY(),F1166),"")</f>
        <v>46242</v>
      </c>
    </row>
    <row r="1167" spans="1:6" x14ac:dyDescent="0.25">
      <c r="A1167" s="9">
        <v>353</v>
      </c>
      <c r="B1167" s="8" t="s">
        <v>1907</v>
      </c>
      <c r="C1167" s="19" t="s">
        <v>6</v>
      </c>
      <c r="D1167" s="112" t="s">
        <v>6</v>
      </c>
      <c r="E1167" s="12" t="s">
        <v>45</v>
      </c>
      <c r="F1167" s="32">
        <f ca="1">IF(AND(C1167="NO",D1167="NO"),IF(F1167="",TODAY(),F1167),"")</f>
        <v>46242</v>
      </c>
    </row>
    <row r="1168" spans="1:6" x14ac:dyDescent="0.25">
      <c r="A1168" s="9">
        <v>354</v>
      </c>
      <c r="B1168" s="8" t="s">
        <v>1736</v>
      </c>
      <c r="C1168" s="19" t="s">
        <v>6</v>
      </c>
      <c r="D1168" s="112" t="s">
        <v>6</v>
      </c>
      <c r="E1168" s="12" t="s">
        <v>45</v>
      </c>
      <c r="F1168" s="32">
        <f ca="1">IF(AND(C1168="NO",D1168="NO"),IF(F1168="",TODAY(),F1168),"")</f>
        <v>46242</v>
      </c>
    </row>
    <row r="1169" spans="1:7" x14ac:dyDescent="0.25">
      <c r="A1169" s="9">
        <v>355</v>
      </c>
      <c r="B1169" s="17" t="s">
        <v>1118</v>
      </c>
      <c r="C1169" s="19" t="s">
        <v>6</v>
      </c>
      <c r="D1169" s="112" t="s">
        <v>6</v>
      </c>
      <c r="E1169" s="12" t="s">
        <v>45</v>
      </c>
      <c r="F1169" s="32">
        <f ca="1">IF(AND(C1169="NO",D1169="NO"),IF(F1169="",TODAY(),F1169),"")</f>
        <v>46242</v>
      </c>
    </row>
    <row r="1170" spans="1:7" x14ac:dyDescent="0.25">
      <c r="A1170" s="9">
        <v>356</v>
      </c>
      <c r="B1170" s="8" t="s">
        <v>1970</v>
      </c>
      <c r="C1170" s="19" t="s">
        <v>6</v>
      </c>
      <c r="D1170" s="112" t="s">
        <v>6</v>
      </c>
      <c r="E1170" s="12" t="s">
        <v>45</v>
      </c>
      <c r="F1170" s="32">
        <f ca="1">IF(AND(C1170="NO",D1170="NO"),IF(F1170="",TODAY(),F1170),"")</f>
        <v>46242</v>
      </c>
    </row>
    <row r="1171" spans="1:7" x14ac:dyDescent="0.25">
      <c r="A1171" s="9">
        <v>357</v>
      </c>
      <c r="B1171" s="8" t="s">
        <v>1987</v>
      </c>
      <c r="C1171" s="19" t="s">
        <v>6</v>
      </c>
      <c r="D1171" s="112" t="s">
        <v>6</v>
      </c>
      <c r="E1171" s="12" t="s">
        <v>150</v>
      </c>
      <c r="F1171" s="32">
        <f ca="1">IF(AND(C1171="NO",D1171="NO"),IF(F1171="",TODAY(),F1171),"")</f>
        <v>46242</v>
      </c>
    </row>
    <row r="1172" spans="1:7" x14ac:dyDescent="0.25">
      <c r="A1172" s="9">
        <v>358</v>
      </c>
      <c r="B1172" s="8" t="s">
        <v>1990</v>
      </c>
      <c r="C1172" s="19" t="s">
        <v>6</v>
      </c>
      <c r="D1172" s="112" t="s">
        <v>6</v>
      </c>
      <c r="E1172" s="12" t="s">
        <v>150</v>
      </c>
      <c r="F1172" s="32">
        <f ca="1">IF(AND(C1172="NO",D1172="NO"),IF(F1172="",TODAY(),F1172),"")</f>
        <v>46242</v>
      </c>
    </row>
    <row r="1173" spans="1:7" x14ac:dyDescent="0.25">
      <c r="A1173" s="9">
        <v>359</v>
      </c>
      <c r="B1173" s="8" t="s">
        <v>1991</v>
      </c>
      <c r="C1173" s="19" t="s">
        <v>6</v>
      </c>
      <c r="D1173" s="112" t="s">
        <v>6</v>
      </c>
      <c r="E1173" s="12" t="s">
        <v>150</v>
      </c>
      <c r="F1173" s="32">
        <f ca="1">IF(AND(C1173="NO",D1173="NO"),IF(F1173="",TODAY(),F1173),"")</f>
        <v>46242</v>
      </c>
    </row>
    <row r="1174" spans="1:7" x14ac:dyDescent="0.25">
      <c r="A1174" s="9">
        <v>360</v>
      </c>
      <c r="B1174" s="8" t="s">
        <v>1992</v>
      </c>
      <c r="C1174" s="19" t="s">
        <v>6</v>
      </c>
      <c r="D1174" s="112" t="s">
        <v>6</v>
      </c>
      <c r="E1174" s="12" t="s">
        <v>150</v>
      </c>
      <c r="F1174" s="32">
        <f ca="1">IF(AND(C1174="NO",D1174="NO"),IF(F1174="",TODAY(),F1174),"")</f>
        <v>46242</v>
      </c>
    </row>
    <row r="1175" spans="1:7" x14ac:dyDescent="0.25">
      <c r="A1175" s="9">
        <v>361</v>
      </c>
      <c r="B1175" s="8" t="s">
        <v>1993</v>
      </c>
      <c r="C1175" s="19" t="s">
        <v>6</v>
      </c>
      <c r="D1175" s="112" t="s">
        <v>6</v>
      </c>
      <c r="E1175" s="12" t="s">
        <v>150</v>
      </c>
      <c r="F1175" s="32">
        <f ca="1">IF(AND(C1175="NO",D1175="NO"),IF(F1175="",TODAY(),F1175),"")</f>
        <v>46242</v>
      </c>
      <c r="G1175" s="130"/>
    </row>
    <row r="1176" spans="1:7" x14ac:dyDescent="0.25">
      <c r="A1176" s="9">
        <v>362</v>
      </c>
      <c r="B1176" s="8" t="s">
        <v>1994</v>
      </c>
      <c r="C1176" s="19" t="s">
        <v>6</v>
      </c>
      <c r="D1176" s="112" t="s">
        <v>6</v>
      </c>
      <c r="E1176" s="12" t="s">
        <v>150</v>
      </c>
      <c r="F1176" s="32">
        <f ca="1">IF(AND(C1176="NO",D1176="NO"),IF(F1176="",TODAY(),F1176),"")</f>
        <v>46242</v>
      </c>
    </row>
    <row r="1177" spans="1:7" x14ac:dyDescent="0.25">
      <c r="A1177" s="9">
        <v>363</v>
      </c>
      <c r="B1177" s="8" t="s">
        <v>1995</v>
      </c>
      <c r="C1177" s="19" t="s">
        <v>6</v>
      </c>
      <c r="D1177" s="112" t="s">
        <v>6</v>
      </c>
      <c r="E1177" s="12" t="s">
        <v>150</v>
      </c>
      <c r="F1177" s="32">
        <f ca="1">IF(AND(C1177="NO",D1177="NO"),IF(F1177="",TODAY(),F1177),"")</f>
        <v>46242</v>
      </c>
    </row>
    <row r="1178" spans="1:7" x14ac:dyDescent="0.25">
      <c r="A1178" s="9">
        <v>364</v>
      </c>
      <c r="B1178" s="17" t="s">
        <v>1906</v>
      </c>
      <c r="C1178" s="19" t="s">
        <v>6</v>
      </c>
      <c r="D1178" s="112" t="s">
        <v>6</v>
      </c>
      <c r="E1178" s="12" t="s">
        <v>45</v>
      </c>
      <c r="F1178" s="32">
        <f ca="1">IF(AND(C1178="NO",D1178="NO"),IF(F1178="",TODAY(),F1178),"")</f>
        <v>46245</v>
      </c>
    </row>
    <row r="1179" spans="1:7" x14ac:dyDescent="0.25">
      <c r="A1179" s="9">
        <v>365</v>
      </c>
      <c r="B1179" s="17" t="s">
        <v>1739</v>
      </c>
      <c r="C1179" s="19" t="s">
        <v>6</v>
      </c>
      <c r="D1179" s="112" t="s">
        <v>6</v>
      </c>
      <c r="E1179" s="12" t="s">
        <v>45</v>
      </c>
      <c r="F1179" s="32">
        <f ca="1">IF(AND(C1179="NO",D1179="NO"),IF(F1179="",TODAY(),F1179),"")</f>
        <v>46245</v>
      </c>
    </row>
    <row r="1180" spans="1:7" x14ac:dyDescent="0.25">
      <c r="A1180" s="9">
        <v>366</v>
      </c>
      <c r="B1180" s="8" t="s">
        <v>1842</v>
      </c>
      <c r="C1180" s="19" t="s">
        <v>6</v>
      </c>
      <c r="D1180" s="112" t="s">
        <v>6</v>
      </c>
      <c r="E1180" s="12" t="s">
        <v>45</v>
      </c>
      <c r="F1180" s="32">
        <f ca="1">IF(AND(C1180="NO",D1180="NO"),IF(F1180="",TODAY(),F1180),"")</f>
        <v>46245</v>
      </c>
      <c r="G1180" s="153">
        <v>584147529066</v>
      </c>
    </row>
    <row r="1181" spans="1:7" x14ac:dyDescent="0.25">
      <c r="A1181" s="9">
        <v>367</v>
      </c>
      <c r="B1181" s="17" t="s">
        <v>1152</v>
      </c>
      <c r="C1181" s="19" t="s">
        <v>6</v>
      </c>
      <c r="D1181" s="112" t="s">
        <v>6</v>
      </c>
      <c r="E1181" s="12" t="s">
        <v>150</v>
      </c>
      <c r="F1181" s="32">
        <f ca="1">IF(AND(C1181="NO",D1181="NO"),IF(F1181="",TODAY(),F1181),"")</f>
        <v>46245</v>
      </c>
    </row>
    <row r="1182" spans="1:7" x14ac:dyDescent="0.25">
      <c r="A1182" s="9">
        <v>368</v>
      </c>
      <c r="B1182" s="17" t="s">
        <v>1936</v>
      </c>
      <c r="C1182" s="19" t="s">
        <v>6</v>
      </c>
      <c r="D1182" s="112" t="s">
        <v>6</v>
      </c>
      <c r="E1182" s="12" t="s">
        <v>45</v>
      </c>
      <c r="F1182" s="32">
        <f ca="1">IF(AND(C1182="NO",D1182="NO"),IF(F1182="",TODAY(),F1182),"")</f>
        <v>46245</v>
      </c>
    </row>
    <row r="1183" spans="1:7" x14ac:dyDescent="0.25">
      <c r="A1183" s="9">
        <v>369</v>
      </c>
      <c r="B1183" s="17" t="s">
        <v>1607</v>
      </c>
      <c r="C1183" s="19" t="s">
        <v>6</v>
      </c>
      <c r="D1183" s="112" t="s">
        <v>6</v>
      </c>
      <c r="E1183" s="12" t="s">
        <v>45</v>
      </c>
      <c r="F1183" s="32">
        <f ca="1">IF(AND(C1183="NO",D1183="NO"),IF(F1183="",TODAY(),F1183),"")</f>
        <v>46245</v>
      </c>
    </row>
    <row r="1184" spans="1:7" x14ac:dyDescent="0.25">
      <c r="A1184" s="9">
        <v>370</v>
      </c>
      <c r="B1184" s="8" t="s">
        <v>1853</v>
      </c>
      <c r="C1184" s="19" t="s">
        <v>6</v>
      </c>
      <c r="D1184" s="112" t="s">
        <v>6</v>
      </c>
      <c r="E1184" s="12" t="s">
        <v>45</v>
      </c>
      <c r="F1184" s="32">
        <f ca="1">IF(AND(C1184="NO",D1184="NO"),IF(F1184="",TODAY(),F1184),"")</f>
        <v>46245</v>
      </c>
    </row>
    <row r="1185" spans="1:6" x14ac:dyDescent="0.25">
      <c r="A1185" s="9">
        <v>371</v>
      </c>
      <c r="B1185" s="8" t="s">
        <v>1831</v>
      </c>
      <c r="C1185" s="19" t="s">
        <v>6</v>
      </c>
      <c r="D1185" s="112" t="s">
        <v>6</v>
      </c>
      <c r="E1185" s="12" t="s">
        <v>45</v>
      </c>
      <c r="F1185" s="32">
        <f ca="1">IF(AND(C1185="NO",D1185="NO"),IF(F1185="",TODAY(),F1185),"")</f>
        <v>46245</v>
      </c>
    </row>
    <row r="1186" spans="1:6" x14ac:dyDescent="0.25">
      <c r="A1186" s="9">
        <v>372</v>
      </c>
      <c r="B1186" s="8" t="s">
        <v>1128</v>
      </c>
      <c r="C1186" s="19" t="s">
        <v>6</v>
      </c>
      <c r="D1186" s="112" t="s">
        <v>6</v>
      </c>
      <c r="E1186" s="12" t="s">
        <v>45</v>
      </c>
      <c r="F1186" s="32">
        <f ca="1">IF(AND(C1186="NO",D1186="NO"),IF(F1186="",TODAY(),F1186),"")</f>
        <v>46245</v>
      </c>
    </row>
    <row r="1187" spans="1:6" x14ac:dyDescent="0.25">
      <c r="A1187" s="9">
        <v>373</v>
      </c>
      <c r="B1187" s="8" t="s">
        <v>2024</v>
      </c>
      <c r="C1187" s="19" t="s">
        <v>6</v>
      </c>
      <c r="D1187" s="112" t="s">
        <v>6</v>
      </c>
      <c r="E1187" s="12" t="s">
        <v>337</v>
      </c>
      <c r="F1187" s="32">
        <f ca="1">IF(AND(C1187="NO",D1187="NO"),IF(F1187="",TODAY(),F1187),"")</f>
        <v>46245</v>
      </c>
    </row>
    <row r="1188" spans="1:6" x14ac:dyDescent="0.25">
      <c r="A1188" s="9">
        <v>374</v>
      </c>
      <c r="B1188" s="8" t="s">
        <v>2025</v>
      </c>
      <c r="C1188" s="19" t="s">
        <v>6</v>
      </c>
      <c r="D1188" s="112" t="s">
        <v>6</v>
      </c>
      <c r="E1188" s="12" t="s">
        <v>337</v>
      </c>
      <c r="F1188" s="32">
        <f ca="1">IF(AND(C1188="NO",D1188="NO"),IF(F1188="",TODAY(),F1188),"")</f>
        <v>46245</v>
      </c>
    </row>
    <row r="1189" spans="1:6" x14ac:dyDescent="0.25">
      <c r="A1189" s="9">
        <v>375</v>
      </c>
      <c r="B1189" s="8" t="s">
        <v>2026</v>
      </c>
      <c r="C1189" s="19" t="s">
        <v>6</v>
      </c>
      <c r="D1189" s="112" t="s">
        <v>6</v>
      </c>
      <c r="E1189" s="12" t="s">
        <v>150</v>
      </c>
      <c r="F1189" s="32">
        <f ca="1">IF(AND(C1189="NO",D1189="NO"),IF(F1189="",TODAY(),F1189),"")</f>
        <v>46245</v>
      </c>
    </row>
    <row r="1190" spans="1:6" x14ac:dyDescent="0.25">
      <c r="A1190" s="9">
        <v>376</v>
      </c>
      <c r="B1190" s="8" t="s">
        <v>2037</v>
      </c>
      <c r="C1190" s="19" t="s">
        <v>6</v>
      </c>
      <c r="D1190" s="112" t="s">
        <v>6</v>
      </c>
      <c r="E1190" s="12" t="s">
        <v>150</v>
      </c>
      <c r="F1190" s="32">
        <f ca="1">IF(AND(C1190="NO",D1190="NO"),IF(F1190="",TODAY(),F1190),"")</f>
        <v>46245</v>
      </c>
    </row>
    <row r="1191" spans="1:6" x14ac:dyDescent="0.25">
      <c r="A1191" s="9">
        <v>377</v>
      </c>
      <c r="B1191" s="17" t="s">
        <v>1152</v>
      </c>
      <c r="C1191" s="19" t="s">
        <v>6</v>
      </c>
      <c r="D1191" s="112" t="s">
        <v>6</v>
      </c>
      <c r="E1191" s="12" t="s">
        <v>150</v>
      </c>
      <c r="F1191" s="32">
        <f ca="1">IF(AND(C1191="NO",D1191="NO"),IF(F1191="",TODAY(),F1191),"")</f>
        <v>46245</v>
      </c>
    </row>
    <row r="1192" spans="1:6" x14ac:dyDescent="0.25">
      <c r="A1192" s="9">
        <v>378</v>
      </c>
      <c r="B1192" s="17" t="s">
        <v>1936</v>
      </c>
      <c r="C1192" s="19" t="s">
        <v>6</v>
      </c>
      <c r="D1192" s="112" t="s">
        <v>6</v>
      </c>
      <c r="E1192" s="12" t="s">
        <v>45</v>
      </c>
      <c r="F1192" s="32">
        <f ca="1">IF(AND(C1192="NO",D1192="NO"),IF(F1192="",TODAY(),F1192),"")</f>
        <v>46245</v>
      </c>
    </row>
    <row r="1193" spans="1:6" x14ac:dyDescent="0.25">
      <c r="A1193" s="9">
        <v>379</v>
      </c>
      <c r="B1193" s="17" t="s">
        <v>1607</v>
      </c>
      <c r="C1193" s="19" t="s">
        <v>6</v>
      </c>
      <c r="D1193" s="112" t="s">
        <v>6</v>
      </c>
      <c r="E1193" s="12" t="s">
        <v>45</v>
      </c>
      <c r="F1193" s="32">
        <f ca="1">IF(AND(C1193="NO",D1193="NO"),IF(F1193="",TODAY(),F1193),"")</f>
        <v>46245</v>
      </c>
    </row>
    <row r="1194" spans="1:6" x14ac:dyDescent="0.25">
      <c r="A1194" s="9">
        <v>380</v>
      </c>
      <c r="B1194" s="8" t="s">
        <v>1853</v>
      </c>
      <c r="C1194" s="19" t="s">
        <v>6</v>
      </c>
      <c r="D1194" s="112" t="s">
        <v>6</v>
      </c>
      <c r="E1194" s="12" t="s">
        <v>45</v>
      </c>
      <c r="F1194" s="32">
        <f ca="1">IF(AND(C1194="NO",D1194="NO"),IF(F1194="",TODAY(),F1194),"")</f>
        <v>46245</v>
      </c>
    </row>
    <row r="1195" spans="1:6" x14ac:dyDescent="0.25">
      <c r="A1195" s="9">
        <v>381</v>
      </c>
      <c r="B1195" s="8" t="s">
        <v>1831</v>
      </c>
      <c r="C1195" s="19" t="s">
        <v>6</v>
      </c>
      <c r="D1195" s="112" t="s">
        <v>6</v>
      </c>
      <c r="E1195" s="12" t="s">
        <v>45</v>
      </c>
      <c r="F1195" s="32">
        <f ca="1">IF(AND(C1195="NO",D1195="NO"),IF(F1195="",TODAY(),F1195),"")</f>
        <v>46245</v>
      </c>
    </row>
    <row r="1196" spans="1:6" x14ac:dyDescent="0.25">
      <c r="A1196" s="9">
        <v>382</v>
      </c>
      <c r="B1196" s="8" t="s">
        <v>1128</v>
      </c>
      <c r="C1196" s="19" t="s">
        <v>6</v>
      </c>
      <c r="D1196" s="112" t="s">
        <v>6</v>
      </c>
      <c r="E1196" s="12" t="s">
        <v>45</v>
      </c>
      <c r="F1196" s="32">
        <f ca="1">IF(AND(C1196="NO",D1196="NO"),IF(F1196="",TODAY(),F1196),"")</f>
        <v>46245</v>
      </c>
    </row>
    <row r="1197" spans="1:6" x14ac:dyDescent="0.25">
      <c r="A1197" s="9">
        <v>383</v>
      </c>
      <c r="B1197" s="8" t="s">
        <v>2024</v>
      </c>
      <c r="C1197" s="19" t="s">
        <v>6</v>
      </c>
      <c r="D1197" s="112" t="s">
        <v>6</v>
      </c>
      <c r="E1197" s="12" t="s">
        <v>337</v>
      </c>
      <c r="F1197" s="32">
        <f ca="1">IF(AND(C1197="NO",D1197="NO"),IF(F1197="",TODAY(),F1197),"")</f>
        <v>46245</v>
      </c>
    </row>
    <row r="1198" spans="1:6" x14ac:dyDescent="0.25">
      <c r="A1198" s="9">
        <v>384</v>
      </c>
      <c r="B1198" s="8" t="s">
        <v>2025</v>
      </c>
      <c r="C1198" s="19" t="s">
        <v>6</v>
      </c>
      <c r="D1198" s="112" t="s">
        <v>6</v>
      </c>
      <c r="E1198" s="12" t="s">
        <v>337</v>
      </c>
      <c r="F1198" s="32">
        <f ca="1">IF(AND(C1198="NO",D1198="NO"),IF(F1198="",TODAY(),F1198),"")</f>
        <v>46245</v>
      </c>
    </row>
    <row r="1199" spans="1:6" x14ac:dyDescent="0.25">
      <c r="A1199" s="9">
        <v>385</v>
      </c>
      <c r="B1199" s="8" t="s">
        <v>2026</v>
      </c>
      <c r="C1199" s="19" t="s">
        <v>6</v>
      </c>
      <c r="D1199" s="112" t="s">
        <v>6</v>
      </c>
      <c r="E1199" s="12" t="s">
        <v>150</v>
      </c>
      <c r="F1199" s="32">
        <f ca="1">IF(AND(C1199="NO",D1199="NO"),IF(F1199="",TODAY(),F1199),"")</f>
        <v>46245</v>
      </c>
    </row>
    <row r="1200" spans="1:6" x14ac:dyDescent="0.25">
      <c r="A1200" s="9">
        <v>386</v>
      </c>
      <c r="B1200" s="8" t="s">
        <v>2027</v>
      </c>
      <c r="C1200" s="19" t="s">
        <v>6</v>
      </c>
      <c r="D1200" s="112" t="s">
        <v>6</v>
      </c>
      <c r="E1200" s="12" t="s">
        <v>150</v>
      </c>
      <c r="F1200" s="32">
        <f ca="1">IF(AND(C1200="NO",D1200="NO"),IF(F1200="",TODAY(),F1200),"")</f>
        <v>46245</v>
      </c>
    </row>
    <row r="1201" spans="1:6" x14ac:dyDescent="0.25">
      <c r="A1201" s="9">
        <v>387</v>
      </c>
      <c r="B1201" s="8" t="s">
        <v>2037</v>
      </c>
      <c r="C1201" s="19" t="s">
        <v>6</v>
      </c>
      <c r="D1201" s="112" t="s">
        <v>6</v>
      </c>
      <c r="E1201" s="12" t="s">
        <v>150</v>
      </c>
      <c r="F1201" s="32">
        <f ca="1">IF(AND(C1201="NO",D1201="NO"),IF(F1201="",TODAY(),F1201),"")</f>
        <v>46245</v>
      </c>
    </row>
    <row r="1202" spans="1:6" x14ac:dyDescent="0.25">
      <c r="A1202" s="9">
        <v>34</v>
      </c>
      <c r="B1202" s="17" t="s">
        <v>2093</v>
      </c>
      <c r="C1202" s="19" t="s">
        <v>6</v>
      </c>
      <c r="D1202" s="112" t="s">
        <v>6</v>
      </c>
      <c r="E1202" s="79" t="s">
        <v>45</v>
      </c>
      <c r="F1202" s="32">
        <f ca="1">IF(AND(C1202="NO",D1202="NO"),IF(F1202="",TODAY(),F1202),"")</f>
        <v>46272</v>
      </c>
    </row>
    <row r="1203" spans="1:6" x14ac:dyDescent="0.25">
      <c r="A1203" s="9">
        <v>35</v>
      </c>
      <c r="B1203" s="8" t="s">
        <v>1698</v>
      </c>
      <c r="C1203" s="19" t="s">
        <v>6</v>
      </c>
      <c r="D1203" s="112" t="s">
        <v>6</v>
      </c>
      <c r="E1203" s="12" t="s">
        <v>150</v>
      </c>
      <c r="F1203" s="32">
        <f ca="1">IF(AND(C1203="NO",D1203="NO"),IF(F1203="",TODAY(),F1203),"")</f>
        <v>46272</v>
      </c>
    </row>
    <row r="1204" spans="1:6" x14ac:dyDescent="0.25">
      <c r="A1204" s="9">
        <v>36</v>
      </c>
      <c r="B1204" s="8" t="s">
        <v>1469</v>
      </c>
      <c r="C1204" s="19" t="s">
        <v>6</v>
      </c>
      <c r="D1204" s="112" t="s">
        <v>6</v>
      </c>
      <c r="E1204" s="12" t="s">
        <v>150</v>
      </c>
      <c r="F1204" s="32">
        <f ca="1">IF(AND(C1204="NO",D1204="NO"),IF(F1204="",TODAY(),F1204),"")</f>
        <v>46272</v>
      </c>
    </row>
    <row r="1205" spans="1:6" x14ac:dyDescent="0.25">
      <c r="A1205" s="9">
        <v>78</v>
      </c>
      <c r="B1205" s="8" t="s">
        <v>2092</v>
      </c>
      <c r="C1205" s="19" t="s">
        <v>6</v>
      </c>
      <c r="D1205" s="112" t="s">
        <v>6</v>
      </c>
      <c r="E1205" s="12" t="s">
        <v>45</v>
      </c>
      <c r="F1205" s="32">
        <f ca="1">IF(AND(C1205="NO",D1205="NO"),IF(F1205="",TODAY(),F1205),"")</f>
        <v>46272</v>
      </c>
    </row>
    <row r="1206" spans="1:6" x14ac:dyDescent="0.25">
      <c r="A1206" s="9">
        <v>90</v>
      </c>
      <c r="B1206" s="33" t="s">
        <v>1062</v>
      </c>
      <c r="C1206" s="19" t="s">
        <v>6</v>
      </c>
      <c r="D1206" s="112" t="s">
        <v>6</v>
      </c>
      <c r="E1206" s="12" t="s">
        <v>45</v>
      </c>
      <c r="F1206" s="32">
        <f ca="1">IF(AND(C1206="NO",D1206="NO"),IF(F1206="",TODAY(),F1206),"")</f>
        <v>46272</v>
      </c>
    </row>
    <row r="1207" spans="1:6" x14ac:dyDescent="0.25">
      <c r="A1207" s="9">
        <v>102</v>
      </c>
      <c r="B1207" s="8" t="s">
        <v>2077</v>
      </c>
      <c r="C1207" s="19" t="s">
        <v>6</v>
      </c>
      <c r="D1207" s="112" t="s">
        <v>6</v>
      </c>
      <c r="E1207" s="12" t="s">
        <v>337</v>
      </c>
      <c r="F1207" s="32">
        <f ca="1">IF(AND(C1207="NO",D1207="NO"),IF(F1207="",TODAY(),F1207),"")</f>
        <v>46272</v>
      </c>
    </row>
    <row r="1208" spans="1:6" x14ac:dyDescent="0.25">
      <c r="A1208" s="9">
        <v>104</v>
      </c>
      <c r="B1208" s="8" t="s">
        <v>2091</v>
      </c>
      <c r="C1208" s="19" t="s">
        <v>6</v>
      </c>
      <c r="D1208" s="112" t="s">
        <v>6</v>
      </c>
      <c r="E1208" s="12" t="s">
        <v>337</v>
      </c>
      <c r="F1208" s="32">
        <f ca="1">IF(AND(C1208="NO",D1208="NO"),IF(F1208="",TODAY(),F1208),"")</f>
        <v>46272</v>
      </c>
    </row>
    <row r="1210" spans="1:6" x14ac:dyDescent="0.25">
      <c r="A1210" s="91" t="s">
        <v>1846</v>
      </c>
      <c r="C1210" s="129"/>
      <c r="D1210" s="129"/>
      <c r="E1210" s="129"/>
      <c r="F1210" s="129"/>
    </row>
    <row r="1211" spans="1:6" x14ac:dyDescent="0.25">
      <c r="A1211" s="9">
        <v>1</v>
      </c>
      <c r="B1211" s="8" t="s">
        <v>242</v>
      </c>
      <c r="C1211" s="19" t="s">
        <v>6</v>
      </c>
      <c r="D1211" s="19" t="s">
        <v>6</v>
      </c>
      <c r="E1211" s="82" t="s">
        <v>39</v>
      </c>
      <c r="F1211" s="93">
        <v>46145</v>
      </c>
    </row>
    <row r="1212" spans="1:6" ht="14.25" customHeight="1" x14ac:dyDescent="0.25">
      <c r="A1212" s="9">
        <v>2</v>
      </c>
      <c r="B1212" s="33" t="s">
        <v>1271</v>
      </c>
      <c r="C1212" s="19" t="s">
        <v>6</v>
      </c>
      <c r="D1212" s="19" t="s">
        <v>6</v>
      </c>
      <c r="E1212" s="80" t="s">
        <v>45</v>
      </c>
      <c r="F1212" s="93"/>
    </row>
    <row r="1213" spans="1:6" x14ac:dyDescent="0.25">
      <c r="A1213" s="9">
        <v>3</v>
      </c>
      <c r="B1213" s="33" t="s">
        <v>1364</v>
      </c>
      <c r="C1213" s="19" t="s">
        <v>6</v>
      </c>
      <c r="D1213" s="19" t="s">
        <v>6</v>
      </c>
      <c r="E1213" s="79" t="s">
        <v>45</v>
      </c>
      <c r="F1213" s="93">
        <v>46152</v>
      </c>
    </row>
    <row r="1214" spans="1:6" ht="15.75" x14ac:dyDescent="0.25">
      <c r="A1214" s="9">
        <v>4</v>
      </c>
      <c r="B1214" s="33" t="s">
        <v>885</v>
      </c>
      <c r="C1214" s="19" t="s">
        <v>6</v>
      </c>
      <c r="D1214" s="19" t="s">
        <v>6</v>
      </c>
      <c r="E1214" s="80" t="s">
        <v>45</v>
      </c>
      <c r="F1214" s="93">
        <v>46152</v>
      </c>
    </row>
    <row r="1215" spans="1:6" x14ac:dyDescent="0.25">
      <c r="A1215" s="9">
        <v>5</v>
      </c>
      <c r="B1215" s="33" t="s">
        <v>1269</v>
      </c>
      <c r="C1215" s="19" t="s">
        <v>6</v>
      </c>
      <c r="D1215" s="19" t="s">
        <v>6</v>
      </c>
      <c r="E1215" s="79" t="s">
        <v>45</v>
      </c>
      <c r="F1215" s="93">
        <v>46152</v>
      </c>
    </row>
    <row r="1216" spans="1:6" x14ac:dyDescent="0.25">
      <c r="A1216" s="9">
        <v>6</v>
      </c>
      <c r="B1216" s="33" t="s">
        <v>1626</v>
      </c>
      <c r="C1216" s="19" t="s">
        <v>6</v>
      </c>
      <c r="D1216" s="19" t="s">
        <v>6</v>
      </c>
      <c r="E1216" s="82" t="s">
        <v>45</v>
      </c>
      <c r="F1216" s="93">
        <v>46152</v>
      </c>
    </row>
    <row r="1217" spans="1:6" ht="15.75" x14ac:dyDescent="0.25">
      <c r="A1217" s="9">
        <v>7</v>
      </c>
      <c r="B1217" s="33" t="s">
        <v>1270</v>
      </c>
      <c r="C1217" s="19" t="s">
        <v>6</v>
      </c>
      <c r="D1217" s="19" t="s">
        <v>6</v>
      </c>
      <c r="E1217" s="80" t="s">
        <v>45</v>
      </c>
      <c r="F1217" s="93">
        <v>46159</v>
      </c>
    </row>
    <row r="1218" spans="1:6" x14ac:dyDescent="0.25">
      <c r="A1218" s="9">
        <v>8</v>
      </c>
      <c r="B1218" s="33" t="s">
        <v>1590</v>
      </c>
      <c r="C1218" s="19" t="s">
        <v>6</v>
      </c>
      <c r="D1218" s="19" t="s">
        <v>6</v>
      </c>
      <c r="E1218" s="79" t="s">
        <v>337</v>
      </c>
      <c r="F1218" s="93">
        <v>46159</v>
      </c>
    </row>
    <row r="1219" spans="1:6" x14ac:dyDescent="0.25">
      <c r="A1219" s="9">
        <v>9</v>
      </c>
      <c r="B1219" s="33" t="s">
        <v>1664</v>
      </c>
      <c r="C1219" s="19" t="s">
        <v>6</v>
      </c>
      <c r="D1219" s="19" t="s">
        <v>6</v>
      </c>
      <c r="E1219" s="82" t="s">
        <v>45</v>
      </c>
      <c r="F1219" s="93">
        <v>46159</v>
      </c>
    </row>
    <row r="1220" spans="1:6" x14ac:dyDescent="0.25">
      <c r="A1220" s="9">
        <v>10</v>
      </c>
      <c r="B1220" s="33" t="s">
        <v>1666</v>
      </c>
      <c r="C1220" s="19" t="s">
        <v>6</v>
      </c>
      <c r="D1220" s="19" t="s">
        <v>6</v>
      </c>
      <c r="E1220" s="82" t="s">
        <v>45</v>
      </c>
      <c r="F1220" s="93">
        <v>46159</v>
      </c>
    </row>
    <row r="1221" spans="1:6" ht="15.75" x14ac:dyDescent="0.25">
      <c r="A1221" s="9">
        <v>11</v>
      </c>
      <c r="B1221" s="75" t="s">
        <v>410</v>
      </c>
      <c r="C1221" s="76" t="s">
        <v>6</v>
      </c>
      <c r="D1221" s="76" t="s">
        <v>6</v>
      </c>
      <c r="E1221" s="77" t="s">
        <v>45</v>
      </c>
      <c r="F1221" s="93">
        <v>45837</v>
      </c>
    </row>
    <row r="1222" spans="1:6" ht="15.75" x14ac:dyDescent="0.25">
      <c r="A1222" s="9">
        <v>12</v>
      </c>
      <c r="B1222" s="17" t="s">
        <v>340</v>
      </c>
      <c r="C1222" s="19" t="s">
        <v>6</v>
      </c>
      <c r="D1222" s="19" t="s">
        <v>6</v>
      </c>
      <c r="E1222" s="78" t="s">
        <v>39</v>
      </c>
      <c r="F1222" s="93">
        <v>45837</v>
      </c>
    </row>
    <row r="1223" spans="1:6" x14ac:dyDescent="0.25">
      <c r="A1223" s="9">
        <v>13</v>
      </c>
      <c r="B1223" s="17" t="s">
        <v>322</v>
      </c>
      <c r="C1223" s="19" t="s">
        <v>6</v>
      </c>
      <c r="D1223" s="19" t="s">
        <v>6</v>
      </c>
      <c r="E1223" s="79" t="s">
        <v>43</v>
      </c>
      <c r="F1223" s="93">
        <v>45837</v>
      </c>
    </row>
    <row r="1224" spans="1:6" ht="15.75" x14ac:dyDescent="0.25">
      <c r="A1224" s="9">
        <v>14</v>
      </c>
      <c r="B1224" s="33" t="s">
        <v>458</v>
      </c>
      <c r="C1224" s="19" t="s">
        <v>6</v>
      </c>
      <c r="D1224" s="19" t="s">
        <v>6</v>
      </c>
      <c r="E1224" s="80" t="s">
        <v>45</v>
      </c>
      <c r="F1224" s="93">
        <v>45845</v>
      </c>
    </row>
    <row r="1225" spans="1:6" ht="15.75" x14ac:dyDescent="0.25">
      <c r="A1225" s="9">
        <v>15</v>
      </c>
      <c r="B1225" s="33" t="s">
        <v>461</v>
      </c>
      <c r="C1225" s="19" t="s">
        <v>6</v>
      </c>
      <c r="D1225" s="19" t="s">
        <v>6</v>
      </c>
      <c r="E1225" s="80" t="s">
        <v>45</v>
      </c>
      <c r="F1225" s="93">
        <v>45845</v>
      </c>
    </row>
    <row r="1226" spans="1:6" ht="15.75" x14ac:dyDescent="0.25">
      <c r="A1226" s="9">
        <v>16</v>
      </c>
      <c r="B1226" s="33" t="s">
        <v>463</v>
      </c>
      <c r="C1226" s="19" t="s">
        <v>6</v>
      </c>
      <c r="D1226" s="19" t="s">
        <v>6</v>
      </c>
      <c r="E1226" s="80" t="s">
        <v>45</v>
      </c>
      <c r="F1226" s="93">
        <v>45845</v>
      </c>
    </row>
    <row r="1227" spans="1:6" x14ac:dyDescent="0.25">
      <c r="A1227" s="9">
        <v>17</v>
      </c>
      <c r="B1227" s="33" t="s">
        <v>493</v>
      </c>
      <c r="C1227" s="19" t="s">
        <v>6</v>
      </c>
      <c r="D1227" s="19" t="s">
        <v>6</v>
      </c>
      <c r="E1227" s="81" t="s">
        <v>151</v>
      </c>
      <c r="F1227" s="93">
        <v>45845</v>
      </c>
    </row>
    <row r="1228" spans="1:6" x14ac:dyDescent="0.25">
      <c r="A1228" s="9">
        <v>18</v>
      </c>
      <c r="B1228" s="8" t="s">
        <v>232</v>
      </c>
      <c r="C1228" s="19" t="s">
        <v>6</v>
      </c>
      <c r="D1228" s="19" t="s">
        <v>6</v>
      </c>
      <c r="E1228" s="82" t="s">
        <v>43</v>
      </c>
      <c r="F1228" s="93">
        <v>45866</v>
      </c>
    </row>
    <row r="1229" spans="1:6" x14ac:dyDescent="0.25">
      <c r="A1229" s="9">
        <v>19</v>
      </c>
      <c r="B1229" s="17" t="s">
        <v>314</v>
      </c>
      <c r="C1229" s="19" t="s">
        <v>6</v>
      </c>
      <c r="D1229" s="19" t="s">
        <v>6</v>
      </c>
      <c r="E1229" s="79" t="s">
        <v>43</v>
      </c>
      <c r="F1229" s="93">
        <v>45859</v>
      </c>
    </row>
    <row r="1230" spans="1:6" ht="15.75" x14ac:dyDescent="0.25">
      <c r="A1230" s="9">
        <v>20</v>
      </c>
      <c r="B1230" s="33" t="s">
        <v>391</v>
      </c>
      <c r="C1230" s="19" t="s">
        <v>6</v>
      </c>
      <c r="D1230" s="19" t="s">
        <v>6</v>
      </c>
      <c r="E1230" s="80" t="s">
        <v>45</v>
      </c>
      <c r="F1230" s="93">
        <v>45859</v>
      </c>
    </row>
    <row r="1231" spans="1:6" ht="15.75" x14ac:dyDescent="0.25">
      <c r="A1231" s="9">
        <v>21</v>
      </c>
      <c r="B1231" s="33" t="s">
        <v>459</v>
      </c>
      <c r="C1231" s="19" t="s">
        <v>6</v>
      </c>
      <c r="D1231" s="19" t="s">
        <v>6</v>
      </c>
      <c r="E1231" s="80" t="s">
        <v>45</v>
      </c>
      <c r="F1231" s="93">
        <v>45859</v>
      </c>
    </row>
    <row r="1232" spans="1:6" x14ac:dyDescent="0.25">
      <c r="A1232" s="9">
        <v>22</v>
      </c>
      <c r="B1232" s="33" t="s">
        <v>494</v>
      </c>
      <c r="C1232" s="19" t="s">
        <v>6</v>
      </c>
      <c r="D1232" s="19" t="s">
        <v>6</v>
      </c>
      <c r="E1232" s="81" t="s">
        <v>151</v>
      </c>
      <c r="F1232" s="93">
        <v>45859</v>
      </c>
    </row>
    <row r="1233" spans="1:6" ht="15.75" x14ac:dyDescent="0.25">
      <c r="A1233" s="9">
        <v>23</v>
      </c>
      <c r="B1233" s="33" t="s">
        <v>590</v>
      </c>
      <c r="C1233" s="19" t="s">
        <v>6</v>
      </c>
      <c r="D1233" s="19" t="s">
        <v>6</v>
      </c>
      <c r="E1233" s="80" t="s">
        <v>45</v>
      </c>
      <c r="F1233" s="93">
        <v>45866</v>
      </c>
    </row>
    <row r="1234" spans="1:6" x14ac:dyDescent="0.25">
      <c r="A1234" s="9">
        <v>24</v>
      </c>
      <c r="B1234" s="33" t="s">
        <v>379</v>
      </c>
      <c r="C1234" s="19" t="s">
        <v>6</v>
      </c>
      <c r="D1234" s="19" t="s">
        <v>6</v>
      </c>
      <c r="E1234" s="79" t="s">
        <v>45</v>
      </c>
      <c r="F1234" s="93">
        <v>45866</v>
      </c>
    </row>
    <row r="1235" spans="1:6" x14ac:dyDescent="0.25">
      <c r="A1235" s="9">
        <v>25</v>
      </c>
      <c r="B1235" s="8" t="s">
        <v>567</v>
      </c>
      <c r="C1235" s="19" t="s">
        <v>6</v>
      </c>
      <c r="D1235" s="19" t="s">
        <v>6</v>
      </c>
      <c r="E1235" s="82" t="s">
        <v>546</v>
      </c>
      <c r="F1235" s="93">
        <v>45866</v>
      </c>
    </row>
    <row r="1236" spans="1:6" x14ac:dyDescent="0.25">
      <c r="A1236" s="9">
        <v>26</v>
      </c>
      <c r="B1236" s="33" t="s">
        <v>497</v>
      </c>
      <c r="C1236" s="19" t="s">
        <v>6</v>
      </c>
      <c r="D1236" s="19" t="s">
        <v>6</v>
      </c>
      <c r="E1236" s="81" t="s">
        <v>151</v>
      </c>
      <c r="F1236" s="93">
        <v>45859</v>
      </c>
    </row>
    <row r="1237" spans="1:6" ht="15.75" x14ac:dyDescent="0.25">
      <c r="A1237" s="9">
        <v>27</v>
      </c>
      <c r="B1237" s="33" t="s">
        <v>509</v>
      </c>
      <c r="C1237" s="19" t="s">
        <v>6</v>
      </c>
      <c r="D1237" s="19" t="s">
        <v>6</v>
      </c>
      <c r="E1237" s="80" t="s">
        <v>45</v>
      </c>
      <c r="F1237" s="93">
        <v>45859</v>
      </c>
    </row>
    <row r="1238" spans="1:6" ht="15.75" x14ac:dyDescent="0.25">
      <c r="A1238" s="9">
        <v>28</v>
      </c>
      <c r="B1238" s="33" t="s">
        <v>541</v>
      </c>
      <c r="C1238" s="19" t="s">
        <v>6</v>
      </c>
      <c r="D1238" s="19" t="s">
        <v>6</v>
      </c>
      <c r="E1238" s="80" t="s">
        <v>45</v>
      </c>
      <c r="F1238" s="93">
        <v>45866</v>
      </c>
    </row>
    <row r="1239" spans="1:6" x14ac:dyDescent="0.25">
      <c r="A1239" s="9">
        <v>29</v>
      </c>
      <c r="B1239" s="8" t="s">
        <v>38</v>
      </c>
      <c r="C1239" s="19" t="s">
        <v>6</v>
      </c>
      <c r="D1239" s="19" t="s">
        <v>6</v>
      </c>
      <c r="E1239" s="81" t="s">
        <v>337</v>
      </c>
      <c r="F1239" s="93">
        <v>45886</v>
      </c>
    </row>
    <row r="1240" spans="1:6" x14ac:dyDescent="0.25">
      <c r="A1240" s="9">
        <v>30</v>
      </c>
      <c r="B1240" s="33" t="s">
        <v>455</v>
      </c>
      <c r="C1240" s="19" t="s">
        <v>6</v>
      </c>
      <c r="D1240" s="19" t="s">
        <v>6</v>
      </c>
      <c r="E1240" s="79" t="s">
        <v>39</v>
      </c>
      <c r="F1240" s="93">
        <v>45886</v>
      </c>
    </row>
    <row r="1241" spans="1:6" x14ac:dyDescent="0.25">
      <c r="A1241" s="9">
        <v>31</v>
      </c>
      <c r="B1241" s="33" t="s">
        <v>299</v>
      </c>
      <c r="C1241" s="19" t="s">
        <v>6</v>
      </c>
      <c r="D1241" s="19" t="s">
        <v>6</v>
      </c>
      <c r="E1241" s="82" t="s">
        <v>39</v>
      </c>
      <c r="F1241" s="93">
        <v>45886</v>
      </c>
    </row>
    <row r="1242" spans="1:6" ht="15.75" x14ac:dyDescent="0.25">
      <c r="A1242" s="9">
        <v>32</v>
      </c>
      <c r="B1242" s="33" t="s">
        <v>543</v>
      </c>
      <c r="C1242" s="19" t="s">
        <v>6</v>
      </c>
      <c r="D1242" s="19" t="s">
        <v>6</v>
      </c>
      <c r="E1242" s="80" t="s">
        <v>45</v>
      </c>
      <c r="F1242" s="93">
        <v>45886</v>
      </c>
    </row>
    <row r="1243" spans="1:6" ht="15.75" x14ac:dyDescent="0.25">
      <c r="A1243" s="9">
        <v>33</v>
      </c>
      <c r="B1243" s="33" t="s">
        <v>544</v>
      </c>
      <c r="C1243" s="19" t="s">
        <v>6</v>
      </c>
      <c r="D1243" s="19" t="s">
        <v>6</v>
      </c>
      <c r="E1243" s="80" t="s">
        <v>45</v>
      </c>
      <c r="F1243" s="93">
        <v>45886</v>
      </c>
    </row>
    <row r="1244" spans="1:6" ht="15.75" x14ac:dyDescent="0.25">
      <c r="A1244" s="9">
        <v>34</v>
      </c>
      <c r="B1244" s="33" t="s">
        <v>608</v>
      </c>
      <c r="C1244" s="19" t="s">
        <v>6</v>
      </c>
      <c r="D1244" s="19" t="s">
        <v>6</v>
      </c>
      <c r="E1244" s="80" t="s">
        <v>45</v>
      </c>
      <c r="F1244" s="93">
        <v>45886</v>
      </c>
    </row>
    <row r="1245" spans="1:6" ht="15.75" x14ac:dyDescent="0.25">
      <c r="A1245" s="9">
        <v>35</v>
      </c>
      <c r="B1245" s="33" t="s">
        <v>629</v>
      </c>
      <c r="C1245" s="19" t="s">
        <v>6</v>
      </c>
      <c r="D1245" s="19" t="s">
        <v>6</v>
      </c>
      <c r="E1245" s="80" t="s">
        <v>45</v>
      </c>
      <c r="F1245" s="93">
        <v>45886</v>
      </c>
    </row>
    <row r="1246" spans="1:6" ht="15.75" x14ac:dyDescent="0.25">
      <c r="A1246" s="9">
        <v>36</v>
      </c>
      <c r="B1246" s="33" t="s">
        <v>630</v>
      </c>
      <c r="C1246" s="19" t="s">
        <v>6</v>
      </c>
      <c r="D1246" s="19" t="s">
        <v>6</v>
      </c>
      <c r="E1246" s="80" t="s">
        <v>45</v>
      </c>
      <c r="F1246" s="93">
        <v>45886</v>
      </c>
    </row>
    <row r="1247" spans="1:6" ht="15.75" x14ac:dyDescent="0.25">
      <c r="A1247" s="9">
        <v>37</v>
      </c>
      <c r="B1247" s="33" t="s">
        <v>644</v>
      </c>
      <c r="C1247" s="19" t="s">
        <v>6</v>
      </c>
      <c r="D1247" s="19" t="s">
        <v>6</v>
      </c>
      <c r="E1247" s="80" t="s">
        <v>45</v>
      </c>
      <c r="F1247" s="93">
        <v>45886</v>
      </c>
    </row>
    <row r="1248" spans="1:6" ht="15.75" x14ac:dyDescent="0.25">
      <c r="A1248" s="9">
        <v>38</v>
      </c>
      <c r="B1248" s="33" t="s">
        <v>645</v>
      </c>
      <c r="C1248" s="19" t="s">
        <v>6</v>
      </c>
      <c r="D1248" s="19" t="s">
        <v>6</v>
      </c>
      <c r="E1248" s="80" t="s">
        <v>45</v>
      </c>
      <c r="F1248" s="93">
        <v>45886</v>
      </c>
    </row>
    <row r="1249" spans="1:6" ht="15.75" x14ac:dyDescent="0.25">
      <c r="A1249" s="9">
        <v>39</v>
      </c>
      <c r="B1249" s="33" t="s">
        <v>647</v>
      </c>
      <c r="C1249" s="19" t="s">
        <v>6</v>
      </c>
      <c r="D1249" s="19" t="s">
        <v>6</v>
      </c>
      <c r="E1249" s="80" t="s">
        <v>45</v>
      </c>
      <c r="F1249" s="93">
        <v>45886</v>
      </c>
    </row>
    <row r="1250" spans="1:6" ht="15.75" x14ac:dyDescent="0.25">
      <c r="A1250" s="9">
        <v>40</v>
      </c>
      <c r="B1250" s="33" t="s">
        <v>673</v>
      </c>
      <c r="C1250" s="19" t="s">
        <v>6</v>
      </c>
      <c r="D1250" s="19" t="s">
        <v>6</v>
      </c>
      <c r="E1250" s="80" t="s">
        <v>150</v>
      </c>
      <c r="F1250" s="93">
        <v>45886</v>
      </c>
    </row>
    <row r="1251" spans="1:6" x14ac:dyDescent="0.25">
      <c r="A1251" s="9">
        <v>41</v>
      </c>
      <c r="B1251" s="17" t="s">
        <v>378</v>
      </c>
      <c r="C1251" s="19" t="s">
        <v>6</v>
      </c>
      <c r="D1251" s="19" t="s">
        <v>6</v>
      </c>
      <c r="E1251" s="81" t="s">
        <v>43</v>
      </c>
      <c r="F1251" s="93">
        <v>45894</v>
      </c>
    </row>
    <row r="1252" spans="1:6" x14ac:dyDescent="0.25">
      <c r="A1252" s="9">
        <v>42</v>
      </c>
      <c r="B1252" s="17" t="s">
        <v>665</v>
      </c>
      <c r="C1252" s="19" t="s">
        <v>6</v>
      </c>
      <c r="D1252" s="19" t="s">
        <v>6</v>
      </c>
      <c r="E1252" s="79" t="s">
        <v>45</v>
      </c>
      <c r="F1252" s="93">
        <v>45894</v>
      </c>
    </row>
    <row r="1253" spans="1:6" x14ac:dyDescent="0.25">
      <c r="A1253" s="9">
        <v>43</v>
      </c>
      <c r="B1253" s="17" t="s">
        <v>694</v>
      </c>
      <c r="C1253" s="19" t="s">
        <v>6</v>
      </c>
      <c r="D1253" s="19" t="s">
        <v>6</v>
      </c>
      <c r="E1253" s="79" t="s">
        <v>45</v>
      </c>
      <c r="F1253" s="93">
        <v>45894</v>
      </c>
    </row>
    <row r="1254" spans="1:6" x14ac:dyDescent="0.25">
      <c r="A1254" s="9">
        <v>44</v>
      </c>
      <c r="B1254" s="17" t="s">
        <v>696</v>
      </c>
      <c r="C1254" s="19" t="s">
        <v>6</v>
      </c>
      <c r="D1254" s="19" t="s">
        <v>6</v>
      </c>
      <c r="E1254" s="79" t="s">
        <v>45</v>
      </c>
      <c r="F1254" s="93">
        <v>45894</v>
      </c>
    </row>
    <row r="1255" spans="1:6" x14ac:dyDescent="0.25">
      <c r="A1255" s="9">
        <v>45</v>
      </c>
      <c r="B1255" s="17" t="s">
        <v>698</v>
      </c>
      <c r="C1255" s="19" t="s">
        <v>6</v>
      </c>
      <c r="D1255" s="19" t="s">
        <v>6</v>
      </c>
      <c r="E1255" s="79" t="s">
        <v>45</v>
      </c>
      <c r="F1255" s="93">
        <v>45894</v>
      </c>
    </row>
    <row r="1256" spans="1:6" ht="15.75" x14ac:dyDescent="0.25">
      <c r="A1256" s="9">
        <v>46</v>
      </c>
      <c r="B1256" s="33" t="s">
        <v>648</v>
      </c>
      <c r="C1256" s="19" t="s">
        <v>6</v>
      </c>
      <c r="D1256" s="19" t="s">
        <v>6</v>
      </c>
      <c r="E1256" s="80" t="s">
        <v>45</v>
      </c>
      <c r="F1256" s="93">
        <v>45900</v>
      </c>
    </row>
    <row r="1257" spans="1:6" ht="15.75" x14ac:dyDescent="0.25">
      <c r="A1257" s="9">
        <v>47</v>
      </c>
      <c r="B1257" s="33" t="s">
        <v>681</v>
      </c>
      <c r="C1257" s="19" t="s">
        <v>6</v>
      </c>
      <c r="D1257" s="19" t="s">
        <v>6</v>
      </c>
      <c r="E1257" s="80" t="s">
        <v>45</v>
      </c>
      <c r="F1257" s="93">
        <v>45894</v>
      </c>
    </row>
    <row r="1258" spans="1:6" ht="15.75" x14ac:dyDescent="0.25">
      <c r="A1258" s="9">
        <v>48</v>
      </c>
      <c r="B1258" s="47" t="s">
        <v>708</v>
      </c>
      <c r="C1258" s="19" t="s">
        <v>6</v>
      </c>
      <c r="D1258" s="19" t="s">
        <v>6</v>
      </c>
      <c r="E1258" s="80" t="s">
        <v>45</v>
      </c>
      <c r="F1258" s="93">
        <v>45900</v>
      </c>
    </row>
    <row r="1259" spans="1:6" ht="15.75" x14ac:dyDescent="0.25">
      <c r="A1259" s="9">
        <v>49</v>
      </c>
      <c r="B1259" s="47" t="s">
        <v>709</v>
      </c>
      <c r="C1259" s="19" t="s">
        <v>6</v>
      </c>
      <c r="D1259" s="19" t="s">
        <v>6</v>
      </c>
      <c r="E1259" s="80" t="s">
        <v>45</v>
      </c>
      <c r="F1259" s="93">
        <v>45900</v>
      </c>
    </row>
    <row r="1260" spans="1:6" x14ac:dyDescent="0.25">
      <c r="A1260" s="9">
        <v>50</v>
      </c>
      <c r="B1260" s="8" t="s">
        <v>784</v>
      </c>
      <c r="C1260" s="19" t="s">
        <v>6</v>
      </c>
      <c r="D1260" s="19" t="s">
        <v>6</v>
      </c>
      <c r="E1260" s="82" t="s">
        <v>40</v>
      </c>
      <c r="F1260" s="93">
        <v>45914</v>
      </c>
    </row>
    <row r="1261" spans="1:6" ht="15.75" x14ac:dyDescent="0.25">
      <c r="A1261" s="9">
        <v>51</v>
      </c>
      <c r="B1261" s="33" t="s">
        <v>294</v>
      </c>
      <c r="C1261" s="19" t="s">
        <v>6</v>
      </c>
      <c r="D1261" s="19" t="s">
        <v>6</v>
      </c>
      <c r="E1261" s="80" t="s">
        <v>45</v>
      </c>
      <c r="F1261" s="93">
        <v>45914</v>
      </c>
    </row>
    <row r="1262" spans="1:6" ht="15.75" x14ac:dyDescent="0.25">
      <c r="A1262" s="9">
        <v>52</v>
      </c>
      <c r="B1262" s="33" t="s">
        <v>612</v>
      </c>
      <c r="C1262" s="19" t="s">
        <v>6</v>
      </c>
      <c r="D1262" s="19" t="s">
        <v>6</v>
      </c>
      <c r="E1262" s="80" t="s">
        <v>45</v>
      </c>
      <c r="F1262" s="93">
        <v>45914</v>
      </c>
    </row>
    <row r="1263" spans="1:6" ht="15.75" x14ac:dyDescent="0.25">
      <c r="A1263" s="9">
        <v>53</v>
      </c>
      <c r="B1263" s="33" t="s">
        <v>682</v>
      </c>
      <c r="C1263" s="19" t="s">
        <v>6</v>
      </c>
      <c r="D1263" s="19" t="s">
        <v>6</v>
      </c>
      <c r="E1263" s="80" t="s">
        <v>45</v>
      </c>
      <c r="F1263" s="93">
        <v>45914</v>
      </c>
    </row>
    <row r="1264" spans="1:6" ht="15.75" x14ac:dyDescent="0.25">
      <c r="A1264" s="9">
        <v>54</v>
      </c>
      <c r="B1264" s="33" t="s">
        <v>726</v>
      </c>
      <c r="C1264" s="19" t="s">
        <v>6</v>
      </c>
      <c r="D1264" s="19" t="s">
        <v>6</v>
      </c>
      <c r="E1264" s="80" t="s">
        <v>45</v>
      </c>
      <c r="F1264" s="93">
        <v>45914</v>
      </c>
    </row>
    <row r="1265" spans="1:6" ht="15.75" x14ac:dyDescent="0.25">
      <c r="A1265" s="9">
        <v>55</v>
      </c>
      <c r="B1265" s="33" t="s">
        <v>727</v>
      </c>
      <c r="C1265" s="19" t="s">
        <v>6</v>
      </c>
      <c r="D1265" s="19" t="s">
        <v>6</v>
      </c>
      <c r="E1265" s="80" t="s">
        <v>45</v>
      </c>
      <c r="F1265" s="93">
        <v>45914</v>
      </c>
    </row>
    <row r="1266" spans="1:6" ht="15.75" x14ac:dyDescent="0.25">
      <c r="A1266" s="9">
        <v>56</v>
      </c>
      <c r="B1266" s="33" t="s">
        <v>292</v>
      </c>
      <c r="C1266" s="19" t="s">
        <v>6</v>
      </c>
      <c r="D1266" s="19" t="s">
        <v>6</v>
      </c>
      <c r="E1266" s="80" t="s">
        <v>45</v>
      </c>
      <c r="F1266" s="93">
        <v>45914</v>
      </c>
    </row>
    <row r="1267" spans="1:6" ht="15.75" x14ac:dyDescent="0.25">
      <c r="A1267" s="9">
        <v>57</v>
      </c>
      <c r="B1267" s="33" t="s">
        <v>732</v>
      </c>
      <c r="C1267" s="19" t="s">
        <v>6</v>
      </c>
      <c r="D1267" s="19" t="s">
        <v>6</v>
      </c>
      <c r="E1267" s="80" t="s">
        <v>45</v>
      </c>
      <c r="F1267" s="93">
        <v>45914</v>
      </c>
    </row>
    <row r="1268" spans="1:6" x14ac:dyDescent="0.25">
      <c r="A1268" s="9">
        <v>58</v>
      </c>
      <c r="B1268" s="8" t="s">
        <v>835</v>
      </c>
      <c r="C1268" s="19" t="s">
        <v>6</v>
      </c>
      <c r="D1268" s="19" t="s">
        <v>6</v>
      </c>
      <c r="E1268" s="82" t="s">
        <v>45</v>
      </c>
      <c r="F1268" s="93">
        <v>45929</v>
      </c>
    </row>
    <row r="1269" spans="1:6" ht="15.75" x14ac:dyDescent="0.25">
      <c r="A1269" s="9">
        <v>59</v>
      </c>
      <c r="B1269" s="8" t="s">
        <v>390</v>
      </c>
      <c r="C1269" s="19" t="s">
        <v>6</v>
      </c>
      <c r="D1269" s="19" t="s">
        <v>6</v>
      </c>
      <c r="E1269" s="78" t="s">
        <v>150</v>
      </c>
      <c r="F1269" s="93">
        <v>45922</v>
      </c>
    </row>
    <row r="1270" spans="1:6" x14ac:dyDescent="0.25">
      <c r="A1270" s="9">
        <v>60</v>
      </c>
      <c r="B1270" s="8" t="s">
        <v>848</v>
      </c>
      <c r="C1270" s="19" t="s">
        <v>6</v>
      </c>
      <c r="D1270" s="19" t="s">
        <v>6</v>
      </c>
      <c r="E1270" s="82" t="s">
        <v>150</v>
      </c>
      <c r="F1270" s="93">
        <v>45929</v>
      </c>
    </row>
    <row r="1271" spans="1:6" ht="15.75" x14ac:dyDescent="0.25">
      <c r="A1271" s="9">
        <v>61</v>
      </c>
      <c r="B1271" s="33" t="s">
        <v>836</v>
      </c>
      <c r="C1271" s="19" t="s">
        <v>6</v>
      </c>
      <c r="D1271" s="19" t="s">
        <v>6</v>
      </c>
      <c r="E1271" s="80" t="s">
        <v>45</v>
      </c>
      <c r="F1271" s="93">
        <v>45929</v>
      </c>
    </row>
    <row r="1272" spans="1:6" ht="15.75" x14ac:dyDescent="0.25">
      <c r="A1272" s="9">
        <v>62</v>
      </c>
      <c r="B1272" s="33" t="s">
        <v>677</v>
      </c>
      <c r="C1272" s="19" t="s">
        <v>6</v>
      </c>
      <c r="D1272" s="19" t="s">
        <v>6</v>
      </c>
      <c r="E1272" s="80" t="s">
        <v>45</v>
      </c>
      <c r="F1272" s="93">
        <v>45929</v>
      </c>
    </row>
    <row r="1273" spans="1:6" ht="15.75" x14ac:dyDescent="0.25">
      <c r="A1273" s="9">
        <v>63</v>
      </c>
      <c r="B1273" s="47" t="s">
        <v>795</v>
      </c>
      <c r="C1273" s="19" t="s">
        <v>6</v>
      </c>
      <c r="D1273" s="19" t="s">
        <v>6</v>
      </c>
      <c r="E1273" s="80" t="s">
        <v>45</v>
      </c>
      <c r="F1273" s="93">
        <v>45929</v>
      </c>
    </row>
    <row r="1274" spans="1:6" ht="15.75" x14ac:dyDescent="0.25">
      <c r="A1274" s="9">
        <v>64</v>
      </c>
      <c r="B1274" s="47" t="s">
        <v>796</v>
      </c>
      <c r="C1274" s="19" t="s">
        <v>6</v>
      </c>
      <c r="D1274" s="19" t="s">
        <v>6</v>
      </c>
      <c r="E1274" s="80" t="s">
        <v>45</v>
      </c>
      <c r="F1274" s="93">
        <v>45929</v>
      </c>
    </row>
    <row r="1275" spans="1:6" ht="15.75" x14ac:dyDescent="0.25">
      <c r="A1275" s="9">
        <v>65</v>
      </c>
      <c r="B1275" s="47" t="s">
        <v>797</v>
      </c>
      <c r="C1275" s="19" t="s">
        <v>6</v>
      </c>
      <c r="D1275" s="19" t="s">
        <v>6</v>
      </c>
      <c r="E1275" s="80" t="s">
        <v>45</v>
      </c>
      <c r="F1275" s="93">
        <v>45922</v>
      </c>
    </row>
    <row r="1276" spans="1:6" ht="15.75" x14ac:dyDescent="0.25">
      <c r="A1276" s="9">
        <v>66</v>
      </c>
      <c r="B1276" s="47" t="s">
        <v>496</v>
      </c>
      <c r="C1276" s="19" t="s">
        <v>6</v>
      </c>
      <c r="D1276" s="19" t="s">
        <v>6</v>
      </c>
      <c r="E1276" s="80" t="s">
        <v>45</v>
      </c>
      <c r="F1276" s="93">
        <v>45929</v>
      </c>
    </row>
    <row r="1277" spans="1:6" ht="15.75" x14ac:dyDescent="0.25">
      <c r="A1277" s="9">
        <v>67</v>
      </c>
      <c r="B1277" s="47" t="s">
        <v>819</v>
      </c>
      <c r="C1277" s="19" t="s">
        <v>6</v>
      </c>
      <c r="D1277" s="19" t="s">
        <v>6</v>
      </c>
      <c r="E1277" s="80" t="s">
        <v>45</v>
      </c>
      <c r="F1277" s="93">
        <v>45922</v>
      </c>
    </row>
    <row r="1278" spans="1:6" ht="15.75" x14ac:dyDescent="0.25">
      <c r="A1278" s="9">
        <v>68</v>
      </c>
      <c r="B1278" s="33" t="s">
        <v>826</v>
      </c>
      <c r="C1278" s="19" t="s">
        <v>6</v>
      </c>
      <c r="D1278" s="19" t="s">
        <v>6</v>
      </c>
      <c r="E1278" s="80" t="s">
        <v>45</v>
      </c>
      <c r="F1278" s="93">
        <v>45929</v>
      </c>
    </row>
    <row r="1279" spans="1:6" x14ac:dyDescent="0.25">
      <c r="A1279" s="9">
        <v>69</v>
      </c>
      <c r="B1279" s="33" t="s">
        <v>827</v>
      </c>
      <c r="C1279" s="19" t="s">
        <v>6</v>
      </c>
      <c r="D1279" s="19" t="s">
        <v>6</v>
      </c>
      <c r="E1279" s="82" t="s">
        <v>42</v>
      </c>
      <c r="F1279" s="93">
        <v>45929</v>
      </c>
    </row>
    <row r="1280" spans="1:6" x14ac:dyDescent="0.25">
      <c r="A1280" s="9">
        <v>70</v>
      </c>
      <c r="B1280" s="33" t="s">
        <v>829</v>
      </c>
      <c r="C1280" s="19" t="s">
        <v>6</v>
      </c>
      <c r="D1280" s="19" t="s">
        <v>6</v>
      </c>
      <c r="E1280" s="82" t="s">
        <v>42</v>
      </c>
      <c r="F1280" s="93">
        <v>45929</v>
      </c>
    </row>
    <row r="1281" spans="1:6" ht="15.75" x14ac:dyDescent="0.25">
      <c r="A1281" s="9">
        <v>71</v>
      </c>
      <c r="B1281" s="33" t="s">
        <v>837</v>
      </c>
      <c r="C1281" s="19" t="s">
        <v>6</v>
      </c>
      <c r="D1281" s="19" t="s">
        <v>6</v>
      </c>
      <c r="E1281" s="80" t="s">
        <v>45</v>
      </c>
      <c r="F1281" s="93">
        <v>45929</v>
      </c>
    </row>
    <row r="1282" spans="1:6" ht="15.75" x14ac:dyDescent="0.25">
      <c r="A1282" s="9">
        <v>72</v>
      </c>
      <c r="B1282" s="33" t="s">
        <v>838</v>
      </c>
      <c r="C1282" s="19" t="s">
        <v>6</v>
      </c>
      <c r="D1282" s="19" t="s">
        <v>6</v>
      </c>
      <c r="E1282" s="80" t="s">
        <v>45</v>
      </c>
      <c r="F1282" s="93">
        <v>45929</v>
      </c>
    </row>
    <row r="1283" spans="1:6" ht="15.75" x14ac:dyDescent="0.25">
      <c r="A1283" s="9">
        <v>73</v>
      </c>
      <c r="B1283" s="33" t="s">
        <v>839</v>
      </c>
      <c r="C1283" s="19" t="s">
        <v>6</v>
      </c>
      <c r="D1283" s="19" t="s">
        <v>6</v>
      </c>
      <c r="E1283" s="80" t="s">
        <v>45</v>
      </c>
      <c r="F1283" s="93">
        <v>45929</v>
      </c>
    </row>
    <row r="1284" spans="1:6" ht="15.75" x14ac:dyDescent="0.25">
      <c r="A1284" s="9">
        <v>74</v>
      </c>
      <c r="B1284" s="33" t="s">
        <v>840</v>
      </c>
      <c r="C1284" s="19" t="s">
        <v>6</v>
      </c>
      <c r="D1284" s="19" t="s">
        <v>6</v>
      </c>
      <c r="E1284" s="80" t="s">
        <v>45</v>
      </c>
      <c r="F1284" s="93">
        <v>45929</v>
      </c>
    </row>
    <row r="1285" spans="1:6" ht="15.75" x14ac:dyDescent="0.25">
      <c r="A1285" s="9">
        <v>75</v>
      </c>
      <c r="B1285" s="33" t="s">
        <v>841</v>
      </c>
      <c r="C1285" s="19" t="s">
        <v>6</v>
      </c>
      <c r="D1285" s="19" t="s">
        <v>6</v>
      </c>
      <c r="E1285" s="80" t="s">
        <v>45</v>
      </c>
      <c r="F1285" s="93">
        <v>45929</v>
      </c>
    </row>
    <row r="1286" spans="1:6" ht="15.75" x14ac:dyDescent="0.25">
      <c r="A1286" s="9">
        <v>76</v>
      </c>
      <c r="B1286" s="33" t="s">
        <v>842</v>
      </c>
      <c r="C1286" s="19" t="s">
        <v>6</v>
      </c>
      <c r="D1286" s="19" t="s">
        <v>6</v>
      </c>
      <c r="E1286" s="80" t="s">
        <v>45</v>
      </c>
      <c r="F1286" s="93">
        <v>45929</v>
      </c>
    </row>
    <row r="1287" spans="1:6" ht="15.75" x14ac:dyDescent="0.25">
      <c r="A1287" s="9">
        <v>77</v>
      </c>
      <c r="B1287" s="33" t="s">
        <v>843</v>
      </c>
      <c r="C1287" s="19" t="s">
        <v>6</v>
      </c>
      <c r="D1287" s="19" t="s">
        <v>6</v>
      </c>
      <c r="E1287" s="80" t="s">
        <v>45</v>
      </c>
      <c r="F1287" s="93">
        <v>45929</v>
      </c>
    </row>
    <row r="1288" spans="1:6" ht="15.75" x14ac:dyDescent="0.25">
      <c r="A1288" s="9">
        <v>78</v>
      </c>
      <c r="B1288" s="33" t="s">
        <v>845</v>
      </c>
      <c r="C1288" s="19" t="s">
        <v>6</v>
      </c>
      <c r="D1288" s="19" t="s">
        <v>6</v>
      </c>
      <c r="E1288" s="80" t="s">
        <v>45</v>
      </c>
      <c r="F1288" s="93">
        <v>45929</v>
      </c>
    </row>
    <row r="1289" spans="1:6" ht="15.75" x14ac:dyDescent="0.25">
      <c r="A1289" s="9">
        <v>79</v>
      </c>
      <c r="B1289" s="33" t="s">
        <v>846</v>
      </c>
      <c r="C1289" s="19" t="s">
        <v>6</v>
      </c>
      <c r="D1289" s="19" t="s">
        <v>6</v>
      </c>
      <c r="E1289" s="80" t="s">
        <v>45</v>
      </c>
      <c r="F1289" s="93">
        <v>45929</v>
      </c>
    </row>
    <row r="1290" spans="1:6" ht="15.75" x14ac:dyDescent="0.25">
      <c r="A1290" s="9">
        <v>80</v>
      </c>
      <c r="B1290" s="33" t="s">
        <v>847</v>
      </c>
      <c r="C1290" s="19" t="s">
        <v>6</v>
      </c>
      <c r="D1290" s="19" t="s">
        <v>6</v>
      </c>
      <c r="E1290" s="80" t="s">
        <v>45</v>
      </c>
      <c r="F1290" s="93">
        <v>45929</v>
      </c>
    </row>
    <row r="1291" spans="1:6" ht="15.75" x14ac:dyDescent="0.25">
      <c r="A1291" s="9">
        <v>81</v>
      </c>
      <c r="B1291" s="33" t="s">
        <v>883</v>
      </c>
      <c r="C1291" s="19" t="s">
        <v>6</v>
      </c>
      <c r="D1291" s="19" t="s">
        <v>6</v>
      </c>
      <c r="E1291" s="80" t="s">
        <v>45</v>
      </c>
      <c r="F1291" s="93">
        <v>45929</v>
      </c>
    </row>
    <row r="1292" spans="1:6" x14ac:dyDescent="0.25">
      <c r="A1292" s="9">
        <v>82</v>
      </c>
      <c r="B1292" s="33" t="s">
        <v>886</v>
      </c>
      <c r="C1292" s="19" t="s">
        <v>6</v>
      </c>
      <c r="D1292" s="19" t="s">
        <v>6</v>
      </c>
      <c r="E1292" s="82" t="s">
        <v>42</v>
      </c>
      <c r="F1292" s="93">
        <v>45929</v>
      </c>
    </row>
    <row r="1293" spans="1:6" x14ac:dyDescent="0.25">
      <c r="A1293" s="9">
        <v>83</v>
      </c>
      <c r="B1293" s="33" t="s">
        <v>887</v>
      </c>
      <c r="C1293" s="19" t="s">
        <v>6</v>
      </c>
      <c r="D1293" s="19" t="s">
        <v>6</v>
      </c>
      <c r="E1293" s="82" t="s">
        <v>42</v>
      </c>
      <c r="F1293" s="93">
        <v>45929</v>
      </c>
    </row>
    <row r="1294" spans="1:6" x14ac:dyDescent="0.25">
      <c r="A1294" s="9">
        <v>84</v>
      </c>
      <c r="B1294" s="8" t="s">
        <v>229</v>
      </c>
      <c r="C1294" s="19" t="s">
        <v>6</v>
      </c>
      <c r="D1294" s="19" t="s">
        <v>6</v>
      </c>
      <c r="E1294" s="82" t="s">
        <v>39</v>
      </c>
      <c r="F1294" s="93">
        <v>45935</v>
      </c>
    </row>
    <row r="1295" spans="1:6" ht="15.75" x14ac:dyDescent="0.25">
      <c r="A1295" s="9">
        <v>85</v>
      </c>
      <c r="B1295" s="33" t="s">
        <v>678</v>
      </c>
      <c r="C1295" s="19" t="s">
        <v>6</v>
      </c>
      <c r="D1295" s="19" t="s">
        <v>6</v>
      </c>
      <c r="E1295" s="80" t="s">
        <v>45</v>
      </c>
      <c r="F1295" s="93">
        <v>45935</v>
      </c>
    </row>
    <row r="1296" spans="1:6" ht="15.75" x14ac:dyDescent="0.25">
      <c r="A1296" s="9">
        <v>86</v>
      </c>
      <c r="B1296" s="33" t="s">
        <v>928</v>
      </c>
      <c r="C1296" s="19" t="s">
        <v>6</v>
      </c>
      <c r="D1296" s="19" t="s">
        <v>6</v>
      </c>
      <c r="E1296" s="80" t="s">
        <v>45</v>
      </c>
      <c r="F1296" s="93">
        <v>45935</v>
      </c>
    </row>
    <row r="1297" spans="1:6" ht="15.75" x14ac:dyDescent="0.25">
      <c r="A1297" s="9">
        <v>87</v>
      </c>
      <c r="B1297" s="33" t="s">
        <v>844</v>
      </c>
      <c r="C1297" s="19" t="s">
        <v>6</v>
      </c>
      <c r="D1297" s="19" t="s">
        <v>6</v>
      </c>
      <c r="E1297" s="80" t="s">
        <v>45</v>
      </c>
      <c r="F1297" s="93">
        <v>45935</v>
      </c>
    </row>
    <row r="1298" spans="1:6" ht="15.75" x14ac:dyDescent="0.25">
      <c r="A1298" s="9">
        <v>88</v>
      </c>
      <c r="B1298" s="33" t="s">
        <v>924</v>
      </c>
      <c r="C1298" s="19" t="s">
        <v>6</v>
      </c>
      <c r="D1298" s="19" t="s">
        <v>6</v>
      </c>
      <c r="E1298" s="80" t="s">
        <v>45</v>
      </c>
      <c r="F1298" s="93">
        <v>45935</v>
      </c>
    </row>
    <row r="1299" spans="1:6" x14ac:dyDescent="0.25">
      <c r="A1299" s="9">
        <v>89</v>
      </c>
      <c r="B1299" s="8" t="s">
        <v>978</v>
      </c>
      <c r="C1299" s="19" t="s">
        <v>6</v>
      </c>
      <c r="D1299" s="19" t="s">
        <v>6</v>
      </c>
      <c r="E1299" s="82" t="s">
        <v>45</v>
      </c>
      <c r="F1299" s="93">
        <v>45942</v>
      </c>
    </row>
    <row r="1300" spans="1:6" ht="15.75" x14ac:dyDescent="0.25">
      <c r="A1300" s="9">
        <v>90</v>
      </c>
      <c r="B1300" s="33" t="s">
        <v>923</v>
      </c>
      <c r="C1300" s="19" t="s">
        <v>6</v>
      </c>
      <c r="D1300" s="19" t="s">
        <v>6</v>
      </c>
      <c r="E1300" s="80" t="s">
        <v>45</v>
      </c>
      <c r="F1300" s="93">
        <v>45942</v>
      </c>
    </row>
    <row r="1301" spans="1:6" ht="15.75" x14ac:dyDescent="0.25">
      <c r="A1301" s="9">
        <v>91</v>
      </c>
      <c r="B1301" s="33" t="s">
        <v>958</v>
      </c>
      <c r="C1301" s="19" t="s">
        <v>6</v>
      </c>
      <c r="D1301" s="19" t="s">
        <v>6</v>
      </c>
      <c r="E1301" s="80" t="s">
        <v>45</v>
      </c>
      <c r="F1301" s="93">
        <v>45942</v>
      </c>
    </row>
    <row r="1302" spans="1:6" ht="15.75" x14ac:dyDescent="0.25">
      <c r="A1302" s="9">
        <v>92</v>
      </c>
      <c r="B1302" s="33" t="s">
        <v>959</v>
      </c>
      <c r="C1302" s="19" t="s">
        <v>6</v>
      </c>
      <c r="D1302" s="19" t="s">
        <v>6</v>
      </c>
      <c r="E1302" s="80" t="s">
        <v>45</v>
      </c>
      <c r="F1302" s="93">
        <v>45942</v>
      </c>
    </row>
    <row r="1303" spans="1:6" ht="15.75" x14ac:dyDescent="0.25">
      <c r="A1303" s="9">
        <v>93</v>
      </c>
      <c r="B1303" s="33" t="s">
        <v>961</v>
      </c>
      <c r="C1303" s="19" t="s">
        <v>6</v>
      </c>
      <c r="D1303" s="19" t="s">
        <v>6</v>
      </c>
      <c r="E1303" s="80" t="s">
        <v>45</v>
      </c>
      <c r="F1303" s="93">
        <v>45942</v>
      </c>
    </row>
    <row r="1304" spans="1:6" ht="15.75" x14ac:dyDescent="0.25">
      <c r="A1304" s="9">
        <v>94</v>
      </c>
      <c r="B1304" s="33" t="s">
        <v>962</v>
      </c>
      <c r="C1304" s="19" t="s">
        <v>6</v>
      </c>
      <c r="D1304" s="19" t="s">
        <v>6</v>
      </c>
      <c r="E1304" s="80" t="s">
        <v>45</v>
      </c>
      <c r="F1304" s="93">
        <v>45942</v>
      </c>
    </row>
    <row r="1305" spans="1:6" ht="15.75" x14ac:dyDescent="0.25">
      <c r="A1305" s="9">
        <v>95</v>
      </c>
      <c r="B1305" s="33" t="s">
        <v>979</v>
      </c>
      <c r="C1305" s="19" t="s">
        <v>6</v>
      </c>
      <c r="D1305" s="19" t="s">
        <v>6</v>
      </c>
      <c r="E1305" s="80" t="s">
        <v>45</v>
      </c>
      <c r="F1305" s="93">
        <v>45942</v>
      </c>
    </row>
    <row r="1306" spans="1:6" ht="15.75" x14ac:dyDescent="0.25">
      <c r="A1306" s="9">
        <v>96</v>
      </c>
      <c r="B1306" s="33" t="s">
        <v>980</v>
      </c>
      <c r="C1306" s="19" t="s">
        <v>6</v>
      </c>
      <c r="D1306" s="19" t="s">
        <v>6</v>
      </c>
      <c r="E1306" s="80" t="s">
        <v>45</v>
      </c>
      <c r="F1306" s="93">
        <v>45942</v>
      </c>
    </row>
    <row r="1307" spans="1:6" x14ac:dyDescent="0.25">
      <c r="A1307" s="9">
        <v>97</v>
      </c>
      <c r="B1307" s="8" t="s">
        <v>222</v>
      </c>
      <c r="C1307" s="19" t="s">
        <v>6</v>
      </c>
      <c r="D1307" s="19" t="s">
        <v>6</v>
      </c>
      <c r="E1307" s="82" t="s">
        <v>39</v>
      </c>
      <c r="F1307" s="93">
        <v>45949</v>
      </c>
    </row>
    <row r="1308" spans="1:6" ht="15.75" x14ac:dyDescent="0.25">
      <c r="A1308" s="9">
        <v>98</v>
      </c>
      <c r="B1308" s="33" t="s">
        <v>1007</v>
      </c>
      <c r="C1308" s="19" t="s">
        <v>6</v>
      </c>
      <c r="D1308" s="19" t="s">
        <v>6</v>
      </c>
      <c r="E1308" s="80" t="s">
        <v>45</v>
      </c>
      <c r="F1308" s="93">
        <v>45949</v>
      </c>
    </row>
    <row r="1309" spans="1:6" x14ac:dyDescent="0.25">
      <c r="A1309" s="9">
        <v>99</v>
      </c>
      <c r="B1309" s="8" t="s">
        <v>710</v>
      </c>
      <c r="C1309" s="19" t="s">
        <v>6</v>
      </c>
      <c r="D1309" s="19" t="s">
        <v>6</v>
      </c>
      <c r="E1309" s="82" t="s">
        <v>45</v>
      </c>
      <c r="F1309" s="93">
        <v>45956</v>
      </c>
    </row>
    <row r="1310" spans="1:6" ht="15.75" x14ac:dyDescent="0.25">
      <c r="A1310" s="9">
        <v>100</v>
      </c>
      <c r="B1310" s="47" t="s">
        <v>794</v>
      </c>
      <c r="C1310" s="19" t="s">
        <v>6</v>
      </c>
      <c r="D1310" s="19" t="s">
        <v>6</v>
      </c>
      <c r="E1310" s="80" t="s">
        <v>45</v>
      </c>
      <c r="F1310" s="93">
        <v>45956</v>
      </c>
    </row>
    <row r="1311" spans="1:6" ht="15.75" x14ac:dyDescent="0.25">
      <c r="A1311" s="9">
        <v>101</v>
      </c>
      <c r="B1311" s="33" t="s">
        <v>1041</v>
      </c>
      <c r="C1311" s="19" t="s">
        <v>6</v>
      </c>
      <c r="D1311" s="19" t="s">
        <v>6</v>
      </c>
      <c r="E1311" s="80" t="s">
        <v>337</v>
      </c>
      <c r="F1311" s="93">
        <v>45956</v>
      </c>
    </row>
    <row r="1312" spans="1:6" ht="15.75" x14ac:dyDescent="0.25">
      <c r="A1312" s="9">
        <v>102</v>
      </c>
      <c r="B1312" s="33" t="s">
        <v>464</v>
      </c>
      <c r="C1312" s="19" t="s">
        <v>6</v>
      </c>
      <c r="D1312" s="19" t="s">
        <v>6</v>
      </c>
      <c r="E1312" s="80" t="s">
        <v>45</v>
      </c>
      <c r="F1312" s="93">
        <v>45956</v>
      </c>
    </row>
    <row r="1313" spans="1:6" ht="15.75" x14ac:dyDescent="0.25">
      <c r="A1313" s="9">
        <v>103</v>
      </c>
      <c r="B1313" s="33" t="s">
        <v>884</v>
      </c>
      <c r="C1313" s="19" t="s">
        <v>6</v>
      </c>
      <c r="D1313" s="19" t="s">
        <v>6</v>
      </c>
      <c r="E1313" s="80" t="s">
        <v>45</v>
      </c>
      <c r="F1313" s="93">
        <v>45956</v>
      </c>
    </row>
    <row r="1314" spans="1:6" ht="15.75" x14ac:dyDescent="0.25">
      <c r="A1314" s="9">
        <v>104</v>
      </c>
      <c r="B1314" s="33" t="s">
        <v>922</v>
      </c>
      <c r="C1314" s="19" t="s">
        <v>6</v>
      </c>
      <c r="D1314" s="19" t="s">
        <v>6</v>
      </c>
      <c r="E1314" s="80" t="s">
        <v>45</v>
      </c>
      <c r="F1314" s="93">
        <v>45956</v>
      </c>
    </row>
    <row r="1315" spans="1:6" ht="15.75" x14ac:dyDescent="0.25">
      <c r="A1315" s="9">
        <v>105</v>
      </c>
      <c r="B1315" s="33" t="s">
        <v>1040</v>
      </c>
      <c r="C1315" s="19" t="s">
        <v>6</v>
      </c>
      <c r="D1315" s="19" t="s">
        <v>6</v>
      </c>
      <c r="E1315" s="80" t="s">
        <v>337</v>
      </c>
      <c r="F1315" s="93">
        <v>45956</v>
      </c>
    </row>
    <row r="1316" spans="1:6" x14ac:dyDescent="0.25">
      <c r="A1316" s="9">
        <v>106</v>
      </c>
      <c r="B1316" s="8" t="s">
        <v>223</v>
      </c>
      <c r="C1316" s="19" t="s">
        <v>6</v>
      </c>
      <c r="D1316" s="19" t="s">
        <v>6</v>
      </c>
      <c r="E1316" s="82" t="s">
        <v>39</v>
      </c>
      <c r="F1316" s="93">
        <v>45964</v>
      </c>
    </row>
    <row r="1317" spans="1:6" x14ac:dyDescent="0.25">
      <c r="A1317" s="9">
        <v>107</v>
      </c>
      <c r="B1317" s="8" t="s">
        <v>988</v>
      </c>
      <c r="C1317" s="19" t="s">
        <v>6</v>
      </c>
      <c r="D1317" s="19" t="s">
        <v>6</v>
      </c>
      <c r="E1317" s="82" t="s">
        <v>45</v>
      </c>
      <c r="F1317" s="93">
        <v>45964</v>
      </c>
    </row>
    <row r="1318" spans="1:6" ht="15.75" x14ac:dyDescent="0.25">
      <c r="A1318" s="9">
        <v>108</v>
      </c>
      <c r="B1318" s="33" t="s">
        <v>1039</v>
      </c>
      <c r="C1318" s="19" t="s">
        <v>6</v>
      </c>
      <c r="D1318" s="19" t="s">
        <v>6</v>
      </c>
      <c r="E1318" s="80" t="s">
        <v>150</v>
      </c>
      <c r="F1318" s="93">
        <v>45964</v>
      </c>
    </row>
    <row r="1319" spans="1:6" ht="15.75" x14ac:dyDescent="0.25">
      <c r="A1319" s="9">
        <v>109</v>
      </c>
      <c r="B1319" s="33" t="s">
        <v>1065</v>
      </c>
      <c r="C1319" s="19" t="s">
        <v>6</v>
      </c>
      <c r="D1319" s="19" t="s">
        <v>6</v>
      </c>
      <c r="E1319" s="80" t="s">
        <v>45</v>
      </c>
      <c r="F1319" s="93">
        <v>45964</v>
      </c>
    </row>
    <row r="1320" spans="1:6" ht="15.75" x14ac:dyDescent="0.25">
      <c r="A1320" s="9">
        <v>110</v>
      </c>
      <c r="B1320" s="33" t="s">
        <v>1064</v>
      </c>
      <c r="C1320" s="19" t="s">
        <v>6</v>
      </c>
      <c r="D1320" s="19" t="s">
        <v>6</v>
      </c>
      <c r="E1320" s="80" t="s">
        <v>150</v>
      </c>
      <c r="F1320" s="93">
        <v>45964</v>
      </c>
    </row>
    <row r="1321" spans="1:6" ht="15.75" x14ac:dyDescent="0.25">
      <c r="A1321" s="9">
        <v>111</v>
      </c>
      <c r="B1321" s="33" t="s">
        <v>1063</v>
      </c>
      <c r="C1321" s="19" t="s">
        <v>6</v>
      </c>
      <c r="D1321" s="19" t="s">
        <v>6</v>
      </c>
      <c r="E1321" s="80" t="s">
        <v>150</v>
      </c>
      <c r="F1321" s="93">
        <v>45964</v>
      </c>
    </row>
    <row r="1322" spans="1:6" ht="15.75" x14ac:dyDescent="0.25">
      <c r="A1322" s="9">
        <v>112</v>
      </c>
      <c r="B1322" s="33" t="s">
        <v>1076</v>
      </c>
      <c r="C1322" s="19" t="s">
        <v>6</v>
      </c>
      <c r="D1322" s="19" t="s">
        <v>6</v>
      </c>
      <c r="E1322" s="80" t="s">
        <v>45</v>
      </c>
      <c r="F1322" s="93">
        <v>45964</v>
      </c>
    </row>
    <row r="1323" spans="1:6" ht="15.75" x14ac:dyDescent="0.25">
      <c r="A1323" s="9">
        <v>113</v>
      </c>
      <c r="B1323" s="33" t="s">
        <v>943</v>
      </c>
      <c r="C1323" s="19" t="s">
        <v>6</v>
      </c>
      <c r="D1323" s="19" t="s">
        <v>6</v>
      </c>
      <c r="E1323" s="80" t="s">
        <v>45</v>
      </c>
      <c r="F1323" s="93">
        <v>45970</v>
      </c>
    </row>
    <row r="1324" spans="1:6" ht="15.75" x14ac:dyDescent="0.25">
      <c r="A1324" s="9">
        <v>114</v>
      </c>
      <c r="B1324" s="33" t="s">
        <v>963</v>
      </c>
      <c r="C1324" s="19" t="s">
        <v>6</v>
      </c>
      <c r="D1324" s="19" t="s">
        <v>6</v>
      </c>
      <c r="E1324" s="80" t="s">
        <v>45</v>
      </c>
      <c r="F1324" s="93">
        <v>45970</v>
      </c>
    </row>
    <row r="1325" spans="1:6" ht="15.75" x14ac:dyDescent="0.25">
      <c r="A1325" s="9">
        <v>115</v>
      </c>
      <c r="B1325" s="33" t="s">
        <v>1021</v>
      </c>
      <c r="C1325" s="19" t="s">
        <v>6</v>
      </c>
      <c r="D1325" s="19" t="s">
        <v>6</v>
      </c>
      <c r="E1325" s="80" t="s">
        <v>150</v>
      </c>
      <c r="F1325" s="93">
        <v>45970</v>
      </c>
    </row>
    <row r="1326" spans="1:6" ht="15.75" x14ac:dyDescent="0.25">
      <c r="A1326" s="9">
        <v>116</v>
      </c>
      <c r="B1326" s="33" t="s">
        <v>1083</v>
      </c>
      <c r="C1326" s="19" t="s">
        <v>6</v>
      </c>
      <c r="D1326" s="19" t="s">
        <v>6</v>
      </c>
      <c r="E1326" s="80" t="s">
        <v>45</v>
      </c>
      <c r="F1326" s="93">
        <v>45970</v>
      </c>
    </row>
    <row r="1327" spans="1:6" ht="15.75" x14ac:dyDescent="0.25">
      <c r="A1327" s="9">
        <v>117</v>
      </c>
      <c r="B1327" s="33" t="s">
        <v>1082</v>
      </c>
      <c r="C1327" s="19" t="s">
        <v>6</v>
      </c>
      <c r="D1327" s="19" t="s">
        <v>6</v>
      </c>
      <c r="E1327" s="80" t="s">
        <v>45</v>
      </c>
      <c r="F1327" s="93">
        <v>45970</v>
      </c>
    </row>
    <row r="1328" spans="1:6" ht="15.75" x14ac:dyDescent="0.25">
      <c r="A1328" s="9">
        <v>118</v>
      </c>
      <c r="B1328" s="33" t="s">
        <v>1084</v>
      </c>
      <c r="C1328" s="19" t="s">
        <v>6</v>
      </c>
      <c r="D1328" s="19" t="s">
        <v>6</v>
      </c>
      <c r="E1328" s="80" t="s">
        <v>45</v>
      </c>
      <c r="F1328" s="93">
        <v>45970</v>
      </c>
    </row>
    <row r="1329" spans="1:6" x14ac:dyDescent="0.25">
      <c r="A1329" s="9">
        <v>119</v>
      </c>
      <c r="B1329" s="8" t="s">
        <v>231</v>
      </c>
      <c r="C1329" s="19" t="s">
        <v>6</v>
      </c>
      <c r="D1329" s="19" t="s">
        <v>6</v>
      </c>
      <c r="E1329" s="82" t="s">
        <v>383</v>
      </c>
      <c r="F1329" s="93">
        <v>45977</v>
      </c>
    </row>
    <row r="1330" spans="1:6" x14ac:dyDescent="0.25">
      <c r="A1330" s="9">
        <v>120</v>
      </c>
      <c r="B1330" s="8" t="s">
        <v>1142</v>
      </c>
      <c r="C1330" s="19" t="s">
        <v>6</v>
      </c>
      <c r="D1330" s="19" t="s">
        <v>6</v>
      </c>
      <c r="E1330" s="82" t="s">
        <v>337</v>
      </c>
      <c r="F1330" s="93">
        <v>45984</v>
      </c>
    </row>
    <row r="1331" spans="1:6" x14ac:dyDescent="0.25">
      <c r="A1331" s="9">
        <v>121</v>
      </c>
      <c r="B1331" s="33" t="s">
        <v>498</v>
      </c>
      <c r="C1331" s="19" t="s">
        <v>6</v>
      </c>
      <c r="D1331" s="19" t="s">
        <v>6</v>
      </c>
      <c r="E1331" s="82" t="s">
        <v>39</v>
      </c>
      <c r="F1331" s="93">
        <v>45977</v>
      </c>
    </row>
    <row r="1332" spans="1:6" ht="15.75" x14ac:dyDescent="0.25">
      <c r="A1332" s="9">
        <v>122</v>
      </c>
      <c r="B1332" s="33" t="s">
        <v>957</v>
      </c>
      <c r="C1332" s="19" t="s">
        <v>6</v>
      </c>
      <c r="D1332" s="19" t="s">
        <v>6</v>
      </c>
      <c r="E1332" s="80" t="s">
        <v>45</v>
      </c>
      <c r="F1332" s="93">
        <v>45977</v>
      </c>
    </row>
    <row r="1333" spans="1:6" ht="15.75" x14ac:dyDescent="0.25">
      <c r="A1333" s="9">
        <v>123</v>
      </c>
      <c r="B1333" s="33" t="s">
        <v>1096</v>
      </c>
      <c r="C1333" s="19" t="s">
        <v>6</v>
      </c>
      <c r="D1333" s="19" t="s">
        <v>6</v>
      </c>
      <c r="E1333" s="80" t="s">
        <v>45</v>
      </c>
      <c r="F1333" s="93">
        <v>45984</v>
      </c>
    </row>
    <row r="1334" spans="1:6" ht="15.75" x14ac:dyDescent="0.25">
      <c r="A1334" s="9">
        <v>124</v>
      </c>
      <c r="B1334" s="33" t="s">
        <v>1114</v>
      </c>
      <c r="C1334" s="19" t="s">
        <v>6</v>
      </c>
      <c r="D1334" s="19" t="s">
        <v>6</v>
      </c>
      <c r="E1334" s="80" t="s">
        <v>45</v>
      </c>
      <c r="F1334" s="93">
        <v>45977</v>
      </c>
    </row>
    <row r="1335" spans="1:6" ht="15.75" x14ac:dyDescent="0.25">
      <c r="A1335" s="9">
        <v>125</v>
      </c>
      <c r="B1335" s="33" t="s">
        <v>1121</v>
      </c>
      <c r="C1335" s="19" t="s">
        <v>6</v>
      </c>
      <c r="D1335" s="19" t="s">
        <v>6</v>
      </c>
      <c r="E1335" s="80" t="s">
        <v>45</v>
      </c>
      <c r="F1335" s="93">
        <v>45984</v>
      </c>
    </row>
    <row r="1336" spans="1:6" ht="15.75" x14ac:dyDescent="0.25">
      <c r="A1336" s="9">
        <v>126</v>
      </c>
      <c r="B1336" s="33" t="s">
        <v>1141</v>
      </c>
      <c r="C1336" s="19" t="s">
        <v>6</v>
      </c>
      <c r="D1336" s="19" t="s">
        <v>6</v>
      </c>
      <c r="E1336" s="80" t="s">
        <v>45</v>
      </c>
      <c r="F1336" s="93">
        <v>45984</v>
      </c>
    </row>
    <row r="1337" spans="1:6" ht="15.75" x14ac:dyDescent="0.25">
      <c r="A1337" s="9">
        <v>127</v>
      </c>
      <c r="B1337" s="33" t="s">
        <v>1143</v>
      </c>
      <c r="C1337" s="19" t="s">
        <v>6</v>
      </c>
      <c r="D1337" s="19" t="s">
        <v>6</v>
      </c>
      <c r="E1337" s="80" t="s">
        <v>45</v>
      </c>
      <c r="F1337" s="93">
        <v>45984</v>
      </c>
    </row>
    <row r="1338" spans="1:6" ht="15.75" x14ac:dyDescent="0.25">
      <c r="A1338" s="9">
        <v>128</v>
      </c>
      <c r="B1338" s="33" t="s">
        <v>1145</v>
      </c>
      <c r="C1338" s="19" t="s">
        <v>6</v>
      </c>
      <c r="D1338" s="19" t="s">
        <v>6</v>
      </c>
      <c r="E1338" s="80" t="s">
        <v>45</v>
      </c>
      <c r="F1338" s="93">
        <v>45984</v>
      </c>
    </row>
    <row r="1339" spans="1:6" x14ac:dyDescent="0.25">
      <c r="A1339" s="9">
        <v>129</v>
      </c>
      <c r="B1339" s="8" t="s">
        <v>1191</v>
      </c>
      <c r="C1339" s="19" t="s">
        <v>6</v>
      </c>
      <c r="D1339" s="19" t="s">
        <v>6</v>
      </c>
      <c r="E1339" s="82" t="s">
        <v>45</v>
      </c>
      <c r="F1339" s="93">
        <v>45998</v>
      </c>
    </row>
    <row r="1340" spans="1:6" x14ac:dyDescent="0.25">
      <c r="A1340" s="9">
        <v>130</v>
      </c>
      <c r="B1340" s="8" t="s">
        <v>382</v>
      </c>
      <c r="C1340" s="19" t="s">
        <v>6</v>
      </c>
      <c r="D1340" s="19" t="s">
        <v>6</v>
      </c>
      <c r="E1340" s="82" t="s">
        <v>149</v>
      </c>
      <c r="F1340" s="93">
        <v>46012</v>
      </c>
    </row>
    <row r="1341" spans="1:6" x14ac:dyDescent="0.25">
      <c r="A1341" s="9">
        <v>131</v>
      </c>
      <c r="B1341" s="8" t="s">
        <v>679</v>
      </c>
      <c r="C1341" s="19" t="s">
        <v>6</v>
      </c>
      <c r="D1341" s="19" t="s">
        <v>6</v>
      </c>
      <c r="E1341" s="82" t="s">
        <v>546</v>
      </c>
      <c r="F1341" s="93">
        <v>45998</v>
      </c>
    </row>
    <row r="1342" spans="1:6" x14ac:dyDescent="0.25">
      <c r="A1342" s="9">
        <v>132</v>
      </c>
      <c r="B1342" s="8" t="s">
        <v>1239</v>
      </c>
      <c r="C1342" s="19" t="s">
        <v>6</v>
      </c>
      <c r="D1342" s="19" t="s">
        <v>6</v>
      </c>
      <c r="E1342" s="82" t="s">
        <v>45</v>
      </c>
      <c r="F1342" s="93">
        <v>46012</v>
      </c>
    </row>
    <row r="1343" spans="1:6" ht="15.75" x14ac:dyDescent="0.25">
      <c r="A1343" s="9">
        <v>133</v>
      </c>
      <c r="B1343" s="43" t="s">
        <v>1154</v>
      </c>
      <c r="C1343" s="19" t="s">
        <v>6</v>
      </c>
      <c r="D1343" s="19" t="s">
        <v>6</v>
      </c>
      <c r="E1343" s="78" t="s">
        <v>150</v>
      </c>
      <c r="F1343" s="93">
        <v>45992</v>
      </c>
    </row>
    <row r="1344" spans="1:6" ht="15.75" x14ac:dyDescent="0.25">
      <c r="A1344" s="9">
        <v>134</v>
      </c>
      <c r="B1344" s="33" t="s">
        <v>1290</v>
      </c>
      <c r="C1344" s="19" t="s">
        <v>6</v>
      </c>
      <c r="D1344" s="19" t="s">
        <v>6</v>
      </c>
      <c r="E1344" s="80" t="s">
        <v>150</v>
      </c>
      <c r="F1344" s="93">
        <v>46040</v>
      </c>
    </row>
    <row r="1345" spans="1:6" ht="15.75" x14ac:dyDescent="0.25">
      <c r="A1345" s="9">
        <v>135</v>
      </c>
      <c r="B1345" s="33" t="s">
        <v>925</v>
      </c>
      <c r="C1345" s="19" t="s">
        <v>6</v>
      </c>
      <c r="D1345" s="19" t="s">
        <v>6</v>
      </c>
      <c r="E1345" s="80" t="s">
        <v>45</v>
      </c>
      <c r="F1345" s="93">
        <v>46005</v>
      </c>
    </row>
    <row r="1346" spans="1:6" ht="15.75" x14ac:dyDescent="0.25">
      <c r="A1346" s="9">
        <v>136</v>
      </c>
      <c r="B1346" s="33" t="s">
        <v>1238</v>
      </c>
      <c r="C1346" s="19" t="s">
        <v>6</v>
      </c>
      <c r="D1346" s="19" t="s">
        <v>6</v>
      </c>
      <c r="E1346" s="80" t="s">
        <v>45</v>
      </c>
      <c r="F1346" s="93">
        <v>46012</v>
      </c>
    </row>
    <row r="1347" spans="1:6" ht="15.75" x14ac:dyDescent="0.25">
      <c r="A1347" s="9">
        <v>137</v>
      </c>
      <c r="B1347" s="33" t="s">
        <v>1289</v>
      </c>
      <c r="C1347" s="19" t="s">
        <v>6</v>
      </c>
      <c r="D1347" s="19" t="s">
        <v>6</v>
      </c>
      <c r="E1347" s="80" t="s">
        <v>150</v>
      </c>
      <c r="F1347" s="93">
        <v>46040</v>
      </c>
    </row>
    <row r="1348" spans="1:6" x14ac:dyDescent="0.25">
      <c r="A1348" s="9">
        <v>138</v>
      </c>
      <c r="B1348" s="33" t="s">
        <v>1291</v>
      </c>
      <c r="C1348" s="19" t="s">
        <v>6</v>
      </c>
      <c r="D1348" s="19" t="s">
        <v>6</v>
      </c>
      <c r="E1348" s="79" t="s">
        <v>45</v>
      </c>
      <c r="F1348" s="93">
        <v>46040</v>
      </c>
    </row>
    <row r="1349" spans="1:6" x14ac:dyDescent="0.25">
      <c r="A1349" s="9">
        <v>139</v>
      </c>
      <c r="B1349" s="33" t="s">
        <v>1292</v>
      </c>
      <c r="C1349" s="19" t="s">
        <v>6</v>
      </c>
      <c r="D1349" s="19" t="s">
        <v>6</v>
      </c>
      <c r="E1349" s="79" t="s">
        <v>45</v>
      </c>
      <c r="F1349" s="93">
        <v>46040</v>
      </c>
    </row>
    <row r="1350" spans="1:6" ht="15.75" x14ac:dyDescent="0.25">
      <c r="A1350" s="9">
        <v>140</v>
      </c>
      <c r="B1350" s="33" t="s">
        <v>981</v>
      </c>
      <c r="C1350" s="19" t="s">
        <v>6</v>
      </c>
      <c r="D1350" s="19" t="s">
        <v>6</v>
      </c>
      <c r="E1350" s="80" t="s">
        <v>337</v>
      </c>
      <c r="F1350" s="93">
        <v>45992</v>
      </c>
    </row>
    <row r="1351" spans="1:6" ht="15.75" x14ac:dyDescent="0.25">
      <c r="A1351" s="9">
        <v>141</v>
      </c>
      <c r="B1351" s="33" t="s">
        <v>1144</v>
      </c>
      <c r="C1351" s="19" t="s">
        <v>6</v>
      </c>
      <c r="D1351" s="19" t="s">
        <v>6</v>
      </c>
      <c r="E1351" s="80" t="s">
        <v>337</v>
      </c>
      <c r="F1351" s="93">
        <v>45992</v>
      </c>
    </row>
    <row r="1352" spans="1:6" ht="15.75" x14ac:dyDescent="0.25">
      <c r="A1352" s="9">
        <v>142</v>
      </c>
      <c r="B1352" s="33" t="s">
        <v>1085</v>
      </c>
      <c r="C1352" s="19" t="s">
        <v>6</v>
      </c>
      <c r="D1352" s="19" t="s">
        <v>6</v>
      </c>
      <c r="E1352" s="80" t="s">
        <v>45</v>
      </c>
      <c r="F1352" s="93">
        <v>45992</v>
      </c>
    </row>
    <row r="1353" spans="1:6" ht="15.75" x14ac:dyDescent="0.25">
      <c r="A1353" s="9">
        <v>143</v>
      </c>
      <c r="B1353" s="33" t="s">
        <v>1174</v>
      </c>
      <c r="C1353" s="19" t="s">
        <v>6</v>
      </c>
      <c r="D1353" s="19" t="s">
        <v>6</v>
      </c>
      <c r="E1353" s="80" t="s">
        <v>45</v>
      </c>
      <c r="F1353" s="93">
        <v>45992</v>
      </c>
    </row>
    <row r="1354" spans="1:6" ht="15.75" x14ac:dyDescent="0.25">
      <c r="A1354" s="9">
        <v>144</v>
      </c>
      <c r="B1354" s="33" t="s">
        <v>1175</v>
      </c>
      <c r="C1354" s="19" t="s">
        <v>6</v>
      </c>
      <c r="D1354" s="19" t="s">
        <v>6</v>
      </c>
      <c r="E1354" s="80" t="s">
        <v>45</v>
      </c>
      <c r="F1354" s="93">
        <v>45992</v>
      </c>
    </row>
    <row r="1355" spans="1:6" ht="15.75" x14ac:dyDescent="0.25">
      <c r="A1355" s="9">
        <v>145</v>
      </c>
      <c r="B1355" s="33" t="s">
        <v>1176</v>
      </c>
      <c r="C1355" s="19" t="s">
        <v>6</v>
      </c>
      <c r="D1355" s="19" t="s">
        <v>6</v>
      </c>
      <c r="E1355" s="80" t="s">
        <v>45</v>
      </c>
      <c r="F1355" s="93">
        <v>45992</v>
      </c>
    </row>
    <row r="1356" spans="1:6" ht="15.75" x14ac:dyDescent="0.25">
      <c r="A1356" s="9">
        <v>146</v>
      </c>
      <c r="B1356" s="33" t="s">
        <v>1179</v>
      </c>
      <c r="C1356" s="19" t="s">
        <v>6</v>
      </c>
      <c r="D1356" s="19" t="s">
        <v>6</v>
      </c>
      <c r="E1356" s="80" t="s">
        <v>45</v>
      </c>
      <c r="F1356" s="93">
        <v>45992</v>
      </c>
    </row>
    <row r="1357" spans="1:6" ht="15.75" x14ac:dyDescent="0.25">
      <c r="A1357" s="9">
        <v>147</v>
      </c>
      <c r="B1357" s="33" t="s">
        <v>1178</v>
      </c>
      <c r="C1357" s="19" t="s">
        <v>6</v>
      </c>
      <c r="D1357" s="19" t="s">
        <v>6</v>
      </c>
      <c r="E1357" s="80" t="s">
        <v>45</v>
      </c>
      <c r="F1357" s="93">
        <v>45992</v>
      </c>
    </row>
    <row r="1358" spans="1:6" ht="15.75" x14ac:dyDescent="0.25">
      <c r="A1358" s="9">
        <v>148</v>
      </c>
      <c r="B1358" s="33" t="s">
        <v>1177</v>
      </c>
      <c r="C1358" s="19" t="s">
        <v>6</v>
      </c>
      <c r="D1358" s="19" t="s">
        <v>6</v>
      </c>
      <c r="E1358" s="80" t="s">
        <v>45</v>
      </c>
      <c r="F1358" s="93">
        <v>45992</v>
      </c>
    </row>
    <row r="1359" spans="1:6" ht="15.75" x14ac:dyDescent="0.25">
      <c r="A1359" s="9">
        <v>149</v>
      </c>
      <c r="B1359" s="33" t="s">
        <v>1180</v>
      </c>
      <c r="C1359" s="19" t="s">
        <v>6</v>
      </c>
      <c r="D1359" s="19" t="s">
        <v>6</v>
      </c>
      <c r="E1359" s="80" t="s">
        <v>45</v>
      </c>
      <c r="F1359" s="93">
        <v>45992</v>
      </c>
    </row>
    <row r="1360" spans="1:6" ht="15.75" x14ac:dyDescent="0.25">
      <c r="A1360" s="9">
        <v>150</v>
      </c>
      <c r="B1360" s="33" t="s">
        <v>1181</v>
      </c>
      <c r="C1360" s="19" t="s">
        <v>6</v>
      </c>
      <c r="D1360" s="19" t="s">
        <v>6</v>
      </c>
      <c r="E1360" s="80" t="s">
        <v>45</v>
      </c>
      <c r="F1360" s="93">
        <v>45992</v>
      </c>
    </row>
    <row r="1361" spans="1:6" ht="15.75" x14ac:dyDescent="0.25">
      <c r="A1361" s="9">
        <v>151</v>
      </c>
      <c r="B1361" s="33" t="s">
        <v>1182</v>
      </c>
      <c r="C1361" s="19" t="s">
        <v>6</v>
      </c>
      <c r="D1361" s="19" t="s">
        <v>6</v>
      </c>
      <c r="E1361" s="80" t="s">
        <v>45</v>
      </c>
      <c r="F1361" s="93">
        <v>45992</v>
      </c>
    </row>
    <row r="1362" spans="1:6" ht="15.75" x14ac:dyDescent="0.25">
      <c r="A1362" s="9">
        <v>152</v>
      </c>
      <c r="B1362" s="43" t="s">
        <v>266</v>
      </c>
      <c r="C1362" s="19" t="s">
        <v>6</v>
      </c>
      <c r="D1362" s="19" t="s">
        <v>6</v>
      </c>
      <c r="E1362" s="78" t="s">
        <v>40</v>
      </c>
      <c r="F1362" s="93">
        <v>46005</v>
      </c>
    </row>
    <row r="1363" spans="1:6" ht="15.75" x14ac:dyDescent="0.25">
      <c r="A1363" s="9">
        <v>153</v>
      </c>
      <c r="B1363" s="43" t="s">
        <v>687</v>
      </c>
      <c r="C1363" s="19" t="s">
        <v>6</v>
      </c>
      <c r="D1363" s="19" t="s">
        <v>6</v>
      </c>
      <c r="E1363" s="78" t="s">
        <v>45</v>
      </c>
      <c r="F1363" s="93">
        <v>46005</v>
      </c>
    </row>
    <row r="1364" spans="1:6" ht="15.75" x14ac:dyDescent="0.25">
      <c r="A1364" s="9">
        <v>154</v>
      </c>
      <c r="B1364" s="33" t="s">
        <v>1183</v>
      </c>
      <c r="C1364" s="19" t="s">
        <v>6</v>
      </c>
      <c r="D1364" s="19" t="s">
        <v>6</v>
      </c>
      <c r="E1364" s="80" t="s">
        <v>45</v>
      </c>
      <c r="F1364" s="93">
        <v>45992</v>
      </c>
    </row>
    <row r="1365" spans="1:6" ht="15.75" x14ac:dyDescent="0.25">
      <c r="A1365" s="9">
        <v>155</v>
      </c>
      <c r="B1365" s="33" t="s">
        <v>1184</v>
      </c>
      <c r="C1365" s="19" t="s">
        <v>6</v>
      </c>
      <c r="D1365" s="19" t="s">
        <v>6</v>
      </c>
      <c r="E1365" s="80" t="s">
        <v>45</v>
      </c>
      <c r="F1365" s="93">
        <v>45992</v>
      </c>
    </row>
    <row r="1366" spans="1:6" ht="15.75" x14ac:dyDescent="0.25">
      <c r="A1366" s="9">
        <v>156</v>
      </c>
      <c r="B1366" s="33" t="s">
        <v>1185</v>
      </c>
      <c r="C1366" s="19" t="s">
        <v>6</v>
      </c>
      <c r="D1366" s="19" t="s">
        <v>6</v>
      </c>
      <c r="E1366" s="80" t="s">
        <v>45</v>
      </c>
      <c r="F1366" s="93">
        <v>45992</v>
      </c>
    </row>
    <row r="1367" spans="1:6" ht="15.75" x14ac:dyDescent="0.25">
      <c r="A1367" s="9">
        <v>157</v>
      </c>
      <c r="B1367" s="33" t="s">
        <v>1202</v>
      </c>
      <c r="C1367" s="19" t="s">
        <v>6</v>
      </c>
      <c r="D1367" s="19" t="s">
        <v>6</v>
      </c>
      <c r="E1367" s="80" t="s">
        <v>45</v>
      </c>
      <c r="F1367" s="93">
        <v>45998</v>
      </c>
    </row>
    <row r="1368" spans="1:6" ht="15.75" x14ac:dyDescent="0.25">
      <c r="A1368" s="9">
        <v>158</v>
      </c>
      <c r="B1368" s="33" t="s">
        <v>1203</v>
      </c>
      <c r="C1368" s="19" t="s">
        <v>6</v>
      </c>
      <c r="D1368" s="19" t="s">
        <v>6</v>
      </c>
      <c r="E1368" s="80" t="s">
        <v>45</v>
      </c>
      <c r="F1368" s="93">
        <v>45998</v>
      </c>
    </row>
    <row r="1369" spans="1:6" x14ac:dyDescent="0.25">
      <c r="A1369" s="9">
        <v>159</v>
      </c>
      <c r="B1369" s="8" t="s">
        <v>1407</v>
      </c>
      <c r="C1369" s="19" t="s">
        <v>6</v>
      </c>
      <c r="D1369" s="19" t="s">
        <v>6</v>
      </c>
      <c r="E1369" s="82" t="s">
        <v>45</v>
      </c>
      <c r="F1369" s="93">
        <v>46068</v>
      </c>
    </row>
    <row r="1371" spans="1:6" x14ac:dyDescent="0.25">
      <c r="A1371" s="9">
        <v>161</v>
      </c>
      <c r="B1371" s="33" t="s">
        <v>1301</v>
      </c>
      <c r="C1371" s="19" t="s">
        <v>6</v>
      </c>
      <c r="D1371" s="19" t="s">
        <v>6</v>
      </c>
      <c r="E1371" s="79" t="s">
        <v>45</v>
      </c>
      <c r="F1371" s="93">
        <v>46068</v>
      </c>
    </row>
    <row r="1372" spans="1:6" ht="15.75" x14ac:dyDescent="0.25">
      <c r="A1372" s="9">
        <v>162</v>
      </c>
      <c r="B1372" s="33" t="s">
        <v>1215</v>
      </c>
      <c r="C1372" s="19" t="s">
        <v>6</v>
      </c>
      <c r="D1372" s="19" t="s">
        <v>6</v>
      </c>
      <c r="E1372" s="80" t="s">
        <v>45</v>
      </c>
      <c r="F1372" s="93">
        <v>46005</v>
      </c>
    </row>
    <row r="1373" spans="1:6" ht="15.75" x14ac:dyDescent="0.25">
      <c r="A1373" s="9">
        <v>163</v>
      </c>
      <c r="B1373" s="33" t="s">
        <v>1227</v>
      </c>
      <c r="C1373" s="19" t="s">
        <v>6</v>
      </c>
      <c r="D1373" s="19" t="s">
        <v>6</v>
      </c>
      <c r="E1373" s="80" t="s">
        <v>45</v>
      </c>
      <c r="F1373" s="93">
        <v>46005</v>
      </c>
    </row>
    <row r="1374" spans="1:6" ht="15.75" x14ac:dyDescent="0.25">
      <c r="A1374" s="9">
        <v>164</v>
      </c>
      <c r="B1374" s="33" t="s">
        <v>1236</v>
      </c>
      <c r="C1374" s="19" t="s">
        <v>6</v>
      </c>
      <c r="D1374" s="19" t="s">
        <v>6</v>
      </c>
      <c r="E1374" s="80" t="s">
        <v>45</v>
      </c>
      <c r="F1374" s="93">
        <v>46012</v>
      </c>
    </row>
    <row r="1375" spans="1:6" x14ac:dyDescent="0.25">
      <c r="A1375" s="9">
        <v>165</v>
      </c>
      <c r="B1375" s="33" t="s">
        <v>1321</v>
      </c>
      <c r="C1375" s="19" t="s">
        <v>6</v>
      </c>
      <c r="D1375" s="19" t="s">
        <v>6</v>
      </c>
      <c r="E1375" s="79" t="s">
        <v>45</v>
      </c>
      <c r="F1375" s="93">
        <v>46068</v>
      </c>
    </row>
    <row r="1376" spans="1:6" x14ac:dyDescent="0.25">
      <c r="A1376" s="9">
        <v>166</v>
      </c>
      <c r="B1376" s="8" t="s">
        <v>1274</v>
      </c>
      <c r="C1376" s="19" t="s">
        <v>6</v>
      </c>
      <c r="D1376" s="19" t="s">
        <v>6</v>
      </c>
      <c r="E1376" s="82" t="s">
        <v>337</v>
      </c>
      <c r="F1376" s="93">
        <v>46023</v>
      </c>
    </row>
    <row r="1377" spans="1:6" x14ac:dyDescent="0.25">
      <c r="A1377" s="9">
        <v>167</v>
      </c>
      <c r="B1377" s="33" t="s">
        <v>1343</v>
      </c>
      <c r="C1377" s="19" t="s">
        <v>6</v>
      </c>
      <c r="D1377" s="19" t="s">
        <v>6</v>
      </c>
      <c r="E1377" s="79" t="s">
        <v>45</v>
      </c>
      <c r="F1377" s="93">
        <v>46075</v>
      </c>
    </row>
    <row r="1378" spans="1:6" x14ac:dyDescent="0.25">
      <c r="A1378" s="9">
        <v>168</v>
      </c>
      <c r="B1378" s="8" t="s">
        <v>517</v>
      </c>
      <c r="C1378" s="19" t="s">
        <v>6</v>
      </c>
      <c r="D1378" s="19" t="s">
        <v>6</v>
      </c>
      <c r="E1378" s="82" t="s">
        <v>45</v>
      </c>
      <c r="F1378" s="93">
        <v>46023</v>
      </c>
    </row>
    <row r="1379" spans="1:6" ht="15.75" x14ac:dyDescent="0.25">
      <c r="A1379" s="9">
        <v>169</v>
      </c>
      <c r="B1379" s="33" t="s">
        <v>1276</v>
      </c>
      <c r="C1379" s="19" t="s">
        <v>6</v>
      </c>
      <c r="D1379" s="19" t="s">
        <v>6</v>
      </c>
      <c r="E1379" s="80" t="s">
        <v>337</v>
      </c>
      <c r="F1379" s="93">
        <v>46040</v>
      </c>
    </row>
    <row r="1380" spans="1:6" ht="15.75" x14ac:dyDescent="0.25">
      <c r="A1380" s="9">
        <v>170</v>
      </c>
      <c r="B1380" s="33" t="s">
        <v>1081</v>
      </c>
      <c r="C1380" s="19" t="s">
        <v>6</v>
      </c>
      <c r="D1380" s="19" t="s">
        <v>6</v>
      </c>
      <c r="E1380" s="80" t="s">
        <v>337</v>
      </c>
      <c r="F1380" s="93">
        <v>46023</v>
      </c>
    </row>
    <row r="1381" spans="1:6" x14ac:dyDescent="0.25">
      <c r="A1381" s="9">
        <v>171</v>
      </c>
      <c r="B1381" s="33" t="s">
        <v>1288</v>
      </c>
      <c r="C1381" s="19" t="s">
        <v>6</v>
      </c>
      <c r="D1381" s="19" t="s">
        <v>6</v>
      </c>
      <c r="E1381" s="79" t="s">
        <v>45</v>
      </c>
      <c r="F1381" s="93">
        <v>46040</v>
      </c>
    </row>
    <row r="1382" spans="1:6" x14ac:dyDescent="0.25">
      <c r="A1382" s="9">
        <v>172</v>
      </c>
      <c r="B1382" s="33" t="s">
        <v>1352</v>
      </c>
      <c r="C1382" s="19" t="s">
        <v>6</v>
      </c>
      <c r="D1382" s="19" t="s">
        <v>6</v>
      </c>
      <c r="E1382" s="79" t="s">
        <v>45</v>
      </c>
      <c r="F1382" s="93">
        <v>46068</v>
      </c>
    </row>
    <row r="1383" spans="1:6" x14ac:dyDescent="0.25">
      <c r="A1383" s="9">
        <v>173</v>
      </c>
      <c r="B1383" s="33" t="s">
        <v>1416</v>
      </c>
      <c r="C1383" s="19" t="s">
        <v>6</v>
      </c>
      <c r="D1383" s="19" t="s">
        <v>6</v>
      </c>
      <c r="E1383" s="79" t="s">
        <v>45</v>
      </c>
      <c r="F1383" s="93">
        <v>46068</v>
      </c>
    </row>
    <row r="1384" spans="1:6" x14ac:dyDescent="0.25">
      <c r="A1384" s="9">
        <v>174</v>
      </c>
      <c r="B1384" s="33" t="s">
        <v>1420</v>
      </c>
      <c r="C1384" s="19" t="s">
        <v>6</v>
      </c>
      <c r="D1384" s="19" t="s">
        <v>6</v>
      </c>
      <c r="E1384" s="79" t="s">
        <v>45</v>
      </c>
      <c r="F1384" s="93">
        <v>46075</v>
      </c>
    </row>
    <row r="1385" spans="1:6" x14ac:dyDescent="0.25">
      <c r="A1385" s="9">
        <v>175</v>
      </c>
      <c r="B1385" s="33" t="s">
        <v>1421</v>
      </c>
      <c r="C1385" s="19" t="s">
        <v>6</v>
      </c>
      <c r="D1385" s="19" t="s">
        <v>6</v>
      </c>
      <c r="E1385" s="79" t="s">
        <v>45</v>
      </c>
      <c r="F1385" s="93">
        <v>46075</v>
      </c>
    </row>
    <row r="1386" spans="1:6" ht="15.75" x14ac:dyDescent="0.25">
      <c r="A1386" s="9">
        <v>176</v>
      </c>
      <c r="B1386" s="33" t="s">
        <v>1252</v>
      </c>
      <c r="C1386" s="19" t="s">
        <v>6</v>
      </c>
      <c r="D1386" s="19" t="s">
        <v>6</v>
      </c>
      <c r="E1386" s="80" t="s">
        <v>45</v>
      </c>
      <c r="F1386" s="93">
        <v>46023</v>
      </c>
    </row>
    <row r="1387" spans="1:6" ht="15.75" x14ac:dyDescent="0.25">
      <c r="A1387" s="9">
        <v>177</v>
      </c>
      <c r="B1387" s="33" t="s">
        <v>1251</v>
      </c>
      <c r="C1387" s="19" t="s">
        <v>6</v>
      </c>
      <c r="D1387" s="19" t="s">
        <v>6</v>
      </c>
      <c r="E1387" s="80" t="s">
        <v>45</v>
      </c>
      <c r="F1387" s="93">
        <v>46023</v>
      </c>
    </row>
    <row r="1388" spans="1:6" ht="15.75" x14ac:dyDescent="0.25">
      <c r="A1388" s="9">
        <v>178</v>
      </c>
      <c r="B1388" s="33" t="s">
        <v>1253</v>
      </c>
      <c r="C1388" s="19" t="s">
        <v>6</v>
      </c>
      <c r="D1388" s="19" t="s">
        <v>6</v>
      </c>
      <c r="E1388" s="80" t="s">
        <v>45</v>
      </c>
      <c r="F1388" s="93">
        <v>46023</v>
      </c>
    </row>
    <row r="1389" spans="1:6" ht="15.75" x14ac:dyDescent="0.25">
      <c r="A1389" s="9">
        <v>179</v>
      </c>
      <c r="B1389" s="33" t="s">
        <v>1255</v>
      </c>
      <c r="C1389" s="19" t="s">
        <v>6</v>
      </c>
      <c r="D1389" s="19" t="s">
        <v>6</v>
      </c>
      <c r="E1389" s="80" t="s">
        <v>45</v>
      </c>
      <c r="F1389" s="93">
        <v>46023</v>
      </c>
    </row>
    <row r="1390" spans="1:6" ht="15.75" x14ac:dyDescent="0.25">
      <c r="A1390" s="9">
        <v>180</v>
      </c>
      <c r="B1390" s="33" t="s">
        <v>1256</v>
      </c>
      <c r="C1390" s="19" t="s">
        <v>6</v>
      </c>
      <c r="D1390" s="19" t="s">
        <v>6</v>
      </c>
      <c r="E1390" s="80" t="s">
        <v>45</v>
      </c>
      <c r="F1390" s="93">
        <v>46023</v>
      </c>
    </row>
    <row r="1391" spans="1:6" ht="15.75" x14ac:dyDescent="0.25">
      <c r="A1391" s="9">
        <v>181</v>
      </c>
      <c r="B1391" s="33" t="s">
        <v>1272</v>
      </c>
      <c r="C1391" s="19" t="s">
        <v>6</v>
      </c>
      <c r="D1391" s="19" t="s">
        <v>6</v>
      </c>
      <c r="E1391" s="80" t="s">
        <v>45</v>
      </c>
      <c r="F1391" s="93">
        <v>46023</v>
      </c>
    </row>
    <row r="1392" spans="1:6" ht="15.75" x14ac:dyDescent="0.25">
      <c r="A1392" s="9">
        <v>182</v>
      </c>
      <c r="B1392" s="33" t="s">
        <v>1275</v>
      </c>
      <c r="C1392" s="19" t="s">
        <v>6</v>
      </c>
      <c r="D1392" s="19" t="s">
        <v>6</v>
      </c>
      <c r="E1392" s="80" t="s">
        <v>337</v>
      </c>
      <c r="F1392" s="93">
        <v>46023</v>
      </c>
    </row>
    <row r="1393" spans="1:6" ht="15.75" x14ac:dyDescent="0.25">
      <c r="A1393" s="9">
        <v>183</v>
      </c>
      <c r="B1393" s="33" t="s">
        <v>1217</v>
      </c>
      <c r="C1393" s="19" t="s">
        <v>6</v>
      </c>
      <c r="D1393" s="19" t="s">
        <v>6</v>
      </c>
      <c r="E1393" s="80" t="s">
        <v>45</v>
      </c>
      <c r="F1393" s="93">
        <v>46055</v>
      </c>
    </row>
    <row r="1394" spans="1:6" ht="15.75" x14ac:dyDescent="0.25">
      <c r="A1394" s="9">
        <v>184</v>
      </c>
      <c r="B1394" s="33" t="s">
        <v>1287</v>
      </c>
      <c r="C1394" s="19" t="s">
        <v>6</v>
      </c>
      <c r="D1394" s="19" t="s">
        <v>6</v>
      </c>
      <c r="E1394" s="80" t="s">
        <v>45</v>
      </c>
      <c r="F1394" s="93">
        <v>46061</v>
      </c>
    </row>
    <row r="1395" spans="1:6" ht="15.75" x14ac:dyDescent="0.25">
      <c r="A1395" s="9">
        <v>185</v>
      </c>
      <c r="B1395" s="33" t="s">
        <v>960</v>
      </c>
      <c r="C1395" s="19" t="s">
        <v>6</v>
      </c>
      <c r="D1395" s="19" t="s">
        <v>6</v>
      </c>
      <c r="E1395" s="80" t="s">
        <v>45</v>
      </c>
      <c r="F1395" s="93">
        <v>46046</v>
      </c>
    </row>
    <row r="1396" spans="1:6" x14ac:dyDescent="0.25">
      <c r="A1396" s="9">
        <v>186</v>
      </c>
      <c r="B1396" s="33" t="s">
        <v>1680</v>
      </c>
      <c r="C1396" s="19" t="s">
        <v>6</v>
      </c>
      <c r="D1396" s="19" t="s">
        <v>6</v>
      </c>
      <c r="E1396" s="20" t="s">
        <v>45</v>
      </c>
      <c r="F1396" s="105">
        <v>46166</v>
      </c>
    </row>
    <row r="1397" spans="1:6" x14ac:dyDescent="0.25">
      <c r="A1397" s="9">
        <v>187</v>
      </c>
      <c r="B1397" s="15" t="s">
        <v>1228</v>
      </c>
      <c r="C1397" s="19" t="s">
        <v>6</v>
      </c>
      <c r="D1397" s="19" t="s">
        <v>6</v>
      </c>
      <c r="E1397" s="12" t="s">
        <v>45</v>
      </c>
      <c r="F1397" s="105">
        <v>46173</v>
      </c>
    </row>
    <row r="1398" spans="1:6" ht="15.75" x14ac:dyDescent="0.25">
      <c r="A1398" s="9">
        <v>188</v>
      </c>
      <c r="B1398" s="33" t="s">
        <v>1225</v>
      </c>
      <c r="C1398" s="19" t="s">
        <v>6</v>
      </c>
      <c r="D1398" s="19" t="s">
        <v>6</v>
      </c>
      <c r="E1398" s="36" t="s">
        <v>45</v>
      </c>
      <c r="F1398" s="105">
        <v>46173</v>
      </c>
    </row>
    <row r="1399" spans="1:6" x14ac:dyDescent="0.25">
      <c r="A1399" s="9">
        <v>189</v>
      </c>
      <c r="B1399" s="33" t="s">
        <v>510</v>
      </c>
      <c r="C1399" s="19" t="s">
        <v>6</v>
      </c>
      <c r="D1399" s="19" t="s">
        <v>6</v>
      </c>
      <c r="E1399" s="20" t="s">
        <v>45</v>
      </c>
      <c r="F1399" s="105">
        <v>46173</v>
      </c>
    </row>
    <row r="1400" spans="1:6" x14ac:dyDescent="0.25">
      <c r="A1400" s="9">
        <v>190</v>
      </c>
      <c r="B1400" s="33" t="s">
        <v>1462</v>
      </c>
      <c r="C1400" s="19" t="s">
        <v>6</v>
      </c>
      <c r="D1400" s="19" t="s">
        <v>6</v>
      </c>
      <c r="E1400" s="20" t="s">
        <v>45</v>
      </c>
      <c r="F1400" s="105">
        <v>46173</v>
      </c>
    </row>
    <row r="1401" spans="1:6" x14ac:dyDescent="0.25">
      <c r="A1401" s="9">
        <v>191</v>
      </c>
      <c r="B1401" s="33" t="s">
        <v>1625</v>
      </c>
      <c r="C1401" s="19" t="s">
        <v>6</v>
      </c>
      <c r="D1401" s="19" t="s">
        <v>6</v>
      </c>
      <c r="E1401" s="12" t="s">
        <v>45</v>
      </c>
      <c r="F1401" s="105">
        <v>46173</v>
      </c>
    </row>
    <row r="1402" spans="1:6" x14ac:dyDescent="0.25">
      <c r="A1402" s="9">
        <v>192</v>
      </c>
      <c r="B1402" s="33" t="s">
        <v>1683</v>
      </c>
      <c r="C1402" s="19" t="s">
        <v>6</v>
      </c>
      <c r="D1402" s="19" t="s">
        <v>6</v>
      </c>
      <c r="E1402" s="12" t="s">
        <v>45</v>
      </c>
      <c r="F1402" s="105">
        <v>46173</v>
      </c>
    </row>
    <row r="1403" spans="1:6" x14ac:dyDescent="0.25">
      <c r="A1403" s="9">
        <v>193</v>
      </c>
      <c r="B1403" s="33" t="s">
        <v>1685</v>
      </c>
      <c r="C1403" s="19" t="s">
        <v>6</v>
      </c>
      <c r="D1403" s="19" t="s">
        <v>6</v>
      </c>
      <c r="E1403" s="12" t="s">
        <v>45</v>
      </c>
      <c r="F1403" s="105">
        <v>46173</v>
      </c>
    </row>
    <row r="1404" spans="1:6" x14ac:dyDescent="0.25">
      <c r="A1404" s="9">
        <v>194</v>
      </c>
      <c r="B1404" s="8" t="s">
        <v>1382</v>
      </c>
      <c r="C1404" s="19" t="s">
        <v>6</v>
      </c>
      <c r="D1404" s="19" t="s">
        <v>6</v>
      </c>
      <c r="E1404" s="82" t="s">
        <v>337</v>
      </c>
      <c r="F1404" s="93">
        <v>46061</v>
      </c>
    </row>
    <row r="1405" spans="1:6" x14ac:dyDescent="0.25">
      <c r="A1405" s="9">
        <v>195</v>
      </c>
      <c r="B1405" s="8" t="s">
        <v>1384</v>
      </c>
      <c r="C1405" s="19" t="s">
        <v>6</v>
      </c>
      <c r="D1405" s="19" t="s">
        <v>6</v>
      </c>
      <c r="E1405" s="82" t="s">
        <v>337</v>
      </c>
      <c r="F1405" s="93">
        <v>46061</v>
      </c>
    </row>
    <row r="1406" spans="1:6" x14ac:dyDescent="0.25">
      <c r="A1406" s="9">
        <v>196</v>
      </c>
      <c r="B1406" s="8" t="s">
        <v>1383</v>
      </c>
      <c r="C1406" s="19" t="s">
        <v>6</v>
      </c>
      <c r="D1406" s="19" t="s">
        <v>6</v>
      </c>
      <c r="E1406" s="82" t="s">
        <v>337</v>
      </c>
      <c r="F1406" s="93">
        <v>46061</v>
      </c>
    </row>
    <row r="1407" spans="1:6" ht="15.75" x14ac:dyDescent="0.25">
      <c r="A1407" s="9">
        <v>197</v>
      </c>
      <c r="B1407" s="33" t="s">
        <v>1309</v>
      </c>
      <c r="C1407" s="19" t="s">
        <v>6</v>
      </c>
      <c r="D1407" s="19" t="s">
        <v>6</v>
      </c>
      <c r="E1407" s="80" t="s">
        <v>45</v>
      </c>
      <c r="F1407" s="93">
        <v>46046</v>
      </c>
    </row>
    <row r="1408" spans="1:6" ht="15.75" x14ac:dyDescent="0.25">
      <c r="A1408" s="9">
        <v>198</v>
      </c>
      <c r="B1408" s="33" t="s">
        <v>1235</v>
      </c>
      <c r="C1408" s="19" t="s">
        <v>6</v>
      </c>
      <c r="D1408" s="19" t="s">
        <v>6</v>
      </c>
      <c r="E1408" s="80" t="s">
        <v>45</v>
      </c>
      <c r="F1408" s="93">
        <v>46046</v>
      </c>
    </row>
    <row r="1409" spans="1:6" ht="15.75" x14ac:dyDescent="0.25">
      <c r="A1409" s="9">
        <v>199</v>
      </c>
      <c r="B1409" s="33" t="s">
        <v>1237</v>
      </c>
      <c r="C1409" s="19" t="s">
        <v>6</v>
      </c>
      <c r="D1409" s="19" t="s">
        <v>6</v>
      </c>
      <c r="E1409" s="80" t="s">
        <v>45</v>
      </c>
      <c r="F1409" s="93">
        <v>46046</v>
      </c>
    </row>
    <row r="1410" spans="1:6" ht="15.75" x14ac:dyDescent="0.25">
      <c r="A1410" s="9">
        <v>200</v>
      </c>
      <c r="B1410" s="8" t="s">
        <v>267</v>
      </c>
      <c r="C1410" s="19" t="s">
        <v>6</v>
      </c>
      <c r="D1410" s="19" t="s">
        <v>6</v>
      </c>
      <c r="E1410" s="78" t="s">
        <v>40</v>
      </c>
      <c r="F1410" s="93">
        <v>46046</v>
      </c>
    </row>
    <row r="1411" spans="1:6" x14ac:dyDescent="0.25">
      <c r="A1411" s="9">
        <v>201</v>
      </c>
      <c r="B1411" s="33" t="s">
        <v>1322</v>
      </c>
      <c r="C1411" s="19" t="s">
        <v>6</v>
      </c>
      <c r="D1411" s="19" t="s">
        <v>6</v>
      </c>
      <c r="E1411" s="79" t="s">
        <v>45</v>
      </c>
      <c r="F1411" s="93">
        <v>46055</v>
      </c>
    </row>
    <row r="1412" spans="1:6" x14ac:dyDescent="0.25">
      <c r="A1412" s="9">
        <v>202</v>
      </c>
      <c r="B1412" s="33" t="s">
        <v>1436</v>
      </c>
      <c r="C1412" s="19" t="s">
        <v>6</v>
      </c>
      <c r="D1412" s="19" t="s">
        <v>6</v>
      </c>
      <c r="E1412" s="79" t="s">
        <v>45</v>
      </c>
      <c r="F1412" s="93">
        <v>46075</v>
      </c>
    </row>
    <row r="1413" spans="1:6" x14ac:dyDescent="0.25">
      <c r="A1413" s="9">
        <v>203</v>
      </c>
      <c r="B1413" s="33" t="s">
        <v>1302</v>
      </c>
      <c r="C1413" s="19" t="s">
        <v>6</v>
      </c>
      <c r="D1413" s="19" t="s">
        <v>6</v>
      </c>
      <c r="E1413" s="79" t="s">
        <v>45</v>
      </c>
      <c r="F1413" s="93">
        <v>46055</v>
      </c>
    </row>
    <row r="1414" spans="1:6" x14ac:dyDescent="0.25">
      <c r="A1414" s="9">
        <v>204</v>
      </c>
      <c r="B1414" s="33" t="s">
        <v>1303</v>
      </c>
      <c r="C1414" s="19" t="s">
        <v>6</v>
      </c>
      <c r="D1414" s="19" t="s">
        <v>6</v>
      </c>
      <c r="E1414" s="79" t="s">
        <v>45</v>
      </c>
      <c r="F1414" s="93">
        <v>46046</v>
      </c>
    </row>
    <row r="1415" spans="1:6" x14ac:dyDescent="0.25">
      <c r="A1415" s="9">
        <v>205</v>
      </c>
      <c r="B1415" s="33" t="s">
        <v>1307</v>
      </c>
      <c r="C1415" s="19" t="s">
        <v>6</v>
      </c>
      <c r="D1415" s="19" t="s">
        <v>6</v>
      </c>
      <c r="E1415" s="79" t="s">
        <v>45</v>
      </c>
      <c r="F1415" s="93">
        <v>46046</v>
      </c>
    </row>
    <row r="1416" spans="1:6" x14ac:dyDescent="0.25">
      <c r="A1416" s="9">
        <v>206</v>
      </c>
      <c r="B1416" s="33" t="s">
        <v>1310</v>
      </c>
      <c r="C1416" s="19" t="s">
        <v>6</v>
      </c>
      <c r="D1416" s="19" t="s">
        <v>6</v>
      </c>
      <c r="E1416" s="79" t="s">
        <v>45</v>
      </c>
      <c r="F1416" s="93">
        <v>46046</v>
      </c>
    </row>
    <row r="1417" spans="1:6" ht="15.75" x14ac:dyDescent="0.25">
      <c r="A1417" s="9">
        <v>207</v>
      </c>
      <c r="B1417" s="33" t="s">
        <v>462</v>
      </c>
      <c r="C1417" s="19" t="s">
        <v>6</v>
      </c>
      <c r="D1417" s="19" t="s">
        <v>6</v>
      </c>
      <c r="E1417" s="80" t="s">
        <v>45</v>
      </c>
      <c r="F1417" s="93">
        <v>46055</v>
      </c>
    </row>
    <row r="1418" spans="1:6" x14ac:dyDescent="0.25">
      <c r="A1418" s="9">
        <v>208</v>
      </c>
      <c r="B1418" s="33" t="s">
        <v>1323</v>
      </c>
      <c r="C1418" s="19" t="s">
        <v>6</v>
      </c>
      <c r="D1418" s="19" t="s">
        <v>6</v>
      </c>
      <c r="E1418" s="79" t="s">
        <v>45</v>
      </c>
      <c r="F1418" s="93">
        <v>46046</v>
      </c>
    </row>
    <row r="1419" spans="1:6" x14ac:dyDescent="0.25">
      <c r="A1419" s="9">
        <v>209</v>
      </c>
      <c r="B1419" s="33" t="s">
        <v>1324</v>
      </c>
      <c r="C1419" s="19" t="s">
        <v>6</v>
      </c>
      <c r="D1419" s="19" t="s">
        <v>6</v>
      </c>
      <c r="E1419" s="79" t="s">
        <v>45</v>
      </c>
      <c r="F1419" s="93">
        <v>46046</v>
      </c>
    </row>
    <row r="1420" spans="1:6" ht="15.75" x14ac:dyDescent="0.25">
      <c r="A1420" s="9">
        <v>210</v>
      </c>
      <c r="B1420" s="33" t="s">
        <v>1329</v>
      </c>
      <c r="C1420" s="19" t="s">
        <v>6</v>
      </c>
      <c r="D1420" s="19" t="s">
        <v>6</v>
      </c>
      <c r="E1420" s="80" t="s">
        <v>150</v>
      </c>
      <c r="F1420" s="93">
        <v>46055</v>
      </c>
    </row>
    <row r="1421" spans="1:6" x14ac:dyDescent="0.25">
      <c r="A1421" s="9">
        <v>211</v>
      </c>
      <c r="B1421" s="33" t="s">
        <v>1342</v>
      </c>
      <c r="C1421" s="19" t="s">
        <v>6</v>
      </c>
      <c r="D1421" s="19" t="s">
        <v>6</v>
      </c>
      <c r="E1421" s="79" t="s">
        <v>45</v>
      </c>
      <c r="F1421" s="93">
        <v>46055</v>
      </c>
    </row>
    <row r="1422" spans="1:6" x14ac:dyDescent="0.25">
      <c r="A1422" s="9">
        <v>212</v>
      </c>
      <c r="B1422" s="33" t="s">
        <v>1327</v>
      </c>
      <c r="C1422" s="19" t="s">
        <v>6</v>
      </c>
      <c r="D1422" s="19" t="s">
        <v>6</v>
      </c>
      <c r="E1422" s="79" t="s">
        <v>45</v>
      </c>
      <c r="F1422" s="93">
        <v>46055</v>
      </c>
    </row>
    <row r="1423" spans="1:6" x14ac:dyDescent="0.25">
      <c r="A1423" s="9">
        <v>213</v>
      </c>
      <c r="B1423" s="33" t="s">
        <v>1328</v>
      </c>
      <c r="C1423" s="19" t="s">
        <v>6</v>
      </c>
      <c r="D1423" s="19" t="s">
        <v>6</v>
      </c>
      <c r="E1423" s="79" t="s">
        <v>45</v>
      </c>
      <c r="F1423" s="93">
        <v>46055</v>
      </c>
    </row>
    <row r="1424" spans="1:6" x14ac:dyDescent="0.25">
      <c r="A1424" s="9">
        <v>214</v>
      </c>
      <c r="B1424" s="33" t="s">
        <v>1326</v>
      </c>
      <c r="C1424" s="19" t="s">
        <v>6</v>
      </c>
      <c r="D1424" s="19" t="s">
        <v>6</v>
      </c>
      <c r="E1424" s="79" t="s">
        <v>45</v>
      </c>
      <c r="F1424" s="93">
        <v>46055</v>
      </c>
    </row>
    <row r="1425" spans="1:6" x14ac:dyDescent="0.25">
      <c r="A1425" s="9">
        <v>215</v>
      </c>
      <c r="B1425" s="33" t="s">
        <v>1344</v>
      </c>
      <c r="C1425" s="19" t="s">
        <v>6</v>
      </c>
      <c r="D1425" s="19" t="s">
        <v>6</v>
      </c>
      <c r="E1425" s="79" t="s">
        <v>45</v>
      </c>
      <c r="F1425" s="93">
        <v>46055</v>
      </c>
    </row>
    <row r="1426" spans="1:6" x14ac:dyDescent="0.25">
      <c r="A1426" s="9">
        <v>216</v>
      </c>
      <c r="B1426" s="8" t="s">
        <v>240</v>
      </c>
      <c r="C1426" s="19" t="s">
        <v>6</v>
      </c>
      <c r="D1426" s="19" t="s">
        <v>6</v>
      </c>
      <c r="E1426" s="82" t="s">
        <v>45</v>
      </c>
      <c r="F1426" s="93">
        <v>46061</v>
      </c>
    </row>
    <row r="1427" spans="1:6" x14ac:dyDescent="0.25">
      <c r="A1427" s="9">
        <v>217</v>
      </c>
      <c r="B1427" s="33" t="s">
        <v>1350</v>
      </c>
      <c r="C1427" s="19" t="s">
        <v>6</v>
      </c>
      <c r="D1427" s="19" t="s">
        <v>6</v>
      </c>
      <c r="E1427" s="79" t="s">
        <v>45</v>
      </c>
      <c r="F1427" s="93">
        <v>46055</v>
      </c>
    </row>
    <row r="1428" spans="1:6" x14ac:dyDescent="0.25">
      <c r="A1428" s="9">
        <v>218</v>
      </c>
      <c r="B1428" s="33" t="s">
        <v>1351</v>
      </c>
      <c r="C1428" s="19" t="s">
        <v>6</v>
      </c>
      <c r="D1428" s="19" t="s">
        <v>6</v>
      </c>
      <c r="E1428" s="79" t="s">
        <v>45</v>
      </c>
      <c r="F1428" s="93">
        <v>46055</v>
      </c>
    </row>
    <row r="1429" spans="1:6" x14ac:dyDescent="0.25">
      <c r="A1429" s="9">
        <v>219</v>
      </c>
      <c r="B1429" s="33" t="s">
        <v>1371</v>
      </c>
      <c r="C1429" s="19" t="s">
        <v>6</v>
      </c>
      <c r="D1429" s="19" t="s">
        <v>6</v>
      </c>
      <c r="E1429" s="79" t="s">
        <v>45</v>
      </c>
      <c r="F1429" s="93">
        <v>46061</v>
      </c>
    </row>
    <row r="1430" spans="1:6" x14ac:dyDescent="0.25">
      <c r="A1430" s="9">
        <v>220</v>
      </c>
      <c r="B1430" s="33" t="s">
        <v>1370</v>
      </c>
      <c r="C1430" s="19" t="s">
        <v>6</v>
      </c>
      <c r="D1430" s="19" t="s">
        <v>6</v>
      </c>
      <c r="E1430" s="79" t="s">
        <v>45</v>
      </c>
      <c r="F1430" s="93">
        <v>46061</v>
      </c>
    </row>
    <row r="1431" spans="1:6" x14ac:dyDescent="0.25">
      <c r="A1431" s="9">
        <v>221</v>
      </c>
      <c r="B1431" s="33" t="s">
        <v>1372</v>
      </c>
      <c r="C1431" s="19" t="s">
        <v>6</v>
      </c>
      <c r="D1431" s="19" t="s">
        <v>6</v>
      </c>
      <c r="E1431" s="79" t="s">
        <v>45</v>
      </c>
      <c r="F1431" s="93">
        <v>46061</v>
      </c>
    </row>
    <row r="1432" spans="1:6" x14ac:dyDescent="0.25">
      <c r="A1432" s="9">
        <v>222</v>
      </c>
      <c r="B1432" s="33" t="s">
        <v>283</v>
      </c>
      <c r="C1432" s="19" t="s">
        <v>6</v>
      </c>
      <c r="D1432" s="19" t="s">
        <v>6</v>
      </c>
      <c r="E1432" s="79" t="s">
        <v>45</v>
      </c>
      <c r="F1432" s="93">
        <v>46061</v>
      </c>
    </row>
    <row r="1433" spans="1:6" x14ac:dyDescent="0.25">
      <c r="A1433" s="9">
        <v>223</v>
      </c>
      <c r="B1433" s="33" t="s">
        <v>1415</v>
      </c>
      <c r="C1433" s="19" t="s">
        <v>6</v>
      </c>
      <c r="D1433" s="19" t="s">
        <v>6</v>
      </c>
      <c r="E1433" s="79" t="s">
        <v>45</v>
      </c>
      <c r="F1433" s="93">
        <v>46068</v>
      </c>
    </row>
    <row r="1434" spans="1:6" x14ac:dyDescent="0.25">
      <c r="A1434" s="9">
        <v>224</v>
      </c>
      <c r="B1434" s="33" t="s">
        <v>1417</v>
      </c>
      <c r="C1434" s="19" t="s">
        <v>6</v>
      </c>
      <c r="D1434" s="19" t="s">
        <v>6</v>
      </c>
      <c r="E1434" s="79" t="s">
        <v>45</v>
      </c>
      <c r="F1434" s="93">
        <v>46068</v>
      </c>
    </row>
    <row r="1435" spans="1:6" x14ac:dyDescent="0.25">
      <c r="A1435" s="9">
        <v>225</v>
      </c>
      <c r="B1435" s="33" t="s">
        <v>1418</v>
      </c>
      <c r="C1435" s="19" t="s">
        <v>6</v>
      </c>
      <c r="D1435" s="19" t="s">
        <v>6</v>
      </c>
      <c r="E1435" s="79" t="s">
        <v>45</v>
      </c>
      <c r="F1435" s="93">
        <v>46075</v>
      </c>
    </row>
    <row r="1436" spans="1:6" x14ac:dyDescent="0.25">
      <c r="A1436" s="9">
        <v>226</v>
      </c>
      <c r="B1436" s="33" t="s">
        <v>1422</v>
      </c>
      <c r="C1436" s="19" t="s">
        <v>6</v>
      </c>
      <c r="D1436" s="19" t="s">
        <v>6</v>
      </c>
      <c r="E1436" s="79" t="s">
        <v>45</v>
      </c>
      <c r="F1436" s="93">
        <v>46075</v>
      </c>
    </row>
    <row r="1437" spans="1:6" x14ac:dyDescent="0.25">
      <c r="A1437" s="9">
        <v>227</v>
      </c>
      <c r="B1437" s="33" t="s">
        <v>1423</v>
      </c>
      <c r="C1437" s="19" t="s">
        <v>6</v>
      </c>
      <c r="D1437" s="19" t="s">
        <v>6</v>
      </c>
      <c r="E1437" s="79" t="s">
        <v>45</v>
      </c>
      <c r="F1437" s="93">
        <v>46075</v>
      </c>
    </row>
    <row r="1438" spans="1:6" x14ac:dyDescent="0.25">
      <c r="A1438" s="9">
        <v>228</v>
      </c>
      <c r="B1438" s="33" t="s">
        <v>1424</v>
      </c>
      <c r="C1438" s="19" t="s">
        <v>6</v>
      </c>
      <c r="D1438" s="19" t="s">
        <v>6</v>
      </c>
      <c r="E1438" s="79" t="s">
        <v>45</v>
      </c>
      <c r="F1438" s="93">
        <v>46075</v>
      </c>
    </row>
    <row r="1439" spans="1:6" x14ac:dyDescent="0.25">
      <c r="A1439" s="9">
        <v>229</v>
      </c>
      <c r="B1439" s="33" t="s">
        <v>1425</v>
      </c>
      <c r="C1439" s="19" t="s">
        <v>6</v>
      </c>
      <c r="D1439" s="19" t="s">
        <v>6</v>
      </c>
      <c r="E1439" s="79" t="s">
        <v>45</v>
      </c>
      <c r="F1439" s="93">
        <v>46075</v>
      </c>
    </row>
    <row r="1440" spans="1:6" x14ac:dyDescent="0.25">
      <c r="A1440" s="9">
        <v>230</v>
      </c>
      <c r="B1440" s="33" t="s">
        <v>680</v>
      </c>
      <c r="C1440" s="19" t="s">
        <v>6</v>
      </c>
      <c r="D1440" s="19" t="s">
        <v>6</v>
      </c>
      <c r="E1440" s="79" t="s">
        <v>45</v>
      </c>
      <c r="F1440" s="93">
        <v>46095</v>
      </c>
    </row>
    <row r="1441" spans="1:6" x14ac:dyDescent="0.25">
      <c r="A1441" s="9">
        <v>231</v>
      </c>
      <c r="B1441" s="33" t="s">
        <v>1414</v>
      </c>
      <c r="C1441" s="19" t="s">
        <v>6</v>
      </c>
      <c r="D1441" s="19" t="s">
        <v>6</v>
      </c>
      <c r="E1441" s="79" t="s">
        <v>45</v>
      </c>
      <c r="F1441" s="93">
        <v>46089</v>
      </c>
    </row>
    <row r="1442" spans="1:6" x14ac:dyDescent="0.25">
      <c r="A1442" s="9">
        <v>232</v>
      </c>
      <c r="B1442" s="8" t="s">
        <v>672</v>
      </c>
      <c r="C1442" s="19" t="s">
        <v>6</v>
      </c>
      <c r="D1442" s="19" t="s">
        <v>6</v>
      </c>
      <c r="E1442" s="81" t="s">
        <v>337</v>
      </c>
      <c r="F1442" s="93">
        <v>46082</v>
      </c>
    </row>
    <row r="1443" spans="1:6" x14ac:dyDescent="0.25">
      <c r="A1443" s="9">
        <v>233</v>
      </c>
      <c r="B1443" s="33" t="s">
        <v>1294</v>
      </c>
      <c r="C1443" s="19" t="s">
        <v>6</v>
      </c>
      <c r="D1443" s="19" t="s">
        <v>6</v>
      </c>
      <c r="E1443" s="79" t="s">
        <v>45</v>
      </c>
      <c r="F1443" s="93">
        <v>46095</v>
      </c>
    </row>
    <row r="1444" spans="1:6" x14ac:dyDescent="0.25">
      <c r="A1444" s="9">
        <v>234</v>
      </c>
      <c r="B1444" s="33" t="s">
        <v>1293</v>
      </c>
      <c r="C1444" s="19" t="s">
        <v>6</v>
      </c>
      <c r="D1444" s="19" t="s">
        <v>6</v>
      </c>
      <c r="E1444" s="79" t="s">
        <v>45</v>
      </c>
      <c r="F1444" s="93">
        <v>46095</v>
      </c>
    </row>
    <row r="1445" spans="1:6" x14ac:dyDescent="0.25">
      <c r="A1445" s="9">
        <v>235</v>
      </c>
      <c r="B1445" s="33" t="s">
        <v>1419</v>
      </c>
      <c r="C1445" s="19" t="s">
        <v>6</v>
      </c>
      <c r="D1445" s="19" t="s">
        <v>6</v>
      </c>
      <c r="E1445" s="79" t="s">
        <v>45</v>
      </c>
      <c r="F1445" s="93">
        <v>46082</v>
      </c>
    </row>
    <row r="1446" spans="1:6" x14ac:dyDescent="0.25">
      <c r="A1446" s="9">
        <v>236</v>
      </c>
      <c r="B1446" s="33" t="s">
        <v>1451</v>
      </c>
      <c r="C1446" s="19" t="s">
        <v>6</v>
      </c>
      <c r="D1446" s="19" t="s">
        <v>6</v>
      </c>
      <c r="E1446" s="79" t="s">
        <v>45</v>
      </c>
      <c r="F1446" s="93">
        <v>46095</v>
      </c>
    </row>
    <row r="1447" spans="1:6" x14ac:dyDescent="0.25">
      <c r="A1447" s="9">
        <v>237</v>
      </c>
      <c r="B1447" s="33" t="s">
        <v>1488</v>
      </c>
      <c r="C1447" s="19" t="s">
        <v>6</v>
      </c>
      <c r="D1447" s="19" t="s">
        <v>6</v>
      </c>
      <c r="E1447" s="79" t="s">
        <v>1489</v>
      </c>
      <c r="F1447" s="93">
        <v>46089</v>
      </c>
    </row>
    <row r="1448" spans="1:6" x14ac:dyDescent="0.25">
      <c r="A1448" s="9">
        <v>238</v>
      </c>
      <c r="B1448" s="33" t="s">
        <v>1452</v>
      </c>
      <c r="C1448" s="19" t="s">
        <v>6</v>
      </c>
      <c r="D1448" s="19" t="s">
        <v>6</v>
      </c>
      <c r="E1448" s="79" t="s">
        <v>45</v>
      </c>
      <c r="F1448" s="93">
        <v>46095</v>
      </c>
    </row>
    <row r="1449" spans="1:6" x14ac:dyDescent="0.25">
      <c r="A1449" s="9">
        <v>239</v>
      </c>
      <c r="B1449" s="71" t="s">
        <v>1471</v>
      </c>
      <c r="C1449" s="19" t="s">
        <v>6</v>
      </c>
      <c r="D1449" s="19" t="s">
        <v>6</v>
      </c>
      <c r="E1449" s="79" t="s">
        <v>45</v>
      </c>
      <c r="F1449" s="93">
        <v>46082</v>
      </c>
    </row>
    <row r="1450" spans="1:6" x14ac:dyDescent="0.25">
      <c r="A1450" s="9">
        <v>240</v>
      </c>
      <c r="B1450" s="33" t="s">
        <v>1472</v>
      </c>
      <c r="C1450" s="19" t="s">
        <v>6</v>
      </c>
      <c r="D1450" s="19" t="s">
        <v>6</v>
      </c>
      <c r="E1450" s="79" t="s">
        <v>45</v>
      </c>
      <c r="F1450" s="93">
        <v>46082</v>
      </c>
    </row>
    <row r="1451" spans="1:6" x14ac:dyDescent="0.25">
      <c r="A1451" s="9">
        <v>241</v>
      </c>
      <c r="B1451" s="33" t="s">
        <v>1473</v>
      </c>
      <c r="C1451" s="19" t="s">
        <v>6</v>
      </c>
      <c r="D1451" s="19" t="s">
        <v>6</v>
      </c>
      <c r="E1451" s="79" t="s">
        <v>45</v>
      </c>
      <c r="F1451" s="93">
        <v>46082</v>
      </c>
    </row>
    <row r="1452" spans="1:6" x14ac:dyDescent="0.25">
      <c r="A1452" s="9">
        <v>242</v>
      </c>
      <c r="B1452" s="33" t="s">
        <v>1474</v>
      </c>
      <c r="C1452" s="19" t="s">
        <v>6</v>
      </c>
      <c r="D1452" s="19" t="s">
        <v>6</v>
      </c>
      <c r="E1452" s="79" t="s">
        <v>45</v>
      </c>
      <c r="F1452" s="93">
        <v>46082</v>
      </c>
    </row>
    <row r="1453" spans="1:6" x14ac:dyDescent="0.25">
      <c r="A1453" s="9">
        <v>243</v>
      </c>
      <c r="B1453" s="33" t="s">
        <v>1475</v>
      </c>
      <c r="C1453" s="19" t="s">
        <v>6</v>
      </c>
      <c r="D1453" s="19" t="s">
        <v>6</v>
      </c>
      <c r="E1453" s="79" t="s">
        <v>45</v>
      </c>
      <c r="F1453" s="93">
        <v>46082</v>
      </c>
    </row>
    <row r="1454" spans="1:6" x14ac:dyDescent="0.25">
      <c r="A1454" s="9">
        <v>244</v>
      </c>
      <c r="B1454" s="33" t="s">
        <v>1476</v>
      </c>
      <c r="C1454" s="19" t="s">
        <v>6</v>
      </c>
      <c r="D1454" s="19" t="s">
        <v>6</v>
      </c>
      <c r="E1454" s="79" t="s">
        <v>45</v>
      </c>
      <c r="F1454" s="93">
        <v>46082</v>
      </c>
    </row>
    <row r="1455" spans="1:6" x14ac:dyDescent="0.25">
      <c r="A1455" s="9">
        <v>245</v>
      </c>
      <c r="B1455" s="33" t="s">
        <v>1477</v>
      </c>
      <c r="C1455" s="19" t="s">
        <v>6</v>
      </c>
      <c r="D1455" s="19" t="s">
        <v>6</v>
      </c>
      <c r="E1455" s="79" t="s">
        <v>45</v>
      </c>
      <c r="F1455" s="93">
        <v>46082</v>
      </c>
    </row>
    <row r="1456" spans="1:6" x14ac:dyDescent="0.25">
      <c r="A1456" s="9">
        <v>246</v>
      </c>
      <c r="B1456" s="33" t="s">
        <v>1478</v>
      </c>
      <c r="C1456" s="19" t="s">
        <v>6</v>
      </c>
      <c r="D1456" s="19" t="s">
        <v>6</v>
      </c>
      <c r="E1456" s="79" t="s">
        <v>45</v>
      </c>
      <c r="F1456" s="93">
        <v>46082</v>
      </c>
    </row>
    <row r="1457" spans="1:6" x14ac:dyDescent="0.25">
      <c r="A1457" s="9">
        <v>247</v>
      </c>
      <c r="B1457" s="33" t="s">
        <v>1479</v>
      </c>
      <c r="C1457" s="19" t="s">
        <v>6</v>
      </c>
      <c r="D1457" s="19" t="s">
        <v>6</v>
      </c>
      <c r="E1457" s="79" t="s">
        <v>45</v>
      </c>
      <c r="F1457" s="93">
        <v>46082</v>
      </c>
    </row>
    <row r="1458" spans="1:6" x14ac:dyDescent="0.25">
      <c r="A1458" s="9">
        <v>248</v>
      </c>
      <c r="B1458" s="33" t="s">
        <v>1480</v>
      </c>
      <c r="C1458" s="19" t="s">
        <v>6</v>
      </c>
      <c r="D1458" s="19" t="s">
        <v>6</v>
      </c>
      <c r="E1458" s="79" t="s">
        <v>45</v>
      </c>
      <c r="F1458" s="93">
        <v>46082</v>
      </c>
    </row>
    <row r="1459" spans="1:6" x14ac:dyDescent="0.25">
      <c r="A1459" s="9">
        <v>249</v>
      </c>
      <c r="B1459" s="33" t="s">
        <v>1481</v>
      </c>
      <c r="C1459" s="19" t="s">
        <v>6</v>
      </c>
      <c r="D1459" s="19" t="s">
        <v>6</v>
      </c>
      <c r="E1459" s="79" t="s">
        <v>45</v>
      </c>
      <c r="F1459" s="93">
        <v>46082</v>
      </c>
    </row>
    <row r="1460" spans="1:6" x14ac:dyDescent="0.25">
      <c r="A1460" s="9">
        <v>250</v>
      </c>
      <c r="B1460" s="33" t="s">
        <v>1482</v>
      </c>
      <c r="C1460" s="19" t="s">
        <v>6</v>
      </c>
      <c r="D1460" s="19" t="s">
        <v>6</v>
      </c>
      <c r="E1460" s="79" t="s">
        <v>45</v>
      </c>
      <c r="F1460" s="93">
        <v>46082</v>
      </c>
    </row>
    <row r="1461" spans="1:6" x14ac:dyDescent="0.25">
      <c r="A1461" s="9">
        <v>251</v>
      </c>
      <c r="B1461" s="33" t="s">
        <v>281</v>
      </c>
      <c r="C1461" s="19" t="s">
        <v>6</v>
      </c>
      <c r="D1461" s="19" t="s">
        <v>6</v>
      </c>
      <c r="E1461" s="79" t="s">
        <v>45</v>
      </c>
      <c r="F1461" s="93">
        <v>46082</v>
      </c>
    </row>
    <row r="1462" spans="1:6" x14ac:dyDescent="0.25">
      <c r="A1462" s="9">
        <v>252</v>
      </c>
      <c r="B1462" s="33" t="s">
        <v>1461</v>
      </c>
      <c r="C1462" s="19" t="s">
        <v>6</v>
      </c>
      <c r="D1462" s="19" t="s">
        <v>6</v>
      </c>
      <c r="E1462" s="79" t="s">
        <v>45</v>
      </c>
      <c r="F1462" s="93">
        <v>46082</v>
      </c>
    </row>
    <row r="1463" spans="1:6" x14ac:dyDescent="0.25">
      <c r="A1463" s="9">
        <v>253</v>
      </c>
      <c r="B1463" s="33" t="s">
        <v>1459</v>
      </c>
      <c r="C1463" s="19" t="s">
        <v>6</v>
      </c>
      <c r="D1463" s="19" t="s">
        <v>6</v>
      </c>
      <c r="E1463" s="79" t="s">
        <v>45</v>
      </c>
      <c r="F1463" s="93">
        <v>46082</v>
      </c>
    </row>
    <row r="1464" spans="1:6" x14ac:dyDescent="0.25">
      <c r="A1464" s="9">
        <v>254</v>
      </c>
      <c r="B1464" s="33" t="s">
        <v>1460</v>
      </c>
      <c r="C1464" s="19" t="s">
        <v>6</v>
      </c>
      <c r="D1464" s="19" t="s">
        <v>6</v>
      </c>
      <c r="E1464" s="79" t="s">
        <v>45</v>
      </c>
      <c r="F1464" s="93">
        <v>46089</v>
      </c>
    </row>
    <row r="1465" spans="1:6" x14ac:dyDescent="0.25">
      <c r="A1465" s="9">
        <v>255</v>
      </c>
      <c r="B1465" s="33" t="s">
        <v>1459</v>
      </c>
      <c r="C1465" s="19" t="s">
        <v>6</v>
      </c>
      <c r="D1465" s="19" t="s">
        <v>6</v>
      </c>
      <c r="E1465" s="79" t="s">
        <v>45</v>
      </c>
      <c r="F1465" s="93">
        <v>46082</v>
      </c>
    </row>
    <row r="1466" spans="1:6" x14ac:dyDescent="0.25">
      <c r="A1466" s="9">
        <v>256</v>
      </c>
      <c r="B1466" s="33" t="s">
        <v>1463</v>
      </c>
      <c r="C1466" s="19" t="s">
        <v>6</v>
      </c>
      <c r="D1466" s="19" t="s">
        <v>6</v>
      </c>
      <c r="E1466" s="79" t="s">
        <v>45</v>
      </c>
      <c r="F1466" s="93">
        <v>46082</v>
      </c>
    </row>
    <row r="1467" spans="1:6" x14ac:dyDescent="0.25">
      <c r="A1467" s="9">
        <v>257</v>
      </c>
      <c r="B1467" s="33" t="s">
        <v>236</v>
      </c>
      <c r="C1467" s="19" t="s">
        <v>6</v>
      </c>
      <c r="D1467" s="19" t="s">
        <v>6</v>
      </c>
      <c r="E1467" s="79" t="s">
        <v>45</v>
      </c>
      <c r="F1467" s="93">
        <v>46095</v>
      </c>
    </row>
    <row r="1468" spans="1:6" x14ac:dyDescent="0.25">
      <c r="A1468" s="9">
        <v>258</v>
      </c>
      <c r="B1468" s="8" t="s">
        <v>1512</v>
      </c>
      <c r="C1468" s="19" t="s">
        <v>6</v>
      </c>
      <c r="D1468" s="19" t="s">
        <v>6</v>
      </c>
      <c r="E1468" s="82" t="s">
        <v>45</v>
      </c>
      <c r="F1468" s="93">
        <v>46104</v>
      </c>
    </row>
    <row r="1469" spans="1:6" x14ac:dyDescent="0.25">
      <c r="A1469" s="9">
        <v>259</v>
      </c>
      <c r="B1469" s="8" t="s">
        <v>1513</v>
      </c>
      <c r="C1469" s="19" t="s">
        <v>6</v>
      </c>
      <c r="D1469" s="19" t="s">
        <v>6</v>
      </c>
      <c r="E1469" s="82"/>
      <c r="F1469" s="93">
        <v>46104</v>
      </c>
    </row>
    <row r="1470" spans="1:6" x14ac:dyDescent="0.25">
      <c r="A1470" s="9">
        <v>260</v>
      </c>
      <c r="B1470" s="33" t="s">
        <v>542</v>
      </c>
      <c r="C1470" s="19" t="s">
        <v>6</v>
      </c>
      <c r="D1470" s="19" t="s">
        <v>6</v>
      </c>
      <c r="E1470" s="82" t="s">
        <v>45</v>
      </c>
      <c r="F1470" s="93">
        <v>46104</v>
      </c>
    </row>
    <row r="1471" spans="1:6" x14ac:dyDescent="0.25">
      <c r="A1471" s="9">
        <v>261</v>
      </c>
      <c r="B1471" s="33" t="s">
        <v>1087</v>
      </c>
      <c r="C1471" s="19" t="s">
        <v>6</v>
      </c>
      <c r="D1471" s="19" t="s">
        <v>6</v>
      </c>
      <c r="E1471" s="79" t="s">
        <v>45</v>
      </c>
      <c r="F1471" s="93">
        <v>46104</v>
      </c>
    </row>
    <row r="1472" spans="1:6" ht="15.75" x14ac:dyDescent="0.25">
      <c r="A1472" s="9">
        <v>262</v>
      </c>
      <c r="B1472" s="8" t="s">
        <v>261</v>
      </c>
      <c r="C1472" s="19" t="s">
        <v>6</v>
      </c>
      <c r="D1472" s="19" t="s">
        <v>6</v>
      </c>
      <c r="E1472" s="78" t="s">
        <v>40</v>
      </c>
      <c r="F1472" s="93">
        <v>46104</v>
      </c>
    </row>
    <row r="1473" spans="1:6" x14ac:dyDescent="0.25">
      <c r="A1473" s="9">
        <v>263</v>
      </c>
      <c r="B1473" s="33" t="s">
        <v>1427</v>
      </c>
      <c r="C1473" s="19" t="s">
        <v>6</v>
      </c>
      <c r="D1473" s="19" t="s">
        <v>6</v>
      </c>
      <c r="E1473" s="12" t="s">
        <v>45</v>
      </c>
      <c r="F1473" s="32">
        <f ca="1">IF(AND(C1473="NO",D1473="NO"),IF(F1473="",TODAY(),F1473),"")</f>
        <v>46195</v>
      </c>
    </row>
    <row r="1474" spans="1:6" x14ac:dyDescent="0.25">
      <c r="A1474" s="9">
        <v>264</v>
      </c>
      <c r="B1474" s="33" t="s">
        <v>1723</v>
      </c>
      <c r="C1474" s="19" t="s">
        <v>6</v>
      </c>
      <c r="D1474" s="19" t="s">
        <v>6</v>
      </c>
      <c r="E1474" s="12" t="s">
        <v>45</v>
      </c>
      <c r="F1474" s="32">
        <f ca="1">IF(AND(C1474="NO",D1474="NO"),IF(F1474="",TODAY(),F1474),"")</f>
        <v>46195</v>
      </c>
    </row>
    <row r="1475" spans="1:6" x14ac:dyDescent="0.25">
      <c r="A1475" s="9">
        <v>265</v>
      </c>
      <c r="B1475" s="17" t="s">
        <v>248</v>
      </c>
      <c r="C1475" s="19" t="s">
        <v>6</v>
      </c>
      <c r="D1475" s="19" t="s">
        <v>6</v>
      </c>
      <c r="E1475" s="79" t="s">
        <v>39</v>
      </c>
      <c r="F1475" s="93">
        <v>46104</v>
      </c>
    </row>
    <row r="1476" spans="1:6" x14ac:dyDescent="0.25">
      <c r="A1476" s="9">
        <v>266</v>
      </c>
      <c r="B1476" s="17" t="s">
        <v>247</v>
      </c>
      <c r="C1476" s="19" t="s">
        <v>6</v>
      </c>
      <c r="D1476" s="19" t="s">
        <v>6</v>
      </c>
      <c r="E1476" s="79" t="s">
        <v>39</v>
      </c>
      <c r="F1476" s="93">
        <v>46104</v>
      </c>
    </row>
    <row r="1477" spans="1:6" x14ac:dyDescent="0.25">
      <c r="A1477" s="9">
        <v>267</v>
      </c>
      <c r="B1477" s="33" t="s">
        <v>1398</v>
      </c>
      <c r="C1477" s="19" t="s">
        <v>6</v>
      </c>
      <c r="D1477" s="19" t="s">
        <v>6</v>
      </c>
      <c r="E1477" s="79" t="s">
        <v>45</v>
      </c>
      <c r="F1477" s="93">
        <v>46104</v>
      </c>
    </row>
    <row r="1478" spans="1:6" x14ac:dyDescent="0.25">
      <c r="A1478" s="9">
        <v>268</v>
      </c>
      <c r="B1478" s="33" t="s">
        <v>1426</v>
      </c>
      <c r="C1478" s="19" t="s">
        <v>6</v>
      </c>
      <c r="D1478" s="19" t="s">
        <v>6</v>
      </c>
      <c r="E1478" s="79" t="s">
        <v>45</v>
      </c>
      <c r="F1478" s="93">
        <v>46104</v>
      </c>
    </row>
    <row r="1479" spans="1:6" x14ac:dyDescent="0.25">
      <c r="A1479" s="9">
        <v>269</v>
      </c>
      <c r="B1479" s="33" t="s">
        <v>1505</v>
      </c>
      <c r="C1479" s="19" t="s">
        <v>6</v>
      </c>
      <c r="D1479" s="19" t="s">
        <v>6</v>
      </c>
      <c r="E1479" s="79" t="s">
        <v>45</v>
      </c>
      <c r="F1479" s="93">
        <v>46104</v>
      </c>
    </row>
    <row r="1480" spans="1:6" x14ac:dyDescent="0.25">
      <c r="A1480" s="9">
        <v>270</v>
      </c>
      <c r="B1480" s="33" t="s">
        <v>1506</v>
      </c>
      <c r="C1480" s="19" t="s">
        <v>6</v>
      </c>
      <c r="D1480" s="19" t="s">
        <v>6</v>
      </c>
      <c r="E1480" s="79" t="s">
        <v>45</v>
      </c>
      <c r="F1480" s="93">
        <v>46104</v>
      </c>
    </row>
    <row r="1481" spans="1:6" x14ac:dyDescent="0.25">
      <c r="A1481" s="9">
        <v>271</v>
      </c>
      <c r="B1481" s="33" t="s">
        <v>1508</v>
      </c>
      <c r="C1481" s="19" t="s">
        <v>6</v>
      </c>
      <c r="D1481" s="19" t="s">
        <v>6</v>
      </c>
      <c r="E1481" s="79" t="s">
        <v>45</v>
      </c>
      <c r="F1481" s="93">
        <v>46104</v>
      </c>
    </row>
    <row r="1482" spans="1:6" x14ac:dyDescent="0.25">
      <c r="A1482" s="9">
        <v>272</v>
      </c>
      <c r="B1482" s="33" t="s">
        <v>1567</v>
      </c>
      <c r="C1482" s="19" t="s">
        <v>6</v>
      </c>
      <c r="D1482" s="19" t="s">
        <v>6</v>
      </c>
      <c r="E1482" s="79" t="s">
        <v>45</v>
      </c>
      <c r="F1482" s="93">
        <v>46104</v>
      </c>
    </row>
    <row r="1483" spans="1:6" x14ac:dyDescent="0.25">
      <c r="A1483" s="9">
        <v>273</v>
      </c>
      <c r="B1483" s="33" t="s">
        <v>1570</v>
      </c>
      <c r="C1483" s="19" t="s">
        <v>6</v>
      </c>
      <c r="D1483" s="19" t="s">
        <v>6</v>
      </c>
      <c r="E1483" s="79" t="s">
        <v>45</v>
      </c>
      <c r="F1483" s="93">
        <v>46104</v>
      </c>
    </row>
    <row r="1484" spans="1:6" x14ac:dyDescent="0.25">
      <c r="A1484" s="9">
        <v>274</v>
      </c>
      <c r="B1484" s="33" t="s">
        <v>1569</v>
      </c>
      <c r="C1484" s="19" t="s">
        <v>6</v>
      </c>
      <c r="D1484" s="19" t="s">
        <v>6</v>
      </c>
      <c r="E1484" s="79" t="s">
        <v>45</v>
      </c>
      <c r="F1484" s="93">
        <v>46104</v>
      </c>
    </row>
    <row r="1485" spans="1:6" x14ac:dyDescent="0.25">
      <c r="A1485" s="9">
        <v>275</v>
      </c>
      <c r="B1485" s="33" t="s">
        <v>1568</v>
      </c>
      <c r="C1485" s="19" t="s">
        <v>6</v>
      </c>
      <c r="D1485" s="19" t="s">
        <v>6</v>
      </c>
      <c r="E1485" s="79" t="s">
        <v>45</v>
      </c>
      <c r="F1485" s="93">
        <v>46104</v>
      </c>
    </row>
    <row r="1486" spans="1:6" x14ac:dyDescent="0.25">
      <c r="A1486" s="9">
        <v>276</v>
      </c>
      <c r="B1486" s="8" t="s">
        <v>272</v>
      </c>
      <c r="C1486" s="19" t="s">
        <v>6</v>
      </c>
      <c r="D1486" s="19" t="s">
        <v>6</v>
      </c>
      <c r="E1486" s="82" t="s">
        <v>45</v>
      </c>
      <c r="F1486" s="93">
        <v>46131</v>
      </c>
    </row>
    <row r="1487" spans="1:6" ht="15.75" x14ac:dyDescent="0.25">
      <c r="A1487" s="9">
        <v>277</v>
      </c>
      <c r="B1487" s="33" t="s">
        <v>1577</v>
      </c>
      <c r="C1487" s="19" t="s">
        <v>6</v>
      </c>
      <c r="D1487" s="19" t="s">
        <v>6</v>
      </c>
      <c r="E1487" s="80" t="s">
        <v>45</v>
      </c>
      <c r="F1487" s="93">
        <v>46131</v>
      </c>
    </row>
    <row r="1488" spans="1:6" ht="15.75" x14ac:dyDescent="0.25">
      <c r="A1488" s="9">
        <v>278</v>
      </c>
      <c r="B1488" s="33" t="s">
        <v>649</v>
      </c>
      <c r="C1488" s="19" t="s">
        <v>6</v>
      </c>
      <c r="D1488" s="19" t="s">
        <v>6</v>
      </c>
      <c r="E1488" s="80" t="s">
        <v>45</v>
      </c>
      <c r="F1488" s="93">
        <v>46131</v>
      </c>
    </row>
    <row r="1489" spans="1:6" x14ac:dyDescent="0.25">
      <c r="A1489" s="9">
        <v>279</v>
      </c>
      <c r="B1489" s="8" t="s">
        <v>1565</v>
      </c>
      <c r="C1489" s="19" t="s">
        <v>6</v>
      </c>
      <c r="D1489" s="19" t="s">
        <v>6</v>
      </c>
      <c r="E1489" s="82" t="s">
        <v>45</v>
      </c>
      <c r="F1489" s="93">
        <v>46131</v>
      </c>
    </row>
    <row r="1490" spans="1:6" x14ac:dyDescent="0.25">
      <c r="A1490" s="9">
        <v>280</v>
      </c>
      <c r="B1490" s="33" t="s">
        <v>1288</v>
      </c>
      <c r="C1490" s="19" t="s">
        <v>6</v>
      </c>
      <c r="D1490" s="19" t="s">
        <v>6</v>
      </c>
      <c r="E1490" s="79" t="s">
        <v>45</v>
      </c>
      <c r="F1490" s="93">
        <v>46131</v>
      </c>
    </row>
    <row r="1491" spans="1:6" ht="15.75" x14ac:dyDescent="0.25">
      <c r="A1491" s="9">
        <v>281</v>
      </c>
      <c r="B1491" s="33" t="s">
        <v>1226</v>
      </c>
      <c r="C1491" s="19" t="s">
        <v>6</v>
      </c>
      <c r="D1491" s="19" t="s">
        <v>6</v>
      </c>
      <c r="E1491" s="80" t="s">
        <v>45</v>
      </c>
      <c r="F1491" s="93">
        <v>46131</v>
      </c>
    </row>
    <row r="1492" spans="1:6" x14ac:dyDescent="0.25">
      <c r="A1492" s="9">
        <v>282</v>
      </c>
      <c r="B1492" s="33" t="s">
        <v>1312</v>
      </c>
      <c r="C1492" s="19" t="s">
        <v>6</v>
      </c>
      <c r="D1492" s="19" t="s">
        <v>6</v>
      </c>
      <c r="E1492" s="79" t="s">
        <v>45</v>
      </c>
      <c r="F1492" s="93">
        <v>46131</v>
      </c>
    </row>
    <row r="1493" spans="1:6" x14ac:dyDescent="0.25">
      <c r="A1493" s="9">
        <v>283</v>
      </c>
      <c r="B1493" s="33" t="s">
        <v>1500</v>
      </c>
      <c r="C1493" s="19" t="s">
        <v>6</v>
      </c>
      <c r="D1493" s="19" t="s">
        <v>6</v>
      </c>
      <c r="E1493" s="82" t="s">
        <v>45</v>
      </c>
      <c r="F1493" s="93">
        <v>46131</v>
      </c>
    </row>
    <row r="1494" spans="1:6" x14ac:dyDescent="0.25">
      <c r="A1494" s="9">
        <v>284</v>
      </c>
      <c r="B1494" s="33" t="s">
        <v>989</v>
      </c>
      <c r="C1494" s="19" t="s">
        <v>6</v>
      </c>
      <c r="D1494" s="19" t="s">
        <v>6</v>
      </c>
      <c r="E1494" s="12" t="s">
        <v>45</v>
      </c>
      <c r="F1494" s="32">
        <f ca="1">IF(AND(C1494="NO",D1494="NO"),IF(F1494="",TODAY(),F1494),"")</f>
        <v>46222</v>
      </c>
    </row>
    <row r="1495" spans="1:6" x14ac:dyDescent="0.25">
      <c r="A1495" s="9">
        <v>285</v>
      </c>
      <c r="B1495" s="8" t="s">
        <v>1695</v>
      </c>
      <c r="C1495" s="19" t="s">
        <v>6</v>
      </c>
      <c r="D1495" s="19" t="s">
        <v>6</v>
      </c>
      <c r="E1495" s="12" t="s">
        <v>45</v>
      </c>
      <c r="F1495" s="32">
        <f ca="1">IF(AND(C1495="NO",D1495="NO"),IF(F1495="",TODAY(),F1495),"")</f>
        <v>46222</v>
      </c>
    </row>
    <row r="1496" spans="1:6" x14ac:dyDescent="0.25">
      <c r="A1496" s="9">
        <v>286</v>
      </c>
      <c r="B1496" s="33" t="s">
        <v>1366</v>
      </c>
      <c r="C1496" s="19" t="s">
        <v>6</v>
      </c>
      <c r="D1496" s="19" t="s">
        <v>6</v>
      </c>
      <c r="E1496" s="12" t="s">
        <v>45</v>
      </c>
      <c r="F1496" s="32">
        <f ca="1">IF(AND(C1496="NO",D1496="NO"),IF(F1496="",TODAY(),F1496),"")</f>
        <v>46222</v>
      </c>
    </row>
    <row r="1497" spans="1:6" x14ac:dyDescent="0.25">
      <c r="A1497" s="9">
        <v>287</v>
      </c>
      <c r="B1497" s="33" t="s">
        <v>1795</v>
      </c>
      <c r="C1497" s="19" t="s">
        <v>6</v>
      </c>
      <c r="D1497" s="19" t="s">
        <v>6</v>
      </c>
      <c r="E1497" s="12" t="s">
        <v>45</v>
      </c>
      <c r="F1497" s="32">
        <f ca="1">IF(AND(C1497="NO",D1497="NO"),IF(F1497="",TODAY(),F1497),"")</f>
        <v>46222</v>
      </c>
    </row>
    <row r="1498" spans="1:6" ht="14.25" customHeight="1" x14ac:dyDescent="0.25">
      <c r="A1498" s="9">
        <v>288</v>
      </c>
      <c r="B1498" s="33" t="s">
        <v>1823</v>
      </c>
      <c r="C1498" s="19" t="s">
        <v>6</v>
      </c>
      <c r="D1498" s="19" t="s">
        <v>6</v>
      </c>
      <c r="E1498" s="12" t="s">
        <v>45</v>
      </c>
      <c r="F1498" s="32">
        <f ca="1">IF(AND(C1498="NO",D1498="NO"),IF(F1498="",TODAY(),F1498),"")</f>
        <v>46222</v>
      </c>
    </row>
    <row r="1499" spans="1:6" x14ac:dyDescent="0.25">
      <c r="A1499" s="9">
        <v>289</v>
      </c>
      <c r="B1499" s="33" t="s">
        <v>1882</v>
      </c>
      <c r="C1499" s="19" t="s">
        <v>6</v>
      </c>
      <c r="D1499" s="19" t="s">
        <v>6</v>
      </c>
      <c r="E1499" s="12" t="s">
        <v>45</v>
      </c>
      <c r="F1499" s="32">
        <f ca="1">IF(AND(C1499="NO",D1499="NO"),IF(F1499="",TODAY(),F1499),"")</f>
        <v>46222</v>
      </c>
    </row>
    <row r="1500" spans="1:6" x14ac:dyDescent="0.25">
      <c r="A1500" s="9">
        <v>290</v>
      </c>
      <c r="B1500" s="33" t="s">
        <v>670</v>
      </c>
      <c r="C1500" s="19" t="s">
        <v>6</v>
      </c>
      <c r="D1500" s="19" t="s">
        <v>6</v>
      </c>
      <c r="E1500" s="12" t="s">
        <v>337</v>
      </c>
      <c r="F1500" s="32">
        <f ca="1">IF(AND(C1500="NO",D1500="NO"),IF(F1500="",TODAY(),F1500),"")</f>
        <v>46230</v>
      </c>
    </row>
    <row r="1501" spans="1:6" x14ac:dyDescent="0.25">
      <c r="A1501" s="9">
        <v>291</v>
      </c>
      <c r="B1501" s="33" t="s">
        <v>1721</v>
      </c>
      <c r="C1501" s="19" t="s">
        <v>6</v>
      </c>
      <c r="D1501" s="19" t="s">
        <v>6</v>
      </c>
      <c r="E1501" s="12" t="s">
        <v>258</v>
      </c>
      <c r="F1501" s="32">
        <f ca="1">IF(AND(C1501="NO",D1501="NO"),IF(F1501="",TODAY(),F1501),"")</f>
        <v>46230</v>
      </c>
    </row>
    <row r="1502" spans="1:6" x14ac:dyDescent="0.25">
      <c r="A1502" s="9">
        <v>292</v>
      </c>
      <c r="B1502" s="33" t="s">
        <v>233</v>
      </c>
      <c r="C1502" s="19" t="s">
        <v>6</v>
      </c>
      <c r="D1502" s="19" t="s">
        <v>6</v>
      </c>
      <c r="E1502" s="12" t="s">
        <v>45</v>
      </c>
      <c r="F1502" s="32">
        <f ca="1">IF(AND(C1502="NO",D1502="NO"),IF(F1502="",TODAY(),F1502),"")</f>
        <v>46230</v>
      </c>
    </row>
    <row r="1503" spans="1:6" x14ac:dyDescent="0.25">
      <c r="A1503" s="9">
        <v>294</v>
      </c>
      <c r="B1503" s="43" t="s">
        <v>234</v>
      </c>
      <c r="C1503" s="19" t="s">
        <v>6</v>
      </c>
      <c r="D1503" s="19" t="s">
        <v>6</v>
      </c>
      <c r="E1503" s="12" t="s">
        <v>45</v>
      </c>
      <c r="F1503" s="32">
        <f ca="1">IF(AND(C1503="NO",D1503="NO"),IF(F1503="",TODAY(),F1503),"")</f>
        <v>46230</v>
      </c>
    </row>
    <row r="1504" spans="1:6" x14ac:dyDescent="0.25">
      <c r="A1504" s="9">
        <v>295</v>
      </c>
      <c r="B1504" s="33" t="s">
        <v>1914</v>
      </c>
      <c r="C1504" s="19" t="s">
        <v>6</v>
      </c>
      <c r="D1504" s="19" t="s">
        <v>6</v>
      </c>
      <c r="E1504" s="12" t="s">
        <v>45</v>
      </c>
      <c r="F1504" s="32">
        <f ca="1">IF(AND(C1504="NO",D1504="NO"),IF(F1504="",TODAY(),F1504),"")</f>
        <v>46230</v>
      </c>
    </row>
    <row r="1505" spans="1:6" x14ac:dyDescent="0.25">
      <c r="A1505" s="9">
        <v>296</v>
      </c>
      <c r="B1505" s="33" t="s">
        <v>517</v>
      </c>
      <c r="C1505" s="19" t="s">
        <v>6</v>
      </c>
      <c r="D1505" s="19" t="s">
        <v>6</v>
      </c>
      <c r="E1505" s="79" t="s">
        <v>45</v>
      </c>
      <c r="F1505" s="93">
        <v>46131</v>
      </c>
    </row>
    <row r="1506" spans="1:6" x14ac:dyDescent="0.25">
      <c r="A1506" s="9">
        <v>297</v>
      </c>
      <c r="B1506" s="33" t="s">
        <v>1591</v>
      </c>
      <c r="C1506" s="19" t="s">
        <v>6</v>
      </c>
      <c r="D1506" s="19" t="s">
        <v>6</v>
      </c>
      <c r="E1506" s="79" t="s">
        <v>45</v>
      </c>
      <c r="F1506" s="93">
        <v>46131</v>
      </c>
    </row>
    <row r="1507" spans="1:6" x14ac:dyDescent="0.25">
      <c r="A1507" s="9">
        <v>298</v>
      </c>
      <c r="B1507" s="33" t="s">
        <v>1592</v>
      </c>
      <c r="C1507" s="19" t="s">
        <v>6</v>
      </c>
      <c r="D1507" s="19" t="s">
        <v>6</v>
      </c>
      <c r="E1507" s="79" t="s">
        <v>45</v>
      </c>
      <c r="F1507" s="93">
        <v>46131</v>
      </c>
    </row>
    <row r="1508" spans="1:6" x14ac:dyDescent="0.25">
      <c r="A1508" s="9">
        <v>299</v>
      </c>
      <c r="B1508" s="33" t="s">
        <v>1599</v>
      </c>
      <c r="C1508" s="19" t="s">
        <v>6</v>
      </c>
      <c r="D1508" s="19" t="s">
        <v>6</v>
      </c>
      <c r="E1508" s="79" t="s">
        <v>45</v>
      </c>
      <c r="F1508" s="93">
        <v>46131</v>
      </c>
    </row>
    <row r="1509" spans="1:6" x14ac:dyDescent="0.25">
      <c r="A1509" s="9">
        <v>300</v>
      </c>
      <c r="B1509" s="33" t="s">
        <v>1600</v>
      </c>
      <c r="C1509" s="19" t="s">
        <v>6</v>
      </c>
      <c r="D1509" s="19" t="s">
        <v>6</v>
      </c>
      <c r="E1509" s="79" t="s">
        <v>45</v>
      </c>
      <c r="F1509" s="93">
        <v>46131</v>
      </c>
    </row>
    <row r="1510" spans="1:6" x14ac:dyDescent="0.25">
      <c r="A1510" s="9">
        <v>301</v>
      </c>
      <c r="B1510" s="33" t="s">
        <v>1610</v>
      </c>
      <c r="C1510" s="19" t="s">
        <v>6</v>
      </c>
      <c r="D1510" s="19" t="s">
        <v>6</v>
      </c>
      <c r="E1510" s="79" t="s">
        <v>45</v>
      </c>
      <c r="F1510" s="93">
        <v>46131</v>
      </c>
    </row>
    <row r="1511" spans="1:6" x14ac:dyDescent="0.25">
      <c r="A1511" s="9">
        <v>302</v>
      </c>
      <c r="B1511" s="33" t="s">
        <v>1609</v>
      </c>
      <c r="C1511" s="19" t="s">
        <v>6</v>
      </c>
      <c r="D1511" s="19" t="s">
        <v>6</v>
      </c>
      <c r="E1511" s="79" t="s">
        <v>45</v>
      </c>
      <c r="F1511" s="93">
        <v>46131</v>
      </c>
    </row>
    <row r="1512" spans="1:6" x14ac:dyDescent="0.25">
      <c r="A1512" s="9">
        <v>303</v>
      </c>
      <c r="B1512" s="33" t="s">
        <v>1686</v>
      </c>
      <c r="C1512" s="19" t="s">
        <v>6</v>
      </c>
      <c r="D1512" s="19" t="s">
        <v>6</v>
      </c>
      <c r="E1512" s="12" t="s">
        <v>45</v>
      </c>
      <c r="F1512" s="32">
        <f ca="1">IF(AND(C1512="NO",D1512="NO"),IF(F1512="",TODAY(),F1512),"")</f>
        <v>46188</v>
      </c>
    </row>
    <row r="1513" spans="1:6" x14ac:dyDescent="0.25">
      <c r="A1513" s="9">
        <v>304</v>
      </c>
      <c r="B1513" s="33" t="s">
        <v>1724</v>
      </c>
      <c r="C1513" s="19" t="s">
        <v>6</v>
      </c>
      <c r="D1513" s="19" t="s">
        <v>6</v>
      </c>
      <c r="E1513" s="12" t="s">
        <v>45</v>
      </c>
      <c r="F1513" s="32">
        <f ca="1">IF(AND(C1513="NO",D1513="NO"),IF(F1513="",TODAY(),F1513),"")</f>
        <v>46188</v>
      </c>
    </row>
    <row r="1514" spans="1:6" x14ac:dyDescent="0.25">
      <c r="A1514" s="9">
        <v>305</v>
      </c>
      <c r="B1514" s="33" t="s">
        <v>1725</v>
      </c>
      <c r="C1514" s="19" t="s">
        <v>6</v>
      </c>
      <c r="D1514" s="19" t="s">
        <v>6</v>
      </c>
      <c r="E1514" s="12" t="s">
        <v>45</v>
      </c>
      <c r="F1514" s="32">
        <f ca="1">IF(AND(C1514="NO",D1514="NO"),IF(F1514="",TODAY(),F1514),"")</f>
        <v>46188</v>
      </c>
    </row>
    <row r="1515" spans="1:6" x14ac:dyDescent="0.25">
      <c r="A1515" s="9">
        <v>306</v>
      </c>
      <c r="B1515" s="33" t="s">
        <v>1727</v>
      </c>
      <c r="C1515" s="19" t="s">
        <v>6</v>
      </c>
      <c r="D1515" s="19" t="s">
        <v>6</v>
      </c>
      <c r="E1515" s="12" t="s">
        <v>45</v>
      </c>
      <c r="F1515" s="32">
        <f ca="1">IF(AND(C1515="NO",D1515="NO"),IF(F1515="",TODAY(),F1515),"")</f>
        <v>46188</v>
      </c>
    </row>
    <row r="1516" spans="1:6" x14ac:dyDescent="0.25">
      <c r="A1516" s="9">
        <v>307</v>
      </c>
      <c r="B1516" s="8" t="s">
        <v>372</v>
      </c>
      <c r="C1516" s="19" t="s">
        <v>6</v>
      </c>
      <c r="D1516" s="19" t="s">
        <v>6</v>
      </c>
      <c r="E1516" s="12" t="s">
        <v>337</v>
      </c>
      <c r="F1516" s="32">
        <f ca="1">IF(AND(C1516="NO",D1516="NO"),IF(F1516="",TODAY(),F1516),"")</f>
        <v>46202</v>
      </c>
    </row>
    <row r="1517" spans="1:6" x14ac:dyDescent="0.25">
      <c r="A1517" s="9">
        <v>308</v>
      </c>
      <c r="B1517" s="33" t="s">
        <v>1281</v>
      </c>
      <c r="C1517" s="19" t="s">
        <v>6</v>
      </c>
      <c r="D1517" s="19" t="s">
        <v>6</v>
      </c>
      <c r="E1517" s="12" t="s">
        <v>45</v>
      </c>
      <c r="F1517" s="32">
        <f ca="1">IF(AND(C1517="NO",D1517="NO"),IF(F1517="",TODAY(),F1517),"")</f>
        <v>46202</v>
      </c>
    </row>
    <row r="1518" spans="1:6" x14ac:dyDescent="0.25">
      <c r="A1518" s="9">
        <v>309</v>
      </c>
      <c r="B1518" s="33" t="s">
        <v>227</v>
      </c>
      <c r="C1518" s="19" t="s">
        <v>6</v>
      </c>
      <c r="D1518" s="19" t="s">
        <v>6</v>
      </c>
      <c r="E1518" s="12" t="s">
        <v>45</v>
      </c>
      <c r="F1518" s="32">
        <f ca="1">IF(AND(C1518="NO",D1518="NO"),IF(F1518="",TODAY(),F1518),"")</f>
        <v>46202</v>
      </c>
    </row>
    <row r="1519" spans="1:6" x14ac:dyDescent="0.25">
      <c r="A1519" s="9">
        <v>310</v>
      </c>
      <c r="B1519" s="33" t="s">
        <v>228</v>
      </c>
      <c r="C1519" s="19" t="s">
        <v>6</v>
      </c>
      <c r="D1519" s="19" t="s">
        <v>6</v>
      </c>
      <c r="E1519" s="12" t="s">
        <v>45</v>
      </c>
      <c r="F1519" s="32">
        <f ca="1">IF(AND(C1519="NO",D1519="NO"),IF(F1519="",TODAY(),F1519),"")</f>
        <v>46202</v>
      </c>
    </row>
    <row r="1520" spans="1:6" x14ac:dyDescent="0.25">
      <c r="A1520" s="9">
        <v>311</v>
      </c>
      <c r="B1520" s="33" t="s">
        <v>1759</v>
      </c>
      <c r="C1520" s="19" t="s">
        <v>6</v>
      </c>
      <c r="D1520" s="19" t="s">
        <v>6</v>
      </c>
      <c r="E1520" s="12" t="s">
        <v>45</v>
      </c>
      <c r="F1520" s="32">
        <f ca="1">IF(AND(C1520="NO",D1520="NO"),IF(F1520="",TODAY(),F1520),"")</f>
        <v>46202</v>
      </c>
    </row>
    <row r="1521" spans="1:6" x14ac:dyDescent="0.25">
      <c r="A1521" s="9">
        <v>312</v>
      </c>
      <c r="B1521" s="33" t="s">
        <v>1061</v>
      </c>
      <c r="C1521" s="19" t="s">
        <v>6</v>
      </c>
      <c r="D1521" s="19" t="s">
        <v>6</v>
      </c>
      <c r="E1521" s="12" t="s">
        <v>45</v>
      </c>
      <c r="F1521" s="32">
        <f ca="1">IF(AND(C1521="NO",D1521="NO"),IF(F1521="",TODAY(),F1521),"")</f>
        <v>46209</v>
      </c>
    </row>
    <row r="1522" spans="1:6" x14ac:dyDescent="0.25">
      <c r="A1522" s="9">
        <v>313</v>
      </c>
      <c r="B1522" s="33" t="s">
        <v>1822</v>
      </c>
      <c r="C1522" s="19" t="s">
        <v>6</v>
      </c>
      <c r="D1522" s="19" t="s">
        <v>6</v>
      </c>
      <c r="E1522" s="12" t="s">
        <v>45</v>
      </c>
      <c r="F1522" s="32">
        <f ca="1">IF(AND(C1522="NO",D1522="NO"),IF(F1522="",TODAY(),F1522),"")</f>
        <v>46209</v>
      </c>
    </row>
    <row r="1523" spans="1:6" x14ac:dyDescent="0.25">
      <c r="A1523" s="9">
        <v>314</v>
      </c>
      <c r="B1523" s="33" t="s">
        <v>1840</v>
      </c>
      <c r="C1523" s="19" t="s">
        <v>6</v>
      </c>
      <c r="D1523" s="19" t="s">
        <v>6</v>
      </c>
      <c r="E1523" s="12" t="s">
        <v>337</v>
      </c>
      <c r="F1523" s="32">
        <f ca="1">IF(AND(C1523="NO",D1523="NO"),IF(F1523="",TODAY(),F1523),"")</f>
        <v>46209</v>
      </c>
    </row>
    <row r="1524" spans="1:6" x14ac:dyDescent="0.25">
      <c r="A1524" s="9">
        <v>315</v>
      </c>
      <c r="B1524" s="33" t="s">
        <v>1926</v>
      </c>
      <c r="C1524" s="19" t="s">
        <v>6</v>
      </c>
      <c r="D1524" s="19" t="s">
        <v>6</v>
      </c>
      <c r="E1524" s="12" t="s">
        <v>45</v>
      </c>
      <c r="F1524" s="32">
        <f ca="1">IF(AND(C1524="NO",D1524="NO"),IF(F1524="",TODAY(),F1524),"")</f>
        <v>46247</v>
      </c>
    </row>
    <row r="1525" spans="1:6" x14ac:dyDescent="0.25">
      <c r="A1525" s="9">
        <v>316</v>
      </c>
      <c r="B1525" s="33" t="s">
        <v>1399</v>
      </c>
      <c r="C1525" s="19" t="s">
        <v>6</v>
      </c>
      <c r="D1525" s="19" t="s">
        <v>6</v>
      </c>
      <c r="E1525" s="79" t="s">
        <v>45</v>
      </c>
      <c r="F1525" s="32">
        <f ca="1">IF(AND(C1525="NO",D1525="NO"),IF(F1525="",TODAY(),F1525),"")</f>
        <v>46258</v>
      </c>
    </row>
    <row r="1526" spans="1:6" x14ac:dyDescent="0.25">
      <c r="A1526" s="9">
        <v>317</v>
      </c>
      <c r="B1526" s="17" t="s">
        <v>2020</v>
      </c>
      <c r="C1526" s="19" t="s">
        <v>6</v>
      </c>
      <c r="D1526" s="19" t="s">
        <v>6</v>
      </c>
      <c r="E1526" s="12" t="s">
        <v>337</v>
      </c>
      <c r="F1526" s="32">
        <f ca="1">IF(AND(C1526="NO",D1526="NO"),IF(F1526="",TODAY(),F1526),"")</f>
        <v>46258</v>
      </c>
    </row>
    <row r="1527" spans="1:6" x14ac:dyDescent="0.25">
      <c r="A1527" s="9">
        <v>318</v>
      </c>
      <c r="B1527" s="15" t="s">
        <v>545</v>
      </c>
      <c r="C1527" s="19" t="s">
        <v>6</v>
      </c>
      <c r="D1527" s="19" t="s">
        <v>6</v>
      </c>
      <c r="E1527" s="12" t="s">
        <v>45</v>
      </c>
      <c r="F1527" s="32">
        <f ca="1">IF(AND(C1527="NO",D1527="NO"),IF(F1527="",TODAY(),F1527),"")</f>
        <v>46258</v>
      </c>
    </row>
    <row r="1528" spans="1:6" x14ac:dyDescent="0.25">
      <c r="A1528" s="9">
        <v>319</v>
      </c>
      <c r="B1528" s="33" t="s">
        <v>1817</v>
      </c>
      <c r="C1528" s="19" t="s">
        <v>6</v>
      </c>
      <c r="D1528" s="19" t="s">
        <v>6</v>
      </c>
      <c r="E1528" s="12" t="s">
        <v>150</v>
      </c>
      <c r="F1528" s="32">
        <f ca="1">IF(AND(C1528="NO",D1528="NO"),IF(F1528="",TODAY(),F1528),"")</f>
        <v>46258</v>
      </c>
    </row>
    <row r="1530" spans="1:6" x14ac:dyDescent="0.25">
      <c r="A1530" s="9">
        <v>321</v>
      </c>
      <c r="B1530" s="33" t="s">
        <v>2039</v>
      </c>
      <c r="C1530" s="19" t="s">
        <v>6</v>
      </c>
      <c r="D1530" s="19" t="s">
        <v>6</v>
      </c>
      <c r="E1530" s="12" t="s">
        <v>337</v>
      </c>
      <c r="F1530" s="32">
        <f ca="1">IF(AND(C1530="NO",D1530="NO"),IF(F1530="",TODAY(),F1530),"")</f>
        <v>46258</v>
      </c>
    </row>
    <row r="1533" spans="1:6" x14ac:dyDescent="0.25">
      <c r="A1533" s="9">
        <v>324</v>
      </c>
      <c r="B1533" s="33" t="s">
        <v>2048</v>
      </c>
      <c r="C1533" s="19" t="s">
        <v>6</v>
      </c>
      <c r="D1533" s="19" t="s">
        <v>6</v>
      </c>
      <c r="E1533" s="12" t="s">
        <v>337</v>
      </c>
      <c r="F1533" s="32">
        <f ca="1">IF(AND(C1533="NO",D1533="NO"),IF(F1533="",TODAY(),F1533),"")</f>
        <v>46258</v>
      </c>
    </row>
    <row r="1534" spans="1:6" x14ac:dyDescent="0.25">
      <c r="A1534" s="9">
        <v>325</v>
      </c>
      <c r="B1534" s="17" t="s">
        <v>1627</v>
      </c>
      <c r="C1534" s="19" t="s">
        <v>6</v>
      </c>
      <c r="D1534" s="19" t="s">
        <v>6</v>
      </c>
      <c r="E1534" s="12" t="s">
        <v>150</v>
      </c>
      <c r="F1534" s="32">
        <f ca="1">IF(AND(C1534="NO",D1534="NO"),IF(F1534="",TODAY(),F1534),"")</f>
        <v>46262</v>
      </c>
    </row>
    <row r="1535" spans="1:6" x14ac:dyDescent="0.25">
      <c r="A1535" s="9">
        <v>326</v>
      </c>
      <c r="B1535" s="33" t="s">
        <v>1365</v>
      </c>
      <c r="C1535" s="19" t="s">
        <v>6</v>
      </c>
      <c r="D1535" s="19" t="s">
        <v>6</v>
      </c>
      <c r="E1535" s="12" t="s">
        <v>45</v>
      </c>
      <c r="F1535" s="32">
        <f ca="1">IF(AND(C1535="NO",D1535="NO"),IF(F1535="",TODAY(),F1535),"")</f>
        <v>46262</v>
      </c>
    </row>
    <row r="1536" spans="1:6" x14ac:dyDescent="0.25">
      <c r="A1536" s="9">
        <v>327</v>
      </c>
      <c r="B1536" s="33" t="s">
        <v>954</v>
      </c>
      <c r="C1536" s="19" t="s">
        <v>6</v>
      </c>
      <c r="D1536" s="19" t="s">
        <v>6</v>
      </c>
      <c r="E1536" s="12" t="s">
        <v>45</v>
      </c>
      <c r="F1536" s="32">
        <f ca="1">IF(AND(C1536="NO",D1536="NO"),IF(F1536="",TODAY(),F1536),"")</f>
        <v>46262</v>
      </c>
    </row>
    <row r="1538" spans="1:6" x14ac:dyDescent="0.25">
      <c r="A1538" s="9">
        <v>329</v>
      </c>
      <c r="B1538" s="33" t="s">
        <v>1598</v>
      </c>
      <c r="C1538" s="19" t="s">
        <v>6</v>
      </c>
      <c r="D1538" s="19" t="s">
        <v>6</v>
      </c>
      <c r="E1538" s="12" t="s">
        <v>45</v>
      </c>
      <c r="F1538" s="32">
        <f ca="1">IF(AND(C1538="NO",D1538="NO"),IF(F1538="",TODAY(),F1538),"")</f>
        <v>46262</v>
      </c>
    </row>
    <row r="1539" spans="1:6" x14ac:dyDescent="0.25">
      <c r="A1539" s="9">
        <v>330</v>
      </c>
      <c r="B1539" s="33" t="s">
        <v>1507</v>
      </c>
      <c r="C1539" s="19" t="s">
        <v>6</v>
      </c>
      <c r="D1539" s="19" t="s">
        <v>6</v>
      </c>
      <c r="E1539" s="12" t="s">
        <v>45</v>
      </c>
      <c r="F1539" s="32">
        <f ca="1">IF(AND(C1539="NO",D1539="NO"),IF(F1539="",TODAY(),F1539),"")</f>
        <v>46262</v>
      </c>
    </row>
    <row r="1540" spans="1:6" x14ac:dyDescent="0.25">
      <c r="A1540" s="9">
        <v>331</v>
      </c>
      <c r="B1540" s="33" t="s">
        <v>332</v>
      </c>
      <c r="C1540" s="19" t="s">
        <v>6</v>
      </c>
      <c r="D1540" s="19" t="s">
        <v>6</v>
      </c>
      <c r="E1540" s="20" t="s">
        <v>45</v>
      </c>
      <c r="F1540" s="32">
        <f ca="1">IF(AND(C1540="NO",D1540="NO"),IF(F1540="",TODAY(),F1540),"")</f>
        <v>46262</v>
      </c>
    </row>
    <row r="1541" spans="1:6" x14ac:dyDescent="0.25">
      <c r="A1541" s="9">
        <v>332</v>
      </c>
      <c r="B1541" s="33" t="s">
        <v>1649</v>
      </c>
      <c r="C1541" s="19" t="s">
        <v>6</v>
      </c>
      <c r="D1541" s="19" t="s">
        <v>6</v>
      </c>
      <c r="E1541" s="12" t="s">
        <v>45</v>
      </c>
      <c r="F1541" s="32">
        <f ca="1">IF(AND(C1541="NO",D1541="NO"),IF(F1541="",TODAY(),F1541),"")</f>
        <v>46262</v>
      </c>
    </row>
    <row r="1542" spans="1:6" x14ac:dyDescent="0.25">
      <c r="A1542" s="9">
        <v>333</v>
      </c>
      <c r="B1542" s="33" t="s">
        <v>1367</v>
      </c>
      <c r="C1542" s="19" t="s">
        <v>6</v>
      </c>
      <c r="D1542" s="19" t="s">
        <v>6</v>
      </c>
      <c r="E1542" s="12" t="s">
        <v>45</v>
      </c>
      <c r="F1542" s="32">
        <f ca="1">IF(AND(C1542="NO",D1542="NO"),IF(F1542="",TODAY(),F1542),"")</f>
        <v>46262</v>
      </c>
    </row>
    <row r="1543" spans="1:6" x14ac:dyDescent="0.25">
      <c r="A1543" s="9">
        <v>334</v>
      </c>
      <c r="B1543" s="8" t="s">
        <v>1308</v>
      </c>
      <c r="C1543" s="19" t="s">
        <v>6</v>
      </c>
      <c r="D1543" s="19" t="s">
        <v>6</v>
      </c>
      <c r="E1543" s="12" t="s">
        <v>45</v>
      </c>
      <c r="F1543" s="32">
        <f ca="1">IF(AND(C1543="NO",D1543="NO"),IF(F1543="",TODAY(),F1543),"")</f>
        <v>46262</v>
      </c>
    </row>
    <row r="1544" spans="1:6" x14ac:dyDescent="0.25">
      <c r="A1544" s="9">
        <v>335</v>
      </c>
      <c r="B1544" s="33" t="s">
        <v>1022</v>
      </c>
      <c r="C1544" s="19" t="s">
        <v>6</v>
      </c>
      <c r="D1544" s="19" t="s">
        <v>6</v>
      </c>
      <c r="E1544" s="12" t="s">
        <v>150</v>
      </c>
      <c r="F1544" s="32">
        <f ca="1">IF(AND(C1544="NO",D1544="NO"),IF(F1544="",TODAY(),F1544),"")</f>
        <v>46262</v>
      </c>
    </row>
    <row r="1545" spans="1:6" x14ac:dyDescent="0.25">
      <c r="A1545" s="9">
        <v>336</v>
      </c>
      <c r="B1545" s="33" t="s">
        <v>1985</v>
      </c>
      <c r="C1545" s="19" t="s">
        <v>6</v>
      </c>
      <c r="D1545" s="19" t="s">
        <v>6</v>
      </c>
      <c r="E1545" s="12" t="s">
        <v>337</v>
      </c>
      <c r="F1545" s="32">
        <f ca="1">IF(AND(C1545="NO",D1545="NO"),IF(F1545="",TODAY(),F1545),"")</f>
        <v>46262</v>
      </c>
    </row>
    <row r="1546" spans="1:6" x14ac:dyDescent="0.25">
      <c r="A1546" s="9">
        <v>337</v>
      </c>
      <c r="B1546" s="33" t="s">
        <v>1269</v>
      </c>
      <c r="C1546" s="19" t="s">
        <v>6</v>
      </c>
      <c r="D1546" s="19" t="s">
        <v>6</v>
      </c>
      <c r="E1546" s="12" t="s">
        <v>150</v>
      </c>
      <c r="F1546" s="32">
        <f ca="1">IF(AND(C1546="NO",D1546="NO"),IF(F1546="",TODAY(),F1546),"")</f>
        <v>46262</v>
      </c>
    </row>
    <row r="1548" spans="1:6" x14ac:dyDescent="0.25">
      <c r="A1548" s="9">
        <v>339</v>
      </c>
      <c r="B1548" s="8" t="s">
        <v>2079</v>
      </c>
      <c r="C1548" s="19" t="s">
        <v>6</v>
      </c>
      <c r="D1548" s="19" t="s">
        <v>6</v>
      </c>
      <c r="E1548" s="12" t="s">
        <v>45</v>
      </c>
      <c r="F1548" s="32">
        <f ca="1">IF(AND(C1548="NO",D1548="NO"),IF(F1548="",TODAY(),F1548),"")</f>
        <v>46262</v>
      </c>
    </row>
    <row r="1549" spans="1:6" x14ac:dyDescent="0.25">
      <c r="A1549" s="9">
        <v>340</v>
      </c>
      <c r="B1549" s="33" t="s">
        <v>2063</v>
      </c>
      <c r="C1549" s="19" t="s">
        <v>6</v>
      </c>
      <c r="D1549" s="19" t="s">
        <v>6</v>
      </c>
      <c r="E1549" s="12" t="s">
        <v>45</v>
      </c>
      <c r="F1549" s="32">
        <f ca="1">IF(AND(C1549="NO",D1549="NO"),IF(F1549="",TODAY(),F1549),"")</f>
        <v>46262</v>
      </c>
    </row>
    <row r="1550" spans="1:6" x14ac:dyDescent="0.25">
      <c r="A1550" s="9">
        <v>341</v>
      </c>
      <c r="B1550" s="33" t="s">
        <v>2064</v>
      </c>
      <c r="C1550" s="19" t="s">
        <v>6</v>
      </c>
      <c r="D1550" s="19" t="s">
        <v>6</v>
      </c>
      <c r="E1550" s="12" t="s">
        <v>45</v>
      </c>
      <c r="F1550" s="32">
        <f ca="1">IF(AND(C1550="NO",D1550="NO"),IF(F1550="",TODAY(),F1550),"")</f>
        <v>46262</v>
      </c>
    </row>
    <row r="1551" spans="1:6" x14ac:dyDescent="0.25">
      <c r="A1551" s="9">
        <v>342</v>
      </c>
      <c r="B1551" s="33" t="s">
        <v>2069</v>
      </c>
      <c r="C1551" s="19" t="s">
        <v>6</v>
      </c>
      <c r="D1551" s="19" t="s">
        <v>6</v>
      </c>
      <c r="E1551" s="12" t="s">
        <v>45</v>
      </c>
      <c r="F1551" s="32">
        <f ca="1">IF(AND(C1551="NO",D1551="NO"),IF(F1551="",TODAY(),F1551),"")</f>
        <v>46262</v>
      </c>
    </row>
    <row r="1552" spans="1:6" x14ac:dyDescent="0.25">
      <c r="A1552" s="9">
        <v>343</v>
      </c>
      <c r="B1552" s="33" t="s">
        <v>2070</v>
      </c>
      <c r="C1552" s="19" t="s">
        <v>6</v>
      </c>
      <c r="D1552" s="19" t="s">
        <v>6</v>
      </c>
      <c r="E1552" s="12" t="s">
        <v>45</v>
      </c>
      <c r="F1552" s="32">
        <f ca="1">IF(AND(C1552="NO",D1552="NO"),IF(F1552="",TODAY(),F1552),"")</f>
        <v>46262</v>
      </c>
    </row>
    <row r="1553" spans="1:6" x14ac:dyDescent="0.25">
      <c r="A1553" s="9">
        <v>344</v>
      </c>
      <c r="B1553" s="33" t="s">
        <v>1385</v>
      </c>
      <c r="C1553" s="19" t="s">
        <v>6</v>
      </c>
      <c r="D1553" s="19" t="s">
        <v>6</v>
      </c>
      <c r="E1553" s="12" t="s">
        <v>337</v>
      </c>
      <c r="F1553" s="32">
        <f t="shared" ref="F1553:F1565" ca="1" si="0">IF(AND(C1553="NO",D1553="NO"),IF(F1553="",TODAY(),F1553),"")</f>
        <v>46216</v>
      </c>
    </row>
    <row r="1554" spans="1:6" x14ac:dyDescent="0.25">
      <c r="A1554" s="9">
        <v>345</v>
      </c>
      <c r="B1554" s="33" t="s">
        <v>1490</v>
      </c>
      <c r="C1554" s="19" t="s">
        <v>6</v>
      </c>
      <c r="D1554" s="19" t="s">
        <v>6</v>
      </c>
      <c r="E1554" s="12" t="s">
        <v>258</v>
      </c>
      <c r="F1554" s="32">
        <f t="shared" ca="1" si="0"/>
        <v>46216</v>
      </c>
    </row>
    <row r="1555" spans="1:6" x14ac:dyDescent="0.25">
      <c r="A1555" s="9">
        <v>346</v>
      </c>
      <c r="B1555" s="33" t="s">
        <v>1848</v>
      </c>
      <c r="C1555" s="19" t="s">
        <v>6</v>
      </c>
      <c r="D1555" s="19" t="s">
        <v>6</v>
      </c>
      <c r="E1555" s="12" t="s">
        <v>45</v>
      </c>
      <c r="F1555" s="32">
        <f t="shared" ca="1" si="0"/>
        <v>46216</v>
      </c>
    </row>
    <row r="1556" spans="1:6" x14ac:dyDescent="0.25">
      <c r="A1556" s="9">
        <v>347</v>
      </c>
      <c r="B1556" s="33" t="s">
        <v>1849</v>
      </c>
      <c r="C1556" s="19" t="s">
        <v>6</v>
      </c>
      <c r="D1556" s="19" t="s">
        <v>6</v>
      </c>
      <c r="E1556" s="12" t="s">
        <v>45</v>
      </c>
      <c r="F1556" s="32">
        <f t="shared" ca="1" si="0"/>
        <v>46216</v>
      </c>
    </row>
    <row r="1557" spans="1:6" x14ac:dyDescent="0.25">
      <c r="A1557" s="9">
        <v>348</v>
      </c>
      <c r="B1557" s="33" t="s">
        <v>1874</v>
      </c>
      <c r="C1557" s="19" t="s">
        <v>6</v>
      </c>
      <c r="D1557" s="19" t="s">
        <v>6</v>
      </c>
      <c r="E1557" s="12" t="s">
        <v>45</v>
      </c>
      <c r="F1557" s="32">
        <f t="shared" ca="1" si="0"/>
        <v>46216</v>
      </c>
    </row>
    <row r="1558" spans="1:6" x14ac:dyDescent="0.25">
      <c r="A1558" s="9">
        <v>349</v>
      </c>
      <c r="B1558" s="33" t="s">
        <v>676</v>
      </c>
      <c r="C1558" s="19" t="s">
        <v>6</v>
      </c>
      <c r="D1558" s="19" t="s">
        <v>6</v>
      </c>
      <c r="E1558" s="12" t="s">
        <v>45</v>
      </c>
      <c r="F1558" s="32">
        <f t="shared" ca="1" si="0"/>
        <v>46237</v>
      </c>
    </row>
    <row r="1559" spans="1:6" x14ac:dyDescent="0.25">
      <c r="A1559" s="9">
        <v>350</v>
      </c>
      <c r="B1559" s="33" t="s">
        <v>825</v>
      </c>
      <c r="C1559" s="19" t="s">
        <v>6</v>
      </c>
      <c r="D1559" s="19" t="s">
        <v>6</v>
      </c>
      <c r="E1559" s="12" t="s">
        <v>150</v>
      </c>
      <c r="F1559" s="32">
        <f t="shared" ca="1" si="0"/>
        <v>46237</v>
      </c>
    </row>
    <row r="1560" spans="1:6" x14ac:dyDescent="0.25">
      <c r="A1560" s="9">
        <v>351</v>
      </c>
      <c r="B1560" s="33" t="s">
        <v>271</v>
      </c>
      <c r="C1560" s="19" t="s">
        <v>6</v>
      </c>
      <c r="D1560" s="19" t="s">
        <v>6</v>
      </c>
      <c r="E1560" s="12" t="s">
        <v>45</v>
      </c>
      <c r="F1560" s="32">
        <f t="shared" ca="1" si="0"/>
        <v>46237</v>
      </c>
    </row>
    <row r="1561" spans="1:6" x14ac:dyDescent="0.25">
      <c r="A1561" s="9">
        <v>352</v>
      </c>
      <c r="B1561" s="33" t="s">
        <v>1847</v>
      </c>
      <c r="C1561" s="19" t="s">
        <v>6</v>
      </c>
      <c r="D1561" s="19" t="s">
        <v>6</v>
      </c>
      <c r="E1561" s="12" t="s">
        <v>45</v>
      </c>
      <c r="F1561" s="32">
        <f t="shared" ca="1" si="0"/>
        <v>46237</v>
      </c>
    </row>
    <row r="1562" spans="1:6" x14ac:dyDescent="0.25">
      <c r="A1562" s="9">
        <v>353</v>
      </c>
      <c r="B1562" s="33" t="s">
        <v>1955</v>
      </c>
      <c r="C1562" s="19" t="s">
        <v>6</v>
      </c>
      <c r="D1562" s="19" t="s">
        <v>6</v>
      </c>
      <c r="E1562" s="12" t="s">
        <v>337</v>
      </c>
      <c r="F1562" s="32">
        <f t="shared" ca="1" si="0"/>
        <v>46237</v>
      </c>
    </row>
    <row r="1563" spans="1:6" x14ac:dyDescent="0.25">
      <c r="A1563" s="9">
        <v>354</v>
      </c>
      <c r="B1563" s="33" t="s">
        <v>1956</v>
      </c>
      <c r="C1563" s="19" t="s">
        <v>6</v>
      </c>
      <c r="D1563" s="19" t="s">
        <v>6</v>
      </c>
      <c r="E1563" s="12" t="s">
        <v>337</v>
      </c>
      <c r="F1563" s="32">
        <f t="shared" ca="1" si="0"/>
        <v>46237</v>
      </c>
    </row>
    <row r="1564" spans="1:6" x14ac:dyDescent="0.25">
      <c r="A1564" s="9">
        <v>355</v>
      </c>
      <c r="B1564" s="33" t="s">
        <v>1249</v>
      </c>
      <c r="C1564" s="19" t="s">
        <v>6</v>
      </c>
      <c r="D1564" s="19" t="s">
        <v>6</v>
      </c>
      <c r="E1564" s="12" t="s">
        <v>150</v>
      </c>
      <c r="F1564" s="32">
        <f t="shared" ca="1" si="0"/>
        <v>46242</v>
      </c>
    </row>
    <row r="1565" spans="1:6" x14ac:dyDescent="0.25">
      <c r="A1565" s="9">
        <v>356</v>
      </c>
      <c r="B1565" s="8" t="s">
        <v>243</v>
      </c>
      <c r="C1565" s="19" t="s">
        <v>6</v>
      </c>
      <c r="D1565" s="19" t="s">
        <v>6</v>
      </c>
      <c r="E1565" s="12" t="s">
        <v>337</v>
      </c>
      <c r="F1565" s="32">
        <f t="shared" ca="1" si="0"/>
        <v>46242</v>
      </c>
    </row>
    <row r="1566" spans="1:6" ht="14.25" customHeight="1" x14ac:dyDescent="0.25">
      <c r="A1566" s="9">
        <v>357</v>
      </c>
      <c r="B1566" s="33" t="s">
        <v>1637</v>
      </c>
      <c r="C1566" s="19" t="s">
        <v>6</v>
      </c>
      <c r="D1566" s="19" t="s">
        <v>6</v>
      </c>
      <c r="E1566" s="12" t="s">
        <v>45</v>
      </c>
      <c r="F1566" s="32">
        <f t="shared" ref="F1566:F1572" ca="1" si="1">IF(AND(C1566="NO",D1566="NO"),IF(F1566="",TODAY(),F1566),"")</f>
        <v>46242</v>
      </c>
    </row>
    <row r="1567" spans="1:6" x14ac:dyDescent="0.25">
      <c r="A1567" s="9">
        <v>358</v>
      </c>
      <c r="B1567" s="33" t="s">
        <v>1972</v>
      </c>
      <c r="C1567" s="19" t="s">
        <v>6</v>
      </c>
      <c r="D1567" s="19" t="s">
        <v>6</v>
      </c>
      <c r="E1567" s="12" t="s">
        <v>45</v>
      </c>
      <c r="F1567" s="32">
        <f t="shared" ca="1" si="1"/>
        <v>46242</v>
      </c>
    </row>
    <row r="1568" spans="1:6" x14ac:dyDescent="0.25">
      <c r="A1568" s="9">
        <v>359</v>
      </c>
      <c r="B1568" s="33" t="s">
        <v>613</v>
      </c>
      <c r="C1568" s="19" t="s">
        <v>6</v>
      </c>
      <c r="D1568" s="19" t="s">
        <v>6</v>
      </c>
      <c r="E1568" s="12" t="s">
        <v>150</v>
      </c>
      <c r="F1568" s="32">
        <f t="shared" ca="1" si="1"/>
        <v>46242</v>
      </c>
    </row>
    <row r="1569" spans="1:9" x14ac:dyDescent="0.25">
      <c r="A1569" s="9">
        <v>360</v>
      </c>
      <c r="B1569" s="33" t="s">
        <v>1983</v>
      </c>
      <c r="C1569" s="19" t="s">
        <v>6</v>
      </c>
      <c r="D1569" s="19" t="s">
        <v>6</v>
      </c>
      <c r="E1569" s="12" t="s">
        <v>337</v>
      </c>
      <c r="F1569" s="32">
        <f t="shared" ca="1" si="1"/>
        <v>46242</v>
      </c>
      <c r="G1569" s="130"/>
    </row>
    <row r="1570" spans="1:9" x14ac:dyDescent="0.25">
      <c r="A1570" s="9">
        <v>361</v>
      </c>
      <c r="B1570" s="33" t="s">
        <v>1984</v>
      </c>
      <c r="C1570" s="19" t="s">
        <v>6</v>
      </c>
      <c r="D1570" s="19" t="s">
        <v>6</v>
      </c>
      <c r="E1570" s="12" t="s">
        <v>337</v>
      </c>
      <c r="F1570" s="32">
        <f t="shared" ca="1" si="1"/>
        <v>46242</v>
      </c>
    </row>
    <row r="1571" spans="1:9" x14ac:dyDescent="0.25">
      <c r="A1571" s="9">
        <v>362</v>
      </c>
      <c r="B1571" s="33" t="s">
        <v>920</v>
      </c>
      <c r="C1571" s="19" t="s">
        <v>6</v>
      </c>
      <c r="D1571" s="19" t="s">
        <v>6</v>
      </c>
      <c r="E1571" s="79" t="s">
        <v>45</v>
      </c>
      <c r="F1571" s="32">
        <f t="shared" ca="1" si="1"/>
        <v>46245</v>
      </c>
      <c r="G1571" s="125"/>
      <c r="I1571" s="147"/>
    </row>
    <row r="1572" spans="1:9" x14ac:dyDescent="0.25">
      <c r="A1572" s="9">
        <v>363</v>
      </c>
      <c r="B1572" s="17" t="s">
        <v>317</v>
      </c>
      <c r="C1572" s="19" t="s">
        <v>6</v>
      </c>
      <c r="D1572" s="19" t="s">
        <v>6</v>
      </c>
      <c r="E1572" s="12" t="s">
        <v>45</v>
      </c>
      <c r="F1572" s="32">
        <f t="shared" ca="1" si="1"/>
        <v>46245</v>
      </c>
      <c r="G1572" s="125"/>
    </row>
    <row r="1573" spans="1:9" x14ac:dyDescent="0.25">
      <c r="A1573" s="9">
        <v>364</v>
      </c>
      <c r="B1573" s="33" t="s">
        <v>1986</v>
      </c>
      <c r="C1573" s="19" t="s">
        <v>6</v>
      </c>
      <c r="D1573" s="19" t="s">
        <v>6</v>
      </c>
      <c r="E1573" s="12" t="s">
        <v>337</v>
      </c>
      <c r="F1573" s="32">
        <f ca="1">IF(AND(C1573="NO",D1573="NO"),IF(F1573="",TODAY(),F1573),"")</f>
        <v>46242</v>
      </c>
    </row>
    <row r="1574" spans="1:9" x14ac:dyDescent="0.25">
      <c r="A1574" s="9">
        <v>365</v>
      </c>
      <c r="B1574" s="33" t="s">
        <v>671</v>
      </c>
      <c r="C1574" s="19" t="s">
        <v>6</v>
      </c>
      <c r="D1574" s="19" t="s">
        <v>6</v>
      </c>
      <c r="E1574" s="12" t="s">
        <v>45</v>
      </c>
      <c r="F1574" s="32">
        <f t="shared" ref="F1574:F1580" ca="1" si="2">IF(AND(C1574="NO",D1574="NO"),IF(F1574="",TODAY(),F1574),"")</f>
        <v>46245</v>
      </c>
    </row>
    <row r="1575" spans="1:9" x14ac:dyDescent="0.25">
      <c r="A1575" s="9">
        <v>366</v>
      </c>
      <c r="B1575" s="33" t="s">
        <v>1768</v>
      </c>
      <c r="C1575" s="19" t="s">
        <v>6</v>
      </c>
      <c r="D1575" s="19" t="s">
        <v>6</v>
      </c>
      <c r="E1575" s="12" t="s">
        <v>45</v>
      </c>
      <c r="F1575" s="32">
        <f t="shared" ca="1" si="2"/>
        <v>46245</v>
      </c>
    </row>
    <row r="1576" spans="1:9" x14ac:dyDescent="0.25">
      <c r="A1576" s="9">
        <v>367</v>
      </c>
      <c r="B1576" s="33" t="s">
        <v>2021</v>
      </c>
      <c r="C1576" s="19" t="s">
        <v>6</v>
      </c>
      <c r="D1576" s="19" t="s">
        <v>6</v>
      </c>
      <c r="E1576" s="12" t="s">
        <v>337</v>
      </c>
      <c r="F1576" s="32">
        <f t="shared" ca="1" si="2"/>
        <v>46245</v>
      </c>
    </row>
    <row r="1577" spans="1:9" x14ac:dyDescent="0.25">
      <c r="A1577" s="9">
        <v>368</v>
      </c>
      <c r="B1577" s="33" t="s">
        <v>1449</v>
      </c>
      <c r="C1577" s="19" t="s">
        <v>6</v>
      </c>
      <c r="D1577" s="19" t="s">
        <v>6</v>
      </c>
      <c r="E1577" s="12" t="s">
        <v>45</v>
      </c>
      <c r="F1577" s="32">
        <f t="shared" ca="1" si="2"/>
        <v>46245</v>
      </c>
    </row>
    <row r="1578" spans="1:9" x14ac:dyDescent="0.25">
      <c r="A1578" s="9">
        <v>369</v>
      </c>
      <c r="B1578" s="8" t="s">
        <v>245</v>
      </c>
      <c r="C1578" s="19" t="s">
        <v>6</v>
      </c>
      <c r="D1578" s="19" t="s">
        <v>6</v>
      </c>
      <c r="E1578" s="12" t="s">
        <v>258</v>
      </c>
      <c r="F1578" s="32">
        <f t="shared" ca="1" si="2"/>
        <v>46245</v>
      </c>
    </row>
    <row r="1579" spans="1:9" x14ac:dyDescent="0.25">
      <c r="A1579" s="9">
        <v>370</v>
      </c>
      <c r="B1579" s="33" t="s">
        <v>1839</v>
      </c>
      <c r="C1579" s="19" t="s">
        <v>6</v>
      </c>
      <c r="D1579" s="19" t="s">
        <v>6</v>
      </c>
      <c r="E1579" s="12" t="s">
        <v>337</v>
      </c>
      <c r="F1579" s="32">
        <f t="shared" ca="1" si="2"/>
        <v>46245</v>
      </c>
    </row>
    <row r="1580" spans="1:9" x14ac:dyDescent="0.25">
      <c r="A1580" s="9">
        <v>371</v>
      </c>
      <c r="B1580" s="33" t="s">
        <v>2022</v>
      </c>
      <c r="C1580" s="19" t="s">
        <v>6</v>
      </c>
      <c r="D1580" s="19" t="s">
        <v>6</v>
      </c>
      <c r="E1580" s="12" t="s">
        <v>337</v>
      </c>
      <c r="F1580" s="32">
        <f t="shared" ca="1" si="2"/>
        <v>46245</v>
      </c>
    </row>
    <row r="1581" spans="1:9" x14ac:dyDescent="0.25">
      <c r="A1581" s="9">
        <v>372</v>
      </c>
      <c r="B1581" s="17" t="s">
        <v>1493</v>
      </c>
      <c r="C1581" s="19" t="s">
        <v>6</v>
      </c>
      <c r="D1581" s="19" t="s">
        <v>6</v>
      </c>
      <c r="E1581" s="82" t="s">
        <v>45</v>
      </c>
      <c r="F1581" s="93">
        <v>46152</v>
      </c>
    </row>
    <row r="1582" spans="1:9" x14ac:dyDescent="0.25">
      <c r="A1582" s="9">
        <v>373</v>
      </c>
      <c r="B1582" s="17" t="s">
        <v>1125</v>
      </c>
      <c r="C1582" s="19" t="s">
        <v>6</v>
      </c>
      <c r="D1582" s="19" t="s">
        <v>6</v>
      </c>
      <c r="E1582" s="85" t="s">
        <v>45</v>
      </c>
      <c r="F1582" s="93">
        <v>46159</v>
      </c>
    </row>
    <row r="1583" spans="1:9" x14ac:dyDescent="0.25">
      <c r="A1583" s="9">
        <v>374</v>
      </c>
      <c r="B1583" s="17" t="s">
        <v>1124</v>
      </c>
      <c r="C1583" s="19" t="s">
        <v>6</v>
      </c>
      <c r="D1583" s="19" t="s">
        <v>6</v>
      </c>
      <c r="E1583" s="82" t="s">
        <v>45</v>
      </c>
      <c r="F1583" s="93">
        <v>46159</v>
      </c>
    </row>
    <row r="1584" spans="1:9" x14ac:dyDescent="0.25">
      <c r="A1584" s="9">
        <v>375</v>
      </c>
      <c r="B1584" s="17" t="s">
        <v>1073</v>
      </c>
      <c r="C1584" s="19" t="s">
        <v>6</v>
      </c>
      <c r="D1584" s="19" t="s">
        <v>6</v>
      </c>
      <c r="E1584" s="85" t="s">
        <v>45</v>
      </c>
      <c r="F1584" s="93">
        <v>46061</v>
      </c>
    </row>
    <row r="1585" spans="1:6" x14ac:dyDescent="0.25">
      <c r="A1585" s="9">
        <v>376</v>
      </c>
      <c r="B1585" s="17" t="s">
        <v>1033</v>
      </c>
      <c r="C1585" s="19" t="s">
        <v>6</v>
      </c>
      <c r="D1585" s="19" t="s">
        <v>6</v>
      </c>
      <c r="E1585" s="85" t="s">
        <v>45</v>
      </c>
      <c r="F1585" s="93">
        <v>46075</v>
      </c>
    </row>
    <row r="1586" spans="1:6" x14ac:dyDescent="0.25">
      <c r="A1586" s="9">
        <v>377</v>
      </c>
      <c r="B1586" s="42" t="s">
        <v>1262</v>
      </c>
      <c r="C1586" s="19" t="s">
        <v>6</v>
      </c>
      <c r="D1586" s="19" t="s">
        <v>6</v>
      </c>
      <c r="E1586" s="79" t="s">
        <v>45</v>
      </c>
      <c r="F1586" s="93">
        <v>46075</v>
      </c>
    </row>
    <row r="1587" spans="1:6" x14ac:dyDescent="0.25">
      <c r="A1587" s="9">
        <v>378</v>
      </c>
      <c r="B1587" s="17" t="s">
        <v>1161</v>
      </c>
      <c r="C1587" s="19" t="s">
        <v>6</v>
      </c>
      <c r="D1587" s="19" t="s">
        <v>6</v>
      </c>
      <c r="E1587" s="85" t="s">
        <v>45</v>
      </c>
      <c r="F1587" s="93">
        <v>46075</v>
      </c>
    </row>
    <row r="1588" spans="1:6" x14ac:dyDescent="0.25">
      <c r="A1588" s="9">
        <v>379</v>
      </c>
      <c r="B1588" s="17" t="s">
        <v>1028</v>
      </c>
      <c r="C1588" s="19" t="s">
        <v>6</v>
      </c>
      <c r="D1588" s="19" t="s">
        <v>6</v>
      </c>
      <c r="E1588" s="79" t="s">
        <v>45</v>
      </c>
      <c r="F1588" s="93">
        <v>46075</v>
      </c>
    </row>
    <row r="1589" spans="1:6" x14ac:dyDescent="0.25">
      <c r="A1589" s="9">
        <v>380</v>
      </c>
      <c r="B1589" s="17" t="s">
        <v>663</v>
      </c>
      <c r="C1589" s="19" t="s">
        <v>6</v>
      </c>
      <c r="D1589" s="19" t="s">
        <v>6</v>
      </c>
      <c r="E1589" s="79" t="s">
        <v>45</v>
      </c>
      <c r="F1589" s="93">
        <v>46095</v>
      </c>
    </row>
    <row r="1590" spans="1:6" x14ac:dyDescent="0.25">
      <c r="A1590" s="9">
        <v>381</v>
      </c>
      <c r="B1590" s="17" t="s">
        <v>1397</v>
      </c>
      <c r="C1590" s="19" t="s">
        <v>6</v>
      </c>
      <c r="D1590" s="19" t="s">
        <v>6</v>
      </c>
      <c r="E1590" s="79" t="s">
        <v>45</v>
      </c>
      <c r="F1590" s="93">
        <v>46089</v>
      </c>
    </row>
    <row r="1591" spans="1:6" x14ac:dyDescent="0.25">
      <c r="A1591" s="9">
        <v>382</v>
      </c>
      <c r="B1591" s="48" t="s">
        <v>1484</v>
      </c>
      <c r="C1591" s="19" t="s">
        <v>6</v>
      </c>
      <c r="D1591" s="19" t="s">
        <v>6</v>
      </c>
      <c r="E1591" s="85" t="s">
        <v>45</v>
      </c>
      <c r="F1591" s="93">
        <v>46089</v>
      </c>
    </row>
    <row r="1592" spans="1:6" x14ac:dyDescent="0.25">
      <c r="A1592" s="9">
        <v>383</v>
      </c>
      <c r="B1592" s="48" t="s">
        <v>1485</v>
      </c>
      <c r="C1592" s="19" t="s">
        <v>6</v>
      </c>
      <c r="D1592" s="19" t="s">
        <v>6</v>
      </c>
      <c r="E1592" s="85" t="s">
        <v>45</v>
      </c>
      <c r="F1592" s="93">
        <v>46089</v>
      </c>
    </row>
    <row r="1593" spans="1:6" x14ac:dyDescent="0.25">
      <c r="A1593" s="9">
        <v>384</v>
      </c>
      <c r="B1593" s="48" t="s">
        <v>1486</v>
      </c>
      <c r="C1593" s="19" t="s">
        <v>6</v>
      </c>
      <c r="D1593" s="19" t="s">
        <v>6</v>
      </c>
      <c r="E1593" s="85" t="s">
        <v>45</v>
      </c>
      <c r="F1593" s="93">
        <v>46089</v>
      </c>
    </row>
    <row r="1594" spans="1:6" x14ac:dyDescent="0.25">
      <c r="A1594" s="9">
        <v>385</v>
      </c>
      <c r="B1594" s="17" t="s">
        <v>1458</v>
      </c>
      <c r="C1594" s="19" t="s">
        <v>6</v>
      </c>
      <c r="D1594" s="19" t="s">
        <v>6</v>
      </c>
      <c r="E1594" s="79" t="s">
        <v>45</v>
      </c>
      <c r="F1594" s="93">
        <v>46089</v>
      </c>
    </row>
    <row r="1595" spans="1:6" x14ac:dyDescent="0.25">
      <c r="A1595" s="9">
        <v>386</v>
      </c>
      <c r="B1595" s="17" t="s">
        <v>1124</v>
      </c>
      <c r="C1595" s="19" t="s">
        <v>6</v>
      </c>
      <c r="D1595" s="19" t="s">
        <v>6</v>
      </c>
      <c r="E1595" s="79" t="s">
        <v>45</v>
      </c>
      <c r="F1595" s="93">
        <v>46095</v>
      </c>
    </row>
    <row r="1596" spans="1:6" x14ac:dyDescent="0.25">
      <c r="A1596" s="9">
        <v>387</v>
      </c>
      <c r="B1596" s="17" t="s">
        <v>1470</v>
      </c>
      <c r="C1596" s="19" t="s">
        <v>6</v>
      </c>
      <c r="D1596" s="19" t="s">
        <v>6</v>
      </c>
      <c r="E1596" s="79" t="s">
        <v>45</v>
      </c>
      <c r="F1596" s="93">
        <v>46095</v>
      </c>
    </row>
    <row r="1597" spans="1:6" x14ac:dyDescent="0.25">
      <c r="A1597" s="9">
        <v>388</v>
      </c>
      <c r="B1597" s="8" t="s">
        <v>291</v>
      </c>
      <c r="C1597" s="19" t="s">
        <v>6</v>
      </c>
      <c r="D1597" s="19" t="s">
        <v>6</v>
      </c>
      <c r="E1597" s="81" t="s">
        <v>45</v>
      </c>
      <c r="F1597" s="93">
        <v>46104</v>
      </c>
    </row>
    <row r="1598" spans="1:6" x14ac:dyDescent="0.25">
      <c r="A1598" s="9">
        <v>389</v>
      </c>
      <c r="B1598" s="17" t="s">
        <v>1163</v>
      </c>
      <c r="C1598" s="19" t="s">
        <v>6</v>
      </c>
      <c r="D1598" s="19" t="s">
        <v>6</v>
      </c>
      <c r="E1598" s="79" t="s">
        <v>45</v>
      </c>
      <c r="F1598" s="93">
        <v>46104</v>
      </c>
    </row>
    <row r="1599" spans="1:6" x14ac:dyDescent="0.25">
      <c r="A1599" s="9">
        <v>390</v>
      </c>
      <c r="B1599" s="17" t="s">
        <v>1160</v>
      </c>
      <c r="C1599" s="19" t="s">
        <v>6</v>
      </c>
      <c r="D1599" s="19" t="s">
        <v>6</v>
      </c>
      <c r="E1599" s="79" t="s">
        <v>45</v>
      </c>
      <c r="F1599" s="93">
        <v>46104</v>
      </c>
    </row>
    <row r="1600" spans="1:6" x14ac:dyDescent="0.25">
      <c r="A1600" s="9">
        <v>391</v>
      </c>
      <c r="B1600" s="17" t="s">
        <v>1510</v>
      </c>
      <c r="C1600" s="19" t="s">
        <v>6</v>
      </c>
      <c r="D1600" s="19" t="s">
        <v>6</v>
      </c>
      <c r="E1600" s="79" t="s">
        <v>45</v>
      </c>
      <c r="F1600" s="93">
        <v>46104</v>
      </c>
    </row>
    <row r="1601" spans="1:6" x14ac:dyDescent="0.25">
      <c r="A1601" s="9">
        <v>392</v>
      </c>
      <c r="B1601" s="17" t="s">
        <v>255</v>
      </c>
      <c r="C1601" s="19" t="s">
        <v>6</v>
      </c>
      <c r="D1601" s="19" t="s">
        <v>6</v>
      </c>
      <c r="E1601" s="79" t="s">
        <v>45</v>
      </c>
      <c r="F1601" s="93">
        <v>46104</v>
      </c>
    </row>
    <row r="1602" spans="1:6" x14ac:dyDescent="0.25">
      <c r="A1602" s="9">
        <v>393</v>
      </c>
      <c r="B1602" s="17" t="s">
        <v>1538</v>
      </c>
      <c r="C1602" s="19" t="s">
        <v>6</v>
      </c>
      <c r="D1602" s="19" t="s">
        <v>6</v>
      </c>
      <c r="E1602" s="79" t="s">
        <v>45</v>
      </c>
      <c r="F1602" s="93">
        <v>46104</v>
      </c>
    </row>
    <row r="1603" spans="1:6" x14ac:dyDescent="0.25">
      <c r="A1603" s="9">
        <v>394</v>
      </c>
      <c r="B1603" s="17" t="s">
        <v>1551</v>
      </c>
      <c r="C1603" s="19" t="s">
        <v>6</v>
      </c>
      <c r="D1603" s="19" t="s">
        <v>6</v>
      </c>
      <c r="E1603" s="79" t="s">
        <v>45</v>
      </c>
      <c r="F1603" s="93">
        <v>46104</v>
      </c>
    </row>
    <row r="1604" spans="1:6" x14ac:dyDescent="0.25">
      <c r="A1604" s="9">
        <v>395</v>
      </c>
      <c r="B1604" s="17" t="s">
        <v>1552</v>
      </c>
      <c r="C1604" s="19" t="s">
        <v>6</v>
      </c>
      <c r="D1604" s="19" t="s">
        <v>6</v>
      </c>
      <c r="E1604" s="79" t="s">
        <v>45</v>
      </c>
      <c r="F1604" s="93">
        <v>46104</v>
      </c>
    </row>
    <row r="1605" spans="1:6" x14ac:dyDescent="0.25">
      <c r="A1605" s="9">
        <v>396</v>
      </c>
      <c r="B1605" s="17" t="s">
        <v>1369</v>
      </c>
      <c r="C1605" s="19" t="s">
        <v>6</v>
      </c>
      <c r="D1605" s="19" t="s">
        <v>6</v>
      </c>
      <c r="E1605" s="79" t="s">
        <v>45</v>
      </c>
      <c r="F1605" s="93">
        <v>46131</v>
      </c>
    </row>
    <row r="1606" spans="1:6" x14ac:dyDescent="0.25">
      <c r="A1606" s="9">
        <v>397</v>
      </c>
      <c r="B1606" s="8" t="s">
        <v>374</v>
      </c>
      <c r="C1606" s="19" t="s">
        <v>6</v>
      </c>
      <c r="D1606" s="19" t="s">
        <v>6</v>
      </c>
      <c r="E1606" s="82" t="s">
        <v>45</v>
      </c>
      <c r="F1606" s="93">
        <v>46131</v>
      </c>
    </row>
    <row r="1607" spans="1:6" x14ac:dyDescent="0.25">
      <c r="A1607" s="9">
        <v>398</v>
      </c>
      <c r="B1607" s="8" t="s">
        <v>929</v>
      </c>
      <c r="C1607" s="19" t="s">
        <v>6</v>
      </c>
      <c r="D1607" s="19" t="s">
        <v>6</v>
      </c>
      <c r="E1607" s="82" t="s">
        <v>45</v>
      </c>
      <c r="F1607" s="93">
        <v>46131</v>
      </c>
    </row>
    <row r="1608" spans="1:6" x14ac:dyDescent="0.25">
      <c r="A1608" s="9">
        <v>399</v>
      </c>
      <c r="B1608" s="17" t="s">
        <v>1438</v>
      </c>
      <c r="C1608" s="19" t="s">
        <v>6</v>
      </c>
      <c r="D1608" s="19" t="s">
        <v>6</v>
      </c>
      <c r="E1608" s="79" t="s">
        <v>45</v>
      </c>
      <c r="F1608" s="93">
        <v>46131</v>
      </c>
    </row>
    <row r="1609" spans="1:6" x14ac:dyDescent="0.25">
      <c r="A1609" s="9">
        <v>400</v>
      </c>
      <c r="B1609" s="17" t="s">
        <v>1437</v>
      </c>
      <c r="C1609" s="19" t="s">
        <v>6</v>
      </c>
      <c r="D1609" s="19" t="s">
        <v>6</v>
      </c>
      <c r="E1609" s="79" t="s">
        <v>45</v>
      </c>
      <c r="F1609" s="93">
        <v>46131</v>
      </c>
    </row>
    <row r="1610" spans="1:6" x14ac:dyDescent="0.25">
      <c r="A1610" s="9">
        <v>401</v>
      </c>
      <c r="B1610" s="17" t="s">
        <v>1502</v>
      </c>
      <c r="C1610" s="19" t="s">
        <v>6</v>
      </c>
      <c r="D1610" s="19" t="s">
        <v>6</v>
      </c>
      <c r="E1610" s="79" t="s">
        <v>45</v>
      </c>
      <c r="F1610" s="93">
        <v>46131</v>
      </c>
    </row>
    <row r="1611" spans="1:6" x14ac:dyDescent="0.25">
      <c r="A1611" s="9">
        <v>402</v>
      </c>
      <c r="B1611" s="17" t="s">
        <v>1079</v>
      </c>
      <c r="C1611" s="19" t="s">
        <v>6</v>
      </c>
      <c r="D1611" s="19" t="s">
        <v>6</v>
      </c>
      <c r="E1611" s="85" t="s">
        <v>45</v>
      </c>
      <c r="F1611" s="93">
        <v>46131</v>
      </c>
    </row>
    <row r="1612" spans="1:6" x14ac:dyDescent="0.25">
      <c r="A1612" s="9">
        <v>403</v>
      </c>
      <c r="B1612" s="17" t="s">
        <v>1556</v>
      </c>
      <c r="C1612" s="19" t="s">
        <v>6</v>
      </c>
      <c r="D1612" s="19" t="s">
        <v>6</v>
      </c>
      <c r="E1612" s="79" t="s">
        <v>45</v>
      </c>
      <c r="F1612" s="93">
        <v>46131</v>
      </c>
    </row>
    <row r="1613" spans="1:6" x14ac:dyDescent="0.25">
      <c r="A1613" s="9">
        <v>404</v>
      </c>
      <c r="B1613" s="17" t="s">
        <v>583</v>
      </c>
      <c r="C1613" s="19" t="s">
        <v>6</v>
      </c>
      <c r="D1613" s="19" t="s">
        <v>6</v>
      </c>
      <c r="E1613" s="79" t="s">
        <v>45</v>
      </c>
      <c r="F1613" s="93">
        <v>46131</v>
      </c>
    </row>
    <row r="1614" spans="1:6" x14ac:dyDescent="0.25">
      <c r="A1614" s="9">
        <v>405</v>
      </c>
      <c r="B1614" s="17" t="s">
        <v>1588</v>
      </c>
      <c r="C1614" s="19" t="s">
        <v>6</v>
      </c>
      <c r="D1614" s="19" t="s">
        <v>6</v>
      </c>
      <c r="E1614" s="79" t="s">
        <v>45</v>
      </c>
      <c r="F1614" s="93">
        <v>46131</v>
      </c>
    </row>
    <row r="1615" spans="1:6" x14ac:dyDescent="0.25">
      <c r="A1615" s="9">
        <v>406</v>
      </c>
      <c r="B1615" s="17" t="s">
        <v>1601</v>
      </c>
      <c r="C1615" s="19" t="s">
        <v>6</v>
      </c>
      <c r="D1615" s="19" t="s">
        <v>6</v>
      </c>
      <c r="E1615" s="79" t="s">
        <v>45</v>
      </c>
      <c r="F1615" s="93">
        <v>46131</v>
      </c>
    </row>
    <row r="1616" spans="1:6" x14ac:dyDescent="0.25">
      <c r="A1616" s="9">
        <v>407</v>
      </c>
      <c r="B1616" s="8" t="s">
        <v>1681</v>
      </c>
      <c r="C1616" s="19" t="s">
        <v>6</v>
      </c>
      <c r="D1616" s="19" t="s">
        <v>6</v>
      </c>
      <c r="E1616" s="12" t="s">
        <v>45</v>
      </c>
      <c r="F1616" s="105">
        <v>46166</v>
      </c>
    </row>
    <row r="1617" spans="1:6" x14ac:dyDescent="0.25">
      <c r="A1617" s="9">
        <v>408</v>
      </c>
      <c r="B1617" s="17" t="s">
        <v>1535</v>
      </c>
      <c r="C1617" s="19" t="s">
        <v>6</v>
      </c>
      <c r="D1617" s="19" t="s">
        <v>6</v>
      </c>
      <c r="E1617" s="20" t="s">
        <v>45</v>
      </c>
      <c r="F1617" s="105">
        <v>46166</v>
      </c>
    </row>
    <row r="1618" spans="1:6" x14ac:dyDescent="0.25">
      <c r="A1618" s="9">
        <v>409</v>
      </c>
      <c r="B1618" s="17" t="s">
        <v>1638</v>
      </c>
      <c r="C1618" s="19" t="s">
        <v>6</v>
      </c>
      <c r="D1618" s="19" t="s">
        <v>6</v>
      </c>
      <c r="E1618" s="12" t="s">
        <v>45</v>
      </c>
      <c r="F1618" s="105">
        <v>46166</v>
      </c>
    </row>
    <row r="1619" spans="1:6" x14ac:dyDescent="0.25">
      <c r="A1619" s="9">
        <v>410</v>
      </c>
      <c r="B1619" s="17" t="s">
        <v>1534</v>
      </c>
      <c r="C1619" s="19" t="s">
        <v>6</v>
      </c>
      <c r="D1619" s="19" t="s">
        <v>6</v>
      </c>
      <c r="E1619" s="14" t="s">
        <v>45</v>
      </c>
      <c r="F1619" s="105">
        <v>46173</v>
      </c>
    </row>
    <row r="1620" spans="1:6" x14ac:dyDescent="0.25">
      <c r="A1620" s="9">
        <v>411</v>
      </c>
      <c r="B1620" s="17" t="s">
        <v>664</v>
      </c>
      <c r="C1620" s="19" t="s">
        <v>6</v>
      </c>
      <c r="D1620" s="19" t="s">
        <v>6</v>
      </c>
      <c r="E1620" s="20" t="s">
        <v>45</v>
      </c>
      <c r="F1620" s="105">
        <v>46173</v>
      </c>
    </row>
    <row r="1621" spans="1:6" x14ac:dyDescent="0.25">
      <c r="A1621" s="9">
        <v>412</v>
      </c>
      <c r="B1621" s="17" t="s">
        <v>899</v>
      </c>
      <c r="C1621" s="19" t="s">
        <v>6</v>
      </c>
      <c r="D1621" s="19" t="s">
        <v>6</v>
      </c>
      <c r="E1621" s="12" t="s">
        <v>45</v>
      </c>
      <c r="F1621" s="105">
        <v>46173</v>
      </c>
    </row>
    <row r="1622" spans="1:6" x14ac:dyDescent="0.25">
      <c r="A1622" s="9">
        <v>413</v>
      </c>
      <c r="B1622" s="17" t="s">
        <v>1623</v>
      </c>
      <c r="C1622" s="19" t="s">
        <v>6</v>
      </c>
      <c r="D1622" s="19" t="s">
        <v>6</v>
      </c>
      <c r="E1622" s="12" t="s">
        <v>45</v>
      </c>
      <c r="F1622" s="105">
        <v>46173</v>
      </c>
    </row>
    <row r="1623" spans="1:6" x14ac:dyDescent="0.25">
      <c r="A1623" s="9">
        <v>414</v>
      </c>
      <c r="B1623" s="17" t="s">
        <v>1624</v>
      </c>
      <c r="C1623" s="19" t="s">
        <v>6</v>
      </c>
      <c r="D1623" s="19" t="s">
        <v>6</v>
      </c>
      <c r="E1623" s="12" t="s">
        <v>45</v>
      </c>
      <c r="F1623" s="105">
        <v>46173</v>
      </c>
    </row>
    <row r="1624" spans="1:6" x14ac:dyDescent="0.25">
      <c r="A1624" s="9">
        <v>415</v>
      </c>
      <c r="B1624" s="17" t="s">
        <v>1538</v>
      </c>
      <c r="C1624" s="19" t="s">
        <v>6</v>
      </c>
      <c r="D1624" s="19" t="s">
        <v>6</v>
      </c>
      <c r="E1624" s="12" t="s">
        <v>45</v>
      </c>
      <c r="F1624" s="105">
        <v>46173</v>
      </c>
    </row>
    <row r="1625" spans="1:6" x14ac:dyDescent="0.25">
      <c r="A1625" s="9">
        <v>416</v>
      </c>
      <c r="B1625" s="17" t="s">
        <v>1509</v>
      </c>
      <c r="C1625" s="19" t="s">
        <v>6</v>
      </c>
      <c r="D1625" s="19" t="s">
        <v>6</v>
      </c>
      <c r="E1625" s="20" t="s">
        <v>45</v>
      </c>
      <c r="F1625" s="105">
        <v>46173</v>
      </c>
    </row>
    <row r="1626" spans="1:6" x14ac:dyDescent="0.25">
      <c r="A1626" s="9">
        <v>417</v>
      </c>
      <c r="B1626" s="17" t="s">
        <v>1650</v>
      </c>
      <c r="C1626" s="19" t="s">
        <v>6</v>
      </c>
      <c r="D1626" s="19" t="s">
        <v>6</v>
      </c>
      <c r="E1626" s="12" t="s">
        <v>45</v>
      </c>
      <c r="F1626" s="105">
        <v>46173</v>
      </c>
    </row>
    <row r="1627" spans="1:6" x14ac:dyDescent="0.25">
      <c r="A1627" s="9">
        <v>418</v>
      </c>
      <c r="B1627" s="17" t="s">
        <v>1651</v>
      </c>
      <c r="C1627" s="19" t="s">
        <v>6</v>
      </c>
      <c r="D1627" s="19" t="s">
        <v>6</v>
      </c>
      <c r="E1627" s="12" t="s">
        <v>45</v>
      </c>
      <c r="F1627" s="105">
        <v>46173</v>
      </c>
    </row>
    <row r="1628" spans="1:6" x14ac:dyDescent="0.25">
      <c r="A1628" s="9">
        <v>419</v>
      </c>
      <c r="B1628" s="17" t="s">
        <v>1682</v>
      </c>
      <c r="C1628" s="19" t="s">
        <v>6</v>
      </c>
      <c r="D1628" s="19" t="s">
        <v>6</v>
      </c>
      <c r="E1628" s="12" t="s">
        <v>45</v>
      </c>
      <c r="F1628" s="105">
        <v>46173</v>
      </c>
    </row>
    <row r="1629" spans="1:6" x14ac:dyDescent="0.25">
      <c r="A1629" s="9">
        <v>420</v>
      </c>
      <c r="B1629" s="33" t="s">
        <v>1433</v>
      </c>
      <c r="C1629" s="19" t="s">
        <v>6</v>
      </c>
      <c r="D1629" s="19" t="s">
        <v>6</v>
      </c>
      <c r="E1629" s="12" t="s">
        <v>45</v>
      </c>
      <c r="F1629" s="32">
        <f t="shared" ref="F1629:F1642" ca="1" si="3">IF(AND(C1629="NO",D1629="NO"),IF(F1629="",TODAY(),F1629),"")</f>
        <v>46202</v>
      </c>
    </row>
    <row r="1630" spans="1:6" x14ac:dyDescent="0.25">
      <c r="A1630" s="9">
        <v>421</v>
      </c>
      <c r="B1630" s="33" t="s">
        <v>437</v>
      </c>
      <c r="C1630" s="19" t="s">
        <v>6</v>
      </c>
      <c r="D1630" s="19" t="s">
        <v>6</v>
      </c>
      <c r="E1630" s="12" t="s">
        <v>45</v>
      </c>
      <c r="F1630" s="32">
        <f t="shared" ca="1" si="3"/>
        <v>46202</v>
      </c>
    </row>
    <row r="1631" spans="1:6" x14ac:dyDescent="0.25">
      <c r="A1631" s="9">
        <v>422</v>
      </c>
      <c r="B1631" s="17" t="s">
        <v>1780</v>
      </c>
      <c r="C1631" s="19" t="s">
        <v>6</v>
      </c>
      <c r="D1631" s="19" t="s">
        <v>6</v>
      </c>
      <c r="E1631" s="12" t="s">
        <v>45</v>
      </c>
      <c r="F1631" s="32">
        <f t="shared" ca="1" si="3"/>
        <v>46202</v>
      </c>
    </row>
    <row r="1632" spans="1:6" x14ac:dyDescent="0.25">
      <c r="A1632" s="9">
        <v>423</v>
      </c>
      <c r="B1632" s="17" t="s">
        <v>970</v>
      </c>
      <c r="C1632" s="19" t="s">
        <v>6</v>
      </c>
      <c r="D1632" s="19" t="s">
        <v>6</v>
      </c>
      <c r="E1632" s="12" t="s">
        <v>45</v>
      </c>
      <c r="F1632" s="32">
        <f t="shared" ca="1" si="3"/>
        <v>46216</v>
      </c>
    </row>
    <row r="1633" spans="1:6" x14ac:dyDescent="0.25">
      <c r="A1633" s="9">
        <v>424</v>
      </c>
      <c r="B1633" s="17" t="s">
        <v>1894</v>
      </c>
      <c r="C1633" s="19" t="s">
        <v>6</v>
      </c>
      <c r="D1633" s="19" t="s">
        <v>6</v>
      </c>
      <c r="E1633" s="12" t="s">
        <v>337</v>
      </c>
      <c r="F1633" s="32">
        <f t="shared" ca="1" si="3"/>
        <v>46237</v>
      </c>
    </row>
    <row r="1634" spans="1:6" x14ac:dyDescent="0.25">
      <c r="A1634" s="9">
        <v>425</v>
      </c>
      <c r="B1634" s="17" t="s">
        <v>1895</v>
      </c>
      <c r="C1634" s="19" t="s">
        <v>6</v>
      </c>
      <c r="D1634" s="19" t="s">
        <v>6</v>
      </c>
      <c r="E1634" s="12" t="s">
        <v>337</v>
      </c>
      <c r="F1634" s="32">
        <f t="shared" ca="1" si="3"/>
        <v>46237</v>
      </c>
    </row>
    <row r="1635" spans="1:6" x14ac:dyDescent="0.25">
      <c r="A1635" s="9">
        <v>426</v>
      </c>
      <c r="B1635" s="17" t="s">
        <v>1942</v>
      </c>
      <c r="C1635" s="19" t="s">
        <v>6</v>
      </c>
      <c r="D1635" s="19" t="s">
        <v>6</v>
      </c>
      <c r="E1635" s="12" t="s">
        <v>337</v>
      </c>
      <c r="F1635" s="32">
        <f t="shared" ca="1" si="3"/>
        <v>46237</v>
      </c>
    </row>
    <row r="1636" spans="1:6" x14ac:dyDescent="0.25">
      <c r="A1636" s="9">
        <v>427</v>
      </c>
      <c r="B1636" s="17" t="s">
        <v>1943</v>
      </c>
      <c r="C1636" s="19" t="s">
        <v>6</v>
      </c>
      <c r="D1636" s="19" t="s">
        <v>6</v>
      </c>
      <c r="E1636" s="12" t="s">
        <v>337</v>
      </c>
      <c r="F1636" s="32">
        <f t="shared" ca="1" si="3"/>
        <v>46237</v>
      </c>
    </row>
    <row r="1637" spans="1:6" x14ac:dyDescent="0.25">
      <c r="A1637" s="9">
        <v>428</v>
      </c>
      <c r="B1637" s="17" t="s">
        <v>1945</v>
      </c>
      <c r="C1637" s="19" t="s">
        <v>6</v>
      </c>
      <c r="D1637" s="19" t="s">
        <v>6</v>
      </c>
      <c r="E1637" s="12" t="s">
        <v>337</v>
      </c>
      <c r="F1637" s="32">
        <f t="shared" ca="1" si="3"/>
        <v>46237</v>
      </c>
    </row>
    <row r="1638" spans="1:6" x14ac:dyDescent="0.25">
      <c r="A1638" s="9">
        <v>429</v>
      </c>
      <c r="B1638" s="17" t="s">
        <v>1944</v>
      </c>
      <c r="C1638" s="19" t="s">
        <v>6</v>
      </c>
      <c r="D1638" s="19" t="s">
        <v>6</v>
      </c>
      <c r="E1638" s="12" t="s">
        <v>337</v>
      </c>
      <c r="F1638" s="32">
        <f t="shared" ca="1" si="3"/>
        <v>46237</v>
      </c>
    </row>
    <row r="1639" spans="1:6" x14ac:dyDescent="0.25">
      <c r="A1639" s="9">
        <v>430</v>
      </c>
      <c r="B1639" s="33" t="s">
        <v>1259</v>
      </c>
      <c r="C1639" s="19" t="s">
        <v>6</v>
      </c>
      <c r="D1639" s="19" t="s">
        <v>6</v>
      </c>
      <c r="E1639" s="12" t="s">
        <v>337</v>
      </c>
      <c r="F1639" s="32">
        <f t="shared" ca="1" si="3"/>
        <v>46242</v>
      </c>
    </row>
    <row r="1640" spans="1:6" x14ac:dyDescent="0.25">
      <c r="A1640" s="9">
        <v>431</v>
      </c>
      <c r="B1640" s="17" t="s">
        <v>1980</v>
      </c>
      <c r="C1640" s="19" t="s">
        <v>6</v>
      </c>
      <c r="D1640" s="19" t="s">
        <v>6</v>
      </c>
      <c r="E1640" s="12" t="s">
        <v>337</v>
      </c>
      <c r="F1640" s="32">
        <f t="shared" ca="1" si="3"/>
        <v>46242</v>
      </c>
    </row>
    <row r="1641" spans="1:6" x14ac:dyDescent="0.25">
      <c r="A1641" s="9">
        <v>432</v>
      </c>
      <c r="B1641" s="17" t="s">
        <v>1198</v>
      </c>
      <c r="C1641" s="19" t="s">
        <v>6</v>
      </c>
      <c r="D1641" s="19" t="s">
        <v>6</v>
      </c>
      <c r="E1641" s="12" t="s">
        <v>45</v>
      </c>
      <c r="F1641" s="32">
        <f t="shared" ca="1" si="3"/>
        <v>46230</v>
      </c>
    </row>
    <row r="1642" spans="1:6" x14ac:dyDescent="0.25">
      <c r="A1642" s="9">
        <v>433</v>
      </c>
      <c r="B1642" s="17" t="s">
        <v>1730</v>
      </c>
      <c r="C1642" s="19" t="s">
        <v>6</v>
      </c>
      <c r="D1642" s="19" t="s">
        <v>6</v>
      </c>
      <c r="E1642" s="12" t="s">
        <v>45</v>
      </c>
      <c r="F1642" s="32">
        <f t="shared" ca="1" si="3"/>
        <v>46245</v>
      </c>
    </row>
    <row r="1643" spans="1:6" x14ac:dyDescent="0.25">
      <c r="A1643" s="9">
        <v>434</v>
      </c>
      <c r="B1643" s="17" t="s">
        <v>684</v>
      </c>
      <c r="C1643" s="19" t="s">
        <v>6</v>
      </c>
      <c r="D1643" s="19" t="s">
        <v>6</v>
      </c>
      <c r="E1643" s="79" t="s">
        <v>45</v>
      </c>
      <c r="F1643" s="32">
        <f t="shared" ref="F1643:F1665" ca="1" si="4">IF(AND(C1643="NO",D1643="NO"),IF(F1643="",TODAY(),F1643),"")</f>
        <v>46245</v>
      </c>
    </row>
    <row r="1644" spans="1:6" x14ac:dyDescent="0.25">
      <c r="A1644" s="9">
        <v>435</v>
      </c>
      <c r="B1644" s="8" t="s">
        <v>1027</v>
      </c>
      <c r="C1644" s="19" t="s">
        <v>6</v>
      </c>
      <c r="D1644" s="19" t="s">
        <v>6</v>
      </c>
      <c r="E1644" s="12" t="s">
        <v>45</v>
      </c>
      <c r="F1644" s="32">
        <f t="shared" ca="1" si="4"/>
        <v>46245</v>
      </c>
    </row>
    <row r="1645" spans="1:6" x14ac:dyDescent="0.25">
      <c r="A1645" s="9">
        <v>436</v>
      </c>
      <c r="B1645" s="17" t="s">
        <v>1792</v>
      </c>
      <c r="C1645" s="19" t="s">
        <v>6</v>
      </c>
      <c r="D1645" s="19" t="s">
        <v>6</v>
      </c>
      <c r="E1645" s="12" t="s">
        <v>337</v>
      </c>
      <c r="F1645" s="32">
        <f t="shared" ca="1" si="4"/>
        <v>46245</v>
      </c>
    </row>
    <row r="1646" spans="1:6" x14ac:dyDescent="0.25">
      <c r="A1646" s="9">
        <v>437</v>
      </c>
      <c r="B1646" s="17" t="s">
        <v>1406</v>
      </c>
      <c r="C1646" s="19" t="s">
        <v>6</v>
      </c>
      <c r="D1646" s="19" t="s">
        <v>6</v>
      </c>
      <c r="E1646" s="12" t="s">
        <v>45</v>
      </c>
      <c r="F1646" s="32">
        <f t="shared" ca="1" si="4"/>
        <v>46258</v>
      </c>
    </row>
    <row r="1647" spans="1:6" x14ac:dyDescent="0.25">
      <c r="A1647" s="9">
        <v>438</v>
      </c>
      <c r="B1647" s="8" t="s">
        <v>254</v>
      </c>
      <c r="C1647" s="19" t="s">
        <v>6</v>
      </c>
      <c r="D1647" s="19" t="s">
        <v>6</v>
      </c>
      <c r="E1647" s="12" t="s">
        <v>45</v>
      </c>
      <c r="F1647" s="32">
        <f t="shared" ca="1" si="4"/>
        <v>46258</v>
      </c>
    </row>
    <row r="1648" spans="1:6" x14ac:dyDescent="0.25">
      <c r="A1648" s="9">
        <v>439</v>
      </c>
      <c r="B1648" s="17" t="s">
        <v>2052</v>
      </c>
      <c r="C1648" s="19" t="s">
        <v>6</v>
      </c>
      <c r="D1648" s="19" t="s">
        <v>6</v>
      </c>
      <c r="E1648" s="12" t="s">
        <v>337</v>
      </c>
      <c r="F1648" s="32">
        <f t="shared" ca="1" si="4"/>
        <v>46258</v>
      </c>
    </row>
    <row r="1649" spans="1:6" x14ac:dyDescent="0.25">
      <c r="A1649" s="9">
        <v>440</v>
      </c>
      <c r="B1649" s="17" t="s">
        <v>2053</v>
      </c>
      <c r="C1649" s="19" t="s">
        <v>6</v>
      </c>
      <c r="D1649" s="19" t="s">
        <v>6</v>
      </c>
      <c r="E1649" s="12" t="s">
        <v>337</v>
      </c>
      <c r="F1649" s="32">
        <f t="shared" ca="1" si="4"/>
        <v>46258</v>
      </c>
    </row>
    <row r="1650" spans="1:6" x14ac:dyDescent="0.25">
      <c r="A1650" s="9">
        <v>441</v>
      </c>
      <c r="B1650" s="17" t="s">
        <v>1100</v>
      </c>
      <c r="C1650" s="19" t="s">
        <v>6</v>
      </c>
      <c r="D1650" s="19" t="s">
        <v>6</v>
      </c>
      <c r="E1650" s="12" t="s">
        <v>45</v>
      </c>
      <c r="F1650" s="32">
        <f t="shared" ca="1" si="4"/>
        <v>46262</v>
      </c>
    </row>
    <row r="1651" spans="1:6" x14ac:dyDescent="0.25">
      <c r="A1651" s="9">
        <v>442</v>
      </c>
      <c r="B1651" s="17" t="s">
        <v>861</v>
      </c>
      <c r="C1651" s="19" t="s">
        <v>6</v>
      </c>
      <c r="D1651" s="19" t="s">
        <v>6</v>
      </c>
      <c r="E1651" s="12" t="s">
        <v>337</v>
      </c>
      <c r="F1651" s="32">
        <f t="shared" ca="1" si="4"/>
        <v>46262</v>
      </c>
    </row>
    <row r="1652" spans="1:6" x14ac:dyDescent="0.25">
      <c r="A1652" s="9">
        <v>31</v>
      </c>
      <c r="B1652" s="8" t="s">
        <v>238</v>
      </c>
      <c r="C1652" s="19" t="s">
        <v>6</v>
      </c>
      <c r="D1652" s="19" t="s">
        <v>6</v>
      </c>
      <c r="E1652" s="12" t="s">
        <v>150</v>
      </c>
      <c r="F1652" s="32">
        <f t="shared" ca="1" si="4"/>
        <v>46272</v>
      </c>
    </row>
    <row r="1653" spans="1:6" x14ac:dyDescent="0.25">
      <c r="A1653" s="9">
        <v>37</v>
      </c>
      <c r="B1653" s="33" t="s">
        <v>1794</v>
      </c>
      <c r="C1653" s="19" t="s">
        <v>6</v>
      </c>
      <c r="D1653" s="19" t="s">
        <v>6</v>
      </c>
      <c r="E1653" s="12" t="s">
        <v>337</v>
      </c>
      <c r="F1653" s="32">
        <f t="shared" ca="1" si="4"/>
        <v>46272</v>
      </c>
    </row>
    <row r="1654" spans="1:6" x14ac:dyDescent="0.25">
      <c r="A1654" s="9">
        <v>49</v>
      </c>
      <c r="B1654" s="8" t="s">
        <v>460</v>
      </c>
      <c r="C1654" s="19" t="s">
        <v>6</v>
      </c>
      <c r="D1654" s="19" t="s">
        <v>6</v>
      </c>
      <c r="E1654" s="12" t="s">
        <v>337</v>
      </c>
      <c r="F1654" s="32">
        <f t="shared" ca="1" si="4"/>
        <v>46272</v>
      </c>
    </row>
    <row r="1655" spans="1:6" x14ac:dyDescent="0.25">
      <c r="A1655" s="9">
        <v>58</v>
      </c>
      <c r="B1655" s="47" t="s">
        <v>706</v>
      </c>
      <c r="C1655" s="19" t="s">
        <v>6</v>
      </c>
      <c r="D1655" s="19" t="s">
        <v>6</v>
      </c>
      <c r="E1655" s="12" t="s">
        <v>45</v>
      </c>
      <c r="F1655" s="32">
        <f t="shared" ca="1" si="4"/>
        <v>46272</v>
      </c>
    </row>
    <row r="1656" spans="1:6" x14ac:dyDescent="0.25">
      <c r="A1656" s="9">
        <v>59</v>
      </c>
      <c r="B1656" s="47" t="s">
        <v>705</v>
      </c>
      <c r="C1656" s="19" t="s">
        <v>6</v>
      </c>
      <c r="D1656" s="19" t="s">
        <v>6</v>
      </c>
      <c r="E1656" s="12" t="s">
        <v>45</v>
      </c>
      <c r="F1656" s="32">
        <f t="shared" ca="1" si="4"/>
        <v>46272</v>
      </c>
    </row>
    <row r="1657" spans="1:6" x14ac:dyDescent="0.25">
      <c r="A1657" s="9">
        <v>60</v>
      </c>
      <c r="B1657" s="47" t="s">
        <v>707</v>
      </c>
      <c r="C1657" s="19" t="s">
        <v>6</v>
      </c>
      <c r="D1657" s="19" t="s">
        <v>6</v>
      </c>
      <c r="E1657" s="12" t="s">
        <v>45</v>
      </c>
      <c r="F1657" s="32">
        <f t="shared" ca="1" si="4"/>
        <v>46272</v>
      </c>
    </row>
    <row r="1658" spans="1:6" x14ac:dyDescent="0.25">
      <c r="A1658" s="9">
        <v>70</v>
      </c>
      <c r="B1658" s="33" t="s">
        <v>1363</v>
      </c>
      <c r="C1658" s="19" t="s">
        <v>6</v>
      </c>
      <c r="D1658" s="19" t="s">
        <v>6</v>
      </c>
      <c r="E1658" s="12" t="s">
        <v>45</v>
      </c>
      <c r="F1658" s="32">
        <f t="shared" ca="1" si="4"/>
        <v>46272</v>
      </c>
    </row>
    <row r="1659" spans="1:6" x14ac:dyDescent="0.25">
      <c r="A1659" s="9">
        <v>89</v>
      </c>
      <c r="B1659" s="42" t="s">
        <v>628</v>
      </c>
      <c r="C1659" s="19" t="s">
        <v>6</v>
      </c>
      <c r="D1659" s="19" t="s">
        <v>6</v>
      </c>
      <c r="E1659" s="12" t="s">
        <v>45</v>
      </c>
      <c r="F1659" s="32">
        <f t="shared" ca="1" si="4"/>
        <v>46272</v>
      </c>
    </row>
    <row r="1660" spans="1:6" x14ac:dyDescent="0.25">
      <c r="A1660" s="9">
        <v>1</v>
      </c>
      <c r="B1660" s="8" t="s">
        <v>380</v>
      </c>
      <c r="C1660" s="19" t="s">
        <v>6</v>
      </c>
      <c r="D1660" s="19" t="s">
        <v>6</v>
      </c>
      <c r="E1660" s="12" t="s">
        <v>258</v>
      </c>
      <c r="F1660" s="32">
        <f t="shared" ca="1" si="4"/>
        <v>46279</v>
      </c>
    </row>
    <row r="1661" spans="1:6" x14ac:dyDescent="0.25">
      <c r="A1661" s="9">
        <v>74</v>
      </c>
      <c r="B1661" s="33" t="s">
        <v>822</v>
      </c>
      <c r="C1661" s="19" t="s">
        <v>6</v>
      </c>
      <c r="D1661" s="19" t="s">
        <v>6</v>
      </c>
      <c r="E1661" s="12" t="s">
        <v>45</v>
      </c>
      <c r="F1661" s="32">
        <f t="shared" ca="1" si="4"/>
        <v>46279</v>
      </c>
    </row>
    <row r="1662" spans="1:6" x14ac:dyDescent="0.25">
      <c r="A1662" s="9">
        <v>84</v>
      </c>
      <c r="B1662" s="33" t="s">
        <v>1722</v>
      </c>
      <c r="C1662" s="19" t="s">
        <v>6</v>
      </c>
      <c r="D1662" s="19" t="s">
        <v>6</v>
      </c>
      <c r="E1662" s="12" t="s">
        <v>45</v>
      </c>
      <c r="F1662" s="32">
        <f t="shared" ca="1" si="4"/>
        <v>46279</v>
      </c>
    </row>
    <row r="1663" spans="1:6" x14ac:dyDescent="0.25">
      <c r="A1663" s="9">
        <v>88</v>
      </c>
      <c r="B1663" s="33" t="s">
        <v>1271</v>
      </c>
      <c r="C1663" s="19" t="s">
        <v>6</v>
      </c>
      <c r="D1663" s="19" t="s">
        <v>6</v>
      </c>
      <c r="E1663" s="12" t="s">
        <v>45</v>
      </c>
      <c r="F1663" s="32">
        <f t="shared" ca="1" si="4"/>
        <v>46279</v>
      </c>
    </row>
    <row r="1664" spans="1:6" x14ac:dyDescent="0.25">
      <c r="A1664" s="9">
        <v>94</v>
      </c>
      <c r="B1664" s="33" t="s">
        <v>2104</v>
      </c>
      <c r="C1664" s="19" t="s">
        <v>6</v>
      </c>
      <c r="D1664" s="19" t="s">
        <v>6</v>
      </c>
      <c r="E1664" s="12" t="s">
        <v>45</v>
      </c>
      <c r="F1664" s="32">
        <f t="shared" ca="1" si="4"/>
        <v>46279</v>
      </c>
    </row>
    <row r="1665" spans="1:6" x14ac:dyDescent="0.25">
      <c r="A1665" s="9">
        <v>95</v>
      </c>
      <c r="B1665" s="33" t="s">
        <v>1640</v>
      </c>
      <c r="C1665" s="19" t="s">
        <v>6</v>
      </c>
      <c r="D1665" s="19" t="s">
        <v>6</v>
      </c>
      <c r="E1665" s="12" t="s">
        <v>45</v>
      </c>
      <c r="F1665" s="32">
        <f t="shared" ca="1" si="4"/>
        <v>46279</v>
      </c>
    </row>
    <row r="1666" spans="1:6" x14ac:dyDescent="0.25">
      <c r="A1666" s="35"/>
      <c r="B1666" s="45"/>
      <c r="C1666" s="236"/>
      <c r="D1666" s="236"/>
      <c r="E1666" s="116"/>
      <c r="F1666" s="32"/>
    </row>
    <row r="1667" spans="1:6" x14ac:dyDescent="0.25">
      <c r="A1667" s="91" t="s">
        <v>1960</v>
      </c>
    </row>
    <row r="1668" spans="1:6" x14ac:dyDescent="0.25">
      <c r="A1668" s="9">
        <v>46</v>
      </c>
      <c r="B1668" s="8" t="s">
        <v>558</v>
      </c>
      <c r="C1668" s="19" t="s">
        <v>6</v>
      </c>
      <c r="D1668" s="19" t="s">
        <v>6</v>
      </c>
      <c r="E1668" s="81" t="s">
        <v>45</v>
      </c>
      <c r="F1668" s="93">
        <f ca="1">IF(AND(C1668="NO",D1668="NO"),IF(Excluidos!F2658="",TODAY(),Excluidos!F2658),"")</f>
        <v>46307</v>
      </c>
    </row>
    <row r="1669" spans="1:6" x14ac:dyDescent="0.25">
      <c r="A1669" s="9">
        <v>17</v>
      </c>
      <c r="B1669" s="17" t="s">
        <v>773</v>
      </c>
      <c r="C1669" s="19" t="s">
        <v>6</v>
      </c>
      <c r="D1669" s="19" t="s">
        <v>6</v>
      </c>
      <c r="E1669" s="12" t="s">
        <v>45</v>
      </c>
      <c r="F1669" s="32">
        <f t="shared" ref="F1669:F1674" ca="1" si="5">IF(AND(C1669="NO",D1669="NO"),IF(F1669="",TODAY(),F1669),"")</f>
        <v>46279</v>
      </c>
    </row>
    <row r="1670" spans="1:6" x14ac:dyDescent="0.25">
      <c r="A1670" s="9">
        <v>18</v>
      </c>
      <c r="B1670" s="17" t="s">
        <v>1537</v>
      </c>
      <c r="C1670" s="19" t="s">
        <v>6</v>
      </c>
      <c r="D1670" s="19" t="s">
        <v>6</v>
      </c>
      <c r="E1670" s="12" t="s">
        <v>45</v>
      </c>
      <c r="F1670" s="32">
        <f t="shared" ca="1" si="5"/>
        <v>46279</v>
      </c>
    </row>
    <row r="1671" spans="1:6" x14ac:dyDescent="0.25">
      <c r="A1671" s="9">
        <v>20</v>
      </c>
      <c r="B1671" s="17" t="s">
        <v>1408</v>
      </c>
      <c r="C1671" s="19" t="s">
        <v>6</v>
      </c>
      <c r="D1671" s="19" t="s">
        <v>6</v>
      </c>
      <c r="E1671" s="12" t="s">
        <v>45</v>
      </c>
      <c r="F1671" s="32">
        <f t="shared" ca="1" si="5"/>
        <v>46279</v>
      </c>
    </row>
    <row r="1672" spans="1:6" x14ac:dyDescent="0.25">
      <c r="A1672" s="9">
        <v>22</v>
      </c>
      <c r="B1672" s="17" t="s">
        <v>1368</v>
      </c>
      <c r="C1672" s="19" t="s">
        <v>6</v>
      </c>
      <c r="D1672" s="19" t="s">
        <v>6</v>
      </c>
      <c r="E1672" s="20" t="s">
        <v>45</v>
      </c>
      <c r="F1672" s="32">
        <f t="shared" ca="1" si="5"/>
        <v>46279</v>
      </c>
    </row>
    <row r="1673" spans="1:6" x14ac:dyDescent="0.25">
      <c r="A1673" s="9">
        <v>35</v>
      </c>
      <c r="B1673" s="17" t="s">
        <v>1621</v>
      </c>
      <c r="C1673" s="19" t="s">
        <v>6</v>
      </c>
      <c r="D1673" s="19" t="s">
        <v>6</v>
      </c>
      <c r="E1673" s="79" t="s">
        <v>45</v>
      </c>
      <c r="F1673" s="32">
        <f t="shared" ca="1" si="5"/>
        <v>46279</v>
      </c>
    </row>
    <row r="1674" spans="1:6" x14ac:dyDescent="0.25">
      <c r="A1674" s="9">
        <v>42</v>
      </c>
      <c r="B1674" s="17" t="s">
        <v>2097</v>
      </c>
      <c r="C1674" s="19" t="s">
        <v>6</v>
      </c>
      <c r="D1674" s="19" t="s">
        <v>6</v>
      </c>
      <c r="E1674" s="12" t="s">
        <v>337</v>
      </c>
      <c r="F1674" s="32">
        <f t="shared" ca="1" si="5"/>
        <v>46279</v>
      </c>
    </row>
    <row r="1676" spans="1:6" x14ac:dyDescent="0.25">
      <c r="A1676" s="91" t="s">
        <v>1961</v>
      </c>
    </row>
    <row r="1677" spans="1:6" x14ac:dyDescent="0.25">
      <c r="A1677" s="9">
        <v>11</v>
      </c>
      <c r="B1677" s="8" t="s">
        <v>2009</v>
      </c>
      <c r="C1677" s="19" t="s">
        <v>6</v>
      </c>
      <c r="D1677" s="19" t="s">
        <v>6</v>
      </c>
      <c r="E1677" s="12" t="s">
        <v>45</v>
      </c>
      <c r="F1677" s="32">
        <f t="shared" ref="F1677:F1681" ca="1" si="6">IF(AND(C1677="NO",D1677="NO"),IF(F1677="",TODAY(),F1677),"")</f>
        <v>46245</v>
      </c>
    </row>
    <row r="1678" spans="1:6" x14ac:dyDescent="0.25">
      <c r="A1678" s="9">
        <v>16</v>
      </c>
      <c r="B1678" s="8" t="s">
        <v>2004</v>
      </c>
      <c r="C1678" s="19" t="s">
        <v>6</v>
      </c>
      <c r="D1678" s="19" t="s">
        <v>6</v>
      </c>
      <c r="E1678" s="12" t="s">
        <v>150</v>
      </c>
      <c r="F1678" s="32">
        <f t="shared" ca="1" si="6"/>
        <v>46245</v>
      </c>
    </row>
    <row r="1679" spans="1:6" x14ac:dyDescent="0.25">
      <c r="A1679" s="9">
        <v>22</v>
      </c>
      <c r="B1679" s="8" t="s">
        <v>2019</v>
      </c>
      <c r="C1679" s="19" t="s">
        <v>6</v>
      </c>
      <c r="D1679" s="19" t="s">
        <v>6</v>
      </c>
      <c r="E1679" s="12" t="s">
        <v>150</v>
      </c>
      <c r="F1679" s="32">
        <f t="shared" ca="1" si="6"/>
        <v>46245</v>
      </c>
    </row>
    <row r="1680" spans="1:6" x14ac:dyDescent="0.25">
      <c r="A1680" s="9">
        <v>15</v>
      </c>
      <c r="B1680" s="8" t="s">
        <v>2057</v>
      </c>
      <c r="C1680" s="19" t="s">
        <v>6</v>
      </c>
      <c r="D1680" s="19" t="s">
        <v>6</v>
      </c>
      <c r="E1680" s="12" t="s">
        <v>45</v>
      </c>
      <c r="F1680" s="32">
        <f t="shared" ca="1" si="6"/>
        <v>46262</v>
      </c>
    </row>
    <row r="1681" spans="1:6" x14ac:dyDescent="0.25">
      <c r="A1681" s="9">
        <v>18</v>
      </c>
      <c r="B1681" s="17" t="s">
        <v>381</v>
      </c>
      <c r="C1681" s="19" t="s">
        <v>6</v>
      </c>
      <c r="D1681" s="19" t="s">
        <v>6</v>
      </c>
      <c r="E1681" s="12" t="s">
        <v>45</v>
      </c>
      <c r="F1681" s="32">
        <f t="shared" ca="1" si="6"/>
        <v>46262</v>
      </c>
    </row>
    <row r="1682" spans="1:6" ht="15" customHeight="1" x14ac:dyDescent="0.25"/>
    <row r="1685" spans="1:6" x14ac:dyDescent="0.25">
      <c r="A1685">
        <f>+A1632+A1557+A1158+A746+A183</f>
        <v>1843</v>
      </c>
    </row>
  </sheetData>
  <conditionalFormatting sqref="C2:D2 C1446:D1464 C240:D240 C660:D660 C443:D452 C1264:D1267 C388:D398 C415:D416 C1058:D1058 C125:D126 C1353:D1363 C971:D977 C706:D711 C690:D693 C586:D590 C1085:D1089 C1479:D1484 C1386:D1392 C604:D605 C254:D258 C618:D619">
    <cfRule type="containsText" dxfId="8476" priority="10929" operator="containsText" text="NO+$D$4:$D$10">
      <formula>NOT(ISERROR(SEARCH("NO+$D$4:$D$10",C2)))</formula>
    </cfRule>
  </conditionalFormatting>
  <conditionalFormatting sqref="C2:D2 C1446:D1464 C240:D240 C660:D660 C443:D452 C1264:D1267 C388:D398 C415:D416 C1058:D1058 C125:D126 C1353:D1363 C971:D977 C706:D711 C690:D693 C586:D590 C1085:D1089 C1479:D1484 C1386:D1392 C604:D605 C254:D258 C618:D619">
    <cfRule type="containsText" dxfId="8475" priority="10927" operator="containsText" text="SI">
      <formula>NOT(ISERROR(SEARCH("SI",C2)))</formula>
    </cfRule>
    <cfRule type="containsText" dxfId="8474" priority="10928" operator="containsText" text="NO">
      <formula>NOT(ISERROR(SEARCH("NO",C2)))</formula>
    </cfRule>
  </conditionalFormatting>
  <conditionalFormatting sqref="C2:D2 C1446:D1464 E1449:E1464 C240:D240 C1479:E1480 C660:E660 C443:E452 C1481:D1484 C1264:D1267 E1264:E1266 C1391:D1392 C388:D398 C415:E416 C1058:D1058 C125:D126 C1353:E1363 C971:E977 C706:D711 C690:D693 C586:D590 E587 C1085:D1088 C1089:E1089 C1386:E1390 C604:E605 C254:D255 C256:E258 C618:E619">
    <cfRule type="containsText" dxfId="8473" priority="10926" operator="containsText" text="NUEVO">
      <formula>NOT(ISERROR(SEARCH("NUEVO",C2)))</formula>
    </cfRule>
  </conditionalFormatting>
  <conditionalFormatting sqref="E2">
    <cfRule type="containsText" dxfId="8472" priority="10924" operator="containsText" text="NUEVO">
      <formula>NOT(ISERROR(SEARCH("NUEVO",E2)))</formula>
    </cfRule>
  </conditionalFormatting>
  <conditionalFormatting sqref="E2 E1449:E1464 E1479:E1480 E1264:E1266 E1353:E1363 E971:E977 E1089 E1386:E1390">
    <cfRule type="containsText" dxfId="8471" priority="10925" operator="containsText" text="Sin información">
      <formula>NOT(ISERROR(SEARCH("Sin información",E2)))</formula>
    </cfRule>
  </conditionalFormatting>
  <conditionalFormatting sqref="E2 E660 E443:E452 E415:E416 E587 E604:E605 E256:E258 E618:E619">
    <cfRule type="containsText" dxfId="8470" priority="10923" operator="containsText" text="Sin Información">
      <formula>NOT(ISERROR(SEARCH("Sin Información",E2)))</formula>
    </cfRule>
  </conditionalFormatting>
  <conditionalFormatting sqref="C3:D3">
    <cfRule type="containsText" dxfId="8469" priority="10922" operator="containsText" text="NO+$D$4:$D$10">
      <formula>NOT(ISERROR(SEARCH("NO+$D$4:$D$10",C3)))</formula>
    </cfRule>
  </conditionalFormatting>
  <conditionalFormatting sqref="C3:D3">
    <cfRule type="containsText" dxfId="8468" priority="10920" operator="containsText" text="SI">
      <formula>NOT(ISERROR(SEARCH("SI",C3)))</formula>
    </cfRule>
    <cfRule type="containsText" dxfId="8467" priority="10921" operator="containsText" text="NO">
      <formula>NOT(ISERROR(SEARCH("NO",C3)))</formula>
    </cfRule>
  </conditionalFormatting>
  <conditionalFormatting sqref="E3">
    <cfRule type="containsText" dxfId="8466" priority="10919" operator="containsText" text="Sin información">
      <formula>NOT(ISERROR(SEARCH("Sin información",E3)))</formula>
    </cfRule>
  </conditionalFormatting>
  <conditionalFormatting sqref="C3:E3">
    <cfRule type="containsText" dxfId="8465" priority="10918" operator="containsText" text="NUEVO">
      <formula>NOT(ISERROR(SEARCH("NUEVO",C3)))</formula>
    </cfRule>
  </conditionalFormatting>
  <conditionalFormatting sqref="C4:D4">
    <cfRule type="containsText" dxfId="8464" priority="10917" operator="containsText" text="NO+$D$4:$D$10">
      <formula>NOT(ISERROR(SEARCH("NO+$D$4:$D$10",C4)))</formula>
    </cfRule>
  </conditionalFormatting>
  <conditionalFormatting sqref="C4:D4">
    <cfRule type="containsText" dxfId="8463" priority="10915" operator="containsText" text="SI">
      <formula>NOT(ISERROR(SEARCH("SI",C4)))</formula>
    </cfRule>
    <cfRule type="containsText" dxfId="8462" priority="10916" operator="containsText" text="NO">
      <formula>NOT(ISERROR(SEARCH("NO",C4)))</formula>
    </cfRule>
  </conditionalFormatting>
  <conditionalFormatting sqref="C4:D4">
    <cfRule type="containsText" dxfId="8461" priority="10914" operator="containsText" text="NUEVO">
      <formula>NOT(ISERROR(SEARCH("NUEVO",C4)))</formula>
    </cfRule>
  </conditionalFormatting>
  <conditionalFormatting sqref="E4">
    <cfRule type="containsText" dxfId="8460" priority="10912" operator="containsText" text="NUEVO">
      <formula>NOT(ISERROR(SEARCH("NUEVO",E4)))</formula>
    </cfRule>
  </conditionalFormatting>
  <conditionalFormatting sqref="E4">
    <cfRule type="containsText" dxfId="8459" priority="10913" operator="containsText" text="Sin información">
      <formula>NOT(ISERROR(SEARCH("Sin información",E4)))</formula>
    </cfRule>
  </conditionalFormatting>
  <conditionalFormatting sqref="E4">
    <cfRule type="containsText" dxfId="8458" priority="10911" operator="containsText" text="Sin Información">
      <formula>NOT(ISERROR(SEARCH("Sin Información",E4)))</formula>
    </cfRule>
  </conditionalFormatting>
  <conditionalFormatting sqref="C5:D5">
    <cfRule type="containsText" dxfId="8457" priority="10910" operator="containsText" text="NO+$D$4:$D$10">
      <formula>NOT(ISERROR(SEARCH("NO+$D$4:$D$10",C5)))</formula>
    </cfRule>
  </conditionalFormatting>
  <conditionalFormatting sqref="C5:D5">
    <cfRule type="containsText" dxfId="8456" priority="10908" operator="containsText" text="SI">
      <formula>NOT(ISERROR(SEARCH("SI",C5)))</formula>
    </cfRule>
    <cfRule type="containsText" dxfId="8455" priority="10909" operator="containsText" text="NO">
      <formula>NOT(ISERROR(SEARCH("NO",C5)))</formula>
    </cfRule>
  </conditionalFormatting>
  <conditionalFormatting sqref="C5:D5">
    <cfRule type="containsText" dxfId="8454" priority="10907" operator="containsText" text="NUEVO">
      <formula>NOT(ISERROR(SEARCH("NUEVO",C5)))</formula>
    </cfRule>
  </conditionalFormatting>
  <conditionalFormatting sqref="E5">
    <cfRule type="containsText" dxfId="8453" priority="10906" operator="containsText" text="Sin información">
      <formula>NOT(ISERROR(SEARCH("Sin información",E5)))</formula>
    </cfRule>
  </conditionalFormatting>
  <conditionalFormatting sqref="E5">
    <cfRule type="containsText" dxfId="8452" priority="10905" operator="containsText" text="NUEVO">
      <formula>NOT(ISERROR(SEARCH("NUEVO",E5)))</formula>
    </cfRule>
  </conditionalFormatting>
  <conditionalFormatting sqref="E5">
    <cfRule type="containsText" dxfId="8451" priority="10904" operator="containsText" text="Sin Información">
      <formula>NOT(ISERROR(SEARCH("Sin Información",E5)))</formula>
    </cfRule>
  </conditionalFormatting>
  <conditionalFormatting sqref="C6:D6">
    <cfRule type="containsText" dxfId="8450" priority="10903" operator="containsText" text="NO+$D$4:$D$10">
      <formula>NOT(ISERROR(SEARCH("NO+$D$4:$D$10",C6)))</formula>
    </cfRule>
  </conditionalFormatting>
  <conditionalFormatting sqref="C6:D6">
    <cfRule type="containsText" dxfId="8449" priority="10901" operator="containsText" text="SI">
      <formula>NOT(ISERROR(SEARCH("SI",C6)))</formula>
    </cfRule>
    <cfRule type="containsText" dxfId="8448" priority="10902" operator="containsText" text="NO">
      <formula>NOT(ISERROR(SEARCH("NO",C6)))</formula>
    </cfRule>
  </conditionalFormatting>
  <conditionalFormatting sqref="C6:D6">
    <cfRule type="containsText" dxfId="8447" priority="10900" operator="containsText" text="NUEVO">
      <formula>NOT(ISERROR(SEARCH("NUEVO",C6)))</formula>
    </cfRule>
  </conditionalFormatting>
  <conditionalFormatting sqref="E6">
    <cfRule type="containsText" dxfId="8446" priority="10898" operator="containsText" text="NUEVO">
      <formula>NOT(ISERROR(SEARCH("NUEVO",E6)))</formula>
    </cfRule>
  </conditionalFormatting>
  <conditionalFormatting sqref="E6">
    <cfRule type="containsText" dxfId="8445" priority="10899" operator="containsText" text="Sin información">
      <formula>NOT(ISERROR(SEARCH("Sin información",E6)))</formula>
    </cfRule>
  </conditionalFormatting>
  <conditionalFormatting sqref="E6">
    <cfRule type="containsText" dxfId="8444" priority="10897" operator="containsText" text="Sin Información">
      <formula>NOT(ISERROR(SEARCH("Sin Información",E6)))</formula>
    </cfRule>
  </conditionalFormatting>
  <conditionalFormatting sqref="C7:D7">
    <cfRule type="containsText" dxfId="8443" priority="10896" operator="containsText" text="NO+$D$4:$D$10">
      <formula>NOT(ISERROR(SEARCH("NO+$D$4:$D$10",C7)))</formula>
    </cfRule>
  </conditionalFormatting>
  <conditionalFormatting sqref="C7:D7">
    <cfRule type="containsText" dxfId="8442" priority="10894" operator="containsText" text="SI">
      <formula>NOT(ISERROR(SEARCH("SI",C7)))</formula>
    </cfRule>
    <cfRule type="containsText" dxfId="8441" priority="10895" operator="containsText" text="NO">
      <formula>NOT(ISERROR(SEARCH("NO",C7)))</formula>
    </cfRule>
  </conditionalFormatting>
  <conditionalFormatting sqref="C7:D7">
    <cfRule type="containsText" dxfId="8440" priority="10893" operator="containsText" text="NUEVO">
      <formula>NOT(ISERROR(SEARCH("NUEVO",C7)))</formula>
    </cfRule>
  </conditionalFormatting>
  <conditionalFormatting sqref="E7">
    <cfRule type="containsText" dxfId="8439" priority="10891" operator="containsText" text="NUEVO">
      <formula>NOT(ISERROR(SEARCH("NUEVO",E7)))</formula>
    </cfRule>
  </conditionalFormatting>
  <conditionalFormatting sqref="E7">
    <cfRule type="containsText" dxfId="8438" priority="10892" operator="containsText" text="Sin información">
      <formula>NOT(ISERROR(SEARCH("Sin información",E7)))</formula>
    </cfRule>
  </conditionalFormatting>
  <conditionalFormatting sqref="E7">
    <cfRule type="containsText" dxfId="8437" priority="10890" operator="containsText" text="Sin Información">
      <formula>NOT(ISERROR(SEARCH("Sin Información",E7)))</formula>
    </cfRule>
  </conditionalFormatting>
  <conditionalFormatting sqref="C8:D8">
    <cfRule type="containsText" dxfId="8436" priority="10889" operator="containsText" text="NO+$D$4:$D$10">
      <formula>NOT(ISERROR(SEARCH("NO+$D$4:$D$10",C8)))</formula>
    </cfRule>
  </conditionalFormatting>
  <conditionalFormatting sqref="C8:D8">
    <cfRule type="containsText" dxfId="8435" priority="10887" operator="containsText" text="SI">
      <formula>NOT(ISERROR(SEARCH("SI",C8)))</formula>
    </cfRule>
    <cfRule type="containsText" dxfId="8434" priority="10888" operator="containsText" text="NO">
      <formula>NOT(ISERROR(SEARCH("NO",C8)))</formula>
    </cfRule>
  </conditionalFormatting>
  <conditionalFormatting sqref="C8:D8">
    <cfRule type="containsText" dxfId="8433" priority="10886" operator="containsText" text="NUEVO">
      <formula>NOT(ISERROR(SEARCH("NUEVO",C8)))</formula>
    </cfRule>
  </conditionalFormatting>
  <conditionalFormatting sqref="E8">
    <cfRule type="containsText" dxfId="8432" priority="10884" operator="containsText" text="NUEVO">
      <formula>NOT(ISERROR(SEARCH("NUEVO",E8)))</formula>
    </cfRule>
  </conditionalFormatting>
  <conditionalFormatting sqref="E8">
    <cfRule type="containsText" dxfId="8431" priority="10885" operator="containsText" text="Sin información">
      <formula>NOT(ISERROR(SEARCH("Sin información",E8)))</formula>
    </cfRule>
  </conditionalFormatting>
  <conditionalFormatting sqref="E8">
    <cfRule type="containsText" dxfId="8430" priority="10883" operator="containsText" text="Sin Información">
      <formula>NOT(ISERROR(SEARCH("Sin Información",E8)))</formula>
    </cfRule>
  </conditionalFormatting>
  <conditionalFormatting sqref="C9:D9">
    <cfRule type="containsText" dxfId="8429" priority="10882" operator="containsText" text="NO+$D$4:$D$10">
      <formula>NOT(ISERROR(SEARCH("NO+$D$4:$D$10",C9)))</formula>
    </cfRule>
  </conditionalFormatting>
  <conditionalFormatting sqref="C9:D9">
    <cfRule type="containsText" dxfId="8428" priority="10880" operator="containsText" text="SI">
      <formula>NOT(ISERROR(SEARCH("SI",C9)))</formula>
    </cfRule>
    <cfRule type="containsText" dxfId="8427" priority="10881" operator="containsText" text="NO">
      <formula>NOT(ISERROR(SEARCH("NO",C9)))</formula>
    </cfRule>
  </conditionalFormatting>
  <conditionalFormatting sqref="C9:D9">
    <cfRule type="containsText" dxfId="8426" priority="10879" operator="containsText" text="NUEVO">
      <formula>NOT(ISERROR(SEARCH("NUEVO",C9)))</formula>
    </cfRule>
  </conditionalFormatting>
  <conditionalFormatting sqref="E9">
    <cfRule type="containsText" dxfId="8425" priority="10877" operator="containsText" text="NUEVO">
      <formula>NOT(ISERROR(SEARCH("NUEVO",E9)))</formula>
    </cfRule>
  </conditionalFormatting>
  <conditionalFormatting sqref="E9">
    <cfRule type="containsText" dxfId="8424" priority="10878" operator="containsText" text="Sin información">
      <formula>NOT(ISERROR(SEARCH("Sin información",E9)))</formula>
    </cfRule>
  </conditionalFormatting>
  <conditionalFormatting sqref="E9">
    <cfRule type="containsText" dxfId="8423" priority="10876" operator="containsText" text="Sin Información">
      <formula>NOT(ISERROR(SEARCH("Sin Información",E9)))</formula>
    </cfRule>
  </conditionalFormatting>
  <conditionalFormatting sqref="C10:D10">
    <cfRule type="containsText" dxfId="8422" priority="10875" operator="containsText" text="NO+$D$4:$D$10">
      <formula>NOT(ISERROR(SEARCH("NO+$D$4:$D$10",C10)))</formula>
    </cfRule>
  </conditionalFormatting>
  <conditionalFormatting sqref="C10:D10">
    <cfRule type="containsText" dxfId="8421" priority="10873" operator="containsText" text="SI">
      <formula>NOT(ISERROR(SEARCH("SI",C10)))</formula>
    </cfRule>
    <cfRule type="containsText" dxfId="8420" priority="10874" operator="containsText" text="NO">
      <formula>NOT(ISERROR(SEARCH("NO",C10)))</formula>
    </cfRule>
  </conditionalFormatting>
  <conditionalFormatting sqref="C10:D10">
    <cfRule type="containsText" dxfId="8419" priority="10872" operator="containsText" text="NUEVO">
      <formula>NOT(ISERROR(SEARCH("NUEVO",C10)))</formula>
    </cfRule>
  </conditionalFormatting>
  <conditionalFormatting sqref="E10">
    <cfRule type="containsText" dxfId="8418" priority="10870" operator="containsText" text="NUEVO">
      <formula>NOT(ISERROR(SEARCH("NUEVO",E10)))</formula>
    </cfRule>
  </conditionalFormatting>
  <conditionalFormatting sqref="E10">
    <cfRule type="containsText" dxfId="8417" priority="10871" operator="containsText" text="Sin información">
      <formula>NOT(ISERROR(SEARCH("Sin información",E10)))</formula>
    </cfRule>
  </conditionalFormatting>
  <conditionalFormatting sqref="E10">
    <cfRule type="containsText" dxfId="8416" priority="10869" operator="containsText" text="Sin Información">
      <formula>NOT(ISERROR(SEARCH("Sin Información",E10)))</formula>
    </cfRule>
  </conditionalFormatting>
  <conditionalFormatting sqref="C11:D11">
    <cfRule type="containsText" dxfId="8415" priority="10868" operator="containsText" text="NO+$D$4:$D$10">
      <formula>NOT(ISERROR(SEARCH("NO+$D$4:$D$10",C11)))</formula>
    </cfRule>
  </conditionalFormatting>
  <conditionalFormatting sqref="C11:D11">
    <cfRule type="containsText" dxfId="8414" priority="10866" operator="containsText" text="SI">
      <formula>NOT(ISERROR(SEARCH("SI",C11)))</formula>
    </cfRule>
    <cfRule type="containsText" dxfId="8413" priority="10867" operator="containsText" text="NO">
      <formula>NOT(ISERROR(SEARCH("NO",C11)))</formula>
    </cfRule>
  </conditionalFormatting>
  <conditionalFormatting sqref="C11:D11">
    <cfRule type="containsText" dxfId="8412" priority="10865" operator="containsText" text="NUEVO">
      <formula>NOT(ISERROR(SEARCH("NUEVO",C11)))</formula>
    </cfRule>
  </conditionalFormatting>
  <conditionalFormatting sqref="E11">
    <cfRule type="containsText" dxfId="8411" priority="10863" operator="containsText" text="NUEVO">
      <formula>NOT(ISERROR(SEARCH("NUEVO",E11)))</formula>
    </cfRule>
  </conditionalFormatting>
  <conditionalFormatting sqref="E11">
    <cfRule type="containsText" dxfId="8410" priority="10864" operator="containsText" text="Sin información">
      <formula>NOT(ISERROR(SEARCH("Sin información",E11)))</formula>
    </cfRule>
  </conditionalFormatting>
  <conditionalFormatting sqref="E11">
    <cfRule type="containsText" dxfId="8409" priority="10862" operator="containsText" text="Sin Información">
      <formula>NOT(ISERROR(SEARCH("Sin Información",E11)))</formula>
    </cfRule>
  </conditionalFormatting>
  <conditionalFormatting sqref="C58:D60 C12:D12">
    <cfRule type="containsText" dxfId="8408" priority="10861" operator="containsText" text="NO+$D$4:$D$10">
      <formula>NOT(ISERROR(SEARCH("NO+$D$4:$D$10",C12)))</formula>
    </cfRule>
  </conditionalFormatting>
  <conditionalFormatting sqref="C58:D60 C12:D12">
    <cfRule type="containsText" dxfId="8407" priority="10859" operator="containsText" text="SI">
      <formula>NOT(ISERROR(SEARCH("SI",C12)))</formula>
    </cfRule>
    <cfRule type="containsText" dxfId="8406" priority="10860" operator="containsText" text="NO">
      <formula>NOT(ISERROR(SEARCH("NO",C12)))</formula>
    </cfRule>
  </conditionalFormatting>
  <conditionalFormatting sqref="C58:E60 C12:E12">
    <cfRule type="containsText" dxfId="8405" priority="10858" operator="containsText" text="NUEVO">
      <formula>NOT(ISERROR(SEARCH("NUEVO",C12)))</formula>
    </cfRule>
  </conditionalFormatting>
  <conditionalFormatting sqref="E58:E60 E12">
    <cfRule type="containsText" dxfId="8404" priority="10857" operator="containsText" text="Sin información">
      <formula>NOT(ISERROR(SEARCH("Sin información",E12)))</formula>
    </cfRule>
  </conditionalFormatting>
  <conditionalFormatting sqref="E58:E60">
    <cfRule type="containsText" dxfId="8403" priority="10856" operator="containsText" text="Sin Información">
      <formula>NOT(ISERROR(SEARCH("Sin Información",E58)))</formula>
    </cfRule>
  </conditionalFormatting>
  <conditionalFormatting sqref="C13:D17">
    <cfRule type="containsText" dxfId="8402" priority="10855" operator="containsText" text="NO+$D$4:$D$10">
      <formula>NOT(ISERROR(SEARCH("NO+$D$4:$D$10",C13)))</formula>
    </cfRule>
  </conditionalFormatting>
  <conditionalFormatting sqref="C13:D17">
    <cfRule type="containsText" dxfId="8401" priority="10853" operator="containsText" text="SI">
      <formula>NOT(ISERROR(SEARCH("SI",C13)))</formula>
    </cfRule>
    <cfRule type="containsText" dxfId="8400" priority="10854" operator="containsText" text="NO">
      <formula>NOT(ISERROR(SEARCH("NO",C13)))</formula>
    </cfRule>
  </conditionalFormatting>
  <conditionalFormatting sqref="E13:E17">
    <cfRule type="containsText" dxfId="8399" priority="10852" operator="containsText" text="Sin información">
      <formula>NOT(ISERROR(SEARCH("Sin información",E13)))</formula>
    </cfRule>
  </conditionalFormatting>
  <conditionalFormatting sqref="C13:E17">
    <cfRule type="containsText" dxfId="8398" priority="10851" operator="containsText" text="NUEVO">
      <formula>NOT(ISERROR(SEARCH("NUEVO",C13)))</formula>
    </cfRule>
  </conditionalFormatting>
  <conditionalFormatting sqref="C18:D19">
    <cfRule type="containsText" dxfId="8397" priority="10850" operator="containsText" text="NO+$D$4:$D$10">
      <formula>NOT(ISERROR(SEARCH("NO+$D$4:$D$10",C18)))</formula>
    </cfRule>
  </conditionalFormatting>
  <conditionalFormatting sqref="C18:D19">
    <cfRule type="containsText" dxfId="8396" priority="10848" operator="containsText" text="SI">
      <formula>NOT(ISERROR(SEARCH("SI",C18)))</formula>
    </cfRule>
    <cfRule type="containsText" dxfId="8395" priority="10849" operator="containsText" text="NO">
      <formula>NOT(ISERROR(SEARCH("NO",C18)))</formula>
    </cfRule>
  </conditionalFormatting>
  <conditionalFormatting sqref="E18">
    <cfRule type="containsText" dxfId="8394" priority="10847" operator="containsText" text="Sin información">
      <formula>NOT(ISERROR(SEARCH("Sin información",E18)))</formula>
    </cfRule>
  </conditionalFormatting>
  <conditionalFormatting sqref="C18:E19">
    <cfRule type="containsText" dxfId="8393" priority="10846" operator="containsText" text="NUEVO">
      <formula>NOT(ISERROR(SEARCH("NUEVO",C18)))</formula>
    </cfRule>
  </conditionalFormatting>
  <conditionalFormatting sqref="E19">
    <cfRule type="containsText" dxfId="8392" priority="10845" operator="containsText" text="Sin información">
      <formula>NOT(ISERROR(SEARCH("Sin información",E19)))</formula>
    </cfRule>
  </conditionalFormatting>
  <conditionalFormatting sqref="C20:D20">
    <cfRule type="containsText" dxfId="8391" priority="10844" operator="containsText" text="NO+$D$4:$D$10">
      <formula>NOT(ISERROR(SEARCH("NO+$D$4:$D$10",C20)))</formula>
    </cfRule>
  </conditionalFormatting>
  <conditionalFormatting sqref="C20:D20">
    <cfRule type="containsText" dxfId="8390" priority="10842" operator="containsText" text="SI">
      <formula>NOT(ISERROR(SEARCH("SI",C20)))</formula>
    </cfRule>
    <cfRule type="containsText" dxfId="8389" priority="10843" operator="containsText" text="NO">
      <formula>NOT(ISERROR(SEARCH("NO",C20)))</formula>
    </cfRule>
  </conditionalFormatting>
  <conditionalFormatting sqref="E20">
    <cfRule type="containsText" dxfId="8388" priority="10841" operator="containsText" text="Sin información">
      <formula>NOT(ISERROR(SEARCH("Sin información",E20)))</formula>
    </cfRule>
  </conditionalFormatting>
  <conditionalFormatting sqref="C20:E20">
    <cfRule type="containsText" dxfId="8387" priority="10840" operator="containsText" text="NUEVO">
      <formula>NOT(ISERROR(SEARCH("NUEVO",C20)))</formula>
    </cfRule>
  </conditionalFormatting>
  <conditionalFormatting sqref="C21:D21">
    <cfRule type="containsText" dxfId="8386" priority="10839" operator="containsText" text="NO+$D$4:$D$10">
      <formula>NOT(ISERROR(SEARCH("NO+$D$4:$D$10",C21)))</formula>
    </cfRule>
  </conditionalFormatting>
  <conditionalFormatting sqref="C21:D21">
    <cfRule type="containsText" dxfId="8385" priority="10837" operator="containsText" text="SI">
      <formula>NOT(ISERROR(SEARCH("SI",C21)))</formula>
    </cfRule>
    <cfRule type="containsText" dxfId="8384" priority="10838" operator="containsText" text="NO">
      <formula>NOT(ISERROR(SEARCH("NO",C21)))</formula>
    </cfRule>
  </conditionalFormatting>
  <conditionalFormatting sqref="E21">
    <cfRule type="containsText" dxfId="8383" priority="10836" operator="containsText" text="Sin información">
      <formula>NOT(ISERROR(SEARCH("Sin información",E21)))</formula>
    </cfRule>
  </conditionalFormatting>
  <conditionalFormatting sqref="C21:E21">
    <cfRule type="containsText" dxfId="8382" priority="10835" operator="containsText" text="NUEVO">
      <formula>NOT(ISERROR(SEARCH("NUEVO",C21)))</formula>
    </cfRule>
  </conditionalFormatting>
  <conditionalFormatting sqref="C22:D22">
    <cfRule type="containsText" dxfId="8381" priority="10829" operator="containsText" text="NO+$D$4:$D$10">
      <formula>NOT(ISERROR(SEARCH("NO+$D$4:$D$10",C22)))</formula>
    </cfRule>
  </conditionalFormatting>
  <conditionalFormatting sqref="C22:D22">
    <cfRule type="containsText" dxfId="8380" priority="10827" operator="containsText" text="SI">
      <formula>NOT(ISERROR(SEARCH("SI",C22)))</formula>
    </cfRule>
    <cfRule type="containsText" dxfId="8379" priority="10828" operator="containsText" text="NO">
      <formula>NOT(ISERROR(SEARCH("NO",C22)))</formula>
    </cfRule>
  </conditionalFormatting>
  <conditionalFormatting sqref="E22">
    <cfRule type="containsText" dxfId="8378" priority="10826" operator="containsText" text="Sin información">
      <formula>NOT(ISERROR(SEARCH("Sin información",E22)))</formula>
    </cfRule>
  </conditionalFormatting>
  <conditionalFormatting sqref="C22:E22">
    <cfRule type="containsText" dxfId="8377" priority="10825" operator="containsText" text="NUEVO">
      <formula>NOT(ISERROR(SEARCH("NUEVO",C22)))</formula>
    </cfRule>
  </conditionalFormatting>
  <conditionalFormatting sqref="C23:D23">
    <cfRule type="containsText" dxfId="8376" priority="10824" operator="containsText" text="NO+$D$4:$D$10">
      <formula>NOT(ISERROR(SEARCH("NO+$D$4:$D$10",C23)))</formula>
    </cfRule>
  </conditionalFormatting>
  <conditionalFormatting sqref="C23:D23">
    <cfRule type="containsText" dxfId="8375" priority="10822" operator="containsText" text="SI">
      <formula>NOT(ISERROR(SEARCH("SI",C23)))</formula>
    </cfRule>
    <cfRule type="containsText" dxfId="8374" priority="10823" operator="containsText" text="NO">
      <formula>NOT(ISERROR(SEARCH("NO",C23)))</formula>
    </cfRule>
  </conditionalFormatting>
  <conditionalFormatting sqref="C23:D23">
    <cfRule type="containsText" dxfId="8373" priority="10821" operator="containsText" text="NUEVO">
      <formula>NOT(ISERROR(SEARCH("NUEVO",C23)))</formula>
    </cfRule>
  </conditionalFormatting>
  <conditionalFormatting sqref="E23">
    <cfRule type="containsText" dxfId="8372" priority="10819" operator="containsText" text="NUEVO">
      <formula>NOT(ISERROR(SEARCH("NUEVO",E23)))</formula>
    </cfRule>
  </conditionalFormatting>
  <conditionalFormatting sqref="E23">
    <cfRule type="containsText" dxfId="8371" priority="10820" operator="containsText" text="Sin información">
      <formula>NOT(ISERROR(SEARCH("Sin información",E23)))</formula>
    </cfRule>
  </conditionalFormatting>
  <conditionalFormatting sqref="C24:D24">
    <cfRule type="containsText" dxfId="8370" priority="10818" operator="containsText" text="NO+$D$4:$D$10">
      <formula>NOT(ISERROR(SEARCH("NO+$D$4:$D$10",C24)))</formula>
    </cfRule>
  </conditionalFormatting>
  <conditionalFormatting sqref="C24:D24">
    <cfRule type="containsText" dxfId="8369" priority="10816" operator="containsText" text="SI">
      <formula>NOT(ISERROR(SEARCH("SI",C24)))</formula>
    </cfRule>
    <cfRule type="containsText" dxfId="8368" priority="10817" operator="containsText" text="NO">
      <formula>NOT(ISERROR(SEARCH("NO",C24)))</formula>
    </cfRule>
  </conditionalFormatting>
  <conditionalFormatting sqref="C24:D24">
    <cfRule type="containsText" dxfId="8367" priority="10815" operator="containsText" text="NUEVO">
      <formula>NOT(ISERROR(SEARCH("NUEVO",C24)))</formula>
    </cfRule>
  </conditionalFormatting>
  <conditionalFormatting sqref="E24">
    <cfRule type="containsText" dxfId="8366" priority="10814" operator="containsText" text="Sin información">
      <formula>NOT(ISERROR(SEARCH("Sin información",E24)))</formula>
    </cfRule>
  </conditionalFormatting>
  <conditionalFormatting sqref="E24">
    <cfRule type="containsText" dxfId="8365" priority="10813" operator="containsText" text="NUEVO">
      <formula>NOT(ISERROR(SEARCH("NUEVO",E24)))</formula>
    </cfRule>
  </conditionalFormatting>
  <conditionalFormatting sqref="C25:D25">
    <cfRule type="containsText" dxfId="8364" priority="10812" operator="containsText" text="NO+$D$4:$D$10">
      <formula>NOT(ISERROR(SEARCH("NO+$D$4:$D$10",C25)))</formula>
    </cfRule>
  </conditionalFormatting>
  <conditionalFormatting sqref="C25:D25">
    <cfRule type="containsText" dxfId="8363" priority="10810" operator="containsText" text="SI">
      <formula>NOT(ISERROR(SEARCH("SI",C25)))</formula>
    </cfRule>
    <cfRule type="containsText" dxfId="8362" priority="10811" operator="containsText" text="NO">
      <formula>NOT(ISERROR(SEARCH("NO",C25)))</formula>
    </cfRule>
  </conditionalFormatting>
  <conditionalFormatting sqref="E25">
    <cfRule type="containsText" dxfId="8361" priority="10809" operator="containsText" text="Sin información">
      <formula>NOT(ISERROR(SEARCH("Sin información",E25)))</formula>
    </cfRule>
  </conditionalFormatting>
  <conditionalFormatting sqref="C25:E25">
    <cfRule type="containsText" dxfId="8360" priority="10808" operator="containsText" text="NUEVO">
      <formula>NOT(ISERROR(SEARCH("NUEVO",C25)))</formula>
    </cfRule>
  </conditionalFormatting>
  <conditionalFormatting sqref="E25">
    <cfRule type="containsText" dxfId="8359" priority="10807" operator="containsText" text="Sin Información">
      <formula>NOT(ISERROR(SEARCH("Sin Información",E25)))</formula>
    </cfRule>
  </conditionalFormatting>
  <conditionalFormatting sqref="C26:D26">
    <cfRule type="containsText" dxfId="8358" priority="10806" operator="containsText" text="NO+$D$4:$D$10">
      <formula>NOT(ISERROR(SEARCH("NO+$D$4:$D$10",C26)))</formula>
    </cfRule>
  </conditionalFormatting>
  <conditionalFormatting sqref="C26:D26">
    <cfRule type="containsText" dxfId="8357" priority="10804" operator="containsText" text="SI">
      <formula>NOT(ISERROR(SEARCH("SI",C26)))</formula>
    </cfRule>
    <cfRule type="containsText" dxfId="8356" priority="10805" operator="containsText" text="NO">
      <formula>NOT(ISERROR(SEARCH("NO",C26)))</formula>
    </cfRule>
  </conditionalFormatting>
  <conditionalFormatting sqref="E26">
    <cfRule type="containsText" dxfId="8355" priority="10803" operator="containsText" text="Sin información">
      <formula>NOT(ISERROR(SEARCH("Sin información",E26)))</formula>
    </cfRule>
  </conditionalFormatting>
  <conditionalFormatting sqref="C26:E26">
    <cfRule type="containsText" dxfId="8354" priority="10802" operator="containsText" text="NUEVO">
      <formula>NOT(ISERROR(SEARCH("NUEVO",C26)))</formula>
    </cfRule>
  </conditionalFormatting>
  <conditionalFormatting sqref="E26">
    <cfRule type="containsText" dxfId="8353" priority="10801" operator="containsText" text="Sin Información">
      <formula>NOT(ISERROR(SEARCH("Sin Información",E26)))</formula>
    </cfRule>
  </conditionalFormatting>
  <conditionalFormatting sqref="C27:D27">
    <cfRule type="containsText" dxfId="8352" priority="10800" operator="containsText" text="NO+$D$4:$D$10">
      <formula>NOT(ISERROR(SEARCH("NO+$D$4:$D$10",C27)))</formula>
    </cfRule>
  </conditionalFormatting>
  <conditionalFormatting sqref="C27:D27">
    <cfRule type="containsText" dxfId="8351" priority="10798" operator="containsText" text="SI">
      <formula>NOT(ISERROR(SEARCH("SI",C27)))</formula>
    </cfRule>
    <cfRule type="containsText" dxfId="8350" priority="10799" operator="containsText" text="NO">
      <formula>NOT(ISERROR(SEARCH("NO",C27)))</formula>
    </cfRule>
  </conditionalFormatting>
  <conditionalFormatting sqref="E27">
    <cfRule type="containsText" dxfId="8349" priority="10797" operator="containsText" text="Sin información">
      <formula>NOT(ISERROR(SEARCH("Sin información",E27)))</formula>
    </cfRule>
  </conditionalFormatting>
  <conditionalFormatting sqref="C27:E27">
    <cfRule type="containsText" dxfId="8348" priority="10796" operator="containsText" text="NUEVO">
      <formula>NOT(ISERROR(SEARCH("NUEVO",C27)))</formula>
    </cfRule>
  </conditionalFormatting>
  <conditionalFormatting sqref="E27">
    <cfRule type="containsText" dxfId="8347" priority="10795" operator="containsText" text="Sin Información">
      <formula>NOT(ISERROR(SEARCH("Sin Información",E27)))</formula>
    </cfRule>
  </conditionalFormatting>
  <conditionalFormatting sqref="C28:D28">
    <cfRule type="containsText" dxfId="8346" priority="10794" operator="containsText" text="NO+$D$4:$D$10">
      <formula>NOT(ISERROR(SEARCH("NO+$D$4:$D$10",C28)))</formula>
    </cfRule>
  </conditionalFormatting>
  <conditionalFormatting sqref="C28:D28">
    <cfRule type="containsText" dxfId="8345" priority="10792" operator="containsText" text="SI">
      <formula>NOT(ISERROR(SEARCH("SI",C28)))</formula>
    </cfRule>
    <cfRule type="containsText" dxfId="8344" priority="10793" operator="containsText" text="NO">
      <formula>NOT(ISERROR(SEARCH("NO",C28)))</formula>
    </cfRule>
  </conditionalFormatting>
  <conditionalFormatting sqref="E28">
    <cfRule type="containsText" dxfId="8343" priority="10791" operator="containsText" text="Sin información">
      <formula>NOT(ISERROR(SEARCH("Sin información",E28)))</formula>
    </cfRule>
  </conditionalFormatting>
  <conditionalFormatting sqref="C28:E28">
    <cfRule type="containsText" dxfId="8342" priority="10790" operator="containsText" text="NUEVO">
      <formula>NOT(ISERROR(SEARCH("NUEVO",C28)))</formula>
    </cfRule>
  </conditionalFormatting>
  <conditionalFormatting sqref="E28">
    <cfRule type="containsText" dxfId="8341" priority="10789" operator="containsText" text="Sin Información">
      <formula>NOT(ISERROR(SEARCH("Sin Información",E28)))</formula>
    </cfRule>
  </conditionalFormatting>
  <conditionalFormatting sqref="C29:D29">
    <cfRule type="containsText" dxfId="8340" priority="10788" operator="containsText" text="NO+$D$4:$D$10">
      <formula>NOT(ISERROR(SEARCH("NO+$D$4:$D$10",C29)))</formula>
    </cfRule>
  </conditionalFormatting>
  <conditionalFormatting sqref="C29:D29">
    <cfRule type="containsText" dxfId="8339" priority="10786" operator="containsText" text="SI">
      <formula>NOT(ISERROR(SEARCH("SI",C29)))</formula>
    </cfRule>
    <cfRule type="containsText" dxfId="8338" priority="10787" operator="containsText" text="NO">
      <formula>NOT(ISERROR(SEARCH("NO",C29)))</formula>
    </cfRule>
  </conditionalFormatting>
  <conditionalFormatting sqref="E29">
    <cfRule type="containsText" dxfId="8337" priority="10785" operator="containsText" text="Sin información">
      <formula>NOT(ISERROR(SEARCH("Sin información",E29)))</formula>
    </cfRule>
  </conditionalFormatting>
  <conditionalFormatting sqref="C29:E29">
    <cfRule type="containsText" dxfId="8336" priority="10784" operator="containsText" text="NUEVO">
      <formula>NOT(ISERROR(SEARCH("NUEVO",C29)))</formula>
    </cfRule>
  </conditionalFormatting>
  <conditionalFormatting sqref="E29">
    <cfRule type="containsText" dxfId="8335" priority="10783" operator="containsText" text="Sin Información">
      <formula>NOT(ISERROR(SEARCH("Sin Información",E29)))</formula>
    </cfRule>
  </conditionalFormatting>
  <conditionalFormatting sqref="C30:D30">
    <cfRule type="containsText" dxfId="8334" priority="10782" operator="containsText" text="NO+$D$4:$D$10">
      <formula>NOT(ISERROR(SEARCH("NO+$D$4:$D$10",C30)))</formula>
    </cfRule>
  </conditionalFormatting>
  <conditionalFormatting sqref="C30:D30">
    <cfRule type="containsText" dxfId="8333" priority="10780" operator="containsText" text="SI">
      <formula>NOT(ISERROR(SEARCH("SI",C30)))</formula>
    </cfRule>
    <cfRule type="containsText" dxfId="8332" priority="10781" operator="containsText" text="NO">
      <formula>NOT(ISERROR(SEARCH("NO",C30)))</formula>
    </cfRule>
  </conditionalFormatting>
  <conditionalFormatting sqref="E30">
    <cfRule type="containsText" dxfId="8331" priority="10779" operator="containsText" text="Sin información">
      <formula>NOT(ISERROR(SEARCH("Sin información",E30)))</formula>
    </cfRule>
  </conditionalFormatting>
  <conditionalFormatting sqref="C30:E30">
    <cfRule type="containsText" dxfId="8330" priority="10778" operator="containsText" text="NUEVO">
      <formula>NOT(ISERROR(SEARCH("NUEVO",C30)))</formula>
    </cfRule>
  </conditionalFormatting>
  <conditionalFormatting sqref="E30">
    <cfRule type="containsText" dxfId="8329" priority="10777" operator="containsText" text="Sin Información">
      <formula>NOT(ISERROR(SEARCH("Sin Información",E30)))</formula>
    </cfRule>
  </conditionalFormatting>
  <conditionalFormatting sqref="C32:D32">
    <cfRule type="containsText" dxfId="8328" priority="10770" operator="containsText" text="NO+$D$4:$D$10">
      <formula>NOT(ISERROR(SEARCH("NO+$D$4:$D$10",C32)))</formula>
    </cfRule>
  </conditionalFormatting>
  <conditionalFormatting sqref="C32:D32">
    <cfRule type="containsText" dxfId="8327" priority="10768" operator="containsText" text="SI">
      <formula>NOT(ISERROR(SEARCH("SI",C32)))</formula>
    </cfRule>
    <cfRule type="containsText" dxfId="8326" priority="10769" operator="containsText" text="NO">
      <formula>NOT(ISERROR(SEARCH("NO",C32)))</formula>
    </cfRule>
  </conditionalFormatting>
  <conditionalFormatting sqref="E32">
    <cfRule type="containsText" dxfId="8325" priority="10767" operator="containsText" text="Sin información">
      <formula>NOT(ISERROR(SEARCH("Sin información",E32)))</formula>
    </cfRule>
  </conditionalFormatting>
  <conditionalFormatting sqref="C32:E32">
    <cfRule type="containsText" dxfId="8324" priority="10766" operator="containsText" text="NUEVO">
      <formula>NOT(ISERROR(SEARCH("NUEVO",C32)))</formula>
    </cfRule>
  </conditionalFormatting>
  <conditionalFormatting sqref="E32">
    <cfRule type="containsText" dxfId="8323" priority="10765" operator="containsText" text="Sin Información">
      <formula>NOT(ISERROR(SEARCH("Sin Información",E32)))</formula>
    </cfRule>
  </conditionalFormatting>
  <conditionalFormatting sqref="C33:D33">
    <cfRule type="containsText" dxfId="8322" priority="10764" operator="containsText" text="NO+$D$4:$D$10">
      <formula>NOT(ISERROR(SEARCH("NO+$D$4:$D$10",C33)))</formula>
    </cfRule>
  </conditionalFormatting>
  <conditionalFormatting sqref="C33:D33">
    <cfRule type="containsText" dxfId="8321" priority="10762" operator="containsText" text="SI">
      <formula>NOT(ISERROR(SEARCH("SI",C33)))</formula>
    </cfRule>
    <cfRule type="containsText" dxfId="8320" priority="10763" operator="containsText" text="NO">
      <formula>NOT(ISERROR(SEARCH("NO",C33)))</formula>
    </cfRule>
  </conditionalFormatting>
  <conditionalFormatting sqref="E33">
    <cfRule type="containsText" dxfId="8319" priority="10761" operator="containsText" text="Sin información">
      <formula>NOT(ISERROR(SEARCH("Sin información",E33)))</formula>
    </cfRule>
  </conditionalFormatting>
  <conditionalFormatting sqref="C33:E33">
    <cfRule type="containsText" dxfId="8318" priority="10760" operator="containsText" text="NUEVO">
      <formula>NOT(ISERROR(SEARCH("NUEVO",C33)))</formula>
    </cfRule>
  </conditionalFormatting>
  <conditionalFormatting sqref="E33">
    <cfRule type="containsText" dxfId="8317" priority="10759" operator="containsText" text="Sin Información">
      <formula>NOT(ISERROR(SEARCH("Sin Información",E33)))</formula>
    </cfRule>
  </conditionalFormatting>
  <conditionalFormatting sqref="C34:D34">
    <cfRule type="containsText" dxfId="8316" priority="10758" operator="containsText" text="NO+$D$4:$D$10">
      <formula>NOT(ISERROR(SEARCH("NO+$D$4:$D$10",C34)))</formula>
    </cfRule>
  </conditionalFormatting>
  <conditionalFormatting sqref="C34:D34">
    <cfRule type="containsText" dxfId="8315" priority="10756" operator="containsText" text="SI">
      <formula>NOT(ISERROR(SEARCH("SI",C34)))</formula>
    </cfRule>
    <cfRule type="containsText" dxfId="8314" priority="10757" operator="containsText" text="NO">
      <formula>NOT(ISERROR(SEARCH("NO",C34)))</formula>
    </cfRule>
  </conditionalFormatting>
  <conditionalFormatting sqref="E34">
    <cfRule type="containsText" dxfId="8313" priority="10755" operator="containsText" text="Sin información">
      <formula>NOT(ISERROR(SEARCH("Sin información",E34)))</formula>
    </cfRule>
  </conditionalFormatting>
  <conditionalFormatting sqref="C34:E34">
    <cfRule type="containsText" dxfId="8312" priority="10754" operator="containsText" text="NUEVO">
      <formula>NOT(ISERROR(SEARCH("NUEVO",C34)))</formula>
    </cfRule>
  </conditionalFormatting>
  <conditionalFormatting sqref="E34">
    <cfRule type="containsText" dxfId="8311" priority="10753" operator="containsText" text="Sin Información">
      <formula>NOT(ISERROR(SEARCH("Sin Información",E34)))</formula>
    </cfRule>
  </conditionalFormatting>
  <conditionalFormatting sqref="C36:D36">
    <cfRule type="containsText" dxfId="8310" priority="10752" operator="containsText" text="NO+$D$4:$D$10">
      <formula>NOT(ISERROR(SEARCH("NO+$D$4:$D$10",C36)))</formula>
    </cfRule>
  </conditionalFormatting>
  <conditionalFormatting sqref="C36:D36">
    <cfRule type="containsText" dxfId="8309" priority="10750" operator="containsText" text="SI">
      <formula>NOT(ISERROR(SEARCH("SI",C36)))</formula>
    </cfRule>
    <cfRule type="containsText" dxfId="8308" priority="10751" operator="containsText" text="NO">
      <formula>NOT(ISERROR(SEARCH("NO",C36)))</formula>
    </cfRule>
  </conditionalFormatting>
  <conditionalFormatting sqref="C36:D36">
    <cfRule type="containsText" dxfId="8307" priority="10749" operator="containsText" text="NUEVO">
      <formula>NOT(ISERROR(SEARCH("NUEVO",C36)))</formula>
    </cfRule>
  </conditionalFormatting>
  <conditionalFormatting sqref="E36">
    <cfRule type="containsText" dxfId="8306" priority="10746" operator="containsText" text="Sin Información">
      <formula>NOT(ISERROR(SEARCH("Sin Información",E36)))</formula>
    </cfRule>
  </conditionalFormatting>
  <conditionalFormatting sqref="E36">
    <cfRule type="containsText" dxfId="8305" priority="10748" operator="containsText" text="Sin información">
      <formula>NOT(ISERROR(SEARCH("Sin información",E36)))</formula>
    </cfRule>
  </conditionalFormatting>
  <conditionalFormatting sqref="E36">
    <cfRule type="containsText" dxfId="8304" priority="10747" operator="containsText" text="NUEVO">
      <formula>NOT(ISERROR(SEARCH("NUEVO",E36)))</formula>
    </cfRule>
  </conditionalFormatting>
  <conditionalFormatting sqref="C37:D37">
    <cfRule type="containsText" dxfId="8303" priority="10745" operator="containsText" text="NO+$D$4:$D$10">
      <formula>NOT(ISERROR(SEARCH("NO+$D$4:$D$10",C37)))</formula>
    </cfRule>
  </conditionalFormatting>
  <conditionalFormatting sqref="C37:D37">
    <cfRule type="containsText" dxfId="8302" priority="10743" operator="containsText" text="SI">
      <formula>NOT(ISERROR(SEARCH("SI",C37)))</formula>
    </cfRule>
    <cfRule type="containsText" dxfId="8301" priority="10744" operator="containsText" text="NO">
      <formula>NOT(ISERROR(SEARCH("NO",C37)))</formula>
    </cfRule>
  </conditionalFormatting>
  <conditionalFormatting sqref="E37">
    <cfRule type="containsText" dxfId="8300" priority="10742" operator="containsText" text="Sin información">
      <formula>NOT(ISERROR(SEARCH("Sin información",E37)))</formula>
    </cfRule>
  </conditionalFormatting>
  <conditionalFormatting sqref="C37:E37">
    <cfRule type="containsText" dxfId="8299" priority="10741" operator="containsText" text="NUEVO">
      <formula>NOT(ISERROR(SEARCH("NUEVO",C37)))</formula>
    </cfRule>
  </conditionalFormatting>
  <conditionalFormatting sqref="C38:D40">
    <cfRule type="containsText" dxfId="8298" priority="10740" operator="containsText" text="NO+$D$4:$D$10">
      <formula>NOT(ISERROR(SEARCH("NO+$D$4:$D$10",C38)))</formula>
    </cfRule>
  </conditionalFormatting>
  <conditionalFormatting sqref="C38:D40">
    <cfRule type="containsText" dxfId="8297" priority="10738" operator="containsText" text="SI">
      <formula>NOT(ISERROR(SEARCH("SI",C38)))</formula>
    </cfRule>
    <cfRule type="containsText" dxfId="8296" priority="10739" operator="containsText" text="NO">
      <formula>NOT(ISERROR(SEARCH("NO",C38)))</formula>
    </cfRule>
  </conditionalFormatting>
  <conditionalFormatting sqref="E38:E39">
    <cfRule type="containsText" dxfId="8295" priority="10737" operator="containsText" text="Sin información">
      <formula>NOT(ISERROR(SEARCH("Sin información",E38)))</formula>
    </cfRule>
  </conditionalFormatting>
  <conditionalFormatting sqref="E38:E39 C38:D40">
    <cfRule type="containsText" dxfId="8294" priority="10736" operator="containsText" text="NUEVO">
      <formula>NOT(ISERROR(SEARCH("NUEVO",C38)))</formula>
    </cfRule>
  </conditionalFormatting>
  <conditionalFormatting sqref="E38:E39">
    <cfRule type="containsText" dxfId="8293" priority="10735" operator="containsText" text="Sin Información">
      <formula>NOT(ISERROR(SEARCH("Sin Información",E38)))</formula>
    </cfRule>
  </conditionalFormatting>
  <conditionalFormatting sqref="E40">
    <cfRule type="containsText" dxfId="8292" priority="10734" operator="containsText" text="Sin información">
      <formula>NOT(ISERROR(SEARCH("Sin información",E40)))</formula>
    </cfRule>
  </conditionalFormatting>
  <conditionalFormatting sqref="E40">
    <cfRule type="containsText" dxfId="8291" priority="10733" operator="containsText" text="NUEVO">
      <formula>NOT(ISERROR(SEARCH("NUEVO",E40)))</formula>
    </cfRule>
  </conditionalFormatting>
  <conditionalFormatting sqref="C41:D42">
    <cfRule type="containsText" dxfId="8290" priority="10732" operator="containsText" text="NO+$D$4:$D$10">
      <formula>NOT(ISERROR(SEARCH("NO+$D$4:$D$10",C41)))</formula>
    </cfRule>
  </conditionalFormatting>
  <conditionalFormatting sqref="C41:D42">
    <cfRule type="containsText" dxfId="8289" priority="10730" operator="containsText" text="SI">
      <formula>NOT(ISERROR(SEARCH("SI",C41)))</formula>
    </cfRule>
    <cfRule type="containsText" dxfId="8288" priority="10731" operator="containsText" text="NO">
      <formula>NOT(ISERROR(SEARCH("NO",C41)))</formula>
    </cfRule>
  </conditionalFormatting>
  <conditionalFormatting sqref="C41:D42">
    <cfRule type="containsText" dxfId="8287" priority="10729" operator="containsText" text="NUEVO">
      <formula>NOT(ISERROR(SEARCH("NUEVO",C41)))</formula>
    </cfRule>
  </conditionalFormatting>
  <conditionalFormatting sqref="E41">
    <cfRule type="containsText" dxfId="8286" priority="10727" operator="containsText" text="NUEVO">
      <formula>NOT(ISERROR(SEARCH("NUEVO",E41)))</formula>
    </cfRule>
  </conditionalFormatting>
  <conditionalFormatting sqref="E41">
    <cfRule type="containsText" dxfId="8285" priority="10726" operator="containsText" text="Sin Información">
      <formula>NOT(ISERROR(SEARCH("Sin Información",E41)))</formula>
    </cfRule>
  </conditionalFormatting>
  <conditionalFormatting sqref="E41">
    <cfRule type="containsText" dxfId="8284" priority="10728" operator="containsText" text="Sin información">
      <formula>NOT(ISERROR(SEARCH("Sin información",E41)))</formula>
    </cfRule>
  </conditionalFormatting>
  <conditionalFormatting sqref="E42">
    <cfRule type="containsText" dxfId="8283" priority="10725" operator="containsText" text="Sin información">
      <formula>NOT(ISERROR(SEARCH("Sin información",E42)))</formula>
    </cfRule>
  </conditionalFormatting>
  <conditionalFormatting sqref="E42">
    <cfRule type="containsText" dxfId="8282" priority="10724" operator="containsText" text="NUEVO">
      <formula>NOT(ISERROR(SEARCH("NUEVO",E42)))</formula>
    </cfRule>
  </conditionalFormatting>
  <conditionalFormatting sqref="E42">
    <cfRule type="containsText" dxfId="8281" priority="10723" operator="containsText" text="Sin Información">
      <formula>NOT(ISERROR(SEARCH("Sin Información",E42)))</formula>
    </cfRule>
  </conditionalFormatting>
  <conditionalFormatting sqref="C43:D47">
    <cfRule type="containsText" dxfId="8280" priority="10716" operator="containsText" text="NO+$D$4:$D$10">
      <formula>NOT(ISERROR(SEARCH("NO+$D$4:$D$10",C43)))</formula>
    </cfRule>
  </conditionalFormatting>
  <conditionalFormatting sqref="C43:D47">
    <cfRule type="containsText" dxfId="8279" priority="10714" operator="containsText" text="SI">
      <formula>NOT(ISERROR(SEARCH("SI",C43)))</formula>
    </cfRule>
    <cfRule type="containsText" dxfId="8278" priority="10715" operator="containsText" text="NO">
      <formula>NOT(ISERROR(SEARCH("NO",C43)))</formula>
    </cfRule>
  </conditionalFormatting>
  <conditionalFormatting sqref="E43:E46">
    <cfRule type="containsText" dxfId="8277" priority="10713" operator="containsText" text="Sin información">
      <formula>NOT(ISERROR(SEARCH("Sin información",E43)))</formula>
    </cfRule>
  </conditionalFormatting>
  <conditionalFormatting sqref="C43:D47 E43:E46">
    <cfRule type="containsText" dxfId="8276" priority="10712" operator="containsText" text="NUEVO">
      <formula>NOT(ISERROR(SEARCH("NUEVO",C43)))</formula>
    </cfRule>
  </conditionalFormatting>
  <conditionalFormatting sqref="E43:E46">
    <cfRule type="containsText" dxfId="8275" priority="10711" operator="containsText" text="Sin Información">
      <formula>NOT(ISERROR(SEARCH("Sin Información",E43)))</formula>
    </cfRule>
  </conditionalFormatting>
  <conditionalFormatting sqref="E47">
    <cfRule type="containsText" dxfId="8274" priority="10710" operator="containsText" text="Sin información">
      <formula>NOT(ISERROR(SEARCH("Sin información",E47)))</formula>
    </cfRule>
  </conditionalFormatting>
  <conditionalFormatting sqref="E47">
    <cfRule type="containsText" dxfId="8273" priority="10709" operator="containsText" text="NUEVO">
      <formula>NOT(ISERROR(SEARCH("NUEVO",E47)))</formula>
    </cfRule>
  </conditionalFormatting>
  <conditionalFormatting sqref="E47">
    <cfRule type="containsText" dxfId="8272" priority="10708" operator="containsText" text="Sin Información">
      <formula>NOT(ISERROR(SEARCH("Sin Información",E47)))</formula>
    </cfRule>
  </conditionalFormatting>
  <conditionalFormatting sqref="C48:D48">
    <cfRule type="containsText" dxfId="8271" priority="10707" operator="containsText" text="NO+$D$4:$D$10">
      <formula>NOT(ISERROR(SEARCH("NO+$D$4:$D$10",C48)))</formula>
    </cfRule>
  </conditionalFormatting>
  <conditionalFormatting sqref="C48:D48">
    <cfRule type="containsText" dxfId="8270" priority="10705" operator="containsText" text="SI">
      <formula>NOT(ISERROR(SEARCH("SI",C48)))</formula>
    </cfRule>
    <cfRule type="containsText" dxfId="8269" priority="10706" operator="containsText" text="NO">
      <formula>NOT(ISERROR(SEARCH("NO",C48)))</formula>
    </cfRule>
  </conditionalFormatting>
  <conditionalFormatting sqref="E48">
    <cfRule type="containsText" dxfId="8268" priority="10704" operator="containsText" text="Sin información">
      <formula>NOT(ISERROR(SEARCH("Sin información",E48)))</formula>
    </cfRule>
  </conditionalFormatting>
  <conditionalFormatting sqref="C48:E48">
    <cfRule type="containsText" dxfId="8267" priority="10703" operator="containsText" text="NUEVO">
      <formula>NOT(ISERROR(SEARCH("NUEVO",C48)))</formula>
    </cfRule>
  </conditionalFormatting>
  <conditionalFormatting sqref="E48">
    <cfRule type="containsText" dxfId="8266" priority="10702" operator="containsText" text="Sin Información">
      <formula>NOT(ISERROR(SEARCH("Sin Información",E48)))</formula>
    </cfRule>
  </conditionalFormatting>
  <conditionalFormatting sqref="C49:D49">
    <cfRule type="containsText" dxfId="8265" priority="10701" operator="containsText" text="NO+$D$4:$D$10">
      <formula>NOT(ISERROR(SEARCH("NO+$D$4:$D$10",C49)))</formula>
    </cfRule>
  </conditionalFormatting>
  <conditionalFormatting sqref="C49:D49">
    <cfRule type="containsText" dxfId="8264" priority="10699" operator="containsText" text="SI">
      <formula>NOT(ISERROR(SEARCH("SI",C49)))</formula>
    </cfRule>
    <cfRule type="containsText" dxfId="8263" priority="10700" operator="containsText" text="NO">
      <formula>NOT(ISERROR(SEARCH("NO",C49)))</formula>
    </cfRule>
  </conditionalFormatting>
  <conditionalFormatting sqref="E49">
    <cfRule type="containsText" dxfId="8262" priority="10698" operator="containsText" text="Sin información">
      <formula>NOT(ISERROR(SEARCH("Sin información",E49)))</formula>
    </cfRule>
  </conditionalFormatting>
  <conditionalFormatting sqref="C49:E49">
    <cfRule type="containsText" dxfId="8261" priority="10697" operator="containsText" text="NUEVO">
      <formula>NOT(ISERROR(SEARCH("NUEVO",C49)))</formula>
    </cfRule>
  </conditionalFormatting>
  <conditionalFormatting sqref="E49">
    <cfRule type="containsText" dxfId="8260" priority="10696" operator="containsText" text="Sin Información">
      <formula>NOT(ISERROR(SEARCH("Sin Información",E49)))</formula>
    </cfRule>
  </conditionalFormatting>
  <conditionalFormatting sqref="C50:D51">
    <cfRule type="containsText" dxfId="8259" priority="10695" operator="containsText" text="NO+$D$4:$D$10">
      <formula>NOT(ISERROR(SEARCH("NO+$D$4:$D$10",C50)))</formula>
    </cfRule>
  </conditionalFormatting>
  <conditionalFormatting sqref="C50:D51">
    <cfRule type="containsText" dxfId="8258" priority="10693" operator="containsText" text="SI">
      <formula>NOT(ISERROR(SEARCH("SI",C50)))</formula>
    </cfRule>
    <cfRule type="containsText" dxfId="8257" priority="10694" operator="containsText" text="NO">
      <formula>NOT(ISERROR(SEARCH("NO",C50)))</formula>
    </cfRule>
  </conditionalFormatting>
  <conditionalFormatting sqref="E50:E51">
    <cfRule type="containsText" dxfId="8256" priority="10692" operator="containsText" text="Sin información">
      <formula>NOT(ISERROR(SEARCH("Sin información",E50)))</formula>
    </cfRule>
  </conditionalFormatting>
  <conditionalFormatting sqref="C50:E51">
    <cfRule type="containsText" dxfId="8255" priority="10691" operator="containsText" text="NUEVO">
      <formula>NOT(ISERROR(SEARCH("NUEVO",C50)))</formula>
    </cfRule>
  </conditionalFormatting>
  <conditionalFormatting sqref="E50:E51">
    <cfRule type="containsText" dxfId="8254" priority="10690" operator="containsText" text="Sin Información">
      <formula>NOT(ISERROR(SEARCH("Sin Información",E50)))</formula>
    </cfRule>
  </conditionalFormatting>
  <conditionalFormatting sqref="C52:D52">
    <cfRule type="containsText" dxfId="8253" priority="10689" operator="containsText" text="NO+$D$4:$D$10">
      <formula>NOT(ISERROR(SEARCH("NO+$D$4:$D$10",C52)))</formula>
    </cfRule>
  </conditionalFormatting>
  <conditionalFormatting sqref="C52:D52">
    <cfRule type="containsText" dxfId="8252" priority="10687" operator="containsText" text="SI">
      <formula>NOT(ISERROR(SEARCH("SI",C52)))</formula>
    </cfRule>
    <cfRule type="containsText" dxfId="8251" priority="10688" operator="containsText" text="NO">
      <formula>NOT(ISERROR(SEARCH("NO",C52)))</formula>
    </cfRule>
  </conditionalFormatting>
  <conditionalFormatting sqref="E52">
    <cfRule type="containsText" dxfId="8250" priority="10686" operator="containsText" text="Sin información">
      <formula>NOT(ISERROR(SEARCH("Sin información",E52)))</formula>
    </cfRule>
  </conditionalFormatting>
  <conditionalFormatting sqref="E52">
    <cfRule type="containsText" dxfId="8249" priority="10685" operator="containsText" text="NUEVO">
      <formula>NOT(ISERROR(SEARCH("NUEVO",E52)))</formula>
    </cfRule>
  </conditionalFormatting>
  <conditionalFormatting sqref="C52:D52">
    <cfRule type="containsText" dxfId="8248" priority="10684" operator="containsText" text="NUEVO">
      <formula>NOT(ISERROR(SEARCH("NUEVO",C52)))</formula>
    </cfRule>
  </conditionalFormatting>
  <conditionalFormatting sqref="C53:D53">
    <cfRule type="containsText" dxfId="8247" priority="10683" operator="containsText" text="NO+$D$4:$D$10">
      <formula>NOT(ISERROR(SEARCH("NO+$D$4:$D$10",C53)))</formula>
    </cfRule>
  </conditionalFormatting>
  <conditionalFormatting sqref="C53:D53">
    <cfRule type="containsText" dxfId="8246" priority="10681" operator="containsText" text="SI">
      <formula>NOT(ISERROR(SEARCH("SI",C53)))</formula>
    </cfRule>
    <cfRule type="containsText" dxfId="8245" priority="10682" operator="containsText" text="NO">
      <formula>NOT(ISERROR(SEARCH("NO",C53)))</formula>
    </cfRule>
  </conditionalFormatting>
  <conditionalFormatting sqref="E53">
    <cfRule type="containsText" dxfId="8244" priority="10680" operator="containsText" text="Sin información">
      <formula>NOT(ISERROR(SEARCH("Sin información",E53)))</formula>
    </cfRule>
  </conditionalFormatting>
  <conditionalFormatting sqref="E53">
    <cfRule type="containsText" dxfId="8243" priority="10679" operator="containsText" text="NUEVO">
      <formula>NOT(ISERROR(SEARCH("NUEVO",E53)))</formula>
    </cfRule>
  </conditionalFormatting>
  <conditionalFormatting sqref="C53:D53">
    <cfRule type="containsText" dxfId="8242" priority="10678" operator="containsText" text="NUEVO">
      <formula>NOT(ISERROR(SEARCH("NUEVO",C53)))</formula>
    </cfRule>
  </conditionalFormatting>
  <conditionalFormatting sqref="C54:D54">
    <cfRule type="containsText" dxfId="8241" priority="10677" operator="containsText" text="NO+$D$4:$D$10">
      <formula>NOT(ISERROR(SEARCH("NO+$D$4:$D$10",C54)))</formula>
    </cfRule>
  </conditionalFormatting>
  <conditionalFormatting sqref="C54:D54">
    <cfRule type="containsText" dxfId="8240" priority="10675" operator="containsText" text="SI">
      <formula>NOT(ISERROR(SEARCH("SI",C54)))</formula>
    </cfRule>
    <cfRule type="containsText" dxfId="8239" priority="10676" operator="containsText" text="NO">
      <formula>NOT(ISERROR(SEARCH("NO",C54)))</formula>
    </cfRule>
  </conditionalFormatting>
  <conditionalFormatting sqref="E54">
    <cfRule type="containsText" dxfId="8238" priority="10674" operator="containsText" text="Sin información">
      <formula>NOT(ISERROR(SEARCH("Sin información",E54)))</formula>
    </cfRule>
  </conditionalFormatting>
  <conditionalFormatting sqref="E54">
    <cfRule type="containsText" dxfId="8237" priority="10673" operator="containsText" text="NUEVO">
      <formula>NOT(ISERROR(SEARCH("NUEVO",E54)))</formula>
    </cfRule>
  </conditionalFormatting>
  <conditionalFormatting sqref="C54:D54">
    <cfRule type="containsText" dxfId="8236" priority="10672" operator="containsText" text="NUEVO">
      <formula>NOT(ISERROR(SEARCH("NUEVO",C54)))</formula>
    </cfRule>
  </conditionalFormatting>
  <conditionalFormatting sqref="C55:D55">
    <cfRule type="containsText" dxfId="8235" priority="10671" operator="containsText" text="NO+$D$4:$D$10">
      <formula>NOT(ISERROR(SEARCH("NO+$D$4:$D$10",C55)))</formula>
    </cfRule>
  </conditionalFormatting>
  <conditionalFormatting sqref="C55:D55">
    <cfRule type="containsText" dxfId="8234" priority="10669" operator="containsText" text="SI">
      <formula>NOT(ISERROR(SEARCH("SI",C55)))</formula>
    </cfRule>
    <cfRule type="containsText" dxfId="8233" priority="10670" operator="containsText" text="NO">
      <formula>NOT(ISERROR(SEARCH("NO",C55)))</formula>
    </cfRule>
  </conditionalFormatting>
  <conditionalFormatting sqref="E55">
    <cfRule type="containsText" dxfId="8232" priority="10668" operator="containsText" text="Sin información">
      <formula>NOT(ISERROR(SEARCH("Sin información",E55)))</formula>
    </cfRule>
  </conditionalFormatting>
  <conditionalFormatting sqref="E55">
    <cfRule type="containsText" dxfId="8231" priority="10667" operator="containsText" text="NUEVO">
      <formula>NOT(ISERROR(SEARCH("NUEVO",E55)))</formula>
    </cfRule>
  </conditionalFormatting>
  <conditionalFormatting sqref="C55:D55">
    <cfRule type="containsText" dxfId="8230" priority="10666" operator="containsText" text="NUEVO">
      <formula>NOT(ISERROR(SEARCH("NUEVO",C55)))</formula>
    </cfRule>
  </conditionalFormatting>
  <conditionalFormatting sqref="C56:D56">
    <cfRule type="containsText" dxfId="8229" priority="10653" operator="containsText" text="NO+$D$4:$D$10">
      <formula>NOT(ISERROR(SEARCH("NO+$D$4:$D$10",C56)))</formula>
    </cfRule>
  </conditionalFormatting>
  <conditionalFormatting sqref="C56:D56">
    <cfRule type="containsText" dxfId="8228" priority="10651" operator="containsText" text="SI">
      <formula>NOT(ISERROR(SEARCH("SI",C56)))</formula>
    </cfRule>
    <cfRule type="containsText" dxfId="8227" priority="10652" operator="containsText" text="NO">
      <formula>NOT(ISERROR(SEARCH("NO",C56)))</formula>
    </cfRule>
  </conditionalFormatting>
  <conditionalFormatting sqref="E56">
    <cfRule type="containsText" dxfId="8226" priority="10650" operator="containsText" text="Sin información">
      <formula>NOT(ISERROR(SEARCH("Sin información",E56)))</formula>
    </cfRule>
  </conditionalFormatting>
  <conditionalFormatting sqref="E56">
    <cfRule type="containsText" dxfId="8225" priority="10649" operator="containsText" text="NUEVO">
      <formula>NOT(ISERROR(SEARCH("NUEVO",E56)))</formula>
    </cfRule>
  </conditionalFormatting>
  <conditionalFormatting sqref="E56">
    <cfRule type="containsText" dxfId="8224" priority="10648" operator="containsText" text="Sin Información">
      <formula>NOT(ISERROR(SEARCH("Sin Información",E56)))</formula>
    </cfRule>
  </conditionalFormatting>
  <conditionalFormatting sqref="C56:D56">
    <cfRule type="containsText" dxfId="8223" priority="10647" operator="containsText" text="NUEVO">
      <formula>NOT(ISERROR(SEARCH("NUEVO",C56)))</formula>
    </cfRule>
  </conditionalFormatting>
  <conditionalFormatting sqref="C57:D57">
    <cfRule type="containsText" dxfId="8222" priority="10646" operator="containsText" text="NO+$D$4:$D$10">
      <formula>NOT(ISERROR(SEARCH("NO+$D$4:$D$10",C57)))</formula>
    </cfRule>
  </conditionalFormatting>
  <conditionalFormatting sqref="C57:D57">
    <cfRule type="containsText" dxfId="8221" priority="10644" operator="containsText" text="SI">
      <formula>NOT(ISERROR(SEARCH("SI",C57)))</formula>
    </cfRule>
    <cfRule type="containsText" dxfId="8220" priority="10645" operator="containsText" text="NO">
      <formula>NOT(ISERROR(SEARCH("NO",C57)))</formula>
    </cfRule>
  </conditionalFormatting>
  <conditionalFormatting sqref="E57">
    <cfRule type="containsText" dxfId="8219" priority="10643" operator="containsText" text="Sin información">
      <formula>NOT(ISERROR(SEARCH("Sin información",E57)))</formula>
    </cfRule>
  </conditionalFormatting>
  <conditionalFormatting sqref="E57">
    <cfRule type="containsText" dxfId="8218" priority="10642" operator="containsText" text="NUEVO">
      <formula>NOT(ISERROR(SEARCH("NUEVO",E57)))</formula>
    </cfRule>
  </conditionalFormatting>
  <conditionalFormatting sqref="E57">
    <cfRule type="containsText" dxfId="8217" priority="10641" operator="containsText" text="Sin Información">
      <formula>NOT(ISERROR(SEARCH("Sin Información",E57)))</formula>
    </cfRule>
  </conditionalFormatting>
  <conditionalFormatting sqref="C57:D57">
    <cfRule type="containsText" dxfId="8216" priority="10640" operator="containsText" text="NUEVO">
      <formula>NOT(ISERROR(SEARCH("NUEVO",C57)))</formula>
    </cfRule>
  </conditionalFormatting>
  <conditionalFormatting sqref="C61:D62">
    <cfRule type="containsText" dxfId="8215" priority="10639" operator="containsText" text="NO+$D$4:$D$10">
      <formula>NOT(ISERROR(SEARCH("NO+$D$4:$D$10",C61)))</formula>
    </cfRule>
  </conditionalFormatting>
  <conditionalFormatting sqref="C61:D62">
    <cfRule type="containsText" dxfId="8214" priority="10637" operator="containsText" text="SI">
      <formula>NOT(ISERROR(SEARCH("SI",C61)))</formula>
    </cfRule>
    <cfRule type="containsText" dxfId="8213" priority="10638" operator="containsText" text="NO">
      <formula>NOT(ISERROR(SEARCH("NO",C61)))</formula>
    </cfRule>
  </conditionalFormatting>
  <conditionalFormatting sqref="E61:E62">
    <cfRule type="containsText" dxfId="8212" priority="10636" operator="containsText" text="Sin información">
      <formula>NOT(ISERROR(SEARCH("Sin información",E61)))</formula>
    </cfRule>
  </conditionalFormatting>
  <conditionalFormatting sqref="E61:E62">
    <cfRule type="containsText" dxfId="8211" priority="10635" operator="containsText" text="NUEVO">
      <formula>NOT(ISERROR(SEARCH("NUEVO",E61)))</formula>
    </cfRule>
  </conditionalFormatting>
  <conditionalFormatting sqref="E61:E62">
    <cfRule type="containsText" dxfId="8210" priority="10634" operator="containsText" text="Sin Información">
      <formula>NOT(ISERROR(SEARCH("Sin Información",E61)))</formula>
    </cfRule>
  </conditionalFormatting>
  <conditionalFormatting sqref="C61:D62">
    <cfRule type="containsText" dxfId="8209" priority="10633" operator="containsText" text="NUEVO">
      <formula>NOT(ISERROR(SEARCH("NUEVO",C61)))</formula>
    </cfRule>
  </conditionalFormatting>
  <conditionalFormatting sqref="C63:D63">
    <cfRule type="containsText" dxfId="8208" priority="10632" operator="containsText" text="NO+$D$4:$D$10">
      <formula>NOT(ISERROR(SEARCH("NO+$D$4:$D$10",C63)))</formula>
    </cfRule>
  </conditionalFormatting>
  <conditionalFormatting sqref="C63:D63">
    <cfRule type="containsText" dxfId="8207" priority="10630" operator="containsText" text="SI">
      <formula>NOT(ISERROR(SEARCH("SI",C63)))</formula>
    </cfRule>
    <cfRule type="containsText" dxfId="8206" priority="10631" operator="containsText" text="NO">
      <formula>NOT(ISERROR(SEARCH("NO",C63)))</formula>
    </cfRule>
  </conditionalFormatting>
  <conditionalFormatting sqref="E63">
    <cfRule type="containsText" dxfId="8205" priority="10629" operator="containsText" text="Sin información">
      <formula>NOT(ISERROR(SEARCH("Sin información",E63)))</formula>
    </cfRule>
  </conditionalFormatting>
  <conditionalFormatting sqref="E63">
    <cfRule type="containsText" dxfId="8204" priority="10628" operator="containsText" text="NUEVO">
      <formula>NOT(ISERROR(SEARCH("NUEVO",E63)))</formula>
    </cfRule>
  </conditionalFormatting>
  <conditionalFormatting sqref="E63">
    <cfRule type="containsText" dxfId="8203" priority="10627" operator="containsText" text="Sin Información">
      <formula>NOT(ISERROR(SEARCH("Sin Información",E63)))</formula>
    </cfRule>
  </conditionalFormatting>
  <conditionalFormatting sqref="C63:D63">
    <cfRule type="containsText" dxfId="8202" priority="10626" operator="containsText" text="NUEVO">
      <formula>NOT(ISERROR(SEARCH("NUEVO",C63)))</formula>
    </cfRule>
  </conditionalFormatting>
  <conditionalFormatting sqref="C64:D64">
    <cfRule type="containsText" dxfId="8201" priority="10625" operator="containsText" text="NO+$D$4:$D$10">
      <formula>NOT(ISERROR(SEARCH("NO+$D$4:$D$10",C64)))</formula>
    </cfRule>
  </conditionalFormatting>
  <conditionalFormatting sqref="C64:D64">
    <cfRule type="containsText" dxfId="8200" priority="10623" operator="containsText" text="SI">
      <formula>NOT(ISERROR(SEARCH("SI",C64)))</formula>
    </cfRule>
    <cfRule type="containsText" dxfId="8199" priority="10624" operator="containsText" text="NO">
      <formula>NOT(ISERROR(SEARCH("NO",C64)))</formula>
    </cfRule>
  </conditionalFormatting>
  <conditionalFormatting sqref="E64">
    <cfRule type="containsText" dxfId="8198" priority="10622" operator="containsText" text="Sin información">
      <formula>NOT(ISERROR(SEARCH("Sin información",E64)))</formula>
    </cfRule>
  </conditionalFormatting>
  <conditionalFormatting sqref="E64">
    <cfRule type="containsText" dxfId="8197" priority="10621" operator="containsText" text="NUEVO">
      <formula>NOT(ISERROR(SEARCH("NUEVO",E64)))</formula>
    </cfRule>
  </conditionalFormatting>
  <conditionalFormatting sqref="E64">
    <cfRule type="containsText" dxfId="8196" priority="10620" operator="containsText" text="Sin Información">
      <formula>NOT(ISERROR(SEARCH("Sin Información",E64)))</formula>
    </cfRule>
  </conditionalFormatting>
  <conditionalFormatting sqref="C64:D64">
    <cfRule type="containsText" dxfId="8195" priority="10619" operator="containsText" text="NUEVO">
      <formula>NOT(ISERROR(SEARCH("NUEVO",C64)))</formula>
    </cfRule>
  </conditionalFormatting>
  <conditionalFormatting sqref="C65:D70">
    <cfRule type="containsText" dxfId="8194" priority="10618" operator="containsText" text="NO+$D$4:$D$10">
      <formula>NOT(ISERROR(SEARCH("NO+$D$4:$D$10",C65)))</formula>
    </cfRule>
  </conditionalFormatting>
  <conditionalFormatting sqref="C65:D70">
    <cfRule type="containsText" dxfId="8193" priority="10616" operator="containsText" text="SI">
      <formula>NOT(ISERROR(SEARCH("SI",C65)))</formula>
    </cfRule>
    <cfRule type="containsText" dxfId="8192" priority="10617" operator="containsText" text="NO">
      <formula>NOT(ISERROR(SEARCH("NO",C65)))</formula>
    </cfRule>
  </conditionalFormatting>
  <conditionalFormatting sqref="E65:E70">
    <cfRule type="containsText" dxfId="8191" priority="10615" operator="containsText" text="Sin información">
      <formula>NOT(ISERROR(SEARCH("Sin información",E65)))</formula>
    </cfRule>
  </conditionalFormatting>
  <conditionalFormatting sqref="E65:E70">
    <cfRule type="containsText" dxfId="8190" priority="10614" operator="containsText" text="NUEVO">
      <formula>NOT(ISERROR(SEARCH("NUEVO",E65)))</formula>
    </cfRule>
  </conditionalFormatting>
  <conditionalFormatting sqref="E65:E70">
    <cfRule type="containsText" dxfId="8189" priority="10613" operator="containsText" text="Sin Información">
      <formula>NOT(ISERROR(SEARCH("Sin Información",E65)))</formula>
    </cfRule>
  </conditionalFormatting>
  <conditionalFormatting sqref="C65:D70">
    <cfRule type="containsText" dxfId="8188" priority="10612" operator="containsText" text="NUEVO">
      <formula>NOT(ISERROR(SEARCH("NUEVO",C65)))</formula>
    </cfRule>
  </conditionalFormatting>
  <conditionalFormatting sqref="C71:D71">
    <cfRule type="containsText" dxfId="8187" priority="10611" operator="containsText" text="NO+$D$4:$D$10">
      <formula>NOT(ISERROR(SEARCH("NO+$D$4:$D$10",C71)))</formula>
    </cfRule>
  </conditionalFormatting>
  <conditionalFormatting sqref="C71:D71">
    <cfRule type="containsText" dxfId="8186" priority="10609" operator="containsText" text="SI">
      <formula>NOT(ISERROR(SEARCH("SI",C71)))</formula>
    </cfRule>
    <cfRule type="containsText" dxfId="8185" priority="10610" operator="containsText" text="NO">
      <formula>NOT(ISERROR(SEARCH("NO",C71)))</formula>
    </cfRule>
  </conditionalFormatting>
  <conditionalFormatting sqref="E71">
    <cfRule type="containsText" dxfId="8184" priority="10608" operator="containsText" text="Sin información">
      <formula>NOT(ISERROR(SEARCH("Sin información",E71)))</formula>
    </cfRule>
  </conditionalFormatting>
  <conditionalFormatting sqref="E71">
    <cfRule type="containsText" dxfId="8183" priority="10607" operator="containsText" text="NUEVO">
      <formula>NOT(ISERROR(SEARCH("NUEVO",E71)))</formula>
    </cfRule>
  </conditionalFormatting>
  <conditionalFormatting sqref="E71">
    <cfRule type="containsText" dxfId="8182" priority="10606" operator="containsText" text="Sin Información">
      <formula>NOT(ISERROR(SEARCH("Sin Información",E71)))</formula>
    </cfRule>
  </conditionalFormatting>
  <conditionalFormatting sqref="C71:D71">
    <cfRule type="containsText" dxfId="8181" priority="10605" operator="containsText" text="NUEVO">
      <formula>NOT(ISERROR(SEARCH("NUEVO",C71)))</formula>
    </cfRule>
  </conditionalFormatting>
  <conditionalFormatting sqref="C72:D73">
    <cfRule type="containsText" dxfId="8180" priority="10604" operator="containsText" text="NO+$D$4:$D$10">
      <formula>NOT(ISERROR(SEARCH("NO+$D$4:$D$10",C72)))</formula>
    </cfRule>
  </conditionalFormatting>
  <conditionalFormatting sqref="C72:D73">
    <cfRule type="containsText" dxfId="8179" priority="10602" operator="containsText" text="SI">
      <formula>NOT(ISERROR(SEARCH("SI",C72)))</formula>
    </cfRule>
    <cfRule type="containsText" dxfId="8178" priority="10603" operator="containsText" text="NO">
      <formula>NOT(ISERROR(SEARCH("NO",C72)))</formula>
    </cfRule>
  </conditionalFormatting>
  <conditionalFormatting sqref="E72:E73">
    <cfRule type="containsText" dxfId="8177" priority="10601" operator="containsText" text="Sin información">
      <formula>NOT(ISERROR(SEARCH("Sin información",E72)))</formula>
    </cfRule>
  </conditionalFormatting>
  <conditionalFormatting sqref="E72:E73">
    <cfRule type="containsText" dxfId="8176" priority="10600" operator="containsText" text="NUEVO">
      <formula>NOT(ISERROR(SEARCH("NUEVO",E72)))</formula>
    </cfRule>
  </conditionalFormatting>
  <conditionalFormatting sqref="E72:E73">
    <cfRule type="containsText" dxfId="8175" priority="10599" operator="containsText" text="Sin Información">
      <formula>NOT(ISERROR(SEARCH("Sin Información",E72)))</formula>
    </cfRule>
  </conditionalFormatting>
  <conditionalFormatting sqref="C72:D73">
    <cfRule type="containsText" dxfId="8174" priority="10598" operator="containsText" text="NUEVO">
      <formula>NOT(ISERROR(SEARCH("NUEVO",C72)))</formula>
    </cfRule>
  </conditionalFormatting>
  <conditionalFormatting sqref="C74:D74">
    <cfRule type="containsText" dxfId="8173" priority="10597" operator="containsText" text="NO+$D$4:$D$10">
      <formula>NOT(ISERROR(SEARCH("NO+$D$4:$D$10",C74)))</formula>
    </cfRule>
  </conditionalFormatting>
  <conditionalFormatting sqref="C74:D74">
    <cfRule type="containsText" dxfId="8172" priority="10595" operator="containsText" text="SI">
      <formula>NOT(ISERROR(SEARCH("SI",C74)))</formula>
    </cfRule>
    <cfRule type="containsText" dxfId="8171" priority="10596" operator="containsText" text="NO">
      <formula>NOT(ISERROR(SEARCH("NO",C74)))</formula>
    </cfRule>
  </conditionalFormatting>
  <conditionalFormatting sqref="E74">
    <cfRule type="containsText" dxfId="8170" priority="10594" operator="containsText" text="Sin información">
      <formula>NOT(ISERROR(SEARCH("Sin información",E74)))</formula>
    </cfRule>
  </conditionalFormatting>
  <conditionalFormatting sqref="E74">
    <cfRule type="containsText" dxfId="8169" priority="10593" operator="containsText" text="NUEVO">
      <formula>NOT(ISERROR(SEARCH("NUEVO",E74)))</formula>
    </cfRule>
  </conditionalFormatting>
  <conditionalFormatting sqref="C74:D74">
    <cfRule type="containsText" dxfId="8168" priority="10592" operator="containsText" text="NUEVO">
      <formula>NOT(ISERROR(SEARCH("NUEVO",C74)))</formula>
    </cfRule>
  </conditionalFormatting>
  <conditionalFormatting sqref="C75:D75">
    <cfRule type="containsText" dxfId="8167" priority="10591" operator="containsText" text="NO+$D$4:$D$10">
      <formula>NOT(ISERROR(SEARCH("NO+$D$4:$D$10",C75)))</formula>
    </cfRule>
  </conditionalFormatting>
  <conditionalFormatting sqref="C75:D75">
    <cfRule type="containsText" dxfId="8166" priority="10589" operator="containsText" text="SI">
      <formula>NOT(ISERROR(SEARCH("SI",C75)))</formula>
    </cfRule>
    <cfRule type="containsText" dxfId="8165" priority="10590" operator="containsText" text="NO">
      <formula>NOT(ISERROR(SEARCH("NO",C75)))</formula>
    </cfRule>
  </conditionalFormatting>
  <conditionalFormatting sqref="E75">
    <cfRule type="containsText" dxfId="8164" priority="10588" operator="containsText" text="Sin información">
      <formula>NOT(ISERROR(SEARCH("Sin información",E75)))</formula>
    </cfRule>
  </conditionalFormatting>
  <conditionalFormatting sqref="E75">
    <cfRule type="containsText" dxfId="8163" priority="10587" operator="containsText" text="NUEVO">
      <formula>NOT(ISERROR(SEARCH("NUEVO",E75)))</formula>
    </cfRule>
  </conditionalFormatting>
  <conditionalFormatting sqref="E75">
    <cfRule type="containsText" dxfId="8162" priority="10586" operator="containsText" text="Sin Información">
      <formula>NOT(ISERROR(SEARCH("Sin Información",E75)))</formula>
    </cfRule>
  </conditionalFormatting>
  <conditionalFormatting sqref="C75:D75">
    <cfRule type="containsText" dxfId="8161" priority="10585" operator="containsText" text="NUEVO">
      <formula>NOT(ISERROR(SEARCH("NUEVO",C75)))</formula>
    </cfRule>
  </conditionalFormatting>
  <conditionalFormatting sqref="C76:D76">
    <cfRule type="containsText" dxfId="8160" priority="10584" operator="containsText" text="NO+$D$4:$D$10">
      <formula>NOT(ISERROR(SEARCH("NO+$D$4:$D$10",C76)))</formula>
    </cfRule>
  </conditionalFormatting>
  <conditionalFormatting sqref="C76:D76">
    <cfRule type="containsText" dxfId="8159" priority="10582" operator="containsText" text="SI">
      <formula>NOT(ISERROR(SEARCH("SI",C76)))</formula>
    </cfRule>
    <cfRule type="containsText" dxfId="8158" priority="10583" operator="containsText" text="NO">
      <formula>NOT(ISERROR(SEARCH("NO",C76)))</formula>
    </cfRule>
  </conditionalFormatting>
  <conditionalFormatting sqref="E76">
    <cfRule type="containsText" dxfId="8157" priority="10581" operator="containsText" text="Sin información">
      <formula>NOT(ISERROR(SEARCH("Sin información",E76)))</formula>
    </cfRule>
  </conditionalFormatting>
  <conditionalFormatting sqref="E76">
    <cfRule type="containsText" dxfId="8156" priority="10580" operator="containsText" text="NUEVO">
      <formula>NOT(ISERROR(SEARCH("NUEVO",E76)))</formula>
    </cfRule>
  </conditionalFormatting>
  <conditionalFormatting sqref="E76">
    <cfRule type="containsText" dxfId="8155" priority="10579" operator="containsText" text="Sin Información">
      <formula>NOT(ISERROR(SEARCH("Sin Información",E76)))</formula>
    </cfRule>
  </conditionalFormatting>
  <conditionalFormatting sqref="C76:D76">
    <cfRule type="containsText" dxfId="8154" priority="10578" operator="containsText" text="NUEVO">
      <formula>NOT(ISERROR(SEARCH("NUEVO",C76)))</formula>
    </cfRule>
  </conditionalFormatting>
  <conditionalFormatting sqref="C77:D77">
    <cfRule type="containsText" dxfId="8153" priority="10577" operator="containsText" text="NO+$D$4:$D$10">
      <formula>NOT(ISERROR(SEARCH("NO+$D$4:$D$10",C77)))</formula>
    </cfRule>
  </conditionalFormatting>
  <conditionalFormatting sqref="C77:D77">
    <cfRule type="containsText" dxfId="8152" priority="10575" operator="containsText" text="SI">
      <formula>NOT(ISERROR(SEARCH("SI",C77)))</formula>
    </cfRule>
    <cfRule type="containsText" dxfId="8151" priority="10576" operator="containsText" text="NO">
      <formula>NOT(ISERROR(SEARCH("NO",C77)))</formula>
    </cfRule>
  </conditionalFormatting>
  <conditionalFormatting sqref="E77">
    <cfRule type="containsText" dxfId="8150" priority="10574" operator="containsText" text="Sin información">
      <formula>NOT(ISERROR(SEARCH("Sin información",E77)))</formula>
    </cfRule>
  </conditionalFormatting>
  <conditionalFormatting sqref="E77">
    <cfRule type="containsText" dxfId="8149" priority="10573" operator="containsText" text="NUEVO">
      <formula>NOT(ISERROR(SEARCH("NUEVO",E77)))</formula>
    </cfRule>
  </conditionalFormatting>
  <conditionalFormatting sqref="E77">
    <cfRule type="containsText" dxfId="8148" priority="10572" operator="containsText" text="Sin Información">
      <formula>NOT(ISERROR(SEARCH("Sin Información",E77)))</formula>
    </cfRule>
  </conditionalFormatting>
  <conditionalFormatting sqref="C77:D77">
    <cfRule type="containsText" dxfId="8147" priority="10571" operator="containsText" text="NUEVO">
      <formula>NOT(ISERROR(SEARCH("NUEVO",C77)))</formula>
    </cfRule>
  </conditionalFormatting>
  <conditionalFormatting sqref="C78:D78">
    <cfRule type="containsText" dxfId="8146" priority="10570" operator="containsText" text="NO+$D$4:$D$10">
      <formula>NOT(ISERROR(SEARCH("NO+$D$4:$D$10",C78)))</formula>
    </cfRule>
  </conditionalFormatting>
  <conditionalFormatting sqref="C78:D78">
    <cfRule type="containsText" dxfId="8145" priority="10568" operator="containsText" text="SI">
      <formula>NOT(ISERROR(SEARCH("SI",C78)))</formula>
    </cfRule>
    <cfRule type="containsText" dxfId="8144" priority="10569" operator="containsText" text="NO">
      <formula>NOT(ISERROR(SEARCH("NO",C78)))</formula>
    </cfRule>
  </conditionalFormatting>
  <conditionalFormatting sqref="C78:D78">
    <cfRule type="containsText" dxfId="8143" priority="10567" operator="containsText" text="NUEVO">
      <formula>NOT(ISERROR(SEARCH("NUEVO",C78)))</formula>
    </cfRule>
  </conditionalFormatting>
  <conditionalFormatting sqref="E78">
    <cfRule type="containsText" dxfId="8142" priority="10565" operator="containsText" text="NUEVO">
      <formula>NOT(ISERROR(SEARCH("NUEVO",E78)))</formula>
    </cfRule>
  </conditionalFormatting>
  <conditionalFormatting sqref="E78">
    <cfRule type="containsText" dxfId="8141" priority="10564" operator="containsText" text="Sin Información">
      <formula>NOT(ISERROR(SEARCH("Sin Información",E78)))</formula>
    </cfRule>
  </conditionalFormatting>
  <conditionalFormatting sqref="E78">
    <cfRule type="containsText" dxfId="8140" priority="10566" operator="containsText" text="Sin información">
      <formula>NOT(ISERROR(SEARCH("Sin información",E78)))</formula>
    </cfRule>
  </conditionalFormatting>
  <conditionalFormatting sqref="C79:D79">
    <cfRule type="containsText" dxfId="8139" priority="10563" operator="containsText" text="NO+$D$4:$D$10">
      <formula>NOT(ISERROR(SEARCH("NO+$D$4:$D$10",C79)))</formula>
    </cfRule>
  </conditionalFormatting>
  <conditionalFormatting sqref="C79:D79">
    <cfRule type="containsText" dxfId="8138" priority="10561" operator="containsText" text="SI">
      <formula>NOT(ISERROR(SEARCH("SI",C79)))</formula>
    </cfRule>
    <cfRule type="containsText" dxfId="8137" priority="10562" operator="containsText" text="NO">
      <formula>NOT(ISERROR(SEARCH("NO",C79)))</formula>
    </cfRule>
  </conditionalFormatting>
  <conditionalFormatting sqref="E79">
    <cfRule type="containsText" dxfId="8136" priority="10560" operator="containsText" text="Sin información">
      <formula>NOT(ISERROR(SEARCH("Sin información",E79)))</formula>
    </cfRule>
  </conditionalFormatting>
  <conditionalFormatting sqref="E79">
    <cfRule type="containsText" dxfId="8135" priority="10559" operator="containsText" text="NUEVO">
      <formula>NOT(ISERROR(SEARCH("NUEVO",E79)))</formula>
    </cfRule>
  </conditionalFormatting>
  <conditionalFormatting sqref="C79:D79">
    <cfRule type="containsText" dxfId="8134" priority="10558" operator="containsText" text="NUEVO">
      <formula>NOT(ISERROR(SEARCH("NUEVO",C79)))</formula>
    </cfRule>
  </conditionalFormatting>
  <conditionalFormatting sqref="C80:D80">
    <cfRule type="containsText" dxfId="8133" priority="10557" operator="containsText" text="NO+$D$4:$D$10">
      <formula>NOT(ISERROR(SEARCH("NO+$D$4:$D$10",C80)))</formula>
    </cfRule>
  </conditionalFormatting>
  <conditionalFormatting sqref="C80:D80">
    <cfRule type="containsText" dxfId="8132" priority="10555" operator="containsText" text="SI">
      <formula>NOT(ISERROR(SEARCH("SI",C80)))</formula>
    </cfRule>
    <cfRule type="containsText" dxfId="8131" priority="10556" operator="containsText" text="NO">
      <formula>NOT(ISERROR(SEARCH("NO",C80)))</formula>
    </cfRule>
  </conditionalFormatting>
  <conditionalFormatting sqref="E80">
    <cfRule type="containsText" dxfId="8130" priority="10554" operator="containsText" text="Sin información">
      <formula>NOT(ISERROR(SEARCH("Sin información",E80)))</formula>
    </cfRule>
  </conditionalFormatting>
  <conditionalFormatting sqref="E80">
    <cfRule type="containsText" dxfId="8129" priority="10553" operator="containsText" text="NUEVO">
      <formula>NOT(ISERROR(SEARCH("NUEVO",E80)))</formula>
    </cfRule>
  </conditionalFormatting>
  <conditionalFormatting sqref="C80:D80">
    <cfRule type="containsText" dxfId="8128" priority="10552" operator="containsText" text="NUEVO">
      <formula>NOT(ISERROR(SEARCH("NUEVO",C80)))</formula>
    </cfRule>
  </conditionalFormatting>
  <conditionalFormatting sqref="C81:D81">
    <cfRule type="containsText" dxfId="8127" priority="10551" operator="containsText" text="NO+$D$4:$D$10">
      <formula>NOT(ISERROR(SEARCH("NO+$D$4:$D$10",C81)))</formula>
    </cfRule>
  </conditionalFormatting>
  <conditionalFormatting sqref="C81:D81">
    <cfRule type="containsText" dxfId="8126" priority="10549" operator="containsText" text="SI">
      <formula>NOT(ISERROR(SEARCH("SI",C81)))</formula>
    </cfRule>
    <cfRule type="containsText" dxfId="8125" priority="10550" operator="containsText" text="NO">
      <formula>NOT(ISERROR(SEARCH("NO",C81)))</formula>
    </cfRule>
  </conditionalFormatting>
  <conditionalFormatting sqref="E81">
    <cfRule type="containsText" dxfId="8124" priority="10548" operator="containsText" text="Sin información">
      <formula>NOT(ISERROR(SEARCH("Sin información",E81)))</formula>
    </cfRule>
  </conditionalFormatting>
  <conditionalFormatting sqref="E81">
    <cfRule type="containsText" dxfId="8123" priority="10547" operator="containsText" text="NUEVO">
      <formula>NOT(ISERROR(SEARCH("NUEVO",E81)))</formula>
    </cfRule>
  </conditionalFormatting>
  <conditionalFormatting sqref="E81">
    <cfRule type="containsText" dxfId="8122" priority="10546" operator="containsText" text="Sin Información">
      <formula>NOT(ISERROR(SEARCH("Sin Información",E81)))</formula>
    </cfRule>
  </conditionalFormatting>
  <conditionalFormatting sqref="C81:D81">
    <cfRule type="containsText" dxfId="8121" priority="10545" operator="containsText" text="NUEVO">
      <formula>NOT(ISERROR(SEARCH("NUEVO",C81)))</formula>
    </cfRule>
  </conditionalFormatting>
  <conditionalFormatting sqref="C82:D82">
    <cfRule type="containsText" dxfId="8120" priority="10544" operator="containsText" text="NO+$D$4:$D$10">
      <formula>NOT(ISERROR(SEARCH("NO+$D$4:$D$10",C82)))</formula>
    </cfRule>
  </conditionalFormatting>
  <conditionalFormatting sqref="C82:D82">
    <cfRule type="containsText" dxfId="8119" priority="10542" operator="containsText" text="SI">
      <formula>NOT(ISERROR(SEARCH("SI",C82)))</formula>
    </cfRule>
    <cfRule type="containsText" dxfId="8118" priority="10543" operator="containsText" text="NO">
      <formula>NOT(ISERROR(SEARCH("NO",C82)))</formula>
    </cfRule>
  </conditionalFormatting>
  <conditionalFormatting sqref="E82">
    <cfRule type="containsText" dxfId="8117" priority="10541" operator="containsText" text="Sin información">
      <formula>NOT(ISERROR(SEARCH("Sin información",E82)))</formula>
    </cfRule>
  </conditionalFormatting>
  <conditionalFormatting sqref="E82">
    <cfRule type="containsText" dxfId="8116" priority="10540" operator="containsText" text="NUEVO">
      <formula>NOT(ISERROR(SEARCH("NUEVO",E82)))</formula>
    </cfRule>
  </conditionalFormatting>
  <conditionalFormatting sqref="E82">
    <cfRule type="containsText" dxfId="8115" priority="10539" operator="containsText" text="Sin Información">
      <formula>NOT(ISERROR(SEARCH("Sin Información",E82)))</formula>
    </cfRule>
  </conditionalFormatting>
  <conditionalFormatting sqref="C82:D82">
    <cfRule type="containsText" dxfId="8114" priority="10538" operator="containsText" text="NUEVO">
      <formula>NOT(ISERROR(SEARCH("NUEVO",C82)))</formula>
    </cfRule>
  </conditionalFormatting>
  <conditionalFormatting sqref="C83:D83">
    <cfRule type="containsText" dxfId="8113" priority="10537" operator="containsText" text="NO+$D$4:$D$10">
      <formula>NOT(ISERROR(SEARCH("NO+$D$4:$D$10",C83)))</formula>
    </cfRule>
  </conditionalFormatting>
  <conditionalFormatting sqref="C83:D83">
    <cfRule type="containsText" dxfId="8112" priority="10535" operator="containsText" text="SI">
      <formula>NOT(ISERROR(SEARCH("SI",C83)))</formula>
    </cfRule>
    <cfRule type="containsText" dxfId="8111" priority="10536" operator="containsText" text="NO">
      <formula>NOT(ISERROR(SEARCH("NO",C83)))</formula>
    </cfRule>
  </conditionalFormatting>
  <conditionalFormatting sqref="E83">
    <cfRule type="containsText" dxfId="8110" priority="10534" operator="containsText" text="Sin información">
      <formula>NOT(ISERROR(SEARCH("Sin información",E83)))</formula>
    </cfRule>
  </conditionalFormatting>
  <conditionalFormatting sqref="E83">
    <cfRule type="containsText" dxfId="8109" priority="10533" operator="containsText" text="NUEVO">
      <formula>NOT(ISERROR(SEARCH("NUEVO",E83)))</formula>
    </cfRule>
  </conditionalFormatting>
  <conditionalFormatting sqref="E83">
    <cfRule type="containsText" dxfId="8108" priority="10532" operator="containsText" text="Sin Información">
      <formula>NOT(ISERROR(SEARCH("Sin Información",E83)))</formula>
    </cfRule>
  </conditionalFormatting>
  <conditionalFormatting sqref="C83:D83">
    <cfRule type="containsText" dxfId="8107" priority="10531" operator="containsText" text="NUEVO">
      <formula>NOT(ISERROR(SEARCH("NUEVO",C83)))</formula>
    </cfRule>
  </conditionalFormatting>
  <conditionalFormatting sqref="C84:D84">
    <cfRule type="containsText" dxfId="8106" priority="10530" operator="containsText" text="NO+$D$4:$D$10">
      <formula>NOT(ISERROR(SEARCH("NO+$D$4:$D$10",C84)))</formula>
    </cfRule>
  </conditionalFormatting>
  <conditionalFormatting sqref="C84:D84">
    <cfRule type="containsText" dxfId="8105" priority="10528" operator="containsText" text="SI">
      <formula>NOT(ISERROR(SEARCH("SI",C84)))</formula>
    </cfRule>
    <cfRule type="containsText" dxfId="8104" priority="10529" operator="containsText" text="NO">
      <formula>NOT(ISERROR(SEARCH("NO",C84)))</formula>
    </cfRule>
  </conditionalFormatting>
  <conditionalFormatting sqref="E84">
    <cfRule type="containsText" dxfId="8103" priority="10527" operator="containsText" text="Sin información">
      <formula>NOT(ISERROR(SEARCH("Sin información",E84)))</formula>
    </cfRule>
  </conditionalFormatting>
  <conditionalFormatting sqref="E84">
    <cfRule type="containsText" dxfId="8102" priority="10526" operator="containsText" text="NUEVO">
      <formula>NOT(ISERROR(SEARCH("NUEVO",E84)))</formula>
    </cfRule>
  </conditionalFormatting>
  <conditionalFormatting sqref="E84">
    <cfRule type="containsText" dxfId="8101" priority="10525" operator="containsText" text="Sin Información">
      <formula>NOT(ISERROR(SEARCH("Sin Información",E84)))</formula>
    </cfRule>
  </conditionalFormatting>
  <conditionalFormatting sqref="C84:D84">
    <cfRule type="containsText" dxfId="8100" priority="10524" operator="containsText" text="NUEVO">
      <formula>NOT(ISERROR(SEARCH("NUEVO",C84)))</formula>
    </cfRule>
  </conditionalFormatting>
  <conditionalFormatting sqref="C85:D85">
    <cfRule type="containsText" dxfId="8099" priority="10523" operator="containsText" text="NO+$D$4:$D$10">
      <formula>NOT(ISERROR(SEARCH("NO+$D$4:$D$10",C85)))</formula>
    </cfRule>
  </conditionalFormatting>
  <conditionalFormatting sqref="C85:D85">
    <cfRule type="containsText" dxfId="8098" priority="10521" operator="containsText" text="SI">
      <formula>NOT(ISERROR(SEARCH("SI",C85)))</formula>
    </cfRule>
    <cfRule type="containsText" dxfId="8097" priority="10522" operator="containsText" text="NO">
      <formula>NOT(ISERROR(SEARCH("NO",C85)))</formula>
    </cfRule>
  </conditionalFormatting>
  <conditionalFormatting sqref="E85">
    <cfRule type="containsText" dxfId="8096" priority="10520" operator="containsText" text="Sin información">
      <formula>NOT(ISERROR(SEARCH("Sin información",E85)))</formula>
    </cfRule>
  </conditionalFormatting>
  <conditionalFormatting sqref="E85">
    <cfRule type="containsText" dxfId="8095" priority="10519" operator="containsText" text="NUEVO">
      <formula>NOT(ISERROR(SEARCH("NUEVO",E85)))</formula>
    </cfRule>
  </conditionalFormatting>
  <conditionalFormatting sqref="E85">
    <cfRule type="containsText" dxfId="8094" priority="10518" operator="containsText" text="Sin Información">
      <formula>NOT(ISERROR(SEARCH("Sin Información",E85)))</formula>
    </cfRule>
  </conditionalFormatting>
  <conditionalFormatting sqref="C85:D85">
    <cfRule type="containsText" dxfId="8093" priority="10517" operator="containsText" text="NUEVO">
      <formula>NOT(ISERROR(SEARCH("NUEVO",C85)))</formula>
    </cfRule>
  </conditionalFormatting>
  <conditionalFormatting sqref="C86:D86">
    <cfRule type="containsText" dxfId="8092" priority="10516" operator="containsText" text="NO+$D$4:$D$10">
      <formula>NOT(ISERROR(SEARCH("NO+$D$4:$D$10",C86)))</formula>
    </cfRule>
  </conditionalFormatting>
  <conditionalFormatting sqref="C86:D86">
    <cfRule type="containsText" dxfId="8091" priority="10514" operator="containsText" text="SI">
      <formula>NOT(ISERROR(SEARCH("SI",C86)))</formula>
    </cfRule>
    <cfRule type="containsText" dxfId="8090" priority="10515" operator="containsText" text="NO">
      <formula>NOT(ISERROR(SEARCH("NO",C86)))</formula>
    </cfRule>
  </conditionalFormatting>
  <conditionalFormatting sqref="E86">
    <cfRule type="containsText" dxfId="8089" priority="10513" operator="containsText" text="Sin información">
      <formula>NOT(ISERROR(SEARCH("Sin información",E86)))</formula>
    </cfRule>
  </conditionalFormatting>
  <conditionalFormatting sqref="E86">
    <cfRule type="containsText" dxfId="8088" priority="10512" operator="containsText" text="NUEVO">
      <formula>NOT(ISERROR(SEARCH("NUEVO",E86)))</formula>
    </cfRule>
  </conditionalFormatting>
  <conditionalFormatting sqref="E86">
    <cfRule type="containsText" dxfId="8087" priority="10511" operator="containsText" text="Sin Información">
      <formula>NOT(ISERROR(SEARCH("Sin Información",E86)))</formula>
    </cfRule>
  </conditionalFormatting>
  <conditionalFormatting sqref="C86:D86">
    <cfRule type="containsText" dxfId="8086" priority="10510" operator="containsText" text="NUEVO">
      <formula>NOT(ISERROR(SEARCH("NUEVO",C86)))</formula>
    </cfRule>
  </conditionalFormatting>
  <conditionalFormatting sqref="C87:D87">
    <cfRule type="containsText" dxfId="8085" priority="10509" operator="containsText" text="NO+$D$4:$D$10">
      <formula>NOT(ISERROR(SEARCH("NO+$D$4:$D$10",C87)))</formula>
    </cfRule>
  </conditionalFormatting>
  <conditionalFormatting sqref="C87:D87">
    <cfRule type="containsText" dxfId="8084" priority="10507" operator="containsText" text="SI">
      <formula>NOT(ISERROR(SEARCH("SI",C87)))</formula>
    </cfRule>
    <cfRule type="containsText" dxfId="8083" priority="10508" operator="containsText" text="NO">
      <formula>NOT(ISERROR(SEARCH("NO",C87)))</formula>
    </cfRule>
  </conditionalFormatting>
  <conditionalFormatting sqref="E87">
    <cfRule type="containsText" dxfId="8082" priority="10506" operator="containsText" text="Sin información">
      <formula>NOT(ISERROR(SEARCH("Sin información",E87)))</formula>
    </cfRule>
  </conditionalFormatting>
  <conditionalFormatting sqref="E87">
    <cfRule type="containsText" dxfId="8081" priority="10505" operator="containsText" text="NUEVO">
      <formula>NOT(ISERROR(SEARCH("NUEVO",E87)))</formula>
    </cfRule>
  </conditionalFormatting>
  <conditionalFormatting sqref="E87">
    <cfRule type="containsText" dxfId="8080" priority="10504" operator="containsText" text="Sin Información">
      <formula>NOT(ISERROR(SEARCH("Sin Información",E87)))</formula>
    </cfRule>
  </conditionalFormatting>
  <conditionalFormatting sqref="C87:D87">
    <cfRule type="containsText" dxfId="8079" priority="10503" operator="containsText" text="NUEVO">
      <formula>NOT(ISERROR(SEARCH("NUEVO",C87)))</formula>
    </cfRule>
  </conditionalFormatting>
  <conditionalFormatting sqref="C88:D89">
    <cfRule type="containsText" dxfId="8078" priority="10502" operator="containsText" text="NO+$D$4:$D$10">
      <formula>NOT(ISERROR(SEARCH("NO+$D$4:$D$10",C88)))</formula>
    </cfRule>
  </conditionalFormatting>
  <conditionalFormatting sqref="C88:D89">
    <cfRule type="containsText" dxfId="8077" priority="10500" operator="containsText" text="SI">
      <formula>NOT(ISERROR(SEARCH("SI",C88)))</formula>
    </cfRule>
    <cfRule type="containsText" dxfId="8076" priority="10501" operator="containsText" text="NO">
      <formula>NOT(ISERROR(SEARCH("NO",C88)))</formula>
    </cfRule>
  </conditionalFormatting>
  <conditionalFormatting sqref="E88">
    <cfRule type="containsText" dxfId="8075" priority="10499" operator="containsText" text="Sin información">
      <formula>NOT(ISERROR(SEARCH("Sin información",E88)))</formula>
    </cfRule>
  </conditionalFormatting>
  <conditionalFormatting sqref="E88">
    <cfRule type="containsText" dxfId="8074" priority="10498" operator="containsText" text="NUEVO">
      <formula>NOT(ISERROR(SEARCH("NUEVO",E88)))</formula>
    </cfRule>
  </conditionalFormatting>
  <conditionalFormatting sqref="E88">
    <cfRule type="containsText" dxfId="8073" priority="10497" operator="containsText" text="Sin Información">
      <formula>NOT(ISERROR(SEARCH("Sin Información",E88)))</formula>
    </cfRule>
  </conditionalFormatting>
  <conditionalFormatting sqref="C88:D89">
    <cfRule type="containsText" dxfId="8072" priority="10496" operator="containsText" text="NUEVO">
      <formula>NOT(ISERROR(SEARCH("NUEVO",C88)))</formula>
    </cfRule>
  </conditionalFormatting>
  <conditionalFormatting sqref="E89">
    <cfRule type="containsText" dxfId="8071" priority="10495" operator="containsText" text="Sin información">
      <formula>NOT(ISERROR(SEARCH("Sin información",E89)))</formula>
    </cfRule>
  </conditionalFormatting>
  <conditionalFormatting sqref="E89">
    <cfRule type="containsText" dxfId="8070" priority="10494" operator="containsText" text="NUEVO">
      <formula>NOT(ISERROR(SEARCH("NUEVO",E89)))</formula>
    </cfRule>
  </conditionalFormatting>
  <conditionalFormatting sqref="E89">
    <cfRule type="containsText" dxfId="8069" priority="10493" operator="containsText" text="Sin Información">
      <formula>NOT(ISERROR(SEARCH("Sin Información",E89)))</formula>
    </cfRule>
  </conditionalFormatting>
  <conditionalFormatting sqref="C90:D90">
    <cfRule type="containsText" dxfId="8068" priority="10492" operator="containsText" text="NO+$D$4:$D$10">
      <formula>NOT(ISERROR(SEARCH("NO+$D$4:$D$10",C90)))</formula>
    </cfRule>
  </conditionalFormatting>
  <conditionalFormatting sqref="C90:D90">
    <cfRule type="containsText" dxfId="8067" priority="10490" operator="containsText" text="SI">
      <formula>NOT(ISERROR(SEARCH("SI",C90)))</formula>
    </cfRule>
    <cfRule type="containsText" dxfId="8066" priority="10491" operator="containsText" text="NO">
      <formula>NOT(ISERROR(SEARCH("NO",C90)))</formula>
    </cfRule>
  </conditionalFormatting>
  <conditionalFormatting sqref="E90">
    <cfRule type="containsText" dxfId="8065" priority="10489" operator="containsText" text="Sin información">
      <formula>NOT(ISERROR(SEARCH("Sin información",E90)))</formula>
    </cfRule>
  </conditionalFormatting>
  <conditionalFormatting sqref="E90">
    <cfRule type="containsText" dxfId="8064" priority="10488" operator="containsText" text="NUEVO">
      <formula>NOT(ISERROR(SEARCH("NUEVO",E90)))</formula>
    </cfRule>
  </conditionalFormatting>
  <conditionalFormatting sqref="C90:D90">
    <cfRule type="containsText" dxfId="8063" priority="10487" operator="containsText" text="NUEVO">
      <formula>NOT(ISERROR(SEARCH("NUEVO",C90)))</formula>
    </cfRule>
  </conditionalFormatting>
  <conditionalFormatting sqref="C91:D91">
    <cfRule type="containsText" dxfId="8062" priority="10486" operator="containsText" text="NO+$D$4:$D$10">
      <formula>NOT(ISERROR(SEARCH("NO+$D$4:$D$10",C91)))</formula>
    </cfRule>
  </conditionalFormatting>
  <conditionalFormatting sqref="C91:D91">
    <cfRule type="containsText" dxfId="8061" priority="10484" operator="containsText" text="SI">
      <formula>NOT(ISERROR(SEARCH("SI",C91)))</formula>
    </cfRule>
    <cfRule type="containsText" dxfId="8060" priority="10485" operator="containsText" text="NO">
      <formula>NOT(ISERROR(SEARCH("NO",C91)))</formula>
    </cfRule>
  </conditionalFormatting>
  <conditionalFormatting sqref="C91:D91">
    <cfRule type="containsText" dxfId="8059" priority="10483" operator="containsText" text="NUEVO">
      <formula>NOT(ISERROR(SEARCH("NUEVO",C91)))</formula>
    </cfRule>
  </conditionalFormatting>
  <conditionalFormatting sqref="E91">
    <cfRule type="containsText" dxfId="8058" priority="10482" operator="containsText" text="Sin información">
      <formula>NOT(ISERROR(SEARCH("Sin información",E91)))</formula>
    </cfRule>
  </conditionalFormatting>
  <conditionalFormatting sqref="E91">
    <cfRule type="containsText" dxfId="8057" priority="10481" operator="containsText" text="NUEVO">
      <formula>NOT(ISERROR(SEARCH("NUEVO",E91)))</formula>
    </cfRule>
  </conditionalFormatting>
  <conditionalFormatting sqref="E91">
    <cfRule type="containsText" dxfId="8056" priority="10480" operator="containsText" text="Sin Información">
      <formula>NOT(ISERROR(SEARCH("Sin Información",E91)))</formula>
    </cfRule>
  </conditionalFormatting>
  <conditionalFormatting sqref="C92:D94">
    <cfRule type="containsText" dxfId="8055" priority="10479" operator="containsText" text="NO+$D$4:$D$10">
      <formula>NOT(ISERROR(SEARCH("NO+$D$4:$D$10",C92)))</formula>
    </cfRule>
  </conditionalFormatting>
  <conditionalFormatting sqref="C92:D94">
    <cfRule type="containsText" dxfId="8054" priority="10477" operator="containsText" text="SI">
      <formula>NOT(ISERROR(SEARCH("SI",C92)))</formula>
    </cfRule>
    <cfRule type="containsText" dxfId="8053" priority="10478" operator="containsText" text="NO">
      <formula>NOT(ISERROR(SEARCH("NO",C92)))</formula>
    </cfRule>
  </conditionalFormatting>
  <conditionalFormatting sqref="E92">
    <cfRule type="containsText" dxfId="8052" priority="10476" operator="containsText" text="Sin información">
      <formula>NOT(ISERROR(SEARCH("Sin información",E92)))</formula>
    </cfRule>
  </conditionalFormatting>
  <conditionalFormatting sqref="E92">
    <cfRule type="containsText" dxfId="8051" priority="10475" operator="containsText" text="NUEVO">
      <formula>NOT(ISERROR(SEARCH("NUEVO",E92)))</formula>
    </cfRule>
  </conditionalFormatting>
  <conditionalFormatting sqref="E92">
    <cfRule type="containsText" dxfId="8050" priority="10474" operator="containsText" text="Sin Información">
      <formula>NOT(ISERROR(SEARCH("Sin Información",E92)))</formula>
    </cfRule>
  </conditionalFormatting>
  <conditionalFormatting sqref="C92:D94">
    <cfRule type="containsText" dxfId="8049" priority="10473" operator="containsText" text="NUEVO">
      <formula>NOT(ISERROR(SEARCH("NUEVO",C92)))</formula>
    </cfRule>
  </conditionalFormatting>
  <conditionalFormatting sqref="E93:E94">
    <cfRule type="containsText" dxfId="8048" priority="10472" operator="containsText" text="Sin información">
      <formula>NOT(ISERROR(SEARCH("Sin información",E93)))</formula>
    </cfRule>
  </conditionalFormatting>
  <conditionalFormatting sqref="E93:E94">
    <cfRule type="containsText" dxfId="8047" priority="10471" operator="containsText" text="NUEVO">
      <formula>NOT(ISERROR(SEARCH("NUEVO",E93)))</formula>
    </cfRule>
  </conditionalFormatting>
  <conditionalFormatting sqref="E93:E94">
    <cfRule type="containsText" dxfId="8046" priority="10470" operator="containsText" text="Sin Información">
      <formula>NOT(ISERROR(SEARCH("Sin Información",E93)))</formula>
    </cfRule>
  </conditionalFormatting>
  <conditionalFormatting sqref="C96:D96">
    <cfRule type="containsText" dxfId="8045" priority="10469" operator="containsText" text="NO+$D$4:$D$10">
      <formula>NOT(ISERROR(SEARCH("NO+$D$4:$D$10",C96)))</formula>
    </cfRule>
  </conditionalFormatting>
  <conditionalFormatting sqref="C96:D96">
    <cfRule type="containsText" dxfId="8044" priority="10467" operator="containsText" text="SI">
      <formula>NOT(ISERROR(SEARCH("SI",C96)))</formula>
    </cfRule>
    <cfRule type="containsText" dxfId="8043" priority="10468" operator="containsText" text="NO">
      <formula>NOT(ISERROR(SEARCH("NO",C96)))</formula>
    </cfRule>
  </conditionalFormatting>
  <conditionalFormatting sqref="C96:D96">
    <cfRule type="containsText" dxfId="8042" priority="10466" operator="containsText" text="NUEVO">
      <formula>NOT(ISERROR(SEARCH("NUEVO",C96)))</formula>
    </cfRule>
  </conditionalFormatting>
  <conditionalFormatting sqref="E96">
    <cfRule type="containsText" dxfId="8041" priority="10465" operator="containsText" text="Sin información">
      <formula>NOT(ISERROR(SEARCH("Sin información",E96)))</formula>
    </cfRule>
  </conditionalFormatting>
  <conditionalFormatting sqref="E96">
    <cfRule type="containsText" dxfId="8040" priority="10464" operator="containsText" text="NUEVO">
      <formula>NOT(ISERROR(SEARCH("NUEVO",E96)))</formula>
    </cfRule>
  </conditionalFormatting>
  <conditionalFormatting sqref="E96">
    <cfRule type="containsText" dxfId="8039" priority="10463" operator="containsText" text="Sin Información">
      <formula>NOT(ISERROR(SEARCH("Sin Información",E96)))</formula>
    </cfRule>
  </conditionalFormatting>
  <conditionalFormatting sqref="C97:D97">
    <cfRule type="containsText" dxfId="8038" priority="10462" operator="containsText" text="NO+$D$4:$D$10">
      <formula>NOT(ISERROR(SEARCH("NO+$D$4:$D$10",C97)))</formula>
    </cfRule>
  </conditionalFormatting>
  <conditionalFormatting sqref="C97:D97">
    <cfRule type="containsText" dxfId="8037" priority="10460" operator="containsText" text="SI">
      <formula>NOT(ISERROR(SEARCH("SI",C97)))</formula>
    </cfRule>
    <cfRule type="containsText" dxfId="8036" priority="10461" operator="containsText" text="NO">
      <formula>NOT(ISERROR(SEARCH("NO",C97)))</formula>
    </cfRule>
  </conditionalFormatting>
  <conditionalFormatting sqref="C97:D97">
    <cfRule type="containsText" dxfId="8035" priority="10459" operator="containsText" text="NUEVO">
      <formula>NOT(ISERROR(SEARCH("NUEVO",C97)))</formula>
    </cfRule>
  </conditionalFormatting>
  <conditionalFormatting sqref="E97">
    <cfRule type="containsText" dxfId="8034" priority="10458" operator="containsText" text="Sin información">
      <formula>NOT(ISERROR(SEARCH("Sin información",E97)))</formula>
    </cfRule>
  </conditionalFormatting>
  <conditionalFormatting sqref="E97">
    <cfRule type="containsText" dxfId="8033" priority="10457" operator="containsText" text="NUEVO">
      <formula>NOT(ISERROR(SEARCH("NUEVO",E97)))</formula>
    </cfRule>
  </conditionalFormatting>
  <conditionalFormatting sqref="E97">
    <cfRule type="containsText" dxfId="8032" priority="10456" operator="containsText" text="Sin Información">
      <formula>NOT(ISERROR(SEARCH("Sin Información",E97)))</formula>
    </cfRule>
  </conditionalFormatting>
  <conditionalFormatting sqref="C98:D98">
    <cfRule type="containsText" dxfId="8031" priority="10455" operator="containsText" text="NO+$D$4:$D$10">
      <formula>NOT(ISERROR(SEARCH("NO+$D$4:$D$10",C98)))</formula>
    </cfRule>
  </conditionalFormatting>
  <conditionalFormatting sqref="C98:D98">
    <cfRule type="containsText" dxfId="8030" priority="10453" operator="containsText" text="SI">
      <formula>NOT(ISERROR(SEARCH("SI",C98)))</formula>
    </cfRule>
    <cfRule type="containsText" dxfId="8029" priority="10454" operator="containsText" text="NO">
      <formula>NOT(ISERROR(SEARCH("NO",C98)))</formula>
    </cfRule>
  </conditionalFormatting>
  <conditionalFormatting sqref="C98:D98">
    <cfRule type="containsText" dxfId="8028" priority="10452" operator="containsText" text="NUEVO">
      <formula>NOT(ISERROR(SEARCH("NUEVO",C98)))</formula>
    </cfRule>
  </conditionalFormatting>
  <conditionalFormatting sqref="E98">
    <cfRule type="containsText" dxfId="8027" priority="10451" operator="containsText" text="Sin información">
      <formula>NOT(ISERROR(SEARCH("Sin información",E98)))</formula>
    </cfRule>
  </conditionalFormatting>
  <conditionalFormatting sqref="E98">
    <cfRule type="containsText" dxfId="8026" priority="10450" operator="containsText" text="NUEVO">
      <formula>NOT(ISERROR(SEARCH("NUEVO",E98)))</formula>
    </cfRule>
  </conditionalFormatting>
  <conditionalFormatting sqref="E98">
    <cfRule type="containsText" dxfId="8025" priority="10449" operator="containsText" text="Sin Información">
      <formula>NOT(ISERROR(SEARCH("Sin Información",E98)))</formula>
    </cfRule>
  </conditionalFormatting>
  <conditionalFormatting sqref="C99:D99">
    <cfRule type="containsText" dxfId="8024" priority="10448" operator="containsText" text="NO+$D$4:$D$10">
      <formula>NOT(ISERROR(SEARCH("NO+$D$4:$D$10",C99)))</formula>
    </cfRule>
  </conditionalFormatting>
  <conditionalFormatting sqref="C99:D99">
    <cfRule type="containsText" dxfId="8023" priority="10446" operator="containsText" text="SI">
      <formula>NOT(ISERROR(SEARCH("SI",C99)))</formula>
    </cfRule>
    <cfRule type="containsText" dxfId="8022" priority="10447" operator="containsText" text="NO">
      <formula>NOT(ISERROR(SEARCH("NO",C99)))</formula>
    </cfRule>
  </conditionalFormatting>
  <conditionalFormatting sqref="C99:D99">
    <cfRule type="containsText" dxfId="8021" priority="10445" operator="containsText" text="NUEVO">
      <formula>NOT(ISERROR(SEARCH("NUEVO",C99)))</formula>
    </cfRule>
  </conditionalFormatting>
  <conditionalFormatting sqref="E99">
    <cfRule type="containsText" dxfId="8020" priority="10444" operator="containsText" text="Sin información">
      <formula>NOT(ISERROR(SEARCH("Sin información",E99)))</formula>
    </cfRule>
  </conditionalFormatting>
  <conditionalFormatting sqref="E99">
    <cfRule type="containsText" dxfId="8019" priority="10443" operator="containsText" text="NUEVO">
      <formula>NOT(ISERROR(SEARCH("NUEVO",E99)))</formula>
    </cfRule>
  </conditionalFormatting>
  <conditionalFormatting sqref="E99">
    <cfRule type="containsText" dxfId="8018" priority="10442" operator="containsText" text="Sin Información">
      <formula>NOT(ISERROR(SEARCH("Sin Información",E99)))</formula>
    </cfRule>
  </conditionalFormatting>
  <conditionalFormatting sqref="C100:D100">
    <cfRule type="containsText" dxfId="8017" priority="10441" operator="containsText" text="NO+$D$4:$D$10">
      <formula>NOT(ISERROR(SEARCH("NO+$D$4:$D$10",C100)))</formula>
    </cfRule>
  </conditionalFormatting>
  <conditionalFormatting sqref="C100:D100">
    <cfRule type="containsText" dxfId="8016" priority="10439" operator="containsText" text="SI">
      <formula>NOT(ISERROR(SEARCH("SI",C100)))</formula>
    </cfRule>
    <cfRule type="containsText" dxfId="8015" priority="10440" operator="containsText" text="NO">
      <formula>NOT(ISERROR(SEARCH("NO",C100)))</formula>
    </cfRule>
  </conditionalFormatting>
  <conditionalFormatting sqref="C100:D100">
    <cfRule type="containsText" dxfId="8014" priority="10438" operator="containsText" text="NUEVO">
      <formula>NOT(ISERROR(SEARCH("NUEVO",C100)))</formula>
    </cfRule>
  </conditionalFormatting>
  <conditionalFormatting sqref="E100">
    <cfRule type="containsText" dxfId="8013" priority="10437" operator="containsText" text="Sin información">
      <formula>NOT(ISERROR(SEARCH("Sin información",E100)))</formula>
    </cfRule>
  </conditionalFormatting>
  <conditionalFormatting sqref="E100">
    <cfRule type="containsText" dxfId="8012" priority="10436" operator="containsText" text="NUEVO">
      <formula>NOT(ISERROR(SEARCH("NUEVO",E100)))</formula>
    </cfRule>
  </conditionalFormatting>
  <conditionalFormatting sqref="E100">
    <cfRule type="containsText" dxfId="8011" priority="10435" operator="containsText" text="Sin Información">
      <formula>NOT(ISERROR(SEARCH("Sin Información",E100)))</formula>
    </cfRule>
  </conditionalFormatting>
  <conditionalFormatting sqref="C101:D101">
    <cfRule type="containsText" dxfId="8010" priority="10434" operator="containsText" text="NO+$D$4:$D$10">
      <formula>NOT(ISERROR(SEARCH("NO+$D$4:$D$10",C101)))</formula>
    </cfRule>
  </conditionalFormatting>
  <conditionalFormatting sqref="C101:D101">
    <cfRule type="containsText" dxfId="8009" priority="10432" operator="containsText" text="SI">
      <formula>NOT(ISERROR(SEARCH("SI",C101)))</formula>
    </cfRule>
    <cfRule type="containsText" dxfId="8008" priority="10433" operator="containsText" text="NO">
      <formula>NOT(ISERROR(SEARCH("NO",C101)))</formula>
    </cfRule>
  </conditionalFormatting>
  <conditionalFormatting sqref="E101">
    <cfRule type="containsText" dxfId="8007" priority="10431" operator="containsText" text="Sin información">
      <formula>NOT(ISERROR(SEARCH("Sin información",E101)))</formula>
    </cfRule>
  </conditionalFormatting>
  <conditionalFormatting sqref="E101">
    <cfRule type="containsText" dxfId="8006" priority="10430" operator="containsText" text="NUEVO">
      <formula>NOT(ISERROR(SEARCH("NUEVO",E101)))</formula>
    </cfRule>
  </conditionalFormatting>
  <conditionalFormatting sqref="C101:D101">
    <cfRule type="containsText" dxfId="8005" priority="10429" operator="containsText" text="NUEVO">
      <formula>NOT(ISERROR(SEARCH("NUEVO",C101)))</formula>
    </cfRule>
  </conditionalFormatting>
  <conditionalFormatting sqref="C102:D102">
    <cfRule type="containsText" dxfId="8004" priority="10428" operator="containsText" text="NO+$D$4:$D$10">
      <formula>NOT(ISERROR(SEARCH("NO+$D$4:$D$10",C102)))</formula>
    </cfRule>
  </conditionalFormatting>
  <conditionalFormatting sqref="C102:D102">
    <cfRule type="containsText" dxfId="8003" priority="10426" operator="containsText" text="SI">
      <formula>NOT(ISERROR(SEARCH("SI",C102)))</formula>
    </cfRule>
    <cfRule type="containsText" dxfId="8002" priority="10427" operator="containsText" text="NO">
      <formula>NOT(ISERROR(SEARCH("NO",C102)))</formula>
    </cfRule>
  </conditionalFormatting>
  <conditionalFormatting sqref="E102">
    <cfRule type="containsText" dxfId="8001" priority="10425" operator="containsText" text="Sin información">
      <formula>NOT(ISERROR(SEARCH("Sin información",E102)))</formula>
    </cfRule>
  </conditionalFormatting>
  <conditionalFormatting sqref="C102:E102">
    <cfRule type="containsText" dxfId="8000" priority="10424" operator="containsText" text="NUEVO">
      <formula>NOT(ISERROR(SEARCH("NUEVO",C102)))</formula>
    </cfRule>
  </conditionalFormatting>
  <conditionalFormatting sqref="C103:D103">
    <cfRule type="containsText" dxfId="7999" priority="10418" operator="containsText" text="NUEVO">
      <formula>NOT(ISERROR(SEARCH("NUEVO",C103)))</formula>
    </cfRule>
  </conditionalFormatting>
  <conditionalFormatting sqref="C103:D103">
    <cfRule type="containsText" dxfId="7998" priority="10423" operator="containsText" text="NO+$D$4:$D$10">
      <formula>NOT(ISERROR(SEARCH("NO+$D$4:$D$10",C103)))</formula>
    </cfRule>
  </conditionalFormatting>
  <conditionalFormatting sqref="C103:D103">
    <cfRule type="containsText" dxfId="7997" priority="10421" operator="containsText" text="SI">
      <formula>NOT(ISERROR(SEARCH("SI",C103)))</formula>
    </cfRule>
    <cfRule type="containsText" dxfId="7996" priority="10422" operator="containsText" text="NO">
      <formula>NOT(ISERROR(SEARCH("NO",C103)))</formula>
    </cfRule>
  </conditionalFormatting>
  <conditionalFormatting sqref="E103">
    <cfRule type="containsText" dxfId="7995" priority="10420" operator="containsText" text="Sin información">
      <formula>NOT(ISERROR(SEARCH("Sin información",E103)))</formula>
    </cfRule>
  </conditionalFormatting>
  <conditionalFormatting sqref="C103:E103">
    <cfRule type="containsText" dxfId="7994" priority="10419" operator="containsText" text="NUEVO">
      <formula>NOT(ISERROR(SEARCH("NUEVO",C103)))</formula>
    </cfRule>
  </conditionalFormatting>
  <conditionalFormatting sqref="C104:D104">
    <cfRule type="containsText" dxfId="7993" priority="10417" operator="containsText" text="NO+$D$4:$D$10">
      <formula>NOT(ISERROR(SEARCH("NO+$D$4:$D$10",C104)))</formula>
    </cfRule>
  </conditionalFormatting>
  <conditionalFormatting sqref="C104:D104">
    <cfRule type="containsText" dxfId="7992" priority="10415" operator="containsText" text="SI">
      <formula>NOT(ISERROR(SEARCH("SI",C104)))</formula>
    </cfRule>
    <cfRule type="containsText" dxfId="7991" priority="10416" operator="containsText" text="NO">
      <formula>NOT(ISERROR(SEARCH("NO",C104)))</formula>
    </cfRule>
  </conditionalFormatting>
  <conditionalFormatting sqref="C104:D104">
    <cfRule type="containsText" dxfId="7990" priority="10414" operator="containsText" text="NUEVO">
      <formula>NOT(ISERROR(SEARCH("NUEVO",C104)))</formula>
    </cfRule>
  </conditionalFormatting>
  <conditionalFormatting sqref="C104:D104">
    <cfRule type="containsText" dxfId="7989" priority="10413" operator="containsText" text="NUEVO">
      <formula>NOT(ISERROR(SEARCH("NUEVO",C104)))</formula>
    </cfRule>
  </conditionalFormatting>
  <conditionalFormatting sqref="E104">
    <cfRule type="containsText" dxfId="7988" priority="10412" operator="containsText" text="Sin información">
      <formula>NOT(ISERROR(SEARCH("Sin información",E104)))</formula>
    </cfRule>
  </conditionalFormatting>
  <conditionalFormatting sqref="E104">
    <cfRule type="containsText" dxfId="7987" priority="10411" operator="containsText" text="NUEVO">
      <formula>NOT(ISERROR(SEARCH("NUEVO",E104)))</formula>
    </cfRule>
  </conditionalFormatting>
  <conditionalFormatting sqref="E104">
    <cfRule type="containsText" dxfId="7986" priority="10410" operator="containsText" text="Sin Información">
      <formula>NOT(ISERROR(SEARCH("Sin Información",E104)))</formula>
    </cfRule>
  </conditionalFormatting>
  <conditionalFormatting sqref="C106:D106">
    <cfRule type="containsText" dxfId="7985" priority="10397" operator="containsText" text="NO+$D$4:$D$10">
      <formula>NOT(ISERROR(SEARCH("NO+$D$4:$D$10",C106)))</formula>
    </cfRule>
  </conditionalFormatting>
  <conditionalFormatting sqref="C106:D106">
    <cfRule type="containsText" dxfId="7984" priority="10395" operator="containsText" text="SI">
      <formula>NOT(ISERROR(SEARCH("SI",C106)))</formula>
    </cfRule>
    <cfRule type="containsText" dxfId="7983" priority="10396" operator="containsText" text="NO">
      <formula>NOT(ISERROR(SEARCH("NO",C106)))</formula>
    </cfRule>
  </conditionalFormatting>
  <conditionalFormatting sqref="E106">
    <cfRule type="containsText" dxfId="7982" priority="10394" operator="containsText" text="Sin información">
      <formula>NOT(ISERROR(SEARCH("Sin información",E106)))</formula>
    </cfRule>
  </conditionalFormatting>
  <conditionalFormatting sqref="C106:E106">
    <cfRule type="containsText" dxfId="7981" priority="10393" operator="containsText" text="NUEVO">
      <formula>NOT(ISERROR(SEARCH("NUEVO",C106)))</formula>
    </cfRule>
  </conditionalFormatting>
  <conditionalFormatting sqref="D106">
    <cfRule type="containsText" dxfId="7980" priority="10392" operator="containsText" text="NUEVO">
      <formula>NOT(ISERROR(SEARCH("NUEVO",D106)))</formula>
    </cfRule>
  </conditionalFormatting>
  <conditionalFormatting sqref="C107:D107">
    <cfRule type="containsText" dxfId="7979" priority="10391" operator="containsText" text="NO+$D$4:$D$10">
      <formula>NOT(ISERROR(SEARCH("NO+$D$4:$D$10",C107)))</formula>
    </cfRule>
  </conditionalFormatting>
  <conditionalFormatting sqref="C107:D107">
    <cfRule type="containsText" dxfId="7978" priority="10389" operator="containsText" text="SI">
      <formula>NOT(ISERROR(SEARCH("SI",C107)))</formula>
    </cfRule>
    <cfRule type="containsText" dxfId="7977" priority="10390" operator="containsText" text="NO">
      <formula>NOT(ISERROR(SEARCH("NO",C107)))</formula>
    </cfRule>
  </conditionalFormatting>
  <conditionalFormatting sqref="E107">
    <cfRule type="containsText" dxfId="7976" priority="10388" operator="containsText" text="Sin información">
      <formula>NOT(ISERROR(SEARCH("Sin información",E107)))</formula>
    </cfRule>
  </conditionalFormatting>
  <conditionalFormatting sqref="C107:E107">
    <cfRule type="containsText" dxfId="7975" priority="10387" operator="containsText" text="NUEVO">
      <formula>NOT(ISERROR(SEARCH("NUEVO",C107)))</formula>
    </cfRule>
  </conditionalFormatting>
  <conditionalFormatting sqref="D107">
    <cfRule type="containsText" dxfId="7974" priority="10386" operator="containsText" text="NUEVO">
      <formula>NOT(ISERROR(SEARCH("NUEVO",D107)))</formula>
    </cfRule>
  </conditionalFormatting>
  <conditionalFormatting sqref="C109:D109">
    <cfRule type="containsText" dxfId="7973" priority="10385" operator="containsText" text="NO+$D$4:$D$10">
      <formula>NOT(ISERROR(SEARCH("NO+$D$4:$D$10",C109)))</formula>
    </cfRule>
  </conditionalFormatting>
  <conditionalFormatting sqref="C109:D109">
    <cfRule type="containsText" dxfId="7972" priority="10383" operator="containsText" text="SI">
      <formula>NOT(ISERROR(SEARCH("SI",C109)))</formula>
    </cfRule>
    <cfRule type="containsText" dxfId="7971" priority="10384" operator="containsText" text="NO">
      <formula>NOT(ISERROR(SEARCH("NO",C109)))</formula>
    </cfRule>
  </conditionalFormatting>
  <conditionalFormatting sqref="E109">
    <cfRule type="containsText" dxfId="7970" priority="10382" operator="containsText" text="Sin información">
      <formula>NOT(ISERROR(SEARCH("Sin información",E109)))</formula>
    </cfRule>
  </conditionalFormatting>
  <conditionalFormatting sqref="C109:E109">
    <cfRule type="containsText" dxfId="7969" priority="10381" operator="containsText" text="NUEVO">
      <formula>NOT(ISERROR(SEARCH("NUEVO",C109)))</formula>
    </cfRule>
  </conditionalFormatting>
  <conditionalFormatting sqref="E109">
    <cfRule type="containsText" dxfId="7968" priority="10380" operator="containsText" text="Sin Información">
      <formula>NOT(ISERROR(SEARCH("Sin Información",E109)))</formula>
    </cfRule>
  </conditionalFormatting>
  <conditionalFormatting sqref="D109">
    <cfRule type="containsText" dxfId="7967" priority="10379" operator="containsText" text="NUEVO">
      <formula>NOT(ISERROR(SEARCH("NUEVO",D109)))</formula>
    </cfRule>
  </conditionalFormatting>
  <conditionalFormatting sqref="C110:D110">
    <cfRule type="containsText" dxfId="7966" priority="10378" operator="containsText" text="NO+$D$4:$D$10">
      <formula>NOT(ISERROR(SEARCH("NO+$D$4:$D$10",C110)))</formula>
    </cfRule>
  </conditionalFormatting>
  <conditionalFormatting sqref="C110:D110">
    <cfRule type="containsText" dxfId="7965" priority="10376" operator="containsText" text="SI">
      <formula>NOT(ISERROR(SEARCH("SI",C110)))</formula>
    </cfRule>
    <cfRule type="containsText" dxfId="7964" priority="10377" operator="containsText" text="NO">
      <formula>NOT(ISERROR(SEARCH("NO",C110)))</formula>
    </cfRule>
  </conditionalFormatting>
  <conditionalFormatting sqref="E110">
    <cfRule type="containsText" dxfId="7963" priority="10375" operator="containsText" text="Sin información">
      <formula>NOT(ISERROR(SEARCH("Sin información",E110)))</formula>
    </cfRule>
  </conditionalFormatting>
  <conditionalFormatting sqref="C110:E110">
    <cfRule type="containsText" dxfId="7962" priority="10374" operator="containsText" text="NUEVO">
      <formula>NOT(ISERROR(SEARCH("NUEVO",C110)))</formula>
    </cfRule>
  </conditionalFormatting>
  <conditionalFormatting sqref="E110">
    <cfRule type="containsText" dxfId="7961" priority="10373" operator="containsText" text="Sin Información">
      <formula>NOT(ISERROR(SEARCH("Sin Información",E110)))</formula>
    </cfRule>
  </conditionalFormatting>
  <conditionalFormatting sqref="D110">
    <cfRule type="containsText" dxfId="7960" priority="10372" operator="containsText" text="NUEVO">
      <formula>NOT(ISERROR(SEARCH("NUEVO",D110)))</formula>
    </cfRule>
  </conditionalFormatting>
  <conditionalFormatting sqref="C111:D111">
    <cfRule type="containsText" dxfId="7959" priority="10371" operator="containsText" text="NO+$D$4:$D$10">
      <formula>NOT(ISERROR(SEARCH("NO+$D$4:$D$10",C111)))</formula>
    </cfRule>
  </conditionalFormatting>
  <conditionalFormatting sqref="C111:D111">
    <cfRule type="containsText" dxfId="7958" priority="10369" operator="containsText" text="SI">
      <formula>NOT(ISERROR(SEARCH("SI",C111)))</formula>
    </cfRule>
    <cfRule type="containsText" dxfId="7957" priority="10370" operator="containsText" text="NO">
      <formula>NOT(ISERROR(SEARCH("NO",C111)))</formula>
    </cfRule>
  </conditionalFormatting>
  <conditionalFormatting sqref="C111:D111">
    <cfRule type="containsText" dxfId="7956" priority="10368" operator="containsText" text="NUEVO">
      <formula>NOT(ISERROR(SEARCH("NUEVO",C111)))</formula>
    </cfRule>
  </conditionalFormatting>
  <conditionalFormatting sqref="D111">
    <cfRule type="containsText" dxfId="7955" priority="10367" operator="containsText" text="NUEVO">
      <formula>NOT(ISERROR(SEARCH("NUEVO",D111)))</formula>
    </cfRule>
  </conditionalFormatting>
  <conditionalFormatting sqref="E111">
    <cfRule type="containsText" dxfId="7954" priority="10366" operator="containsText" text="Sin información">
      <formula>NOT(ISERROR(SEARCH("Sin información",E111)))</formula>
    </cfRule>
  </conditionalFormatting>
  <conditionalFormatting sqref="E111">
    <cfRule type="containsText" dxfId="7953" priority="10365" operator="containsText" text="NUEVO">
      <formula>NOT(ISERROR(SEARCH("NUEVO",E111)))</formula>
    </cfRule>
  </conditionalFormatting>
  <conditionalFormatting sqref="E111">
    <cfRule type="containsText" dxfId="7952" priority="10364" operator="containsText" text="Sin Información">
      <formula>NOT(ISERROR(SEARCH("Sin Información",E111)))</formula>
    </cfRule>
  </conditionalFormatting>
  <conditionalFormatting sqref="C112:D112">
    <cfRule type="containsText" dxfId="7951" priority="10363" operator="containsText" text="NO+$D$4:$D$10">
      <formula>NOT(ISERROR(SEARCH("NO+$D$4:$D$10",C112)))</formula>
    </cfRule>
  </conditionalFormatting>
  <conditionalFormatting sqref="C112:D112">
    <cfRule type="containsText" dxfId="7950" priority="10361" operator="containsText" text="SI">
      <formula>NOT(ISERROR(SEARCH("SI",C112)))</formula>
    </cfRule>
    <cfRule type="containsText" dxfId="7949" priority="10362" operator="containsText" text="NO">
      <formula>NOT(ISERROR(SEARCH("NO",C112)))</formula>
    </cfRule>
  </conditionalFormatting>
  <conditionalFormatting sqref="C112:D112">
    <cfRule type="containsText" dxfId="7948" priority="10360" operator="containsText" text="NUEVO">
      <formula>NOT(ISERROR(SEARCH("NUEVO",C112)))</formula>
    </cfRule>
  </conditionalFormatting>
  <conditionalFormatting sqref="D112">
    <cfRule type="containsText" dxfId="7947" priority="10359" operator="containsText" text="NUEVO">
      <formula>NOT(ISERROR(SEARCH("NUEVO",D112)))</formula>
    </cfRule>
  </conditionalFormatting>
  <conditionalFormatting sqref="E112">
    <cfRule type="containsText" dxfId="7946" priority="10357" operator="containsText" text="NUEVO">
      <formula>NOT(ISERROR(SEARCH("NUEVO",E112)))</formula>
    </cfRule>
  </conditionalFormatting>
  <conditionalFormatting sqref="E112">
    <cfRule type="containsText" dxfId="7945" priority="10358" operator="containsText" text="Sin información">
      <formula>NOT(ISERROR(SEARCH("Sin información",E112)))</formula>
    </cfRule>
  </conditionalFormatting>
  <conditionalFormatting sqref="E112">
    <cfRule type="containsText" dxfId="7944" priority="10356" operator="containsText" text="Sin Información">
      <formula>NOT(ISERROR(SEARCH("Sin Información",E112)))</formula>
    </cfRule>
  </conditionalFormatting>
  <conditionalFormatting sqref="C113:D113">
    <cfRule type="containsText" dxfId="7943" priority="10355" operator="containsText" text="NO+$D$4:$D$10">
      <formula>NOT(ISERROR(SEARCH("NO+$D$4:$D$10",C113)))</formula>
    </cfRule>
  </conditionalFormatting>
  <conditionalFormatting sqref="C113:D113">
    <cfRule type="containsText" dxfId="7942" priority="10353" operator="containsText" text="SI">
      <formula>NOT(ISERROR(SEARCH("SI",C113)))</formula>
    </cfRule>
    <cfRule type="containsText" dxfId="7941" priority="10354" operator="containsText" text="NO">
      <formula>NOT(ISERROR(SEARCH("NO",C113)))</formula>
    </cfRule>
  </conditionalFormatting>
  <conditionalFormatting sqref="C113:D113">
    <cfRule type="containsText" dxfId="7940" priority="10352" operator="containsText" text="NUEVO">
      <formula>NOT(ISERROR(SEARCH("NUEVO",C113)))</formula>
    </cfRule>
  </conditionalFormatting>
  <conditionalFormatting sqref="D113">
    <cfRule type="containsText" dxfId="7939" priority="10351" operator="containsText" text="NUEVO">
      <formula>NOT(ISERROR(SEARCH("NUEVO",D113)))</formula>
    </cfRule>
  </conditionalFormatting>
  <conditionalFormatting sqref="E113">
    <cfRule type="containsText" dxfId="7938" priority="10350" operator="containsText" text="Sin información">
      <formula>NOT(ISERROR(SEARCH("Sin información",E113)))</formula>
    </cfRule>
  </conditionalFormatting>
  <conditionalFormatting sqref="E113">
    <cfRule type="containsText" dxfId="7937" priority="10349" operator="containsText" text="NUEVO">
      <formula>NOT(ISERROR(SEARCH("NUEVO",E113)))</formula>
    </cfRule>
  </conditionalFormatting>
  <conditionalFormatting sqref="E113">
    <cfRule type="containsText" dxfId="7936" priority="10348" operator="containsText" text="Sin Información">
      <formula>NOT(ISERROR(SEARCH("Sin Información",E113)))</formula>
    </cfRule>
  </conditionalFormatting>
  <conditionalFormatting sqref="C95:D95">
    <cfRule type="containsText" dxfId="7935" priority="10347" operator="containsText" text="NO+$D$4:$D$10">
      <formula>NOT(ISERROR(SEARCH("NO+$D$4:$D$10",C95)))</formula>
    </cfRule>
  </conditionalFormatting>
  <conditionalFormatting sqref="C95:D95">
    <cfRule type="containsText" dxfId="7934" priority="10345" operator="containsText" text="SI">
      <formula>NOT(ISERROR(SEARCH("SI",C95)))</formula>
    </cfRule>
    <cfRule type="containsText" dxfId="7933" priority="10346" operator="containsText" text="NO">
      <formula>NOT(ISERROR(SEARCH("NO",C95)))</formula>
    </cfRule>
  </conditionalFormatting>
  <conditionalFormatting sqref="E95">
    <cfRule type="containsText" dxfId="7932" priority="10344" operator="containsText" text="Sin información">
      <formula>NOT(ISERROR(SEARCH("Sin información",E95)))</formula>
    </cfRule>
  </conditionalFormatting>
  <conditionalFormatting sqref="E95">
    <cfRule type="containsText" dxfId="7931" priority="10343" operator="containsText" text="NUEVO">
      <formula>NOT(ISERROR(SEARCH("NUEVO",E95)))</formula>
    </cfRule>
  </conditionalFormatting>
  <conditionalFormatting sqref="C95:D95">
    <cfRule type="containsText" dxfId="7930" priority="10342" operator="containsText" text="NUEVO">
      <formula>NOT(ISERROR(SEARCH("NUEVO",C95)))</formula>
    </cfRule>
  </conditionalFormatting>
  <conditionalFormatting sqref="C108:D108">
    <cfRule type="containsText" dxfId="7929" priority="10335" operator="containsText" text="NO+$D$4:$D$10">
      <formula>NOT(ISERROR(SEARCH("NO+$D$4:$D$10",C108)))</formula>
    </cfRule>
  </conditionalFormatting>
  <conditionalFormatting sqref="C108:D108">
    <cfRule type="containsText" dxfId="7928" priority="10333" operator="containsText" text="SI">
      <formula>NOT(ISERROR(SEARCH("SI",C108)))</formula>
    </cfRule>
    <cfRule type="containsText" dxfId="7927" priority="10334" operator="containsText" text="NO">
      <formula>NOT(ISERROR(SEARCH("NO",C108)))</formula>
    </cfRule>
  </conditionalFormatting>
  <conditionalFormatting sqref="E108">
    <cfRule type="containsText" dxfId="7926" priority="10332" operator="containsText" text="Sin información">
      <formula>NOT(ISERROR(SEARCH("Sin información",E108)))</formula>
    </cfRule>
  </conditionalFormatting>
  <conditionalFormatting sqref="E108">
    <cfRule type="containsText" dxfId="7925" priority="10331" operator="containsText" text="NUEVO">
      <formula>NOT(ISERROR(SEARCH("NUEVO",E108)))</formula>
    </cfRule>
  </conditionalFormatting>
  <conditionalFormatting sqref="C108:D108">
    <cfRule type="containsText" dxfId="7924" priority="10330" operator="containsText" text="NUEVO">
      <formula>NOT(ISERROR(SEARCH("NUEVO",C108)))</formula>
    </cfRule>
  </conditionalFormatting>
  <conditionalFormatting sqref="C114:D114">
    <cfRule type="containsText" dxfId="7923" priority="10329" operator="containsText" text="NO+$D$4:$D$10">
      <formula>NOT(ISERROR(SEARCH("NO+$D$4:$D$10",C114)))</formula>
    </cfRule>
  </conditionalFormatting>
  <conditionalFormatting sqref="C114:D114">
    <cfRule type="containsText" dxfId="7922" priority="10327" operator="containsText" text="SI">
      <formula>NOT(ISERROR(SEARCH("SI",C114)))</formula>
    </cfRule>
    <cfRule type="containsText" dxfId="7921" priority="10328" operator="containsText" text="NO">
      <formula>NOT(ISERROR(SEARCH("NO",C114)))</formula>
    </cfRule>
  </conditionalFormatting>
  <conditionalFormatting sqref="E114">
    <cfRule type="containsText" dxfId="7920" priority="10326" operator="containsText" text="Sin información">
      <formula>NOT(ISERROR(SEARCH("Sin información",E114)))</formula>
    </cfRule>
  </conditionalFormatting>
  <conditionalFormatting sqref="E114">
    <cfRule type="containsText" dxfId="7919" priority="10325" operator="containsText" text="NUEVO">
      <formula>NOT(ISERROR(SEARCH("NUEVO",E114)))</formula>
    </cfRule>
  </conditionalFormatting>
  <conditionalFormatting sqref="C114:D114">
    <cfRule type="containsText" dxfId="7918" priority="10324" operator="containsText" text="NUEVO">
      <formula>NOT(ISERROR(SEARCH("NUEVO",C114)))</formula>
    </cfRule>
  </conditionalFormatting>
  <conditionalFormatting sqref="C116:D116">
    <cfRule type="containsText" dxfId="7917" priority="10316" operator="containsText" text="NO+$D$4:$D$10">
      <formula>NOT(ISERROR(SEARCH("NO+$D$4:$D$10",C116)))</formula>
    </cfRule>
  </conditionalFormatting>
  <conditionalFormatting sqref="C116:D116">
    <cfRule type="containsText" dxfId="7916" priority="10314" operator="containsText" text="SI">
      <formula>NOT(ISERROR(SEARCH("SI",C116)))</formula>
    </cfRule>
    <cfRule type="containsText" dxfId="7915" priority="10315" operator="containsText" text="NO">
      <formula>NOT(ISERROR(SEARCH("NO",C116)))</formula>
    </cfRule>
  </conditionalFormatting>
  <conditionalFormatting sqref="C116:D116">
    <cfRule type="containsText" dxfId="7914" priority="10313" operator="containsText" text="NUEVO">
      <formula>NOT(ISERROR(SEARCH("NUEVO",C116)))</formula>
    </cfRule>
  </conditionalFormatting>
  <conditionalFormatting sqref="E116">
    <cfRule type="containsText" dxfId="7913" priority="10311" operator="containsText" text="NUEVO">
      <formula>NOT(ISERROR(SEARCH("NUEVO",E116)))</formula>
    </cfRule>
  </conditionalFormatting>
  <conditionalFormatting sqref="E116">
    <cfRule type="containsText" dxfId="7912" priority="10312" operator="containsText" text="Sin información">
      <formula>NOT(ISERROR(SEARCH("Sin información",E116)))</formula>
    </cfRule>
  </conditionalFormatting>
  <conditionalFormatting sqref="E116">
    <cfRule type="containsText" dxfId="7911" priority="10310" operator="containsText" text="Sin Información">
      <formula>NOT(ISERROR(SEARCH("Sin Información",E116)))</formula>
    </cfRule>
  </conditionalFormatting>
  <conditionalFormatting sqref="C117:D117">
    <cfRule type="containsText" dxfId="7910" priority="10303" operator="containsText" text="NO+$D$4:$D$10">
      <formula>NOT(ISERROR(SEARCH("NO+$D$4:$D$10",C117)))</formula>
    </cfRule>
  </conditionalFormatting>
  <conditionalFormatting sqref="C117:D117">
    <cfRule type="containsText" dxfId="7909" priority="10301" operator="containsText" text="SI">
      <formula>NOT(ISERROR(SEARCH("SI",C117)))</formula>
    </cfRule>
    <cfRule type="containsText" dxfId="7908" priority="10302" operator="containsText" text="NO">
      <formula>NOT(ISERROR(SEARCH("NO",C117)))</formula>
    </cfRule>
  </conditionalFormatting>
  <conditionalFormatting sqref="E117">
    <cfRule type="containsText" dxfId="7907" priority="10300" operator="containsText" text="Sin información">
      <formula>NOT(ISERROR(SEARCH("Sin información",E117)))</formula>
    </cfRule>
  </conditionalFormatting>
  <conditionalFormatting sqref="E117">
    <cfRule type="containsText" dxfId="7906" priority="10299" operator="containsText" text="NUEVO">
      <formula>NOT(ISERROR(SEARCH("NUEVO",E117)))</formula>
    </cfRule>
  </conditionalFormatting>
  <conditionalFormatting sqref="C117:D117">
    <cfRule type="containsText" dxfId="7905" priority="10298" operator="containsText" text="NUEVO">
      <formula>NOT(ISERROR(SEARCH("NUEVO",C117)))</formula>
    </cfRule>
  </conditionalFormatting>
  <conditionalFormatting sqref="C118:D118">
    <cfRule type="containsText" dxfId="7904" priority="10291" operator="containsText" text="NO+$D$4:$D$10">
      <formula>NOT(ISERROR(SEARCH("NO+$D$4:$D$10",C118)))</formula>
    </cfRule>
  </conditionalFormatting>
  <conditionalFormatting sqref="C118:D118">
    <cfRule type="containsText" dxfId="7903" priority="10289" operator="containsText" text="SI">
      <formula>NOT(ISERROR(SEARCH("SI",C118)))</formula>
    </cfRule>
    <cfRule type="containsText" dxfId="7902" priority="10290" operator="containsText" text="NO">
      <formula>NOT(ISERROR(SEARCH("NO",C118)))</formula>
    </cfRule>
  </conditionalFormatting>
  <conditionalFormatting sqref="C118:D118">
    <cfRule type="containsText" dxfId="7901" priority="10288" operator="containsText" text="NUEVO">
      <formula>NOT(ISERROR(SEARCH("NUEVO",C118)))</formula>
    </cfRule>
  </conditionalFormatting>
  <conditionalFormatting sqref="E118">
    <cfRule type="containsText" dxfId="7900" priority="10287" operator="containsText" text="Sin información">
      <formula>NOT(ISERROR(SEARCH("Sin información",E118)))</formula>
    </cfRule>
  </conditionalFormatting>
  <conditionalFormatting sqref="E118">
    <cfRule type="containsText" dxfId="7899" priority="10286" operator="containsText" text="NUEVO">
      <formula>NOT(ISERROR(SEARCH("NUEVO",E118)))</formula>
    </cfRule>
  </conditionalFormatting>
  <conditionalFormatting sqref="E118">
    <cfRule type="containsText" dxfId="7898" priority="10285" operator="containsText" text="Sin Información">
      <formula>NOT(ISERROR(SEARCH("Sin Información",E118)))</formula>
    </cfRule>
  </conditionalFormatting>
  <conditionalFormatting sqref="C119:D119">
    <cfRule type="containsText" dxfId="7897" priority="10277" operator="containsText" text="NO+$D$4:$D$10">
      <formula>NOT(ISERROR(SEARCH("NO+$D$4:$D$10",C119)))</formula>
    </cfRule>
  </conditionalFormatting>
  <conditionalFormatting sqref="C119:D119">
    <cfRule type="containsText" dxfId="7896" priority="10275" operator="containsText" text="SI">
      <formula>NOT(ISERROR(SEARCH("SI",C119)))</formula>
    </cfRule>
    <cfRule type="containsText" dxfId="7895" priority="10276" operator="containsText" text="NO">
      <formula>NOT(ISERROR(SEARCH("NO",C119)))</formula>
    </cfRule>
  </conditionalFormatting>
  <conditionalFormatting sqref="C119:D119">
    <cfRule type="containsText" dxfId="7894" priority="10274" operator="containsText" text="NUEVO">
      <formula>NOT(ISERROR(SEARCH("NUEVO",C119)))</formula>
    </cfRule>
  </conditionalFormatting>
  <conditionalFormatting sqref="E119">
    <cfRule type="containsText" dxfId="7893" priority="10273" operator="containsText" text="Sin información">
      <formula>NOT(ISERROR(SEARCH("Sin información",E119)))</formula>
    </cfRule>
  </conditionalFormatting>
  <conditionalFormatting sqref="E119">
    <cfRule type="containsText" dxfId="7892" priority="10272" operator="containsText" text="NUEVO">
      <formula>NOT(ISERROR(SEARCH("NUEVO",E119)))</formula>
    </cfRule>
  </conditionalFormatting>
  <conditionalFormatting sqref="E119">
    <cfRule type="containsText" dxfId="7891" priority="10271" operator="containsText" text="Sin Información">
      <formula>NOT(ISERROR(SEARCH("Sin Información",E119)))</formula>
    </cfRule>
  </conditionalFormatting>
  <conditionalFormatting sqref="C35:D35">
    <cfRule type="containsText" dxfId="7890" priority="10263" operator="containsText" text="NO+$D$4:$D$10">
      <formula>NOT(ISERROR(SEARCH("NO+$D$4:$D$10",C35)))</formula>
    </cfRule>
  </conditionalFormatting>
  <conditionalFormatting sqref="C35:D35">
    <cfRule type="containsText" dxfId="7889" priority="10261" operator="containsText" text="SI">
      <formula>NOT(ISERROR(SEARCH("SI",C35)))</formula>
    </cfRule>
    <cfRule type="containsText" dxfId="7888" priority="10262" operator="containsText" text="NO">
      <formula>NOT(ISERROR(SEARCH("NO",C35)))</formula>
    </cfRule>
  </conditionalFormatting>
  <conditionalFormatting sqref="C35:D35">
    <cfRule type="containsText" dxfId="7887" priority="10260" operator="containsText" text="NUEVO">
      <formula>NOT(ISERROR(SEARCH("NUEVO",C35)))</formula>
    </cfRule>
  </conditionalFormatting>
  <conditionalFormatting sqref="E35">
    <cfRule type="containsText" dxfId="7886" priority="10259" operator="containsText" text="Sin información">
      <formula>NOT(ISERROR(SEARCH("Sin información",E35)))</formula>
    </cfRule>
  </conditionalFormatting>
  <conditionalFormatting sqref="E35">
    <cfRule type="containsText" dxfId="7885" priority="10258" operator="containsText" text="NUEVO">
      <formula>NOT(ISERROR(SEARCH("NUEVO",E35)))</formula>
    </cfRule>
  </conditionalFormatting>
  <conditionalFormatting sqref="C120:D121">
    <cfRule type="containsText" dxfId="7884" priority="10257" operator="containsText" text="NO+$D$4:$D$10">
      <formula>NOT(ISERROR(SEARCH("NO+$D$4:$D$10",C120)))</formula>
    </cfRule>
  </conditionalFormatting>
  <conditionalFormatting sqref="C120:D121">
    <cfRule type="containsText" dxfId="7883" priority="10255" operator="containsText" text="SI">
      <formula>NOT(ISERROR(SEARCH("SI",C120)))</formula>
    </cfRule>
    <cfRule type="containsText" dxfId="7882" priority="10256" operator="containsText" text="NO">
      <formula>NOT(ISERROR(SEARCH("NO",C120)))</formula>
    </cfRule>
  </conditionalFormatting>
  <conditionalFormatting sqref="E120:E121">
    <cfRule type="containsText" dxfId="7881" priority="10254" operator="containsText" text="Sin información">
      <formula>NOT(ISERROR(SEARCH("Sin información",E120)))</formula>
    </cfRule>
  </conditionalFormatting>
  <conditionalFormatting sqref="C120:E121">
    <cfRule type="containsText" dxfId="7880" priority="10253" operator="containsText" text="NUEVO">
      <formula>NOT(ISERROR(SEARCH("NUEVO",C120)))</formula>
    </cfRule>
  </conditionalFormatting>
  <conditionalFormatting sqref="C122:D122">
    <cfRule type="containsText" dxfId="7879" priority="10252" operator="containsText" text="NO+$D$4:$D$10">
      <formula>NOT(ISERROR(SEARCH("NO+$D$4:$D$10",C122)))</formula>
    </cfRule>
  </conditionalFormatting>
  <conditionalFormatting sqref="C122:D122">
    <cfRule type="containsText" dxfId="7878" priority="10250" operator="containsText" text="SI">
      <formula>NOT(ISERROR(SEARCH("SI",C122)))</formula>
    </cfRule>
    <cfRule type="containsText" dxfId="7877" priority="10251" operator="containsText" text="NO">
      <formula>NOT(ISERROR(SEARCH("NO",C122)))</formula>
    </cfRule>
  </conditionalFormatting>
  <conditionalFormatting sqref="C122:D122">
    <cfRule type="containsText" dxfId="7876" priority="10249" operator="containsText" text="NUEVO">
      <formula>NOT(ISERROR(SEARCH("NUEVO",C122)))</formula>
    </cfRule>
  </conditionalFormatting>
  <conditionalFormatting sqref="E122">
    <cfRule type="containsText" dxfId="7875" priority="10247" operator="containsText" text="NUEVO">
      <formula>NOT(ISERROR(SEARCH("NUEVO",E122)))</formula>
    </cfRule>
  </conditionalFormatting>
  <conditionalFormatting sqref="E122">
    <cfRule type="containsText" dxfId="7874" priority="10248" operator="containsText" text="Sin información">
      <formula>NOT(ISERROR(SEARCH("Sin información",E122)))</formula>
    </cfRule>
  </conditionalFormatting>
  <conditionalFormatting sqref="C123:D123">
    <cfRule type="containsText" dxfId="7873" priority="10246" operator="containsText" text="NO+$D$4:$D$10">
      <formula>NOT(ISERROR(SEARCH("NO+$D$4:$D$10",C123)))</formula>
    </cfRule>
  </conditionalFormatting>
  <conditionalFormatting sqref="C123:D123">
    <cfRule type="containsText" dxfId="7872" priority="10244" operator="containsText" text="SI">
      <formula>NOT(ISERROR(SEARCH("SI",C123)))</formula>
    </cfRule>
    <cfRule type="containsText" dxfId="7871" priority="10245" operator="containsText" text="NO">
      <formula>NOT(ISERROR(SEARCH("NO",C123)))</formula>
    </cfRule>
  </conditionalFormatting>
  <conditionalFormatting sqref="C123:D123">
    <cfRule type="containsText" dxfId="7870" priority="10243" operator="containsText" text="NUEVO">
      <formula>NOT(ISERROR(SEARCH("NUEVO",C123)))</formula>
    </cfRule>
  </conditionalFormatting>
  <conditionalFormatting sqref="E123">
    <cfRule type="containsText" dxfId="7869" priority="10242" operator="containsText" text="Sin información">
      <formula>NOT(ISERROR(SEARCH("Sin información",E123)))</formula>
    </cfRule>
  </conditionalFormatting>
  <conditionalFormatting sqref="E123">
    <cfRule type="containsText" dxfId="7868" priority="10241" operator="containsText" text="NUEVO">
      <formula>NOT(ISERROR(SEARCH("NUEVO",E123)))</formula>
    </cfRule>
  </conditionalFormatting>
  <conditionalFormatting sqref="C124:D124">
    <cfRule type="containsText" dxfId="7867" priority="10240" operator="containsText" text="NO+$D$4:$D$10">
      <formula>NOT(ISERROR(SEARCH("NO+$D$4:$D$10",C124)))</formula>
    </cfRule>
  </conditionalFormatting>
  <conditionalFormatting sqref="C124:D124">
    <cfRule type="containsText" dxfId="7866" priority="10238" operator="containsText" text="SI">
      <formula>NOT(ISERROR(SEARCH("SI",C124)))</formula>
    </cfRule>
    <cfRule type="containsText" dxfId="7865" priority="10239" operator="containsText" text="NO">
      <formula>NOT(ISERROR(SEARCH("NO",C124)))</formula>
    </cfRule>
  </conditionalFormatting>
  <conditionalFormatting sqref="E124">
    <cfRule type="containsText" dxfId="7864" priority="10237" operator="containsText" text="Sin información">
      <formula>NOT(ISERROR(SEARCH("Sin información",E124)))</formula>
    </cfRule>
  </conditionalFormatting>
  <conditionalFormatting sqref="C124:E124">
    <cfRule type="containsText" dxfId="7863" priority="10236" operator="containsText" text="NUEVO">
      <formula>NOT(ISERROR(SEARCH("NUEVO",C124)))</formula>
    </cfRule>
  </conditionalFormatting>
  <conditionalFormatting sqref="E124">
    <cfRule type="containsText" dxfId="7862" priority="10235" operator="containsText" text="Sin Información">
      <formula>NOT(ISERROR(SEARCH("Sin Información",E124)))</formula>
    </cfRule>
  </conditionalFormatting>
  <conditionalFormatting sqref="C105:D105">
    <cfRule type="containsText" dxfId="7861" priority="10229" operator="containsText" text="NO+$D$4:$D$10">
      <formula>NOT(ISERROR(SEARCH("NO+$D$4:$D$10",C105)))</formula>
    </cfRule>
  </conditionalFormatting>
  <conditionalFormatting sqref="C105:D105">
    <cfRule type="containsText" dxfId="7860" priority="10227" operator="containsText" text="SI">
      <formula>NOT(ISERROR(SEARCH("SI",C105)))</formula>
    </cfRule>
    <cfRule type="containsText" dxfId="7859" priority="10228" operator="containsText" text="NO">
      <formula>NOT(ISERROR(SEARCH("NO",C105)))</formula>
    </cfRule>
  </conditionalFormatting>
  <conditionalFormatting sqref="C105:D105">
    <cfRule type="containsText" dxfId="7858" priority="10226" operator="containsText" text="NUEVO">
      <formula>NOT(ISERROR(SEARCH("NUEVO",C105)))</formula>
    </cfRule>
  </conditionalFormatting>
  <conditionalFormatting sqref="E105">
    <cfRule type="containsText" dxfId="7857" priority="10225" operator="containsText" text="Sin información">
      <formula>NOT(ISERROR(SEARCH("Sin información",E105)))</formula>
    </cfRule>
  </conditionalFormatting>
  <conditionalFormatting sqref="E105">
    <cfRule type="containsText" dxfId="7856" priority="10224" operator="containsText" text="NUEVO">
      <formula>NOT(ISERROR(SEARCH("NUEVO",E105)))</formula>
    </cfRule>
  </conditionalFormatting>
  <conditionalFormatting sqref="E125">
    <cfRule type="containsText" dxfId="7855" priority="10219" operator="containsText" text="Sin información">
      <formula>NOT(ISERROR(SEARCH("Sin información",E125)))</formula>
    </cfRule>
  </conditionalFormatting>
  <conditionalFormatting sqref="E125">
    <cfRule type="containsText" dxfId="7854" priority="10218" operator="containsText" text="NUEVO">
      <formula>NOT(ISERROR(SEARCH("NUEVO",E125)))</formula>
    </cfRule>
  </conditionalFormatting>
  <conditionalFormatting sqref="E125">
    <cfRule type="containsText" dxfId="7853" priority="10217" operator="containsText" text="Sin Información">
      <formula>NOT(ISERROR(SEARCH("Sin Información",E125)))</formula>
    </cfRule>
  </conditionalFormatting>
  <conditionalFormatting sqref="E126">
    <cfRule type="containsText" dxfId="7852" priority="10216" operator="containsText" text="Sin información">
      <formula>NOT(ISERROR(SEARCH("Sin información",E126)))</formula>
    </cfRule>
  </conditionalFormatting>
  <conditionalFormatting sqref="E126">
    <cfRule type="containsText" dxfId="7851" priority="10215" operator="containsText" text="NUEVO">
      <formula>NOT(ISERROR(SEARCH("NUEVO",E126)))</formula>
    </cfRule>
  </conditionalFormatting>
  <conditionalFormatting sqref="E126">
    <cfRule type="containsText" dxfId="7850" priority="10214" operator="containsText" text="Sin Información">
      <formula>NOT(ISERROR(SEARCH("Sin Información",E126)))</formula>
    </cfRule>
  </conditionalFormatting>
  <conditionalFormatting sqref="C128:D134">
    <cfRule type="containsText" dxfId="7849" priority="10210" operator="containsText" text="NO+$D$4:$D$10">
      <formula>NOT(ISERROR(SEARCH("NO+$D$4:$D$10",C128)))</formula>
    </cfRule>
  </conditionalFormatting>
  <conditionalFormatting sqref="C128:D134">
    <cfRule type="containsText" dxfId="7848" priority="10208" operator="containsText" text="SI">
      <formula>NOT(ISERROR(SEARCH("SI",C128)))</formula>
    </cfRule>
    <cfRule type="containsText" dxfId="7847" priority="10209" operator="containsText" text="NO">
      <formula>NOT(ISERROR(SEARCH("NO",C128)))</formula>
    </cfRule>
  </conditionalFormatting>
  <conditionalFormatting sqref="C128:D134">
    <cfRule type="containsText" dxfId="7846" priority="10207" operator="containsText" text="NUEVO">
      <formula>NOT(ISERROR(SEARCH("NUEVO",C128)))</formula>
    </cfRule>
  </conditionalFormatting>
  <conditionalFormatting sqref="E128:E134">
    <cfRule type="containsText" dxfId="7845" priority="10206" operator="containsText" text="Sin información">
      <formula>NOT(ISERROR(SEARCH("Sin información",E128)))</formula>
    </cfRule>
  </conditionalFormatting>
  <conditionalFormatting sqref="E128:E134">
    <cfRule type="containsText" dxfId="7844" priority="10205" operator="containsText" text="NUEVO">
      <formula>NOT(ISERROR(SEARCH("NUEVO",E128)))</formula>
    </cfRule>
  </conditionalFormatting>
  <conditionalFormatting sqref="E128:E134">
    <cfRule type="containsText" dxfId="7843" priority="10204" operator="containsText" text="Sin Información">
      <formula>NOT(ISERROR(SEARCH("Sin Información",E128)))</formula>
    </cfRule>
  </conditionalFormatting>
  <conditionalFormatting sqref="C135:D136">
    <cfRule type="containsText" dxfId="7842" priority="10203" operator="containsText" text="NO+$D$4:$D$10">
      <formula>NOT(ISERROR(SEARCH("NO+$D$4:$D$10",C135)))</formula>
    </cfRule>
  </conditionalFormatting>
  <conditionalFormatting sqref="C135:D136">
    <cfRule type="containsText" dxfId="7841" priority="10201" operator="containsText" text="SI">
      <formula>NOT(ISERROR(SEARCH("SI",C135)))</formula>
    </cfRule>
    <cfRule type="containsText" dxfId="7840" priority="10202" operator="containsText" text="NO">
      <formula>NOT(ISERROR(SEARCH("NO",C135)))</formula>
    </cfRule>
  </conditionalFormatting>
  <conditionalFormatting sqref="C135:D136">
    <cfRule type="containsText" dxfId="7839" priority="10200" operator="containsText" text="NUEVO">
      <formula>NOT(ISERROR(SEARCH("NUEVO",C135)))</formula>
    </cfRule>
  </conditionalFormatting>
  <conditionalFormatting sqref="E135:E136">
    <cfRule type="containsText" dxfId="7838" priority="10199" operator="containsText" text="Sin información">
      <formula>NOT(ISERROR(SEARCH("Sin información",E135)))</formula>
    </cfRule>
  </conditionalFormatting>
  <conditionalFormatting sqref="E135:E136">
    <cfRule type="containsText" dxfId="7837" priority="10198" operator="containsText" text="NUEVO">
      <formula>NOT(ISERROR(SEARCH("NUEVO",E135)))</formula>
    </cfRule>
  </conditionalFormatting>
  <conditionalFormatting sqref="E135:E136">
    <cfRule type="containsText" dxfId="7836" priority="10197" operator="containsText" text="Sin Información">
      <formula>NOT(ISERROR(SEARCH("Sin Información",E135)))</formula>
    </cfRule>
  </conditionalFormatting>
  <conditionalFormatting sqref="C137:D138">
    <cfRule type="containsText" dxfId="7835" priority="10189" operator="containsText" text="NO+$D$4:$D$10">
      <formula>NOT(ISERROR(SEARCH("NO+$D$4:$D$10",C137)))</formula>
    </cfRule>
  </conditionalFormatting>
  <conditionalFormatting sqref="C137:D138">
    <cfRule type="containsText" dxfId="7834" priority="10187" operator="containsText" text="SI">
      <formula>NOT(ISERROR(SEARCH("SI",C137)))</formula>
    </cfRule>
    <cfRule type="containsText" dxfId="7833" priority="10188" operator="containsText" text="NO">
      <formula>NOT(ISERROR(SEARCH("NO",C137)))</formula>
    </cfRule>
  </conditionalFormatting>
  <conditionalFormatting sqref="C137:D138">
    <cfRule type="containsText" dxfId="7832" priority="10186" operator="containsText" text="NUEVO">
      <formula>NOT(ISERROR(SEARCH("NUEVO",C137)))</formula>
    </cfRule>
  </conditionalFormatting>
  <conditionalFormatting sqref="E137:E138">
    <cfRule type="containsText" dxfId="7831" priority="10185" operator="containsText" text="Sin información">
      <formula>NOT(ISERROR(SEARCH("Sin información",E137)))</formula>
    </cfRule>
  </conditionalFormatting>
  <conditionalFormatting sqref="E137:E138">
    <cfRule type="containsText" dxfId="7830" priority="10184" operator="containsText" text="NUEVO">
      <formula>NOT(ISERROR(SEARCH("NUEVO",E137)))</formula>
    </cfRule>
  </conditionalFormatting>
  <conditionalFormatting sqref="E137:E138">
    <cfRule type="containsText" dxfId="7829" priority="10183" operator="containsText" text="Sin Información">
      <formula>NOT(ISERROR(SEARCH("Sin Información",E137)))</formula>
    </cfRule>
  </conditionalFormatting>
  <conditionalFormatting sqref="C139:D140">
    <cfRule type="containsText" dxfId="7828" priority="10182" operator="containsText" text="NO+$D$4:$D$10">
      <formula>NOT(ISERROR(SEARCH("NO+$D$4:$D$10",C139)))</formula>
    </cfRule>
  </conditionalFormatting>
  <conditionalFormatting sqref="C139:D140">
    <cfRule type="containsText" dxfId="7827" priority="10180" operator="containsText" text="SI">
      <formula>NOT(ISERROR(SEARCH("SI",C139)))</formula>
    </cfRule>
    <cfRule type="containsText" dxfId="7826" priority="10181" operator="containsText" text="NO">
      <formula>NOT(ISERROR(SEARCH("NO",C139)))</formula>
    </cfRule>
  </conditionalFormatting>
  <conditionalFormatting sqref="C139:D140">
    <cfRule type="containsText" dxfId="7825" priority="10179" operator="containsText" text="NUEVO">
      <formula>NOT(ISERROR(SEARCH("NUEVO",C139)))</formula>
    </cfRule>
  </conditionalFormatting>
  <conditionalFormatting sqref="E140">
    <cfRule type="containsText" dxfId="7824" priority="10178" operator="containsText" text="Sin información">
      <formula>NOT(ISERROR(SEARCH("Sin información",E140)))</formula>
    </cfRule>
  </conditionalFormatting>
  <conditionalFormatting sqref="E140">
    <cfRule type="containsText" dxfId="7823" priority="10177" operator="containsText" text="NUEVO">
      <formula>NOT(ISERROR(SEARCH("NUEVO",E140)))</formula>
    </cfRule>
  </conditionalFormatting>
  <conditionalFormatting sqref="E140">
    <cfRule type="containsText" dxfId="7822" priority="10176" operator="containsText" text="Sin Información">
      <formula>NOT(ISERROR(SEARCH("Sin Información",E140)))</formula>
    </cfRule>
  </conditionalFormatting>
  <conditionalFormatting sqref="E139">
    <cfRule type="containsText" dxfId="7821" priority="10175" operator="containsText" text="Sin información">
      <formula>NOT(ISERROR(SEARCH("Sin información",E139)))</formula>
    </cfRule>
  </conditionalFormatting>
  <conditionalFormatting sqref="E139">
    <cfRule type="containsText" dxfId="7820" priority="10174" operator="containsText" text="NUEVO">
      <formula>NOT(ISERROR(SEARCH("NUEVO",E139)))</formula>
    </cfRule>
  </conditionalFormatting>
  <conditionalFormatting sqref="E139">
    <cfRule type="containsText" dxfId="7819" priority="10173" operator="containsText" text="Sin Información">
      <formula>NOT(ISERROR(SEARCH("Sin Información",E139)))</formula>
    </cfRule>
  </conditionalFormatting>
  <conditionalFormatting sqref="C142:D142">
    <cfRule type="containsText" dxfId="7818" priority="10172" operator="containsText" text="NO+$D$4:$D$10">
      <formula>NOT(ISERROR(SEARCH("NO+$D$4:$D$10",C142)))</formula>
    </cfRule>
  </conditionalFormatting>
  <conditionalFormatting sqref="C142:D142">
    <cfRule type="containsText" dxfId="7817" priority="10170" operator="containsText" text="SI">
      <formula>NOT(ISERROR(SEARCH("SI",C142)))</formula>
    </cfRule>
    <cfRule type="containsText" dxfId="7816" priority="10171" operator="containsText" text="NO">
      <formula>NOT(ISERROR(SEARCH("NO",C142)))</formula>
    </cfRule>
  </conditionalFormatting>
  <conditionalFormatting sqref="C142:D142">
    <cfRule type="containsText" dxfId="7815" priority="10169" operator="containsText" text="NUEVO">
      <formula>NOT(ISERROR(SEARCH("NUEVO",C142)))</formula>
    </cfRule>
  </conditionalFormatting>
  <conditionalFormatting sqref="E142">
    <cfRule type="containsText" dxfId="7814" priority="10168" operator="containsText" text="Sin información">
      <formula>NOT(ISERROR(SEARCH("Sin información",E142)))</formula>
    </cfRule>
  </conditionalFormatting>
  <conditionalFormatting sqref="E142">
    <cfRule type="containsText" dxfId="7813" priority="10167" operator="containsText" text="NUEVO">
      <formula>NOT(ISERROR(SEARCH("NUEVO",E142)))</formula>
    </cfRule>
  </conditionalFormatting>
  <conditionalFormatting sqref="E142">
    <cfRule type="containsText" dxfId="7812" priority="10166" operator="containsText" text="Sin Información">
      <formula>NOT(ISERROR(SEARCH("Sin Información",E142)))</formula>
    </cfRule>
  </conditionalFormatting>
  <conditionalFormatting sqref="C144:D147">
    <cfRule type="containsText" dxfId="7811" priority="10165" operator="containsText" text="NO+$D$4:$D$10">
      <formula>NOT(ISERROR(SEARCH("NO+$D$4:$D$10",C144)))</formula>
    </cfRule>
  </conditionalFormatting>
  <conditionalFormatting sqref="C144:D147">
    <cfRule type="containsText" dxfId="7810" priority="10163" operator="containsText" text="SI">
      <formula>NOT(ISERROR(SEARCH("SI",C144)))</formula>
    </cfRule>
    <cfRule type="containsText" dxfId="7809" priority="10164" operator="containsText" text="NO">
      <formula>NOT(ISERROR(SEARCH("NO",C144)))</formula>
    </cfRule>
  </conditionalFormatting>
  <conditionalFormatting sqref="C144:D147">
    <cfRule type="containsText" dxfId="7808" priority="10162" operator="containsText" text="NUEVO">
      <formula>NOT(ISERROR(SEARCH("NUEVO",C144)))</formula>
    </cfRule>
  </conditionalFormatting>
  <conditionalFormatting sqref="E144:E147">
    <cfRule type="containsText" dxfId="7807" priority="10160" operator="containsText" text="NUEVO">
      <formula>NOT(ISERROR(SEARCH("NUEVO",E144)))</formula>
    </cfRule>
  </conditionalFormatting>
  <conditionalFormatting sqref="E144:E147">
    <cfRule type="containsText" dxfId="7806" priority="10161" operator="containsText" text="Sin información">
      <formula>NOT(ISERROR(SEARCH("Sin información",E144)))</formula>
    </cfRule>
  </conditionalFormatting>
  <conditionalFormatting sqref="E144:E147">
    <cfRule type="containsText" dxfId="7805" priority="10159" operator="containsText" text="Sin Información">
      <formula>NOT(ISERROR(SEARCH("Sin Información",E144)))</formula>
    </cfRule>
  </conditionalFormatting>
  <conditionalFormatting sqref="C31:D31">
    <cfRule type="containsText" dxfId="7804" priority="10158" operator="containsText" text="NO+$D$4:$D$10">
      <formula>NOT(ISERROR(SEARCH("NO+$D$4:$D$10",C31)))</formula>
    </cfRule>
  </conditionalFormatting>
  <conditionalFormatting sqref="C31:D31">
    <cfRule type="containsText" dxfId="7803" priority="10156" operator="containsText" text="SI">
      <formula>NOT(ISERROR(SEARCH("SI",C31)))</formula>
    </cfRule>
    <cfRule type="containsText" dxfId="7802" priority="10157" operator="containsText" text="NO">
      <formula>NOT(ISERROR(SEARCH("NO",C31)))</formula>
    </cfRule>
  </conditionalFormatting>
  <conditionalFormatting sqref="C31:D31">
    <cfRule type="containsText" dxfId="7801" priority="10155" operator="containsText" text="NUEVO">
      <formula>NOT(ISERROR(SEARCH("NUEVO",C31)))</formula>
    </cfRule>
  </conditionalFormatting>
  <conditionalFormatting sqref="E31">
    <cfRule type="containsText" dxfId="7800" priority="10154" operator="containsText" text="Sin información">
      <formula>NOT(ISERROR(SEARCH("Sin información",E31)))</formula>
    </cfRule>
  </conditionalFormatting>
  <conditionalFormatting sqref="E31">
    <cfRule type="containsText" dxfId="7799" priority="10153" operator="containsText" text="NUEVO">
      <formula>NOT(ISERROR(SEARCH("NUEVO",E31)))</formula>
    </cfRule>
  </conditionalFormatting>
  <conditionalFormatting sqref="E31">
    <cfRule type="containsText" dxfId="7798" priority="10152" operator="containsText" text="Sin Información">
      <formula>NOT(ISERROR(SEARCH("Sin Información",E31)))</formula>
    </cfRule>
  </conditionalFormatting>
  <conditionalFormatting sqref="C127:D127">
    <cfRule type="containsText" dxfId="7797" priority="10151" operator="containsText" text="NO+$D$4:$D$10">
      <formula>NOT(ISERROR(SEARCH("NO+$D$4:$D$10",C127)))</formula>
    </cfRule>
  </conditionalFormatting>
  <conditionalFormatting sqref="C127:D127">
    <cfRule type="containsText" dxfId="7796" priority="10149" operator="containsText" text="SI">
      <formula>NOT(ISERROR(SEARCH("SI",C127)))</formula>
    </cfRule>
    <cfRule type="containsText" dxfId="7795" priority="10150" operator="containsText" text="NO">
      <formula>NOT(ISERROR(SEARCH("NO",C127)))</formula>
    </cfRule>
  </conditionalFormatting>
  <conditionalFormatting sqref="C127:D127">
    <cfRule type="containsText" dxfId="7794" priority="10148" operator="containsText" text="NUEVO">
      <formula>NOT(ISERROR(SEARCH("NUEVO",C127)))</formula>
    </cfRule>
  </conditionalFormatting>
  <conditionalFormatting sqref="E127">
    <cfRule type="containsText" dxfId="7793" priority="10147" operator="containsText" text="Sin información">
      <formula>NOT(ISERROR(SEARCH("Sin información",E127)))</formula>
    </cfRule>
  </conditionalFormatting>
  <conditionalFormatting sqref="E127">
    <cfRule type="containsText" dxfId="7792" priority="10146" operator="containsText" text="NUEVO">
      <formula>NOT(ISERROR(SEARCH("NUEVO",E127)))</formula>
    </cfRule>
  </conditionalFormatting>
  <conditionalFormatting sqref="E127">
    <cfRule type="containsText" dxfId="7791" priority="10145" operator="containsText" text="Sin Información">
      <formula>NOT(ISERROR(SEARCH("Sin Información",E127)))</formula>
    </cfRule>
  </conditionalFormatting>
  <conditionalFormatting sqref="C141:D141">
    <cfRule type="containsText" dxfId="7790" priority="10144" operator="containsText" text="NO+$D$4:$D$10">
      <formula>NOT(ISERROR(SEARCH("NO+$D$4:$D$10",C141)))</formula>
    </cfRule>
  </conditionalFormatting>
  <conditionalFormatting sqref="C141:D141">
    <cfRule type="containsText" dxfId="7789" priority="10142" operator="containsText" text="SI">
      <formula>NOT(ISERROR(SEARCH("SI",C141)))</formula>
    </cfRule>
    <cfRule type="containsText" dxfId="7788" priority="10143" operator="containsText" text="NO">
      <formula>NOT(ISERROR(SEARCH("NO",C141)))</formula>
    </cfRule>
  </conditionalFormatting>
  <conditionalFormatting sqref="C141:D141">
    <cfRule type="containsText" dxfId="7787" priority="10141" operator="containsText" text="NUEVO">
      <formula>NOT(ISERROR(SEARCH("NUEVO",C141)))</formula>
    </cfRule>
  </conditionalFormatting>
  <conditionalFormatting sqref="E141">
    <cfRule type="containsText" dxfId="7786" priority="10140" operator="containsText" text="Sin información">
      <formula>NOT(ISERROR(SEARCH("Sin información",E141)))</formula>
    </cfRule>
  </conditionalFormatting>
  <conditionalFormatting sqref="E141">
    <cfRule type="containsText" dxfId="7785" priority="10139" operator="containsText" text="NUEVO">
      <formula>NOT(ISERROR(SEARCH("NUEVO",E141)))</formula>
    </cfRule>
  </conditionalFormatting>
  <conditionalFormatting sqref="E141">
    <cfRule type="containsText" dxfId="7784" priority="10138" operator="containsText" text="Sin Información">
      <formula>NOT(ISERROR(SEARCH("Sin Información",E141)))</formula>
    </cfRule>
  </conditionalFormatting>
  <conditionalFormatting sqref="C143:D143">
    <cfRule type="containsText" dxfId="7783" priority="10137" operator="containsText" text="NO+$D$4:$D$10">
      <formula>NOT(ISERROR(SEARCH("NO+$D$4:$D$10",C143)))</formula>
    </cfRule>
  </conditionalFormatting>
  <conditionalFormatting sqref="C143:D143">
    <cfRule type="containsText" dxfId="7782" priority="10135" operator="containsText" text="SI">
      <formula>NOT(ISERROR(SEARCH("SI",C143)))</formula>
    </cfRule>
    <cfRule type="containsText" dxfId="7781" priority="10136" operator="containsText" text="NO">
      <formula>NOT(ISERROR(SEARCH("NO",C143)))</formula>
    </cfRule>
  </conditionalFormatting>
  <conditionalFormatting sqref="C143:D143">
    <cfRule type="containsText" dxfId="7780" priority="10134" operator="containsText" text="NUEVO">
      <formula>NOT(ISERROR(SEARCH("NUEVO",C143)))</formula>
    </cfRule>
  </conditionalFormatting>
  <conditionalFormatting sqref="E143">
    <cfRule type="containsText" dxfId="7779" priority="10132" operator="containsText" text="NUEVO">
      <formula>NOT(ISERROR(SEARCH("NUEVO",E143)))</formula>
    </cfRule>
  </conditionalFormatting>
  <conditionalFormatting sqref="E143">
    <cfRule type="containsText" dxfId="7778" priority="10133" operator="containsText" text="Sin información">
      <formula>NOT(ISERROR(SEARCH("Sin información",E143)))</formula>
    </cfRule>
  </conditionalFormatting>
  <conditionalFormatting sqref="E143">
    <cfRule type="containsText" dxfId="7777" priority="10131" operator="containsText" text="Sin Información">
      <formula>NOT(ISERROR(SEARCH("Sin Información",E143)))</formula>
    </cfRule>
  </conditionalFormatting>
  <conditionalFormatting sqref="C204:D204">
    <cfRule type="containsText" dxfId="7776" priority="10130" operator="containsText" text="NO+$D$4:$D$10">
      <formula>NOT(ISERROR(SEARCH("NO+$D$4:$D$10",C204)))</formula>
    </cfRule>
  </conditionalFormatting>
  <conditionalFormatting sqref="C204:D204">
    <cfRule type="containsText" dxfId="7775" priority="10128" operator="containsText" text="SI">
      <formula>NOT(ISERROR(SEARCH("SI",C204)))</formula>
    </cfRule>
    <cfRule type="containsText" dxfId="7774" priority="10129" operator="containsText" text="NO">
      <formula>NOT(ISERROR(SEARCH("NO",C204)))</formula>
    </cfRule>
  </conditionalFormatting>
  <conditionalFormatting sqref="C204:D204">
    <cfRule type="containsText" dxfId="7773" priority="10127" operator="containsText" text="NUEVO">
      <formula>NOT(ISERROR(SEARCH("NUEVO",C204)))</formula>
    </cfRule>
  </conditionalFormatting>
  <conditionalFormatting sqref="E204">
    <cfRule type="containsText" dxfId="7772" priority="10126" operator="containsText" text="NUEVO">
      <formula>NOT(ISERROR(SEARCH("NUEVO",E204)))</formula>
    </cfRule>
  </conditionalFormatting>
  <conditionalFormatting sqref="E204">
    <cfRule type="containsText" dxfId="7771" priority="10125" operator="containsText" text="Sin Información">
      <formula>NOT(ISERROR(SEARCH("Sin Información",E204)))</formula>
    </cfRule>
  </conditionalFormatting>
  <conditionalFormatting sqref="C205:D205">
    <cfRule type="containsText" dxfId="7770" priority="10002" operator="containsText" text="NO+$D$4:$D$10">
      <formula>NOT(ISERROR(SEARCH("NO+$D$4:$D$10",C205)))</formula>
    </cfRule>
  </conditionalFormatting>
  <conditionalFormatting sqref="C205:D205">
    <cfRule type="containsText" dxfId="7769" priority="10000" operator="containsText" text="SI">
      <formula>NOT(ISERROR(SEARCH("SI",C205)))</formula>
    </cfRule>
    <cfRule type="containsText" dxfId="7768" priority="10001" operator="containsText" text="NO">
      <formula>NOT(ISERROR(SEARCH("NO",C205)))</formula>
    </cfRule>
  </conditionalFormatting>
  <conditionalFormatting sqref="C205:E205">
    <cfRule type="containsText" dxfId="7767" priority="9999" operator="containsText" text="NUEVO">
      <formula>NOT(ISERROR(SEARCH("NUEVO",C205)))</formula>
    </cfRule>
  </conditionalFormatting>
  <conditionalFormatting sqref="E205">
    <cfRule type="containsText" dxfId="7766" priority="9998" operator="containsText" text="Sin Información">
      <formula>NOT(ISERROR(SEARCH("Sin Información",E205)))</formula>
    </cfRule>
  </conditionalFormatting>
  <conditionalFormatting sqref="C237:D237">
    <cfRule type="containsText" dxfId="7765" priority="9958" operator="containsText" text="NO+$D$4:$D$10">
      <formula>NOT(ISERROR(SEARCH("NO+$D$4:$D$10",C237)))</formula>
    </cfRule>
  </conditionalFormatting>
  <conditionalFormatting sqref="C237:D237">
    <cfRule type="containsText" dxfId="7764" priority="9956" operator="containsText" text="SI">
      <formula>NOT(ISERROR(SEARCH("SI",C237)))</formula>
    </cfRule>
    <cfRule type="containsText" dxfId="7763" priority="9957" operator="containsText" text="NO">
      <formula>NOT(ISERROR(SEARCH("NO",C237)))</formula>
    </cfRule>
  </conditionalFormatting>
  <conditionalFormatting sqref="C237:D237">
    <cfRule type="containsText" dxfId="7762" priority="9955" operator="containsText" text="NUEVO">
      <formula>NOT(ISERROR(SEARCH("NUEVO",C237)))</formula>
    </cfRule>
  </conditionalFormatting>
  <conditionalFormatting sqref="E237">
    <cfRule type="containsText" dxfId="7761" priority="9953" operator="containsText" text="Sin Información">
      <formula>NOT(ISERROR(SEARCH("Sin Información",E237)))</formula>
    </cfRule>
  </conditionalFormatting>
  <conditionalFormatting sqref="E237">
    <cfRule type="containsText" dxfId="7760" priority="9954" operator="containsText" text="NUEVO">
      <formula>NOT(ISERROR(SEARCH("NUEVO",E237)))</formula>
    </cfRule>
  </conditionalFormatting>
  <conditionalFormatting sqref="C238:D238">
    <cfRule type="containsText" dxfId="7759" priority="9952" operator="containsText" text="NO+$D$4:$D$10">
      <formula>NOT(ISERROR(SEARCH("NO+$D$4:$D$10",C238)))</formula>
    </cfRule>
  </conditionalFormatting>
  <conditionalFormatting sqref="C238:D238">
    <cfRule type="containsText" dxfId="7758" priority="9950" operator="containsText" text="SI">
      <formula>NOT(ISERROR(SEARCH("SI",C238)))</formula>
    </cfRule>
    <cfRule type="containsText" dxfId="7757" priority="9951" operator="containsText" text="NO">
      <formula>NOT(ISERROR(SEARCH("NO",C238)))</formula>
    </cfRule>
  </conditionalFormatting>
  <conditionalFormatting sqref="C238:D238">
    <cfRule type="containsText" dxfId="7756" priority="9949" operator="containsText" text="NUEVO">
      <formula>NOT(ISERROR(SEARCH("NUEVO",C238)))</formula>
    </cfRule>
  </conditionalFormatting>
  <conditionalFormatting sqref="E238">
    <cfRule type="containsText" dxfId="7755" priority="9947" operator="containsText" text="Sin Información">
      <formula>NOT(ISERROR(SEARCH("Sin Información",E238)))</formula>
    </cfRule>
  </conditionalFormatting>
  <conditionalFormatting sqref="E238">
    <cfRule type="containsText" dxfId="7754" priority="9948" operator="containsText" text="NUEVO">
      <formula>NOT(ISERROR(SEARCH("NUEVO",E238)))</formula>
    </cfRule>
  </conditionalFormatting>
  <conditionalFormatting sqref="C239:D239">
    <cfRule type="containsText" dxfId="7753" priority="9946" operator="containsText" text="NO+$D$4:$D$10">
      <formula>NOT(ISERROR(SEARCH("NO+$D$4:$D$10",C239)))</formula>
    </cfRule>
  </conditionalFormatting>
  <conditionalFormatting sqref="C239:D239">
    <cfRule type="containsText" dxfId="7752" priority="9944" operator="containsText" text="SI">
      <formula>NOT(ISERROR(SEARCH("SI",C239)))</formula>
    </cfRule>
    <cfRule type="containsText" dxfId="7751" priority="9945" operator="containsText" text="NO">
      <formula>NOT(ISERROR(SEARCH("NO",C239)))</formula>
    </cfRule>
  </conditionalFormatting>
  <conditionalFormatting sqref="C239:D239">
    <cfRule type="containsText" dxfId="7750" priority="9943" operator="containsText" text="NUEVO">
      <formula>NOT(ISERROR(SEARCH("NUEVO",C239)))</formula>
    </cfRule>
  </conditionalFormatting>
  <conditionalFormatting sqref="E239">
    <cfRule type="containsText" dxfId="7749" priority="9941" operator="containsText" text="Sin Información">
      <formula>NOT(ISERROR(SEARCH("Sin Información",E239)))</formula>
    </cfRule>
  </conditionalFormatting>
  <conditionalFormatting sqref="E239">
    <cfRule type="containsText" dxfId="7748" priority="9942" operator="containsText" text="NUEVO">
      <formula>NOT(ISERROR(SEARCH("NUEVO",E239)))</formula>
    </cfRule>
  </conditionalFormatting>
  <conditionalFormatting sqref="E240">
    <cfRule type="containsText" dxfId="7747" priority="9934" operator="containsText" text="NUEVO">
      <formula>NOT(ISERROR(SEARCH("NUEVO",E240)))</formula>
    </cfRule>
  </conditionalFormatting>
  <conditionalFormatting sqref="E240">
    <cfRule type="containsText" dxfId="7746" priority="9933" operator="containsText" text="Sin Información">
      <formula>NOT(ISERROR(SEARCH("Sin Información",E240)))</formula>
    </cfRule>
  </conditionalFormatting>
  <conditionalFormatting sqref="C241:D241">
    <cfRule type="containsText" dxfId="7745" priority="9927" operator="containsText" text="NO+$D$4:$D$10">
      <formula>NOT(ISERROR(SEARCH("NO+$D$4:$D$10",C241)))</formula>
    </cfRule>
  </conditionalFormatting>
  <conditionalFormatting sqref="C241:D241">
    <cfRule type="containsText" dxfId="7744" priority="9925" operator="containsText" text="SI">
      <formula>NOT(ISERROR(SEARCH("SI",C241)))</formula>
    </cfRule>
    <cfRule type="containsText" dxfId="7743" priority="9926" operator="containsText" text="NO">
      <formula>NOT(ISERROR(SEARCH("NO",C241)))</formula>
    </cfRule>
  </conditionalFormatting>
  <conditionalFormatting sqref="C241:D241">
    <cfRule type="containsText" dxfId="7742" priority="9924" operator="containsText" text="NUEVO">
      <formula>NOT(ISERROR(SEARCH("NUEVO",C241)))</formula>
    </cfRule>
  </conditionalFormatting>
  <conditionalFormatting sqref="E241">
    <cfRule type="containsText" dxfId="7741" priority="9923" operator="containsText" text="NUEVO">
      <formula>NOT(ISERROR(SEARCH("NUEVO",E241)))</formula>
    </cfRule>
  </conditionalFormatting>
  <conditionalFormatting sqref="E241">
    <cfRule type="containsText" dxfId="7740" priority="9922" operator="containsText" text="Sin Información">
      <formula>NOT(ISERROR(SEARCH("Sin Información",E241)))</formula>
    </cfRule>
  </conditionalFormatting>
  <conditionalFormatting sqref="C242:D242">
    <cfRule type="containsText" dxfId="7739" priority="9907" operator="containsText" text="NO+$D$4:$D$10">
      <formula>NOT(ISERROR(SEARCH("NO+$D$4:$D$10",C242)))</formula>
    </cfRule>
  </conditionalFormatting>
  <conditionalFormatting sqref="C242:D242">
    <cfRule type="containsText" dxfId="7738" priority="9905" operator="containsText" text="SI">
      <formula>NOT(ISERROR(SEARCH("SI",C242)))</formula>
    </cfRule>
    <cfRule type="containsText" dxfId="7737" priority="9906" operator="containsText" text="NO">
      <formula>NOT(ISERROR(SEARCH("NO",C242)))</formula>
    </cfRule>
  </conditionalFormatting>
  <conditionalFormatting sqref="C242:D242">
    <cfRule type="containsText" dxfId="7736" priority="9904" operator="containsText" text="NUEVO">
      <formula>NOT(ISERROR(SEARCH("NUEVO",C242)))</formula>
    </cfRule>
  </conditionalFormatting>
  <conditionalFormatting sqref="C243:D243">
    <cfRule type="containsText" dxfId="7735" priority="9897" operator="containsText" text="NO+$D$4:$D$10">
      <formula>NOT(ISERROR(SEARCH("NO+$D$4:$D$10",C243)))</formula>
    </cfRule>
  </conditionalFormatting>
  <conditionalFormatting sqref="C243:D243">
    <cfRule type="containsText" dxfId="7734" priority="9895" operator="containsText" text="SI">
      <formula>NOT(ISERROR(SEARCH("SI",C243)))</formula>
    </cfRule>
    <cfRule type="containsText" dxfId="7733" priority="9896" operator="containsText" text="NO">
      <formula>NOT(ISERROR(SEARCH("NO",C243)))</formula>
    </cfRule>
  </conditionalFormatting>
  <conditionalFormatting sqref="C243:D243">
    <cfRule type="containsText" dxfId="7732" priority="9894" operator="containsText" text="NUEVO">
      <formula>NOT(ISERROR(SEARCH("NUEVO",C243)))</formula>
    </cfRule>
  </conditionalFormatting>
  <conditionalFormatting sqref="E243">
    <cfRule type="containsText" dxfId="7731" priority="9893" operator="containsText" text="NUEVO">
      <formula>NOT(ISERROR(SEARCH("NUEVO",E243)))</formula>
    </cfRule>
  </conditionalFormatting>
  <conditionalFormatting sqref="E243">
    <cfRule type="containsText" dxfId="7730" priority="9892" operator="containsText" text="Sin Información">
      <formula>NOT(ISERROR(SEARCH("Sin Información",E243)))</formula>
    </cfRule>
  </conditionalFormatting>
  <conditionalFormatting sqref="C244:D244">
    <cfRule type="containsText" dxfId="7729" priority="9813" operator="containsText" text="NO+$D$4:$D$10">
      <formula>NOT(ISERROR(SEARCH("NO+$D$4:$D$10",C244)))</formula>
    </cfRule>
  </conditionalFormatting>
  <conditionalFormatting sqref="C244:D244">
    <cfRule type="containsText" dxfId="7728" priority="9811" operator="containsText" text="SI">
      <formula>NOT(ISERROR(SEARCH("SI",C244)))</formula>
    </cfRule>
    <cfRule type="containsText" dxfId="7727" priority="9812" operator="containsText" text="NO">
      <formula>NOT(ISERROR(SEARCH("NO",C244)))</formula>
    </cfRule>
  </conditionalFormatting>
  <conditionalFormatting sqref="C244:D244">
    <cfRule type="containsText" dxfId="7726" priority="9810" operator="containsText" text="NUEVO">
      <formula>NOT(ISERROR(SEARCH("NUEVO",C244)))</formula>
    </cfRule>
  </conditionalFormatting>
  <conditionalFormatting sqref="C245:D245">
    <cfRule type="containsText" dxfId="7725" priority="9806" operator="containsText" text="NO+$D$4:$D$10">
      <formula>NOT(ISERROR(SEARCH("NO+$D$4:$D$10",C245)))</formula>
    </cfRule>
  </conditionalFormatting>
  <conditionalFormatting sqref="C245:D245">
    <cfRule type="containsText" dxfId="7724" priority="9804" operator="containsText" text="SI">
      <formula>NOT(ISERROR(SEARCH("SI",C245)))</formula>
    </cfRule>
    <cfRule type="containsText" dxfId="7723" priority="9805" operator="containsText" text="NO">
      <formula>NOT(ISERROR(SEARCH("NO",C245)))</formula>
    </cfRule>
  </conditionalFormatting>
  <conditionalFormatting sqref="C245:D245">
    <cfRule type="containsText" dxfId="7722" priority="9803" operator="containsText" text="NUEVO">
      <formula>NOT(ISERROR(SEARCH("NUEVO",C245)))</formula>
    </cfRule>
  </conditionalFormatting>
  <conditionalFormatting sqref="E245">
    <cfRule type="containsText" dxfId="7721" priority="9807" operator="containsText" text="NUEVO">
      <formula>NOT(ISERROR(SEARCH("NUEVO",E412)))</formula>
    </cfRule>
  </conditionalFormatting>
  <conditionalFormatting sqref="E245">
    <cfRule type="containsText" dxfId="7720" priority="9808" operator="containsText" text="Sin Información">
      <formula>NOT(ISERROR(SEARCH("Sin Información",E412)))</formula>
    </cfRule>
  </conditionalFormatting>
  <conditionalFormatting sqref="C270:D270 C380:D380 C375:D377 C316:D317 C466:D470 C332:D343">
    <cfRule type="containsText" dxfId="7719" priority="9778" operator="containsText" text="NO+$D$4:$D$10">
      <formula>NOT(ISERROR(SEARCH("NO+$D$4:$D$10",C270)))</formula>
    </cfRule>
  </conditionalFormatting>
  <conditionalFormatting sqref="C270:D270 C380:D380 C375:D377 C316:D317 C466:D470 C332:D343">
    <cfRule type="containsText" dxfId="7718" priority="9776" operator="containsText" text="SI">
      <formula>NOT(ISERROR(SEARCH("SI",C270)))</formula>
    </cfRule>
    <cfRule type="containsText" dxfId="7717" priority="9777" operator="containsText" text="NO">
      <formula>NOT(ISERROR(SEARCH("NO",C270)))</formula>
    </cfRule>
  </conditionalFormatting>
  <conditionalFormatting sqref="C270:E270 E340:E342 E332 C380:D380 C375:E377 C316:E317 E392:E397 C343:E343 C466:D470 E466:E469 E588:E589 C332:D342">
    <cfRule type="containsText" dxfId="7716" priority="9775" operator="containsText" text="NUEVO">
      <formula>NOT(ISERROR(SEARCH("NUEVO",C270)))</formula>
    </cfRule>
  </conditionalFormatting>
  <conditionalFormatting sqref="C247:D247">
    <cfRule type="containsText" dxfId="7715" priority="9774" operator="containsText" text="NO+$D$4:$D$10">
      <formula>NOT(ISERROR(SEARCH("NO+$D$4:$D$10",C247)))</formula>
    </cfRule>
  </conditionalFormatting>
  <conditionalFormatting sqref="C247:D247">
    <cfRule type="containsText" dxfId="7714" priority="9772" operator="containsText" text="SI">
      <formula>NOT(ISERROR(SEARCH("SI",C247)))</formula>
    </cfRule>
    <cfRule type="containsText" dxfId="7713" priority="9773" operator="containsText" text="NO">
      <formula>NOT(ISERROR(SEARCH("NO",C247)))</formula>
    </cfRule>
  </conditionalFormatting>
  <conditionalFormatting sqref="E247">
    <cfRule type="containsText" dxfId="7712" priority="9771" operator="containsText" text="Sin información">
      <formula>NOT(ISERROR(SEARCH("Sin información",E247)))</formula>
    </cfRule>
  </conditionalFormatting>
  <conditionalFormatting sqref="C247:E247">
    <cfRule type="containsText" dxfId="7711" priority="9770" operator="containsText" text="NUEVO">
      <formula>NOT(ISERROR(SEARCH("NUEVO",C247)))</formula>
    </cfRule>
  </conditionalFormatting>
  <conditionalFormatting sqref="E247 E270 E332 E375:E377 E316:E317 E392:E397 E340:E343 E466:E469 E588:E589">
    <cfRule type="containsText" dxfId="7710" priority="9769" operator="containsText" text="Sin Información">
      <formula>NOT(ISERROR(SEARCH("Sin Información",E247)))</formula>
    </cfRule>
  </conditionalFormatting>
  <conditionalFormatting sqref="E247">
    <cfRule type="containsText" dxfId="7709" priority="9768" operator="containsText" text="Sin información">
      <formula>NOT(ISERROR(SEARCH("Sin información",E247)))</formula>
    </cfRule>
  </conditionalFormatting>
  <conditionalFormatting sqref="C249:D249">
    <cfRule type="containsText" dxfId="7708" priority="9767" operator="containsText" text="NO+$D$4:$D$10">
      <formula>NOT(ISERROR(SEARCH("NO+$D$4:$D$10",C249)))</formula>
    </cfRule>
  </conditionalFormatting>
  <conditionalFormatting sqref="C249:D249">
    <cfRule type="containsText" dxfId="7707" priority="9765" operator="containsText" text="SI">
      <formula>NOT(ISERROR(SEARCH("SI",C249)))</formula>
    </cfRule>
    <cfRule type="containsText" dxfId="7706" priority="9766" operator="containsText" text="NO">
      <formula>NOT(ISERROR(SEARCH("NO",C249)))</formula>
    </cfRule>
  </conditionalFormatting>
  <conditionalFormatting sqref="C249:E249">
    <cfRule type="containsText" dxfId="7705" priority="9764" operator="containsText" text="NUEVO">
      <formula>NOT(ISERROR(SEARCH("NUEVO",C249)))</formula>
    </cfRule>
  </conditionalFormatting>
  <conditionalFormatting sqref="E249">
    <cfRule type="containsText" dxfId="7704" priority="9763" operator="containsText" text="Sin Información">
      <formula>NOT(ISERROR(SEARCH("Sin Información",E249)))</formula>
    </cfRule>
  </conditionalFormatting>
  <conditionalFormatting sqref="C250:D253">
    <cfRule type="containsText" dxfId="7703" priority="9762" operator="containsText" text="NO+$D$4:$D$10">
      <formula>NOT(ISERROR(SEARCH("NO+$D$4:$D$10",C250)))</formula>
    </cfRule>
  </conditionalFormatting>
  <conditionalFormatting sqref="C250:D253">
    <cfRule type="containsText" dxfId="7702" priority="9760" operator="containsText" text="SI">
      <formula>NOT(ISERROR(SEARCH("SI",C250)))</formula>
    </cfRule>
    <cfRule type="containsText" dxfId="7701" priority="9761" operator="containsText" text="NO">
      <formula>NOT(ISERROR(SEARCH("NO",C250)))</formula>
    </cfRule>
  </conditionalFormatting>
  <conditionalFormatting sqref="C250:D253">
    <cfRule type="containsText" dxfId="7700" priority="9759" operator="containsText" text="NUEVO">
      <formula>NOT(ISERROR(SEARCH("NUEVO",C250)))</formula>
    </cfRule>
  </conditionalFormatting>
  <conditionalFormatting sqref="E253">
    <cfRule type="containsText" dxfId="7699" priority="9758" operator="containsText" text="NUEVO">
      <formula>NOT(ISERROR(SEARCH("NUEVO",E253)))</formula>
    </cfRule>
  </conditionalFormatting>
  <conditionalFormatting sqref="E253">
    <cfRule type="containsText" dxfId="7698" priority="9757" operator="containsText" text="Sin Información">
      <formula>NOT(ISERROR(SEARCH("Sin Información",E253)))</formula>
    </cfRule>
  </conditionalFormatting>
  <conditionalFormatting sqref="E250:E252">
    <cfRule type="containsText" dxfId="7697" priority="9756" operator="containsText" text="NUEVO">
      <formula>NOT(ISERROR(SEARCH("NUEVO",E250)))</formula>
    </cfRule>
  </conditionalFormatting>
  <conditionalFormatting sqref="E250:E252">
    <cfRule type="containsText" dxfId="7696" priority="9755" operator="containsText" text="Sin Información">
      <formula>NOT(ISERROR(SEARCH("Sin Información",E250)))</formula>
    </cfRule>
  </conditionalFormatting>
  <conditionalFormatting sqref="E254:E255">
    <cfRule type="containsText" dxfId="7695" priority="9750" operator="containsText" text="NUEVO">
      <formula>NOT(ISERROR(SEARCH("NUEVO",E254)))</formula>
    </cfRule>
  </conditionalFormatting>
  <conditionalFormatting sqref="E254:E255">
    <cfRule type="containsText" dxfId="7694" priority="9749" operator="containsText" text="Sin Información">
      <formula>NOT(ISERROR(SEARCH("Sin Información",E254)))</formula>
    </cfRule>
  </conditionalFormatting>
  <conditionalFormatting sqref="C259:D263">
    <cfRule type="containsText" dxfId="7693" priority="9746" operator="containsText" text="NO+$D$4:$D$10">
      <formula>NOT(ISERROR(SEARCH("NO+$D$4:$D$10",C259)))</formula>
    </cfRule>
  </conditionalFormatting>
  <conditionalFormatting sqref="C259:D263">
    <cfRule type="containsText" dxfId="7692" priority="9744" operator="containsText" text="SI">
      <formula>NOT(ISERROR(SEARCH("SI",C259)))</formula>
    </cfRule>
    <cfRule type="containsText" dxfId="7691" priority="9745" operator="containsText" text="NO">
      <formula>NOT(ISERROR(SEARCH("NO",C259)))</formula>
    </cfRule>
  </conditionalFormatting>
  <conditionalFormatting sqref="C259:E259 C260:D263 E260:E262">
    <cfRule type="containsText" dxfId="7690" priority="9743" operator="containsText" text="NUEVO">
      <formula>NOT(ISERROR(SEARCH("NUEVO",C259)))</formula>
    </cfRule>
  </conditionalFormatting>
  <conditionalFormatting sqref="E259:E262">
    <cfRule type="containsText" dxfId="7689" priority="9742" operator="containsText" text="Sin Información">
      <formula>NOT(ISERROR(SEARCH("Sin Información",E259)))</formula>
    </cfRule>
  </conditionalFormatting>
  <conditionalFormatting sqref="E263">
    <cfRule type="containsText" dxfId="7688" priority="9741" operator="containsText" text="NUEVO">
      <formula>NOT(ISERROR(SEARCH("NUEVO",E263)))</formula>
    </cfRule>
  </conditionalFormatting>
  <conditionalFormatting sqref="E263">
    <cfRule type="containsText" dxfId="7687" priority="9740" operator="containsText" text="Sin Información">
      <formula>NOT(ISERROR(SEARCH("Sin Información",E263)))</formula>
    </cfRule>
  </conditionalFormatting>
  <conditionalFormatting sqref="C264:D265">
    <cfRule type="containsText" dxfId="7686" priority="9739" operator="containsText" text="NO+$D$4:$D$10">
      <formula>NOT(ISERROR(SEARCH("NO+$D$4:$D$10",C264)))</formula>
    </cfRule>
  </conditionalFormatting>
  <conditionalFormatting sqref="C264:D265">
    <cfRule type="containsText" dxfId="7685" priority="9737" operator="containsText" text="SI">
      <formula>NOT(ISERROR(SEARCH("SI",C264)))</formula>
    </cfRule>
    <cfRule type="containsText" dxfId="7684" priority="9738" operator="containsText" text="NO">
      <formula>NOT(ISERROR(SEARCH("NO",C264)))</formula>
    </cfRule>
  </conditionalFormatting>
  <conditionalFormatting sqref="E264 C264:D265">
    <cfRule type="containsText" dxfId="7683" priority="9736" operator="containsText" text="NUEVO">
      <formula>NOT(ISERROR(SEARCH("NUEVO",C264)))</formula>
    </cfRule>
  </conditionalFormatting>
  <conditionalFormatting sqref="E264">
    <cfRule type="containsText" dxfId="7682" priority="9735" operator="containsText" text="Sin Información">
      <formula>NOT(ISERROR(SEARCH("Sin Información",E264)))</formula>
    </cfRule>
  </conditionalFormatting>
  <conditionalFormatting sqref="E265">
    <cfRule type="containsText" dxfId="7681" priority="9734" operator="containsText" text="NUEVO">
      <formula>NOT(ISERROR(SEARCH("NUEVO",E265)))</formula>
    </cfRule>
  </conditionalFormatting>
  <conditionalFormatting sqref="E265">
    <cfRule type="containsText" dxfId="7680" priority="9733" operator="containsText" text="Sin Información">
      <formula>NOT(ISERROR(SEARCH("Sin Información",E265)))</formula>
    </cfRule>
  </conditionalFormatting>
  <conditionalFormatting sqref="C266:D268">
    <cfRule type="containsText" dxfId="7679" priority="9732" operator="containsText" text="NO+$D$4:$D$10">
      <formula>NOT(ISERROR(SEARCH("NO+$D$4:$D$10",C266)))</formula>
    </cfRule>
  </conditionalFormatting>
  <conditionalFormatting sqref="C266:D268">
    <cfRule type="containsText" dxfId="7678" priority="9730" operator="containsText" text="SI">
      <formula>NOT(ISERROR(SEARCH("SI",C266)))</formula>
    </cfRule>
    <cfRule type="containsText" dxfId="7677" priority="9731" operator="containsText" text="NO">
      <formula>NOT(ISERROR(SEARCH("NO",C266)))</formula>
    </cfRule>
  </conditionalFormatting>
  <conditionalFormatting sqref="E266 C266:D268">
    <cfRule type="containsText" dxfId="7676" priority="9729" operator="containsText" text="NUEVO">
      <formula>NOT(ISERROR(SEARCH("NUEVO",C266)))</formula>
    </cfRule>
  </conditionalFormatting>
  <conditionalFormatting sqref="E266">
    <cfRule type="containsText" dxfId="7675" priority="9728" operator="containsText" text="Sin Información">
      <formula>NOT(ISERROR(SEARCH("Sin Información",E266)))</formula>
    </cfRule>
  </conditionalFormatting>
  <conditionalFormatting sqref="E267:E268">
    <cfRule type="containsText" dxfId="7674" priority="9727" operator="containsText" text="NUEVO">
      <formula>NOT(ISERROR(SEARCH("NUEVO",E267)))</formula>
    </cfRule>
  </conditionalFormatting>
  <conditionalFormatting sqref="E267:E268">
    <cfRule type="containsText" dxfId="7673" priority="9726" operator="containsText" text="Sin Información">
      <formula>NOT(ISERROR(SEARCH("Sin Información",E267)))</formula>
    </cfRule>
  </conditionalFormatting>
  <conditionalFormatting sqref="C269:D269">
    <cfRule type="containsText" dxfId="7672" priority="9725" operator="containsText" text="NO+$D$4:$D$10">
      <formula>NOT(ISERROR(SEARCH("NO+$D$4:$D$10",C269)))</formula>
    </cfRule>
  </conditionalFormatting>
  <conditionalFormatting sqref="C269:D269">
    <cfRule type="containsText" dxfId="7671" priority="9723" operator="containsText" text="SI">
      <formula>NOT(ISERROR(SEARCH("SI",C269)))</formula>
    </cfRule>
    <cfRule type="containsText" dxfId="7670" priority="9724" operator="containsText" text="NO">
      <formula>NOT(ISERROR(SEARCH("NO",C269)))</formula>
    </cfRule>
  </conditionalFormatting>
  <conditionalFormatting sqref="C269:E269">
    <cfRule type="containsText" dxfId="7669" priority="9722" operator="containsText" text="NUEVO">
      <formula>NOT(ISERROR(SEARCH("NUEVO",C269)))</formula>
    </cfRule>
  </conditionalFormatting>
  <conditionalFormatting sqref="E269">
    <cfRule type="containsText" dxfId="7668" priority="9721" operator="containsText" text="Sin Información">
      <formula>NOT(ISERROR(SEARCH("Sin Información",E269)))</formula>
    </cfRule>
  </conditionalFormatting>
  <conditionalFormatting sqref="C271:D271">
    <cfRule type="containsText" dxfId="7667" priority="9715" operator="containsText" text="NO+$D$4:$D$10">
      <formula>NOT(ISERROR(SEARCH("NO+$D$4:$D$10",C271)))</formula>
    </cfRule>
  </conditionalFormatting>
  <conditionalFormatting sqref="C271:D271">
    <cfRule type="containsText" dxfId="7666" priority="9713" operator="containsText" text="SI">
      <formula>NOT(ISERROR(SEARCH("SI",C271)))</formula>
    </cfRule>
    <cfRule type="containsText" dxfId="7665" priority="9714" operator="containsText" text="NO">
      <formula>NOT(ISERROR(SEARCH("NO",C271)))</formula>
    </cfRule>
  </conditionalFormatting>
  <conditionalFormatting sqref="C271:E271">
    <cfRule type="containsText" dxfId="7664" priority="9712" operator="containsText" text="NUEVO">
      <formula>NOT(ISERROR(SEARCH("NUEVO",C271)))</formula>
    </cfRule>
  </conditionalFormatting>
  <conditionalFormatting sqref="E271">
    <cfRule type="containsText" dxfId="7663" priority="9711" operator="containsText" text="Sin Información">
      <formula>NOT(ISERROR(SEARCH("Sin Información",E271)))</formula>
    </cfRule>
  </conditionalFormatting>
  <conditionalFormatting sqref="C272:D272">
    <cfRule type="containsText" dxfId="7662" priority="9710" operator="containsText" text="NO+$D$4:$D$10">
      <formula>NOT(ISERROR(SEARCH("NO+$D$4:$D$10",C272)))</formula>
    </cfRule>
  </conditionalFormatting>
  <conditionalFormatting sqref="C272:D272">
    <cfRule type="containsText" dxfId="7661" priority="9708" operator="containsText" text="SI">
      <formula>NOT(ISERROR(SEARCH("SI",C272)))</formula>
    </cfRule>
    <cfRule type="containsText" dxfId="7660" priority="9709" operator="containsText" text="NO">
      <formula>NOT(ISERROR(SEARCH("NO",C272)))</formula>
    </cfRule>
  </conditionalFormatting>
  <conditionalFormatting sqref="C272:E272">
    <cfRule type="containsText" dxfId="7659" priority="9707" operator="containsText" text="NUEVO">
      <formula>NOT(ISERROR(SEARCH("NUEVO",C272)))</formula>
    </cfRule>
  </conditionalFormatting>
  <conditionalFormatting sqref="E272">
    <cfRule type="containsText" dxfId="7658" priority="9706" operator="containsText" text="Sin Información">
      <formula>NOT(ISERROR(SEARCH("Sin Información",E272)))</formula>
    </cfRule>
  </conditionalFormatting>
  <conditionalFormatting sqref="C273:D273">
    <cfRule type="containsText" dxfId="7657" priority="9705" operator="containsText" text="NO+$D$4:$D$10">
      <formula>NOT(ISERROR(SEARCH("NO+$D$4:$D$10",C273)))</formula>
    </cfRule>
  </conditionalFormatting>
  <conditionalFormatting sqref="C273:D273">
    <cfRule type="containsText" dxfId="7656" priority="9703" operator="containsText" text="SI">
      <formula>NOT(ISERROR(SEARCH("SI",C273)))</formula>
    </cfRule>
    <cfRule type="containsText" dxfId="7655" priority="9704" operator="containsText" text="NO">
      <formula>NOT(ISERROR(SEARCH("NO",C273)))</formula>
    </cfRule>
  </conditionalFormatting>
  <conditionalFormatting sqref="C273:E273">
    <cfRule type="containsText" dxfId="7654" priority="9702" operator="containsText" text="NUEVO">
      <formula>NOT(ISERROR(SEARCH("NUEVO",C273)))</formula>
    </cfRule>
  </conditionalFormatting>
  <conditionalFormatting sqref="E273">
    <cfRule type="containsText" dxfId="7653" priority="9701" operator="containsText" text="Sin Información">
      <formula>NOT(ISERROR(SEARCH("Sin Información",E273)))</formula>
    </cfRule>
  </conditionalFormatting>
  <conditionalFormatting sqref="C274:D274">
    <cfRule type="containsText" dxfId="7652" priority="9700" operator="containsText" text="NO+$D$4:$D$10">
      <formula>NOT(ISERROR(SEARCH("NO+$D$4:$D$10",C274)))</formula>
    </cfRule>
  </conditionalFormatting>
  <conditionalFormatting sqref="C274:D274">
    <cfRule type="containsText" dxfId="7651" priority="9698" operator="containsText" text="SI">
      <formula>NOT(ISERROR(SEARCH("SI",C274)))</formula>
    </cfRule>
    <cfRule type="containsText" dxfId="7650" priority="9699" operator="containsText" text="NO">
      <formula>NOT(ISERROR(SEARCH("NO",C274)))</formula>
    </cfRule>
  </conditionalFormatting>
  <conditionalFormatting sqref="C274:E274">
    <cfRule type="containsText" dxfId="7649" priority="9697" operator="containsText" text="NUEVO">
      <formula>NOT(ISERROR(SEARCH("NUEVO",C274)))</formula>
    </cfRule>
  </conditionalFormatting>
  <conditionalFormatting sqref="E274">
    <cfRule type="containsText" dxfId="7648" priority="9696" operator="containsText" text="Sin Información">
      <formula>NOT(ISERROR(SEARCH("Sin Información",E274)))</formula>
    </cfRule>
  </conditionalFormatting>
  <conditionalFormatting sqref="C275:D275">
    <cfRule type="containsText" dxfId="7647" priority="9695" operator="containsText" text="NO+$D$4:$D$10">
      <formula>NOT(ISERROR(SEARCH("NO+$D$4:$D$10",C275)))</formula>
    </cfRule>
  </conditionalFormatting>
  <conditionalFormatting sqref="C275:D275">
    <cfRule type="containsText" dxfId="7646" priority="9693" operator="containsText" text="SI">
      <formula>NOT(ISERROR(SEARCH("SI",C275)))</formula>
    </cfRule>
    <cfRule type="containsText" dxfId="7645" priority="9694" operator="containsText" text="NO">
      <formula>NOT(ISERROR(SEARCH("NO",C275)))</formula>
    </cfRule>
  </conditionalFormatting>
  <conditionalFormatting sqref="C275:E275">
    <cfRule type="containsText" dxfId="7644" priority="9692" operator="containsText" text="NUEVO">
      <formula>NOT(ISERROR(SEARCH("NUEVO",C275)))</formula>
    </cfRule>
  </conditionalFormatting>
  <conditionalFormatting sqref="E275">
    <cfRule type="containsText" dxfId="7643" priority="9691" operator="containsText" text="Sin Información">
      <formula>NOT(ISERROR(SEARCH("Sin Información",E275)))</formula>
    </cfRule>
  </conditionalFormatting>
  <conditionalFormatting sqref="C276:D276">
    <cfRule type="containsText" dxfId="7642" priority="9690" operator="containsText" text="NO+$D$4:$D$10">
      <formula>NOT(ISERROR(SEARCH("NO+$D$4:$D$10",C276)))</formula>
    </cfRule>
  </conditionalFormatting>
  <conditionalFormatting sqref="C276:D276">
    <cfRule type="containsText" dxfId="7641" priority="9688" operator="containsText" text="SI">
      <formula>NOT(ISERROR(SEARCH("SI",C276)))</formula>
    </cfRule>
    <cfRule type="containsText" dxfId="7640" priority="9689" operator="containsText" text="NO">
      <formula>NOT(ISERROR(SEARCH("NO",C276)))</formula>
    </cfRule>
  </conditionalFormatting>
  <conditionalFormatting sqref="C276:E276">
    <cfRule type="containsText" dxfId="7639" priority="9687" operator="containsText" text="NUEVO">
      <formula>NOT(ISERROR(SEARCH("NUEVO",C276)))</formula>
    </cfRule>
  </conditionalFormatting>
  <conditionalFormatting sqref="E276">
    <cfRule type="containsText" dxfId="7638" priority="9686" operator="containsText" text="Sin Información">
      <formula>NOT(ISERROR(SEARCH("Sin Información",E276)))</formula>
    </cfRule>
  </conditionalFormatting>
  <conditionalFormatting sqref="C277:D277">
    <cfRule type="containsText" dxfId="7637" priority="9685" operator="containsText" text="NO+$D$4:$D$10">
      <formula>NOT(ISERROR(SEARCH("NO+$D$4:$D$10",C277)))</formula>
    </cfRule>
  </conditionalFormatting>
  <conditionalFormatting sqref="C277:D277">
    <cfRule type="containsText" dxfId="7636" priority="9683" operator="containsText" text="SI">
      <formula>NOT(ISERROR(SEARCH("SI",C277)))</formula>
    </cfRule>
    <cfRule type="containsText" dxfId="7635" priority="9684" operator="containsText" text="NO">
      <formula>NOT(ISERROR(SEARCH("NO",C277)))</formula>
    </cfRule>
  </conditionalFormatting>
  <conditionalFormatting sqref="C277:E277">
    <cfRule type="containsText" dxfId="7634" priority="9682" operator="containsText" text="NUEVO">
      <formula>NOT(ISERROR(SEARCH("NUEVO",C277)))</formula>
    </cfRule>
  </conditionalFormatting>
  <conditionalFormatting sqref="E277">
    <cfRule type="containsText" dxfId="7633" priority="9681" operator="containsText" text="Sin Información">
      <formula>NOT(ISERROR(SEARCH("Sin Información",E277)))</formula>
    </cfRule>
  </conditionalFormatting>
  <conditionalFormatting sqref="C246:D246">
    <cfRule type="containsText" dxfId="7632" priority="9680" operator="containsText" text="NO+$D$4:$D$10">
      <formula>NOT(ISERROR(SEARCH("NO+$D$4:$D$10",C246)))</formula>
    </cfRule>
  </conditionalFormatting>
  <conditionalFormatting sqref="C246:D246">
    <cfRule type="containsText" dxfId="7631" priority="9678" operator="containsText" text="SI">
      <formula>NOT(ISERROR(SEARCH("SI",C246)))</formula>
    </cfRule>
    <cfRule type="containsText" dxfId="7630" priority="9679" operator="containsText" text="NO">
      <formula>NOT(ISERROR(SEARCH("NO",C246)))</formula>
    </cfRule>
  </conditionalFormatting>
  <conditionalFormatting sqref="C246:E246">
    <cfRule type="containsText" dxfId="7629" priority="9677" operator="containsText" text="NUEVO">
      <formula>NOT(ISERROR(SEARCH("NUEVO",C246)))</formula>
    </cfRule>
  </conditionalFormatting>
  <conditionalFormatting sqref="E246">
    <cfRule type="containsText" dxfId="7628" priority="9676" operator="containsText" text="Sin Información">
      <formula>NOT(ISERROR(SEARCH("Sin Información",E246)))</formula>
    </cfRule>
  </conditionalFormatting>
  <conditionalFormatting sqref="C248:D248">
    <cfRule type="containsText" dxfId="7627" priority="9675" operator="containsText" text="NO+$D$4:$D$10">
      <formula>NOT(ISERROR(SEARCH("NO+$D$4:$D$10",C248)))</formula>
    </cfRule>
  </conditionalFormatting>
  <conditionalFormatting sqref="C248:D248">
    <cfRule type="containsText" dxfId="7626" priority="9673" operator="containsText" text="SI">
      <formula>NOT(ISERROR(SEARCH("SI",C248)))</formula>
    </cfRule>
    <cfRule type="containsText" dxfId="7625" priority="9674" operator="containsText" text="NO">
      <formula>NOT(ISERROR(SEARCH("NO",C248)))</formula>
    </cfRule>
  </conditionalFormatting>
  <conditionalFormatting sqref="C248:E248">
    <cfRule type="containsText" dxfId="7624" priority="9672" operator="containsText" text="NUEVO">
      <formula>NOT(ISERROR(SEARCH("NUEVO",C248)))</formula>
    </cfRule>
  </conditionalFormatting>
  <conditionalFormatting sqref="E248">
    <cfRule type="containsText" dxfId="7623" priority="9671" operator="containsText" text="Sin Información">
      <formula>NOT(ISERROR(SEARCH("Sin Información",E248)))</formula>
    </cfRule>
  </conditionalFormatting>
  <conditionalFormatting sqref="C278:D278">
    <cfRule type="containsText" dxfId="7622" priority="9665" operator="containsText" text="NO+$D$4:$D$10">
      <formula>NOT(ISERROR(SEARCH("NO+$D$4:$D$10",C278)))</formula>
    </cfRule>
  </conditionalFormatting>
  <conditionalFormatting sqref="C278:D278">
    <cfRule type="containsText" dxfId="7621" priority="9663" operator="containsText" text="SI">
      <formula>NOT(ISERROR(SEARCH("SI",C278)))</formula>
    </cfRule>
    <cfRule type="containsText" dxfId="7620" priority="9664" operator="containsText" text="NO">
      <formula>NOT(ISERROR(SEARCH("NO",C278)))</formula>
    </cfRule>
  </conditionalFormatting>
  <conditionalFormatting sqref="C278:E278">
    <cfRule type="containsText" dxfId="7619" priority="9662" operator="containsText" text="NUEVO">
      <formula>NOT(ISERROR(SEARCH("NUEVO",C278)))</formula>
    </cfRule>
  </conditionalFormatting>
  <conditionalFormatting sqref="E278">
    <cfRule type="containsText" dxfId="7618" priority="9661" operator="containsText" text="Sin Información">
      <formula>NOT(ISERROR(SEARCH("Sin Información",E278)))</formula>
    </cfRule>
  </conditionalFormatting>
  <conditionalFormatting sqref="C279:D279">
    <cfRule type="containsText" dxfId="7617" priority="9660" operator="containsText" text="NO+$D$4:$D$10">
      <formula>NOT(ISERROR(SEARCH("NO+$D$4:$D$10",C279)))</formula>
    </cfRule>
  </conditionalFormatting>
  <conditionalFormatting sqref="C279:D279">
    <cfRule type="containsText" dxfId="7616" priority="9658" operator="containsText" text="SI">
      <formula>NOT(ISERROR(SEARCH("SI",C279)))</formula>
    </cfRule>
    <cfRule type="containsText" dxfId="7615" priority="9659" operator="containsText" text="NO">
      <formula>NOT(ISERROR(SEARCH("NO",C279)))</formula>
    </cfRule>
  </conditionalFormatting>
  <conditionalFormatting sqref="C279:E279">
    <cfRule type="containsText" dxfId="7614" priority="9657" operator="containsText" text="NUEVO">
      <formula>NOT(ISERROR(SEARCH("NUEVO",C279)))</formula>
    </cfRule>
  </conditionalFormatting>
  <conditionalFormatting sqref="E279">
    <cfRule type="containsText" dxfId="7613" priority="9656" operator="containsText" text="Sin Información">
      <formula>NOT(ISERROR(SEARCH("Sin Información",E279)))</formula>
    </cfRule>
  </conditionalFormatting>
  <conditionalFormatting sqref="C280:D280">
    <cfRule type="containsText" dxfId="7612" priority="9655" operator="containsText" text="NO+$D$4:$D$10">
      <formula>NOT(ISERROR(SEARCH("NO+$D$4:$D$10",C280)))</formula>
    </cfRule>
  </conditionalFormatting>
  <conditionalFormatting sqref="C280:D280">
    <cfRule type="containsText" dxfId="7611" priority="9653" operator="containsText" text="SI">
      <formula>NOT(ISERROR(SEARCH("SI",C280)))</formula>
    </cfRule>
    <cfRule type="containsText" dxfId="7610" priority="9654" operator="containsText" text="NO">
      <formula>NOT(ISERROR(SEARCH("NO",C280)))</formula>
    </cfRule>
  </conditionalFormatting>
  <conditionalFormatting sqref="C280:E280">
    <cfRule type="containsText" dxfId="7609" priority="9652" operator="containsText" text="NUEVO">
      <formula>NOT(ISERROR(SEARCH("NUEVO",C280)))</formula>
    </cfRule>
  </conditionalFormatting>
  <conditionalFormatting sqref="E280">
    <cfRule type="containsText" dxfId="7608" priority="9651" operator="containsText" text="Sin Información">
      <formula>NOT(ISERROR(SEARCH("Sin Información",E280)))</formula>
    </cfRule>
  </conditionalFormatting>
  <conditionalFormatting sqref="C281:D281">
    <cfRule type="containsText" dxfId="7607" priority="9650" operator="containsText" text="NO+$D$4:$D$10">
      <formula>NOT(ISERROR(SEARCH("NO+$D$4:$D$10",C281)))</formula>
    </cfRule>
  </conditionalFormatting>
  <conditionalFormatting sqref="C281:D281">
    <cfRule type="containsText" dxfId="7606" priority="9648" operator="containsText" text="SI">
      <formula>NOT(ISERROR(SEARCH("SI",C281)))</formula>
    </cfRule>
    <cfRule type="containsText" dxfId="7605" priority="9649" operator="containsText" text="NO">
      <formula>NOT(ISERROR(SEARCH("NO",C281)))</formula>
    </cfRule>
  </conditionalFormatting>
  <conditionalFormatting sqref="C281:E281">
    <cfRule type="containsText" dxfId="7604" priority="9647" operator="containsText" text="NUEVO">
      <formula>NOT(ISERROR(SEARCH("NUEVO",C281)))</formula>
    </cfRule>
  </conditionalFormatting>
  <conditionalFormatting sqref="E281">
    <cfRule type="containsText" dxfId="7603" priority="9646" operator="containsText" text="Sin Información">
      <formula>NOT(ISERROR(SEARCH("Sin Información",E281)))</formula>
    </cfRule>
  </conditionalFormatting>
  <conditionalFormatting sqref="C282:D282">
    <cfRule type="containsText" dxfId="7602" priority="9645" operator="containsText" text="NO+$D$4:$D$10">
      <formula>NOT(ISERROR(SEARCH("NO+$D$4:$D$10",C282)))</formula>
    </cfRule>
  </conditionalFormatting>
  <conditionalFormatting sqref="C282:D282">
    <cfRule type="containsText" dxfId="7601" priority="9643" operator="containsText" text="SI">
      <formula>NOT(ISERROR(SEARCH("SI",C282)))</formula>
    </cfRule>
    <cfRule type="containsText" dxfId="7600" priority="9644" operator="containsText" text="NO">
      <formula>NOT(ISERROR(SEARCH("NO",C282)))</formula>
    </cfRule>
  </conditionalFormatting>
  <conditionalFormatting sqref="C282:E282">
    <cfRule type="containsText" dxfId="7599" priority="9642" operator="containsText" text="NUEVO">
      <formula>NOT(ISERROR(SEARCH("NUEVO",C282)))</formula>
    </cfRule>
  </conditionalFormatting>
  <conditionalFormatting sqref="E282">
    <cfRule type="containsText" dxfId="7598" priority="9641" operator="containsText" text="Sin Información">
      <formula>NOT(ISERROR(SEARCH("Sin Información",E282)))</formula>
    </cfRule>
  </conditionalFormatting>
  <conditionalFormatting sqref="C283:D283">
    <cfRule type="containsText" dxfId="7597" priority="9640" operator="containsText" text="NO+$D$4:$D$10">
      <formula>NOT(ISERROR(SEARCH("NO+$D$4:$D$10",C283)))</formula>
    </cfRule>
  </conditionalFormatting>
  <conditionalFormatting sqref="C283:D283">
    <cfRule type="containsText" dxfId="7596" priority="9638" operator="containsText" text="SI">
      <formula>NOT(ISERROR(SEARCH("SI",C283)))</formula>
    </cfRule>
    <cfRule type="containsText" dxfId="7595" priority="9639" operator="containsText" text="NO">
      <formula>NOT(ISERROR(SEARCH("NO",C283)))</formula>
    </cfRule>
  </conditionalFormatting>
  <conditionalFormatting sqref="C283:E283">
    <cfRule type="containsText" dxfId="7594" priority="9637" operator="containsText" text="NUEVO">
      <formula>NOT(ISERROR(SEARCH("NUEVO",C283)))</formula>
    </cfRule>
  </conditionalFormatting>
  <conditionalFormatting sqref="E283">
    <cfRule type="containsText" dxfId="7593" priority="9636" operator="containsText" text="Sin Información">
      <formula>NOT(ISERROR(SEARCH("Sin Información",E283)))</formula>
    </cfRule>
  </conditionalFormatting>
  <conditionalFormatting sqref="C284:D284">
    <cfRule type="containsText" dxfId="7592" priority="9635" operator="containsText" text="NO+$D$4:$D$10">
      <formula>NOT(ISERROR(SEARCH("NO+$D$4:$D$10",C284)))</formula>
    </cfRule>
  </conditionalFormatting>
  <conditionalFormatting sqref="C284:D284">
    <cfRule type="containsText" dxfId="7591" priority="9633" operator="containsText" text="SI">
      <formula>NOT(ISERROR(SEARCH("SI",C284)))</formula>
    </cfRule>
    <cfRule type="containsText" dxfId="7590" priority="9634" operator="containsText" text="NO">
      <formula>NOT(ISERROR(SEARCH("NO",C284)))</formula>
    </cfRule>
  </conditionalFormatting>
  <conditionalFormatting sqref="E284">
    <cfRule type="containsText" dxfId="7589" priority="9632" operator="containsText" text="Sin información">
      <formula>NOT(ISERROR(SEARCH("Sin información",E284)))</formula>
    </cfRule>
  </conditionalFormatting>
  <conditionalFormatting sqref="C284:E284">
    <cfRule type="containsText" dxfId="7588" priority="9631" operator="containsText" text="NUEVO">
      <formula>NOT(ISERROR(SEARCH("NUEVO",C284)))</formula>
    </cfRule>
  </conditionalFormatting>
  <conditionalFormatting sqref="E284">
    <cfRule type="containsText" dxfId="7587" priority="9630" operator="containsText" text="Sin Información">
      <formula>NOT(ISERROR(SEARCH("Sin Información",E284)))</formula>
    </cfRule>
  </conditionalFormatting>
  <conditionalFormatting sqref="C285:D285">
    <cfRule type="containsText" dxfId="7586" priority="9629" operator="containsText" text="NO+$D$4:$D$10">
      <formula>NOT(ISERROR(SEARCH("NO+$D$4:$D$10",C285)))</formula>
    </cfRule>
  </conditionalFormatting>
  <conditionalFormatting sqref="C285:D285">
    <cfRule type="containsText" dxfId="7585" priority="9627" operator="containsText" text="SI">
      <formula>NOT(ISERROR(SEARCH("SI",C285)))</formula>
    </cfRule>
    <cfRule type="containsText" dxfId="7584" priority="9628" operator="containsText" text="NO">
      <formula>NOT(ISERROR(SEARCH("NO",C285)))</formula>
    </cfRule>
  </conditionalFormatting>
  <conditionalFormatting sqref="E285">
    <cfRule type="containsText" dxfId="7583" priority="9626" operator="containsText" text="Sin información">
      <formula>NOT(ISERROR(SEARCH("Sin información",E285)))</formula>
    </cfRule>
  </conditionalFormatting>
  <conditionalFormatting sqref="C285:E285">
    <cfRule type="containsText" dxfId="7582" priority="9625" operator="containsText" text="NUEVO">
      <formula>NOT(ISERROR(SEARCH("NUEVO",C285)))</formula>
    </cfRule>
  </conditionalFormatting>
  <conditionalFormatting sqref="E285">
    <cfRule type="containsText" dxfId="7581" priority="9624" operator="containsText" text="Sin Información">
      <formula>NOT(ISERROR(SEARCH("Sin Información",E285)))</formula>
    </cfRule>
  </conditionalFormatting>
  <conditionalFormatting sqref="C286:D286">
    <cfRule type="containsText" dxfId="7580" priority="9623" operator="containsText" text="NO+$D$4:$D$10">
      <formula>NOT(ISERROR(SEARCH("NO+$D$4:$D$10",C286)))</formula>
    </cfRule>
  </conditionalFormatting>
  <conditionalFormatting sqref="C286:D286">
    <cfRule type="containsText" dxfId="7579" priority="9621" operator="containsText" text="SI">
      <formula>NOT(ISERROR(SEARCH("SI",C286)))</formula>
    </cfRule>
    <cfRule type="containsText" dxfId="7578" priority="9622" operator="containsText" text="NO">
      <formula>NOT(ISERROR(SEARCH("NO",C286)))</formula>
    </cfRule>
  </conditionalFormatting>
  <conditionalFormatting sqref="E286">
    <cfRule type="containsText" dxfId="7577" priority="9620" operator="containsText" text="Sin información">
      <formula>NOT(ISERROR(SEARCH("Sin información",E286)))</formula>
    </cfRule>
  </conditionalFormatting>
  <conditionalFormatting sqref="C286:E286">
    <cfRule type="containsText" dxfId="7576" priority="9619" operator="containsText" text="NUEVO">
      <formula>NOT(ISERROR(SEARCH("NUEVO",C286)))</formula>
    </cfRule>
  </conditionalFormatting>
  <conditionalFormatting sqref="E286">
    <cfRule type="containsText" dxfId="7575" priority="9618" operator="containsText" text="Sin Información">
      <formula>NOT(ISERROR(SEARCH("Sin Información",E286)))</formula>
    </cfRule>
  </conditionalFormatting>
  <conditionalFormatting sqref="E286">
    <cfRule type="containsText" dxfId="7574" priority="9617" operator="containsText" text="Sin información">
      <formula>NOT(ISERROR(SEARCH("Sin información",E286)))</formula>
    </cfRule>
  </conditionalFormatting>
  <conditionalFormatting sqref="E286">
    <cfRule type="containsText" dxfId="7573" priority="9616" operator="containsText" text="NUEVO">
      <formula>NOT(ISERROR(SEARCH("NUEVO",E286)))</formula>
    </cfRule>
  </conditionalFormatting>
  <conditionalFormatting sqref="C287:D287">
    <cfRule type="containsText" dxfId="7572" priority="9615" operator="containsText" text="NO+$D$4:$D$10">
      <formula>NOT(ISERROR(SEARCH("NO+$D$4:$D$10",C287)))</formula>
    </cfRule>
  </conditionalFormatting>
  <conditionalFormatting sqref="C287:D287">
    <cfRule type="containsText" dxfId="7571" priority="9613" operator="containsText" text="SI">
      <formula>NOT(ISERROR(SEARCH("SI",C287)))</formula>
    </cfRule>
    <cfRule type="containsText" dxfId="7570" priority="9614" operator="containsText" text="NO">
      <formula>NOT(ISERROR(SEARCH("NO",C287)))</formula>
    </cfRule>
  </conditionalFormatting>
  <conditionalFormatting sqref="C287:E287">
    <cfRule type="containsText" dxfId="7569" priority="9612" operator="containsText" text="NUEVO">
      <formula>NOT(ISERROR(SEARCH("NUEVO",C287)))</formula>
    </cfRule>
  </conditionalFormatting>
  <conditionalFormatting sqref="E287">
    <cfRule type="containsText" dxfId="7568" priority="9611" operator="containsText" text="Sin Información">
      <formula>NOT(ISERROR(SEARCH("Sin Información",E287)))</formula>
    </cfRule>
  </conditionalFormatting>
  <conditionalFormatting sqref="C288:D288">
    <cfRule type="containsText" dxfId="7567" priority="9610" operator="containsText" text="NO+$D$4:$D$10">
      <formula>NOT(ISERROR(SEARCH("NO+$D$4:$D$10",C288)))</formula>
    </cfRule>
  </conditionalFormatting>
  <conditionalFormatting sqref="C288:D288">
    <cfRule type="containsText" dxfId="7566" priority="9608" operator="containsText" text="SI">
      <formula>NOT(ISERROR(SEARCH("SI",C288)))</formula>
    </cfRule>
    <cfRule type="containsText" dxfId="7565" priority="9609" operator="containsText" text="NO">
      <formula>NOT(ISERROR(SEARCH("NO",C288)))</formula>
    </cfRule>
  </conditionalFormatting>
  <conditionalFormatting sqref="C288:E288">
    <cfRule type="containsText" dxfId="7564" priority="9607" operator="containsText" text="NUEVO">
      <formula>NOT(ISERROR(SEARCH("NUEVO",C288)))</formula>
    </cfRule>
  </conditionalFormatting>
  <conditionalFormatting sqref="E288">
    <cfRule type="containsText" dxfId="7563" priority="9606" operator="containsText" text="Sin Información">
      <formula>NOT(ISERROR(SEARCH("Sin Información",E288)))</formula>
    </cfRule>
  </conditionalFormatting>
  <conditionalFormatting sqref="C289:D289">
    <cfRule type="containsText" dxfId="7562" priority="9600" operator="containsText" text="NO+$D$4:$D$10">
      <formula>NOT(ISERROR(SEARCH("NO+$D$4:$D$10",C289)))</formula>
    </cfRule>
  </conditionalFormatting>
  <conditionalFormatting sqref="C289:D289">
    <cfRule type="containsText" dxfId="7561" priority="9598" operator="containsText" text="SI">
      <formula>NOT(ISERROR(SEARCH("SI",C289)))</formula>
    </cfRule>
    <cfRule type="containsText" dxfId="7560" priority="9599" operator="containsText" text="NO">
      <formula>NOT(ISERROR(SEARCH("NO",C289)))</formula>
    </cfRule>
  </conditionalFormatting>
  <conditionalFormatting sqref="C289:E289">
    <cfRule type="containsText" dxfId="7559" priority="9597" operator="containsText" text="NUEVO">
      <formula>NOT(ISERROR(SEARCH("NUEVO",C289)))</formula>
    </cfRule>
  </conditionalFormatting>
  <conditionalFormatting sqref="E289">
    <cfRule type="containsText" dxfId="7558" priority="9596" operator="containsText" text="Sin Información">
      <formula>NOT(ISERROR(SEARCH("Sin Información",E289)))</formula>
    </cfRule>
  </conditionalFormatting>
  <conditionalFormatting sqref="C290:D290">
    <cfRule type="containsText" dxfId="7557" priority="9595" operator="containsText" text="NO+$D$4:$D$10">
      <formula>NOT(ISERROR(SEARCH("NO+$D$4:$D$10",C290)))</formula>
    </cfRule>
  </conditionalFormatting>
  <conditionalFormatting sqref="C290:D290">
    <cfRule type="containsText" dxfId="7556" priority="9593" operator="containsText" text="SI">
      <formula>NOT(ISERROR(SEARCH("SI",C290)))</formula>
    </cfRule>
    <cfRule type="containsText" dxfId="7555" priority="9594" operator="containsText" text="NO">
      <formula>NOT(ISERROR(SEARCH("NO",C290)))</formula>
    </cfRule>
  </conditionalFormatting>
  <conditionalFormatting sqref="C290:E290">
    <cfRule type="containsText" dxfId="7554" priority="9592" operator="containsText" text="NUEVO">
      <formula>NOT(ISERROR(SEARCH("NUEVO",C290)))</formula>
    </cfRule>
  </conditionalFormatting>
  <conditionalFormatting sqref="E290">
    <cfRule type="containsText" dxfId="7553" priority="9591" operator="containsText" text="Sin Información">
      <formula>NOT(ISERROR(SEARCH("Sin Información",E290)))</formula>
    </cfRule>
  </conditionalFormatting>
  <conditionalFormatting sqref="C291:D291">
    <cfRule type="containsText" dxfId="7552" priority="9590" operator="containsText" text="NO+$D$4:$D$10">
      <formula>NOT(ISERROR(SEARCH("NO+$D$4:$D$10",C291)))</formula>
    </cfRule>
  </conditionalFormatting>
  <conditionalFormatting sqref="C291:D291">
    <cfRule type="containsText" dxfId="7551" priority="9588" operator="containsText" text="SI">
      <formula>NOT(ISERROR(SEARCH("SI",C291)))</formula>
    </cfRule>
    <cfRule type="containsText" dxfId="7550" priority="9589" operator="containsText" text="NO">
      <formula>NOT(ISERROR(SEARCH("NO",C291)))</formula>
    </cfRule>
  </conditionalFormatting>
  <conditionalFormatting sqref="C291:E291">
    <cfRule type="containsText" dxfId="7549" priority="9587" operator="containsText" text="NUEVO">
      <formula>NOT(ISERROR(SEARCH("NUEVO",C291)))</formula>
    </cfRule>
  </conditionalFormatting>
  <conditionalFormatting sqref="E291">
    <cfRule type="containsText" dxfId="7548" priority="9586" operator="containsText" text="Sin Información">
      <formula>NOT(ISERROR(SEARCH("Sin Información",E291)))</formula>
    </cfRule>
  </conditionalFormatting>
  <conditionalFormatting sqref="C292:D292">
    <cfRule type="containsText" dxfId="7547" priority="9585" operator="containsText" text="NO+$D$4:$D$10">
      <formula>NOT(ISERROR(SEARCH("NO+$D$4:$D$10",C292)))</formula>
    </cfRule>
  </conditionalFormatting>
  <conditionalFormatting sqref="C292:D292">
    <cfRule type="containsText" dxfId="7546" priority="9583" operator="containsText" text="SI">
      <formula>NOT(ISERROR(SEARCH("SI",C292)))</formula>
    </cfRule>
    <cfRule type="containsText" dxfId="7545" priority="9584" operator="containsText" text="NO">
      <formula>NOT(ISERROR(SEARCH("NO",C292)))</formula>
    </cfRule>
  </conditionalFormatting>
  <conditionalFormatting sqref="C292:E292">
    <cfRule type="containsText" dxfId="7544" priority="9582" operator="containsText" text="NUEVO">
      <formula>NOT(ISERROR(SEARCH("NUEVO",C292)))</formula>
    </cfRule>
  </conditionalFormatting>
  <conditionalFormatting sqref="E292">
    <cfRule type="containsText" dxfId="7543" priority="9581" operator="containsText" text="Sin Información">
      <formula>NOT(ISERROR(SEARCH("Sin Información",E292)))</formula>
    </cfRule>
  </conditionalFormatting>
  <conditionalFormatting sqref="C293:D293">
    <cfRule type="containsText" dxfId="7542" priority="9580" operator="containsText" text="NO+$D$4:$D$10">
      <formula>NOT(ISERROR(SEARCH("NO+$D$4:$D$10",C293)))</formula>
    </cfRule>
  </conditionalFormatting>
  <conditionalFormatting sqref="C293:D293">
    <cfRule type="containsText" dxfId="7541" priority="9578" operator="containsText" text="SI">
      <formula>NOT(ISERROR(SEARCH("SI",C293)))</formula>
    </cfRule>
    <cfRule type="containsText" dxfId="7540" priority="9579" operator="containsText" text="NO">
      <formula>NOT(ISERROR(SEARCH("NO",C293)))</formula>
    </cfRule>
  </conditionalFormatting>
  <conditionalFormatting sqref="C293:E293">
    <cfRule type="containsText" dxfId="7539" priority="9577" operator="containsText" text="NUEVO">
      <formula>NOT(ISERROR(SEARCH("NUEVO",C293)))</formula>
    </cfRule>
  </conditionalFormatting>
  <conditionalFormatting sqref="E293">
    <cfRule type="containsText" dxfId="7538" priority="9576" operator="containsText" text="Sin Información">
      <formula>NOT(ISERROR(SEARCH("Sin Información",E293)))</formula>
    </cfRule>
  </conditionalFormatting>
  <conditionalFormatting sqref="C294:D294">
    <cfRule type="containsText" dxfId="7537" priority="9575" operator="containsText" text="NO+$D$4:$D$10">
      <formula>NOT(ISERROR(SEARCH("NO+$D$4:$D$10",C294)))</formula>
    </cfRule>
  </conditionalFormatting>
  <conditionalFormatting sqref="C294:D294">
    <cfRule type="containsText" dxfId="7536" priority="9573" operator="containsText" text="SI">
      <formula>NOT(ISERROR(SEARCH("SI",C294)))</formula>
    </cfRule>
    <cfRule type="containsText" dxfId="7535" priority="9574" operator="containsText" text="NO">
      <formula>NOT(ISERROR(SEARCH("NO",C294)))</formula>
    </cfRule>
  </conditionalFormatting>
  <conditionalFormatting sqref="C294:E294">
    <cfRule type="containsText" dxfId="7534" priority="9572" operator="containsText" text="NUEVO">
      <formula>NOT(ISERROR(SEARCH("NUEVO",C294)))</formula>
    </cfRule>
  </conditionalFormatting>
  <conditionalFormatting sqref="E294">
    <cfRule type="containsText" dxfId="7533" priority="9571" operator="containsText" text="Sin Información">
      <formula>NOT(ISERROR(SEARCH("Sin Información",E294)))</formula>
    </cfRule>
  </conditionalFormatting>
  <conditionalFormatting sqref="C295:D295">
    <cfRule type="containsText" dxfId="7532" priority="9570" operator="containsText" text="NO+$D$4:$D$10">
      <formula>NOT(ISERROR(SEARCH("NO+$D$4:$D$10",C295)))</formula>
    </cfRule>
  </conditionalFormatting>
  <conditionalFormatting sqref="C295:D295">
    <cfRule type="containsText" dxfId="7531" priority="9568" operator="containsText" text="SI">
      <formula>NOT(ISERROR(SEARCH("SI",C295)))</formula>
    </cfRule>
    <cfRule type="containsText" dxfId="7530" priority="9569" operator="containsText" text="NO">
      <formula>NOT(ISERROR(SEARCH("NO",C295)))</formula>
    </cfRule>
  </conditionalFormatting>
  <conditionalFormatting sqref="C295:D295">
    <cfRule type="containsText" dxfId="7529" priority="9567" operator="containsText" text="NUEVO">
      <formula>NOT(ISERROR(SEARCH("NUEVO",C295)))</formula>
    </cfRule>
  </conditionalFormatting>
  <conditionalFormatting sqref="E295">
    <cfRule type="containsText" dxfId="7528" priority="9566" operator="containsText" text="NUEVO">
      <formula>NOT(ISERROR(SEARCH("NUEVO",E295)))</formula>
    </cfRule>
  </conditionalFormatting>
  <conditionalFormatting sqref="E295">
    <cfRule type="containsText" dxfId="7527" priority="9565" operator="containsText" text="Sin Información">
      <formula>NOT(ISERROR(SEARCH("Sin Información",E295)))</formula>
    </cfRule>
  </conditionalFormatting>
  <conditionalFormatting sqref="C297:D297">
    <cfRule type="containsText" dxfId="7526" priority="9564" operator="containsText" text="NO+$D$4:$D$10">
      <formula>NOT(ISERROR(SEARCH("NO+$D$4:$D$10",C297)))</formula>
    </cfRule>
  </conditionalFormatting>
  <conditionalFormatting sqref="C297:D297">
    <cfRule type="containsText" dxfId="7525" priority="9562" operator="containsText" text="SI">
      <formula>NOT(ISERROR(SEARCH("SI",C297)))</formula>
    </cfRule>
    <cfRule type="containsText" dxfId="7524" priority="9563" operator="containsText" text="NO">
      <formula>NOT(ISERROR(SEARCH("NO",C297)))</formula>
    </cfRule>
  </conditionalFormatting>
  <conditionalFormatting sqref="C297:D297">
    <cfRule type="containsText" dxfId="7523" priority="9561" operator="containsText" text="NUEVO">
      <formula>NOT(ISERROR(SEARCH("NUEVO",C297)))</formula>
    </cfRule>
  </conditionalFormatting>
  <conditionalFormatting sqref="E297">
    <cfRule type="containsText" dxfId="7522" priority="9560" operator="containsText" text="NUEVO">
      <formula>NOT(ISERROR(SEARCH("NUEVO",E297)))</formula>
    </cfRule>
  </conditionalFormatting>
  <conditionalFormatting sqref="E297">
    <cfRule type="containsText" dxfId="7521" priority="9559" operator="containsText" text="Sin Información">
      <formula>NOT(ISERROR(SEARCH("Sin Información",E297)))</formula>
    </cfRule>
  </conditionalFormatting>
  <conditionalFormatting sqref="C298:D298">
    <cfRule type="containsText" dxfId="7520" priority="9558" operator="containsText" text="NO+$D$4:$D$10">
      <formula>NOT(ISERROR(SEARCH("NO+$D$4:$D$10",C298)))</formula>
    </cfRule>
  </conditionalFormatting>
  <conditionalFormatting sqref="C298:D298">
    <cfRule type="containsText" dxfId="7519" priority="9556" operator="containsText" text="SI">
      <formula>NOT(ISERROR(SEARCH("SI",C298)))</formula>
    </cfRule>
    <cfRule type="containsText" dxfId="7518" priority="9557" operator="containsText" text="NO">
      <formula>NOT(ISERROR(SEARCH("NO",C298)))</formula>
    </cfRule>
  </conditionalFormatting>
  <conditionalFormatting sqref="C298:E298">
    <cfRule type="containsText" dxfId="7517" priority="9555" operator="containsText" text="NUEVO">
      <formula>NOT(ISERROR(SEARCH("NUEVO",C298)))</formula>
    </cfRule>
  </conditionalFormatting>
  <conditionalFormatting sqref="E298">
    <cfRule type="containsText" dxfId="7516" priority="9554" operator="containsText" text="Sin Información">
      <formula>NOT(ISERROR(SEARCH("Sin Información",E298)))</formula>
    </cfRule>
  </conditionalFormatting>
  <conditionalFormatting sqref="C299:D299">
    <cfRule type="containsText" dxfId="7515" priority="9553" operator="containsText" text="NO+$D$4:$D$10">
      <formula>NOT(ISERROR(SEARCH("NO+$D$4:$D$10",C299)))</formula>
    </cfRule>
  </conditionalFormatting>
  <conditionalFormatting sqref="C299:D299">
    <cfRule type="containsText" dxfId="7514" priority="9551" operator="containsText" text="SI">
      <formula>NOT(ISERROR(SEARCH("SI",C299)))</formula>
    </cfRule>
    <cfRule type="containsText" dxfId="7513" priority="9552" operator="containsText" text="NO">
      <formula>NOT(ISERROR(SEARCH("NO",C299)))</formula>
    </cfRule>
  </conditionalFormatting>
  <conditionalFormatting sqref="C299:E299">
    <cfRule type="containsText" dxfId="7512" priority="9550" operator="containsText" text="NUEVO">
      <formula>NOT(ISERROR(SEARCH("NUEVO",C299)))</formula>
    </cfRule>
  </conditionalFormatting>
  <conditionalFormatting sqref="E299">
    <cfRule type="containsText" dxfId="7511" priority="9549" operator="containsText" text="Sin Información">
      <formula>NOT(ISERROR(SEARCH("Sin Información",E299)))</formula>
    </cfRule>
  </conditionalFormatting>
  <conditionalFormatting sqref="C300:D300">
    <cfRule type="containsText" dxfId="7510" priority="9548" operator="containsText" text="NO+$D$4:$D$10">
      <formula>NOT(ISERROR(SEARCH("NO+$D$4:$D$10",C300)))</formula>
    </cfRule>
  </conditionalFormatting>
  <conditionalFormatting sqref="C300:D300">
    <cfRule type="containsText" dxfId="7509" priority="9546" operator="containsText" text="SI">
      <formula>NOT(ISERROR(SEARCH("SI",C300)))</formula>
    </cfRule>
    <cfRule type="containsText" dxfId="7508" priority="9547" operator="containsText" text="NO">
      <formula>NOT(ISERROR(SEARCH("NO",C300)))</formula>
    </cfRule>
  </conditionalFormatting>
  <conditionalFormatting sqref="C300:E300">
    <cfRule type="containsText" dxfId="7507" priority="9545" operator="containsText" text="NUEVO">
      <formula>NOT(ISERROR(SEARCH("NUEVO",C300)))</formula>
    </cfRule>
  </conditionalFormatting>
  <conditionalFormatting sqref="E300">
    <cfRule type="containsText" dxfId="7506" priority="9544" operator="containsText" text="Sin Información">
      <formula>NOT(ISERROR(SEARCH("Sin Información",E300)))</formula>
    </cfRule>
  </conditionalFormatting>
  <conditionalFormatting sqref="C301:D301">
    <cfRule type="containsText" dxfId="7505" priority="9543" operator="containsText" text="NO+$D$4:$D$10">
      <formula>NOT(ISERROR(SEARCH("NO+$D$4:$D$10",C301)))</formula>
    </cfRule>
  </conditionalFormatting>
  <conditionalFormatting sqref="C301:D301">
    <cfRule type="containsText" dxfId="7504" priority="9541" operator="containsText" text="SI">
      <formula>NOT(ISERROR(SEARCH("SI",C301)))</formula>
    </cfRule>
    <cfRule type="containsText" dxfId="7503" priority="9542" operator="containsText" text="NO">
      <formula>NOT(ISERROR(SEARCH("NO",C301)))</formula>
    </cfRule>
  </conditionalFormatting>
  <conditionalFormatting sqref="C301:E301">
    <cfRule type="containsText" dxfId="7502" priority="9540" operator="containsText" text="NUEVO">
      <formula>NOT(ISERROR(SEARCH("NUEVO",C301)))</formula>
    </cfRule>
  </conditionalFormatting>
  <conditionalFormatting sqref="E301">
    <cfRule type="containsText" dxfId="7501" priority="9539" operator="containsText" text="Sin Información">
      <formula>NOT(ISERROR(SEARCH("Sin Información",E301)))</formula>
    </cfRule>
  </conditionalFormatting>
  <conditionalFormatting sqref="C302:D302">
    <cfRule type="containsText" dxfId="7500" priority="9538" operator="containsText" text="NO+$D$4:$D$10">
      <formula>NOT(ISERROR(SEARCH("NO+$D$4:$D$10",C302)))</formula>
    </cfRule>
  </conditionalFormatting>
  <conditionalFormatting sqref="C302:D302">
    <cfRule type="containsText" dxfId="7499" priority="9536" operator="containsText" text="SI">
      <formula>NOT(ISERROR(SEARCH("SI",C302)))</formula>
    </cfRule>
    <cfRule type="containsText" dxfId="7498" priority="9537" operator="containsText" text="NO">
      <formula>NOT(ISERROR(SEARCH("NO",C302)))</formula>
    </cfRule>
  </conditionalFormatting>
  <conditionalFormatting sqref="C302:E302">
    <cfRule type="containsText" dxfId="7497" priority="9535" operator="containsText" text="NUEVO">
      <formula>NOT(ISERROR(SEARCH("NUEVO",C302)))</formula>
    </cfRule>
  </conditionalFormatting>
  <conditionalFormatting sqref="E302">
    <cfRule type="containsText" dxfId="7496" priority="9534" operator="containsText" text="Sin Información">
      <formula>NOT(ISERROR(SEARCH("Sin Información",E302)))</formula>
    </cfRule>
  </conditionalFormatting>
  <conditionalFormatting sqref="C303:D303">
    <cfRule type="containsText" dxfId="7495" priority="9533" operator="containsText" text="NO+$D$4:$D$10">
      <formula>NOT(ISERROR(SEARCH("NO+$D$4:$D$10",C303)))</formula>
    </cfRule>
  </conditionalFormatting>
  <conditionalFormatting sqref="C303:D303">
    <cfRule type="containsText" dxfId="7494" priority="9531" operator="containsText" text="SI">
      <formula>NOT(ISERROR(SEARCH("SI",C303)))</formula>
    </cfRule>
    <cfRule type="containsText" dxfId="7493" priority="9532" operator="containsText" text="NO">
      <formula>NOT(ISERROR(SEARCH("NO",C303)))</formula>
    </cfRule>
  </conditionalFormatting>
  <conditionalFormatting sqref="C303:E303">
    <cfRule type="containsText" dxfId="7492" priority="9530" operator="containsText" text="NUEVO">
      <formula>NOT(ISERROR(SEARCH("NUEVO",C303)))</formula>
    </cfRule>
  </conditionalFormatting>
  <conditionalFormatting sqref="E303">
    <cfRule type="containsText" dxfId="7491" priority="9529" operator="containsText" text="Sin Información">
      <formula>NOT(ISERROR(SEARCH("Sin Información",E303)))</formula>
    </cfRule>
  </conditionalFormatting>
  <conditionalFormatting sqref="C304:D304">
    <cfRule type="containsText" dxfId="7490" priority="9528" operator="containsText" text="NO+$D$4:$D$10">
      <formula>NOT(ISERROR(SEARCH("NO+$D$4:$D$10",C304)))</formula>
    </cfRule>
  </conditionalFormatting>
  <conditionalFormatting sqref="C304:D304">
    <cfRule type="containsText" dxfId="7489" priority="9526" operator="containsText" text="SI">
      <formula>NOT(ISERROR(SEARCH("SI",C304)))</formula>
    </cfRule>
    <cfRule type="containsText" dxfId="7488" priority="9527" operator="containsText" text="NO">
      <formula>NOT(ISERROR(SEARCH("NO",C304)))</formula>
    </cfRule>
  </conditionalFormatting>
  <conditionalFormatting sqref="C304:D304">
    <cfRule type="containsText" dxfId="7487" priority="9525" operator="containsText" text="NUEVO">
      <formula>NOT(ISERROR(SEARCH("NUEVO",C304)))</formula>
    </cfRule>
  </conditionalFormatting>
  <conditionalFormatting sqref="E304">
    <cfRule type="containsText" dxfId="7486" priority="9524" operator="containsText" text="NUEVO">
      <formula>NOT(ISERROR(SEARCH("NUEVO",E304)))</formula>
    </cfRule>
  </conditionalFormatting>
  <conditionalFormatting sqref="E304">
    <cfRule type="containsText" dxfId="7485" priority="9523" operator="containsText" text="Sin Información">
      <formula>NOT(ISERROR(SEARCH("Sin Información",E304)))</formula>
    </cfRule>
  </conditionalFormatting>
  <conditionalFormatting sqref="C305:D305">
    <cfRule type="containsText" dxfId="7484" priority="9522" operator="containsText" text="NO+$D$4:$D$10">
      <formula>NOT(ISERROR(SEARCH("NO+$D$4:$D$10",C305)))</formula>
    </cfRule>
  </conditionalFormatting>
  <conditionalFormatting sqref="C305:D305">
    <cfRule type="containsText" dxfId="7483" priority="9520" operator="containsText" text="SI">
      <formula>NOT(ISERROR(SEARCH("SI",C305)))</formula>
    </cfRule>
    <cfRule type="containsText" dxfId="7482" priority="9521" operator="containsText" text="NO">
      <formula>NOT(ISERROR(SEARCH("NO",C305)))</formula>
    </cfRule>
  </conditionalFormatting>
  <conditionalFormatting sqref="E305">
    <cfRule type="containsText" dxfId="7481" priority="9519" operator="containsText" text="Sin información">
      <formula>NOT(ISERROR(SEARCH("Sin información",E305)))</formula>
    </cfRule>
  </conditionalFormatting>
  <conditionalFormatting sqref="C305:E305">
    <cfRule type="containsText" dxfId="7480" priority="9518" operator="containsText" text="NUEVO">
      <formula>NOT(ISERROR(SEARCH("NUEVO",C305)))</formula>
    </cfRule>
  </conditionalFormatting>
  <conditionalFormatting sqref="E305">
    <cfRule type="containsText" dxfId="7479" priority="9517" operator="containsText" text="Sin Información">
      <formula>NOT(ISERROR(SEARCH("Sin Información",E305)))</formula>
    </cfRule>
  </conditionalFormatting>
  <conditionalFormatting sqref="E305">
    <cfRule type="containsText" dxfId="7478" priority="9516" operator="containsText" text="Sin información">
      <formula>NOT(ISERROR(SEARCH("Sin información",E305)))</formula>
    </cfRule>
  </conditionalFormatting>
  <conditionalFormatting sqref="E305">
    <cfRule type="containsText" dxfId="7477" priority="9515" operator="containsText" text="NUEVO">
      <formula>NOT(ISERROR(SEARCH("NUEVO",E305)))</formula>
    </cfRule>
  </conditionalFormatting>
  <conditionalFormatting sqref="C306:D306">
    <cfRule type="containsText" dxfId="7476" priority="9514" operator="containsText" text="NO+$D$4:$D$10">
      <formula>NOT(ISERROR(SEARCH("NO+$D$4:$D$10",C306)))</formula>
    </cfRule>
  </conditionalFormatting>
  <conditionalFormatting sqref="C306:D306">
    <cfRule type="containsText" dxfId="7475" priority="9512" operator="containsText" text="SI">
      <formula>NOT(ISERROR(SEARCH("SI",C306)))</formula>
    </cfRule>
    <cfRule type="containsText" dxfId="7474" priority="9513" operator="containsText" text="NO">
      <formula>NOT(ISERROR(SEARCH("NO",C306)))</formula>
    </cfRule>
  </conditionalFormatting>
  <conditionalFormatting sqref="E306">
    <cfRule type="containsText" dxfId="7473" priority="9511" operator="containsText" text="Sin información">
      <formula>NOT(ISERROR(SEARCH("Sin información",E306)))</formula>
    </cfRule>
  </conditionalFormatting>
  <conditionalFormatting sqref="C306:E306">
    <cfRule type="containsText" dxfId="7472" priority="9510" operator="containsText" text="NUEVO">
      <formula>NOT(ISERROR(SEARCH("NUEVO",C306)))</formula>
    </cfRule>
  </conditionalFormatting>
  <conditionalFormatting sqref="E306">
    <cfRule type="containsText" dxfId="7471" priority="9509" operator="containsText" text="Sin Información">
      <formula>NOT(ISERROR(SEARCH("Sin Información",E306)))</formula>
    </cfRule>
  </conditionalFormatting>
  <conditionalFormatting sqref="E306">
    <cfRule type="containsText" dxfId="7470" priority="9508" operator="containsText" text="Sin información">
      <formula>NOT(ISERROR(SEARCH("Sin información",E306)))</formula>
    </cfRule>
  </conditionalFormatting>
  <conditionalFormatting sqref="E306">
    <cfRule type="containsText" dxfId="7469" priority="9507" operator="containsText" text="NUEVO">
      <formula>NOT(ISERROR(SEARCH("NUEVO",E306)))</formula>
    </cfRule>
  </conditionalFormatting>
  <conditionalFormatting sqref="C307:D307">
    <cfRule type="containsText" dxfId="7468" priority="9506" operator="containsText" text="NO+$D$4:$D$10">
      <formula>NOT(ISERROR(SEARCH("NO+$D$4:$D$10",C307)))</formula>
    </cfRule>
  </conditionalFormatting>
  <conditionalFormatting sqref="C307:D307">
    <cfRule type="containsText" dxfId="7467" priority="9504" operator="containsText" text="SI">
      <formula>NOT(ISERROR(SEARCH("SI",C307)))</formula>
    </cfRule>
    <cfRule type="containsText" dxfId="7466" priority="9505" operator="containsText" text="NO">
      <formula>NOT(ISERROR(SEARCH("NO",C307)))</formula>
    </cfRule>
  </conditionalFormatting>
  <conditionalFormatting sqref="C307:E307">
    <cfRule type="containsText" dxfId="7465" priority="9503" operator="containsText" text="NUEVO">
      <formula>NOT(ISERROR(SEARCH("NUEVO",C307)))</formula>
    </cfRule>
  </conditionalFormatting>
  <conditionalFormatting sqref="E307">
    <cfRule type="containsText" dxfId="7464" priority="9502" operator="containsText" text="Sin Información">
      <formula>NOT(ISERROR(SEARCH("Sin Información",E307)))</formula>
    </cfRule>
  </conditionalFormatting>
  <conditionalFormatting sqref="C308:D308">
    <cfRule type="containsText" dxfId="7463" priority="9501" operator="containsText" text="NO+$D$4:$D$10">
      <formula>NOT(ISERROR(SEARCH("NO+$D$4:$D$10",C308)))</formula>
    </cfRule>
  </conditionalFormatting>
  <conditionalFormatting sqref="C308:D308">
    <cfRule type="containsText" dxfId="7462" priority="9499" operator="containsText" text="SI">
      <formula>NOT(ISERROR(SEARCH("SI",C308)))</formula>
    </cfRule>
    <cfRule type="containsText" dxfId="7461" priority="9500" operator="containsText" text="NO">
      <formula>NOT(ISERROR(SEARCH("NO",C308)))</formula>
    </cfRule>
  </conditionalFormatting>
  <conditionalFormatting sqref="C308:E308">
    <cfRule type="containsText" dxfId="7460" priority="9498" operator="containsText" text="NUEVO">
      <formula>NOT(ISERROR(SEARCH("NUEVO",C308)))</formula>
    </cfRule>
  </conditionalFormatting>
  <conditionalFormatting sqref="E308">
    <cfRule type="containsText" dxfId="7459" priority="9497" operator="containsText" text="Sin Información">
      <formula>NOT(ISERROR(SEARCH("Sin Información",E308)))</formula>
    </cfRule>
  </conditionalFormatting>
  <conditionalFormatting sqref="C309:D309">
    <cfRule type="containsText" dxfId="7458" priority="9496" operator="containsText" text="NO+$D$4:$D$10">
      <formula>NOT(ISERROR(SEARCH("NO+$D$4:$D$10",C309)))</formula>
    </cfRule>
  </conditionalFormatting>
  <conditionalFormatting sqref="C309:D309">
    <cfRule type="containsText" dxfId="7457" priority="9494" operator="containsText" text="SI">
      <formula>NOT(ISERROR(SEARCH("SI",C309)))</formula>
    </cfRule>
    <cfRule type="containsText" dxfId="7456" priority="9495" operator="containsText" text="NO">
      <formula>NOT(ISERROR(SEARCH("NO",C309)))</formula>
    </cfRule>
  </conditionalFormatting>
  <conditionalFormatting sqref="C309:E309">
    <cfRule type="containsText" dxfId="7455" priority="9493" operator="containsText" text="NUEVO">
      <formula>NOT(ISERROR(SEARCH("NUEVO",C309)))</formula>
    </cfRule>
  </conditionalFormatting>
  <conditionalFormatting sqref="E309">
    <cfRule type="containsText" dxfId="7454" priority="9492" operator="containsText" text="Sin Información">
      <formula>NOT(ISERROR(SEARCH("Sin Información",E309)))</formula>
    </cfRule>
  </conditionalFormatting>
  <conditionalFormatting sqref="C310:D310">
    <cfRule type="containsText" dxfId="7453" priority="9491" operator="containsText" text="NO+$D$4:$D$10">
      <formula>NOT(ISERROR(SEARCH("NO+$D$4:$D$10",C310)))</formula>
    </cfRule>
  </conditionalFormatting>
  <conditionalFormatting sqref="C310:D310">
    <cfRule type="containsText" dxfId="7452" priority="9489" operator="containsText" text="SI">
      <formula>NOT(ISERROR(SEARCH("SI",C310)))</formula>
    </cfRule>
    <cfRule type="containsText" dxfId="7451" priority="9490" operator="containsText" text="NO">
      <formula>NOT(ISERROR(SEARCH("NO",C310)))</formula>
    </cfRule>
  </conditionalFormatting>
  <conditionalFormatting sqref="C310:E310">
    <cfRule type="containsText" dxfId="7450" priority="9488" operator="containsText" text="NUEVO">
      <formula>NOT(ISERROR(SEARCH("NUEVO",C310)))</formula>
    </cfRule>
  </conditionalFormatting>
  <conditionalFormatting sqref="E310">
    <cfRule type="containsText" dxfId="7449" priority="9487" operator="containsText" text="Sin Información">
      <formula>NOT(ISERROR(SEARCH("Sin Información",E310)))</formula>
    </cfRule>
  </conditionalFormatting>
  <conditionalFormatting sqref="C311:D311">
    <cfRule type="containsText" dxfId="7448" priority="9486" operator="containsText" text="NO+$D$4:$D$10">
      <formula>NOT(ISERROR(SEARCH("NO+$D$4:$D$10",C311)))</formula>
    </cfRule>
  </conditionalFormatting>
  <conditionalFormatting sqref="C311:D311">
    <cfRule type="containsText" dxfId="7447" priority="9484" operator="containsText" text="SI">
      <formula>NOT(ISERROR(SEARCH("SI",C311)))</formula>
    </cfRule>
    <cfRule type="containsText" dxfId="7446" priority="9485" operator="containsText" text="NO">
      <formula>NOT(ISERROR(SEARCH("NO",C311)))</formula>
    </cfRule>
  </conditionalFormatting>
  <conditionalFormatting sqref="C311:E311">
    <cfRule type="containsText" dxfId="7445" priority="9483" operator="containsText" text="NUEVO">
      <formula>NOT(ISERROR(SEARCH("NUEVO",C311)))</formula>
    </cfRule>
  </conditionalFormatting>
  <conditionalFormatting sqref="E311">
    <cfRule type="containsText" dxfId="7444" priority="9482" operator="containsText" text="Sin Información">
      <formula>NOT(ISERROR(SEARCH("Sin Información",E311)))</formula>
    </cfRule>
  </conditionalFormatting>
  <conditionalFormatting sqref="C312:D312">
    <cfRule type="containsText" dxfId="7443" priority="9481" operator="containsText" text="NO+$D$4:$D$10">
      <formula>NOT(ISERROR(SEARCH("NO+$D$4:$D$10",C312)))</formula>
    </cfRule>
  </conditionalFormatting>
  <conditionalFormatting sqref="C312:D312">
    <cfRule type="containsText" dxfId="7442" priority="9479" operator="containsText" text="SI">
      <formula>NOT(ISERROR(SEARCH("SI",C312)))</formula>
    </cfRule>
    <cfRule type="containsText" dxfId="7441" priority="9480" operator="containsText" text="NO">
      <formula>NOT(ISERROR(SEARCH("NO",C312)))</formula>
    </cfRule>
  </conditionalFormatting>
  <conditionalFormatting sqref="C312:D312">
    <cfRule type="containsText" dxfId="7440" priority="9478" operator="containsText" text="NUEVO">
      <formula>NOT(ISERROR(SEARCH("NUEVO",C312)))</formula>
    </cfRule>
  </conditionalFormatting>
  <conditionalFormatting sqref="E312">
    <cfRule type="containsText" dxfId="7439" priority="9477" operator="containsText" text="NUEVO">
      <formula>NOT(ISERROR(SEARCH("NUEVO",E312)))</formula>
    </cfRule>
  </conditionalFormatting>
  <conditionalFormatting sqref="E312">
    <cfRule type="containsText" dxfId="7438" priority="9476" operator="containsText" text="Sin Información">
      <formula>NOT(ISERROR(SEARCH("Sin Información",E312)))</formula>
    </cfRule>
  </conditionalFormatting>
  <conditionalFormatting sqref="C313:D313">
    <cfRule type="containsText" dxfId="7437" priority="9469" operator="containsText" text="NO+$D$4:$D$10">
      <formula>NOT(ISERROR(SEARCH("NO+$D$4:$D$10",C313)))</formula>
    </cfRule>
  </conditionalFormatting>
  <conditionalFormatting sqref="C313:D313">
    <cfRule type="containsText" dxfId="7436" priority="9467" operator="containsText" text="SI">
      <formula>NOT(ISERROR(SEARCH("SI",C313)))</formula>
    </cfRule>
    <cfRule type="containsText" dxfId="7435" priority="9468" operator="containsText" text="NO">
      <formula>NOT(ISERROR(SEARCH("NO",C313)))</formula>
    </cfRule>
  </conditionalFormatting>
  <conditionalFormatting sqref="C313:D313">
    <cfRule type="containsText" dxfId="7434" priority="9466" operator="containsText" text="NUEVO">
      <formula>NOT(ISERROR(SEARCH("NUEVO",C313)))</formula>
    </cfRule>
  </conditionalFormatting>
  <conditionalFormatting sqref="E313">
    <cfRule type="containsText" dxfId="7433" priority="9465" operator="containsText" text="NUEVO">
      <formula>NOT(ISERROR(SEARCH("NUEVO",E313)))</formula>
    </cfRule>
  </conditionalFormatting>
  <conditionalFormatting sqref="E313">
    <cfRule type="containsText" dxfId="7432" priority="9464" operator="containsText" text="Sin Información">
      <formula>NOT(ISERROR(SEARCH("Sin Información",E313)))</formula>
    </cfRule>
  </conditionalFormatting>
  <conditionalFormatting sqref="C314:D314">
    <cfRule type="containsText" dxfId="7431" priority="9463" operator="containsText" text="NO+$D$4:$D$10">
      <formula>NOT(ISERROR(SEARCH("NO+$D$4:$D$10",C314)))</formula>
    </cfRule>
  </conditionalFormatting>
  <conditionalFormatting sqref="C314:D314">
    <cfRule type="containsText" dxfId="7430" priority="9461" operator="containsText" text="SI">
      <formula>NOT(ISERROR(SEARCH("SI",C314)))</formula>
    </cfRule>
    <cfRule type="containsText" dxfId="7429" priority="9462" operator="containsText" text="NO">
      <formula>NOT(ISERROR(SEARCH("NO",C314)))</formula>
    </cfRule>
  </conditionalFormatting>
  <conditionalFormatting sqref="C314:D314">
    <cfRule type="containsText" dxfId="7428" priority="9460" operator="containsText" text="NUEVO">
      <formula>NOT(ISERROR(SEARCH("NUEVO",C314)))</formula>
    </cfRule>
  </conditionalFormatting>
  <conditionalFormatting sqref="E314">
    <cfRule type="containsText" dxfId="7427" priority="9459" operator="containsText" text="NUEVO">
      <formula>NOT(ISERROR(SEARCH("NUEVO",E314)))</formula>
    </cfRule>
  </conditionalFormatting>
  <conditionalFormatting sqref="E314">
    <cfRule type="containsText" dxfId="7426" priority="9458" operator="containsText" text="Sin Información">
      <formula>NOT(ISERROR(SEARCH("Sin Información",E314)))</formula>
    </cfRule>
  </conditionalFormatting>
  <conditionalFormatting sqref="C315:D315">
    <cfRule type="containsText" dxfId="7425" priority="9457" operator="containsText" text="NO+$D$4:$D$10">
      <formula>NOT(ISERROR(SEARCH("NO+$D$4:$D$10",C315)))</formula>
    </cfRule>
  </conditionalFormatting>
  <conditionalFormatting sqref="C315:D315">
    <cfRule type="containsText" dxfId="7424" priority="9455" operator="containsText" text="SI">
      <formula>NOT(ISERROR(SEARCH("SI",C315)))</formula>
    </cfRule>
    <cfRule type="containsText" dxfId="7423" priority="9456" operator="containsText" text="NO">
      <formula>NOT(ISERROR(SEARCH("NO",C315)))</formula>
    </cfRule>
  </conditionalFormatting>
  <conditionalFormatting sqref="C315:D315">
    <cfRule type="containsText" dxfId="7422" priority="9454" operator="containsText" text="NUEVO">
      <formula>NOT(ISERROR(SEARCH("NUEVO",C315)))</formula>
    </cfRule>
  </conditionalFormatting>
  <conditionalFormatting sqref="E315">
    <cfRule type="containsText" dxfId="7421" priority="9453" operator="containsText" text="NUEVO">
      <formula>NOT(ISERROR(SEARCH("NUEVO",E315)))</formula>
    </cfRule>
  </conditionalFormatting>
  <conditionalFormatting sqref="E315">
    <cfRule type="containsText" dxfId="7420" priority="9452" operator="containsText" text="Sin Información">
      <formula>NOT(ISERROR(SEARCH("Sin Información",E315)))</formula>
    </cfRule>
  </conditionalFormatting>
  <conditionalFormatting sqref="C318:D318">
    <cfRule type="containsText" dxfId="7419" priority="9451" operator="containsText" text="NO+$D$4:$D$10">
      <formula>NOT(ISERROR(SEARCH("NO+$D$4:$D$10",C318)))</formula>
    </cfRule>
  </conditionalFormatting>
  <conditionalFormatting sqref="C318:D318">
    <cfRule type="containsText" dxfId="7418" priority="9449" operator="containsText" text="SI">
      <formula>NOT(ISERROR(SEARCH("SI",C318)))</formula>
    </cfRule>
    <cfRule type="containsText" dxfId="7417" priority="9450" operator="containsText" text="NO">
      <formula>NOT(ISERROR(SEARCH("NO",C318)))</formula>
    </cfRule>
  </conditionalFormatting>
  <conditionalFormatting sqref="C318:D318">
    <cfRule type="containsText" dxfId="7416" priority="9448" operator="containsText" text="NUEVO">
      <formula>NOT(ISERROR(SEARCH("NUEVO",C318)))</formula>
    </cfRule>
  </conditionalFormatting>
  <conditionalFormatting sqref="E318">
    <cfRule type="containsText" dxfId="7415" priority="9447" operator="containsText" text="NUEVO">
      <formula>NOT(ISERROR(SEARCH("NUEVO",E318)))</formula>
    </cfRule>
  </conditionalFormatting>
  <conditionalFormatting sqref="E318">
    <cfRule type="containsText" dxfId="7414" priority="9446" operator="containsText" text="Sin Información">
      <formula>NOT(ISERROR(SEARCH("Sin Información",E318)))</formula>
    </cfRule>
  </conditionalFormatting>
  <conditionalFormatting sqref="C319:D319">
    <cfRule type="containsText" dxfId="7413" priority="9440" operator="containsText" text="NO+$D$4:$D$10">
      <formula>NOT(ISERROR(SEARCH("NO+$D$4:$D$10",C319)))</formula>
    </cfRule>
  </conditionalFormatting>
  <conditionalFormatting sqref="C319:D319">
    <cfRule type="containsText" dxfId="7412" priority="9438" operator="containsText" text="SI">
      <formula>NOT(ISERROR(SEARCH("SI",C319)))</formula>
    </cfRule>
    <cfRule type="containsText" dxfId="7411" priority="9439" operator="containsText" text="NO">
      <formula>NOT(ISERROR(SEARCH("NO",C319)))</formula>
    </cfRule>
  </conditionalFormatting>
  <conditionalFormatting sqref="C319:E319">
    <cfRule type="containsText" dxfId="7410" priority="9437" operator="containsText" text="NUEVO">
      <formula>NOT(ISERROR(SEARCH("NUEVO",C319)))</formula>
    </cfRule>
  </conditionalFormatting>
  <conditionalFormatting sqref="E319">
    <cfRule type="containsText" dxfId="7409" priority="9436" operator="containsText" text="Sin Información">
      <formula>NOT(ISERROR(SEARCH("Sin Información",E319)))</formula>
    </cfRule>
  </conditionalFormatting>
  <conditionalFormatting sqref="C320:D320">
    <cfRule type="containsText" dxfId="7408" priority="9435" operator="containsText" text="NO+$D$4:$D$10">
      <formula>NOT(ISERROR(SEARCH("NO+$D$4:$D$10",C320)))</formula>
    </cfRule>
  </conditionalFormatting>
  <conditionalFormatting sqref="C320:D320">
    <cfRule type="containsText" dxfId="7407" priority="9433" operator="containsText" text="SI">
      <formula>NOT(ISERROR(SEARCH("SI",C320)))</formula>
    </cfRule>
    <cfRule type="containsText" dxfId="7406" priority="9434" operator="containsText" text="NO">
      <formula>NOT(ISERROR(SEARCH("NO",C320)))</formula>
    </cfRule>
  </conditionalFormatting>
  <conditionalFormatting sqref="C320:E320">
    <cfRule type="containsText" dxfId="7405" priority="9432" operator="containsText" text="NUEVO">
      <formula>NOT(ISERROR(SEARCH("NUEVO",C320)))</formula>
    </cfRule>
  </conditionalFormatting>
  <conditionalFormatting sqref="E320">
    <cfRule type="containsText" dxfId="7404" priority="9431" operator="containsText" text="Sin Información">
      <formula>NOT(ISERROR(SEARCH("Sin Información",E320)))</formula>
    </cfRule>
  </conditionalFormatting>
  <conditionalFormatting sqref="C321:D321">
    <cfRule type="containsText" dxfId="7403" priority="9430" operator="containsText" text="NO+$D$4:$D$10">
      <formula>NOT(ISERROR(SEARCH("NO+$D$4:$D$10",C321)))</formula>
    </cfRule>
  </conditionalFormatting>
  <conditionalFormatting sqref="C321:D321">
    <cfRule type="containsText" dxfId="7402" priority="9428" operator="containsText" text="SI">
      <formula>NOT(ISERROR(SEARCH("SI",C321)))</formula>
    </cfRule>
    <cfRule type="containsText" dxfId="7401" priority="9429" operator="containsText" text="NO">
      <formula>NOT(ISERROR(SEARCH("NO",C321)))</formula>
    </cfRule>
  </conditionalFormatting>
  <conditionalFormatting sqref="C321:E321">
    <cfRule type="containsText" dxfId="7400" priority="9427" operator="containsText" text="NUEVO">
      <formula>NOT(ISERROR(SEARCH("NUEVO",C321)))</formula>
    </cfRule>
  </conditionalFormatting>
  <conditionalFormatting sqref="E321">
    <cfRule type="containsText" dxfId="7399" priority="9426" operator="containsText" text="Sin Información">
      <formula>NOT(ISERROR(SEARCH("Sin Información",E321)))</formula>
    </cfRule>
  </conditionalFormatting>
  <conditionalFormatting sqref="C322:D322">
    <cfRule type="containsText" dxfId="7398" priority="9425" operator="containsText" text="NO+$D$4:$D$10">
      <formula>NOT(ISERROR(SEARCH("NO+$D$4:$D$10",C322)))</formula>
    </cfRule>
  </conditionalFormatting>
  <conditionalFormatting sqref="C322:D322">
    <cfRule type="containsText" dxfId="7397" priority="9423" operator="containsText" text="SI">
      <formula>NOT(ISERROR(SEARCH("SI",C322)))</formula>
    </cfRule>
    <cfRule type="containsText" dxfId="7396" priority="9424" operator="containsText" text="NO">
      <formula>NOT(ISERROR(SEARCH("NO",C322)))</formula>
    </cfRule>
  </conditionalFormatting>
  <conditionalFormatting sqref="C322:E322">
    <cfRule type="containsText" dxfId="7395" priority="9422" operator="containsText" text="NUEVO">
      <formula>NOT(ISERROR(SEARCH("NUEVO",C322)))</formula>
    </cfRule>
  </conditionalFormatting>
  <conditionalFormatting sqref="E322">
    <cfRule type="containsText" dxfId="7394" priority="9421" operator="containsText" text="Sin Información">
      <formula>NOT(ISERROR(SEARCH("Sin Información",E322)))</formula>
    </cfRule>
  </conditionalFormatting>
  <conditionalFormatting sqref="C323:D323">
    <cfRule type="containsText" dxfId="7393" priority="9414" operator="containsText" text="NO+$D$4:$D$10">
      <formula>NOT(ISERROR(SEARCH("NO+$D$4:$D$10",C323)))</formula>
    </cfRule>
  </conditionalFormatting>
  <conditionalFormatting sqref="C323:D323">
    <cfRule type="containsText" dxfId="7392" priority="9412" operator="containsText" text="SI">
      <formula>NOT(ISERROR(SEARCH("SI",C323)))</formula>
    </cfRule>
    <cfRule type="containsText" dxfId="7391" priority="9413" operator="containsText" text="NO">
      <formula>NOT(ISERROR(SEARCH("NO",C323)))</formula>
    </cfRule>
  </conditionalFormatting>
  <conditionalFormatting sqref="C323:D323">
    <cfRule type="containsText" dxfId="7390" priority="9411" operator="containsText" text="NUEVO">
      <formula>NOT(ISERROR(SEARCH("NUEVO",C323)))</formula>
    </cfRule>
  </conditionalFormatting>
  <conditionalFormatting sqref="E323">
    <cfRule type="containsText" dxfId="7389" priority="9410" operator="containsText" text="NUEVO">
      <formula>NOT(ISERROR(SEARCH("NUEVO",E323)))</formula>
    </cfRule>
  </conditionalFormatting>
  <conditionalFormatting sqref="E323">
    <cfRule type="containsText" dxfId="7388" priority="9409" operator="containsText" text="Sin Información">
      <formula>NOT(ISERROR(SEARCH("Sin Información",E323)))</formula>
    </cfRule>
  </conditionalFormatting>
  <conditionalFormatting sqref="C324:D324">
    <cfRule type="containsText" dxfId="7387" priority="9408" operator="containsText" text="NO+$D$4:$D$10">
      <formula>NOT(ISERROR(SEARCH("NO+$D$4:$D$10",C324)))</formula>
    </cfRule>
  </conditionalFormatting>
  <conditionalFormatting sqref="C324:D324">
    <cfRule type="containsText" dxfId="7386" priority="9406" operator="containsText" text="SI">
      <formula>NOT(ISERROR(SEARCH("SI",C324)))</formula>
    </cfRule>
    <cfRule type="containsText" dxfId="7385" priority="9407" operator="containsText" text="NO">
      <formula>NOT(ISERROR(SEARCH("NO",C324)))</formula>
    </cfRule>
  </conditionalFormatting>
  <conditionalFormatting sqref="C324:E324">
    <cfRule type="containsText" dxfId="7384" priority="9405" operator="containsText" text="NUEVO">
      <formula>NOT(ISERROR(SEARCH("NUEVO",C324)))</formula>
    </cfRule>
  </conditionalFormatting>
  <conditionalFormatting sqref="E324">
    <cfRule type="containsText" dxfId="7383" priority="9404" operator="containsText" text="Sin Información">
      <formula>NOT(ISERROR(SEARCH("Sin Información",E324)))</formula>
    </cfRule>
  </conditionalFormatting>
  <conditionalFormatting sqref="C325:D325">
    <cfRule type="containsText" dxfId="7382" priority="9403" operator="containsText" text="NO+$D$4:$D$10">
      <formula>NOT(ISERROR(SEARCH("NO+$D$4:$D$10",C325)))</formula>
    </cfRule>
  </conditionalFormatting>
  <conditionalFormatting sqref="C325:D325">
    <cfRule type="containsText" dxfId="7381" priority="9401" operator="containsText" text="SI">
      <formula>NOT(ISERROR(SEARCH("SI",C325)))</formula>
    </cfRule>
    <cfRule type="containsText" dxfId="7380" priority="9402" operator="containsText" text="NO">
      <formula>NOT(ISERROR(SEARCH("NO",C325)))</formula>
    </cfRule>
  </conditionalFormatting>
  <conditionalFormatting sqref="C325:E325">
    <cfRule type="containsText" dxfId="7379" priority="9400" operator="containsText" text="NUEVO">
      <formula>NOT(ISERROR(SEARCH("NUEVO",C325)))</formula>
    </cfRule>
  </conditionalFormatting>
  <conditionalFormatting sqref="E325">
    <cfRule type="containsText" dxfId="7378" priority="9399" operator="containsText" text="Sin Información">
      <formula>NOT(ISERROR(SEARCH("Sin Información",E325)))</formula>
    </cfRule>
  </conditionalFormatting>
  <conditionalFormatting sqref="C326:D326">
    <cfRule type="containsText" dxfId="7377" priority="9398" operator="containsText" text="NO+$D$4:$D$10">
      <formula>NOT(ISERROR(SEARCH("NO+$D$4:$D$10",C326)))</formula>
    </cfRule>
  </conditionalFormatting>
  <conditionalFormatting sqref="C326:D326">
    <cfRule type="containsText" dxfId="7376" priority="9396" operator="containsText" text="SI">
      <formula>NOT(ISERROR(SEARCH("SI",C326)))</formula>
    </cfRule>
    <cfRule type="containsText" dxfId="7375" priority="9397" operator="containsText" text="NO">
      <formula>NOT(ISERROR(SEARCH("NO",C326)))</formula>
    </cfRule>
  </conditionalFormatting>
  <conditionalFormatting sqref="C326:E326">
    <cfRule type="containsText" dxfId="7374" priority="9395" operator="containsText" text="NUEVO">
      <formula>NOT(ISERROR(SEARCH("NUEVO",C326)))</formula>
    </cfRule>
  </conditionalFormatting>
  <conditionalFormatting sqref="E326">
    <cfRule type="containsText" dxfId="7373" priority="9394" operator="containsText" text="Sin Información">
      <formula>NOT(ISERROR(SEARCH("Sin Información",E326)))</formula>
    </cfRule>
  </conditionalFormatting>
  <conditionalFormatting sqref="C327:D327">
    <cfRule type="containsText" dxfId="7372" priority="9393" operator="containsText" text="NO+$D$4:$D$10">
      <formula>NOT(ISERROR(SEARCH("NO+$D$4:$D$10",C327)))</formula>
    </cfRule>
  </conditionalFormatting>
  <conditionalFormatting sqref="C327:D327">
    <cfRule type="containsText" dxfId="7371" priority="9391" operator="containsText" text="SI">
      <formula>NOT(ISERROR(SEARCH("SI",C327)))</formula>
    </cfRule>
    <cfRule type="containsText" dxfId="7370" priority="9392" operator="containsText" text="NO">
      <formula>NOT(ISERROR(SEARCH("NO",C327)))</formula>
    </cfRule>
  </conditionalFormatting>
  <conditionalFormatting sqref="C327:E327">
    <cfRule type="containsText" dxfId="7369" priority="9390" operator="containsText" text="NUEVO">
      <formula>NOT(ISERROR(SEARCH("NUEVO",C327)))</formula>
    </cfRule>
  </conditionalFormatting>
  <conditionalFormatting sqref="E327">
    <cfRule type="containsText" dxfId="7368" priority="9389" operator="containsText" text="Sin Información">
      <formula>NOT(ISERROR(SEARCH("Sin Información",E327)))</formula>
    </cfRule>
  </conditionalFormatting>
  <conditionalFormatting sqref="C328:D329">
    <cfRule type="containsText" dxfId="7367" priority="9388" operator="containsText" text="NO+$D$4:$D$10">
      <formula>NOT(ISERROR(SEARCH("NO+$D$4:$D$10",C328)))</formula>
    </cfRule>
  </conditionalFormatting>
  <conditionalFormatting sqref="C328:D329">
    <cfRule type="containsText" dxfId="7366" priority="9386" operator="containsText" text="SI">
      <formula>NOT(ISERROR(SEARCH("SI",C328)))</formula>
    </cfRule>
    <cfRule type="containsText" dxfId="7365" priority="9387" operator="containsText" text="NO">
      <formula>NOT(ISERROR(SEARCH("NO",C328)))</formula>
    </cfRule>
  </conditionalFormatting>
  <conditionalFormatting sqref="C328:E329">
    <cfRule type="containsText" dxfId="7364" priority="9385" operator="containsText" text="NUEVO">
      <formula>NOT(ISERROR(SEARCH("NUEVO",C328)))</formula>
    </cfRule>
  </conditionalFormatting>
  <conditionalFormatting sqref="E328:E329">
    <cfRule type="containsText" dxfId="7363" priority="9384" operator="containsText" text="Sin Información">
      <formula>NOT(ISERROR(SEARCH("Sin Información",E328)))</formula>
    </cfRule>
  </conditionalFormatting>
  <conditionalFormatting sqref="C330:D330">
    <cfRule type="containsText" dxfId="7362" priority="9383" operator="containsText" text="NO+$D$4:$D$10">
      <formula>NOT(ISERROR(SEARCH("NO+$D$4:$D$10",C330)))</formula>
    </cfRule>
  </conditionalFormatting>
  <conditionalFormatting sqref="C330:D330">
    <cfRule type="containsText" dxfId="7361" priority="9381" operator="containsText" text="SI">
      <formula>NOT(ISERROR(SEARCH("SI",C330)))</formula>
    </cfRule>
    <cfRule type="containsText" dxfId="7360" priority="9382" operator="containsText" text="NO">
      <formula>NOT(ISERROR(SEARCH("NO",C330)))</formula>
    </cfRule>
  </conditionalFormatting>
  <conditionalFormatting sqref="E330">
    <cfRule type="containsText" dxfId="7359" priority="9380" operator="containsText" text="Sin información">
      <formula>NOT(ISERROR(SEARCH("Sin información",E330)))</formula>
    </cfRule>
  </conditionalFormatting>
  <conditionalFormatting sqref="C330:E330">
    <cfRule type="containsText" dxfId="7358" priority="9379" operator="containsText" text="NUEVO">
      <formula>NOT(ISERROR(SEARCH("NUEVO",C330)))</formula>
    </cfRule>
  </conditionalFormatting>
  <conditionalFormatting sqref="E330">
    <cfRule type="containsText" dxfId="7357" priority="9378" operator="containsText" text="Sin Información">
      <formula>NOT(ISERROR(SEARCH("Sin Información",E330)))</formula>
    </cfRule>
  </conditionalFormatting>
  <conditionalFormatting sqref="E330">
    <cfRule type="containsText" dxfId="7356" priority="9377" operator="containsText" text="Sin información">
      <formula>NOT(ISERROR(SEARCH("Sin información",E330)))</formula>
    </cfRule>
  </conditionalFormatting>
  <conditionalFormatting sqref="C331:D331">
    <cfRule type="containsText" dxfId="7355" priority="9376" operator="containsText" text="NO+$D$4:$D$10">
      <formula>NOT(ISERROR(SEARCH("NO+$D$4:$D$10",C331)))</formula>
    </cfRule>
  </conditionalFormatting>
  <conditionalFormatting sqref="C331:D331">
    <cfRule type="containsText" dxfId="7354" priority="9374" operator="containsText" text="SI">
      <formula>NOT(ISERROR(SEARCH("SI",C331)))</formula>
    </cfRule>
    <cfRule type="containsText" dxfId="7353" priority="9375" operator="containsText" text="NO">
      <formula>NOT(ISERROR(SEARCH("NO",C331)))</formula>
    </cfRule>
  </conditionalFormatting>
  <conditionalFormatting sqref="C331:E331">
    <cfRule type="containsText" dxfId="7352" priority="9373" operator="containsText" text="NUEVO">
      <formula>NOT(ISERROR(SEARCH("NUEVO",C331)))</formula>
    </cfRule>
  </conditionalFormatting>
  <conditionalFormatting sqref="E331">
    <cfRule type="containsText" dxfId="7351" priority="9372" operator="containsText" text="Sin Información">
      <formula>NOT(ISERROR(SEARCH("Sin Información",E331)))</formula>
    </cfRule>
  </conditionalFormatting>
  <conditionalFormatting sqref="E334">
    <cfRule type="containsText" dxfId="7350" priority="9371" operator="containsText" text="NUEVO">
      <formula>NOT(ISERROR(SEARCH("NUEVO",E334)))</formula>
    </cfRule>
  </conditionalFormatting>
  <conditionalFormatting sqref="E334">
    <cfRule type="containsText" dxfId="7349" priority="9370" operator="containsText" text="Sin Información">
      <formula>NOT(ISERROR(SEARCH("Sin Información",E334)))</formula>
    </cfRule>
  </conditionalFormatting>
  <conditionalFormatting sqref="E333">
    <cfRule type="containsText" dxfId="7348" priority="9369" operator="containsText" text="Sin Información">
      <formula>NOT(ISERROR(SEARCH("Sin Información",E333)))</formula>
    </cfRule>
  </conditionalFormatting>
  <conditionalFormatting sqref="E333">
    <cfRule type="containsText" dxfId="7347" priority="9368" operator="containsText" text="NUEVO">
      <formula>NOT(ISERROR(SEARCH("NUEVO",E333)))</formula>
    </cfRule>
  </conditionalFormatting>
  <conditionalFormatting sqref="E335">
    <cfRule type="containsText" dxfId="7346" priority="9367" operator="containsText" text="NUEVO">
      <formula>NOT(ISERROR(SEARCH("NUEVO",E335)))</formula>
    </cfRule>
  </conditionalFormatting>
  <conditionalFormatting sqref="E335">
    <cfRule type="containsText" dxfId="7345" priority="9366" operator="containsText" text="Sin Información">
      <formula>NOT(ISERROR(SEARCH("Sin Información",E335)))</formula>
    </cfRule>
  </conditionalFormatting>
  <conditionalFormatting sqref="E339">
    <cfRule type="containsText" dxfId="7344" priority="9365" operator="containsText" text="NUEVO">
      <formula>NOT(ISERROR(SEARCH("NUEVO",E339)))</formula>
    </cfRule>
  </conditionalFormatting>
  <conditionalFormatting sqref="E339">
    <cfRule type="containsText" dxfId="7343" priority="9364" operator="containsText" text="Sin Información">
      <formula>NOT(ISERROR(SEARCH("Sin Información",E339)))</formula>
    </cfRule>
  </conditionalFormatting>
  <conditionalFormatting sqref="E336:E338">
    <cfRule type="containsText" dxfId="7342" priority="9363" operator="containsText" text="NUEVO">
      <formula>NOT(ISERROR(SEARCH("NUEVO",E336)))</formula>
    </cfRule>
  </conditionalFormatting>
  <conditionalFormatting sqref="E336:E338">
    <cfRule type="containsText" dxfId="7341" priority="9362" operator="containsText" text="Sin Información">
      <formula>NOT(ISERROR(SEARCH("Sin Información",E336)))</formula>
    </cfRule>
  </conditionalFormatting>
  <conditionalFormatting sqref="C344:D344">
    <cfRule type="containsText" dxfId="7340" priority="9361" operator="containsText" text="NO+$D$4:$D$10">
      <formula>NOT(ISERROR(SEARCH("NO+$D$4:$D$10",C344)))</formula>
    </cfRule>
  </conditionalFormatting>
  <conditionalFormatting sqref="C344:D344">
    <cfRule type="containsText" dxfId="7339" priority="9359" operator="containsText" text="SI">
      <formula>NOT(ISERROR(SEARCH("SI",C344)))</formula>
    </cfRule>
    <cfRule type="containsText" dxfId="7338" priority="9360" operator="containsText" text="NO">
      <formula>NOT(ISERROR(SEARCH("NO",C344)))</formula>
    </cfRule>
  </conditionalFormatting>
  <conditionalFormatting sqref="C344:E344">
    <cfRule type="containsText" dxfId="7337" priority="9358" operator="containsText" text="NUEVO">
      <formula>NOT(ISERROR(SEARCH("NUEVO",C344)))</formula>
    </cfRule>
  </conditionalFormatting>
  <conditionalFormatting sqref="E344">
    <cfRule type="containsText" dxfId="7336" priority="9357" operator="containsText" text="Sin Información">
      <formula>NOT(ISERROR(SEARCH("Sin Información",E344)))</formula>
    </cfRule>
  </conditionalFormatting>
  <conditionalFormatting sqref="C345:D345">
    <cfRule type="containsText" dxfId="7335" priority="9356" operator="containsText" text="NO+$D$4:$D$10">
      <formula>NOT(ISERROR(SEARCH("NO+$D$4:$D$10",C345)))</formula>
    </cfRule>
  </conditionalFormatting>
  <conditionalFormatting sqref="C345:D345">
    <cfRule type="containsText" dxfId="7334" priority="9354" operator="containsText" text="SI">
      <formula>NOT(ISERROR(SEARCH("SI",C345)))</formula>
    </cfRule>
    <cfRule type="containsText" dxfId="7333" priority="9355" operator="containsText" text="NO">
      <formula>NOT(ISERROR(SEARCH("NO",C345)))</formula>
    </cfRule>
  </conditionalFormatting>
  <conditionalFormatting sqref="C345:E345">
    <cfRule type="containsText" dxfId="7332" priority="9353" operator="containsText" text="NUEVO">
      <formula>NOT(ISERROR(SEARCH("NUEVO",C345)))</formula>
    </cfRule>
  </conditionalFormatting>
  <conditionalFormatting sqref="E345">
    <cfRule type="containsText" dxfId="7331" priority="9352" operator="containsText" text="Sin Información">
      <formula>NOT(ISERROR(SEARCH("Sin Información",E345)))</formula>
    </cfRule>
  </conditionalFormatting>
  <conditionalFormatting sqref="C346:D350">
    <cfRule type="containsText" dxfId="7330" priority="9351" operator="containsText" text="NO+$D$4:$D$10">
      <formula>NOT(ISERROR(SEARCH("NO+$D$4:$D$10",C346)))</formula>
    </cfRule>
  </conditionalFormatting>
  <conditionalFormatting sqref="C346:D350">
    <cfRule type="containsText" dxfId="7329" priority="9349" operator="containsText" text="SI">
      <formula>NOT(ISERROR(SEARCH("SI",C346)))</formula>
    </cfRule>
    <cfRule type="containsText" dxfId="7328" priority="9350" operator="containsText" text="NO">
      <formula>NOT(ISERROR(SEARCH("NO",C346)))</formula>
    </cfRule>
  </conditionalFormatting>
  <conditionalFormatting sqref="C346:E350">
    <cfRule type="containsText" dxfId="7327" priority="9348" operator="containsText" text="NUEVO">
      <formula>NOT(ISERROR(SEARCH("NUEVO",C346)))</formula>
    </cfRule>
  </conditionalFormatting>
  <conditionalFormatting sqref="E346:E350">
    <cfRule type="containsText" dxfId="7326" priority="9347" operator="containsText" text="Sin Información">
      <formula>NOT(ISERROR(SEARCH("Sin Información",E346)))</formula>
    </cfRule>
  </conditionalFormatting>
  <conditionalFormatting sqref="C351:D354">
    <cfRule type="containsText" dxfId="7325" priority="9346" operator="containsText" text="NO+$D$4:$D$10">
      <formula>NOT(ISERROR(SEARCH("NO+$D$4:$D$10",C351)))</formula>
    </cfRule>
  </conditionalFormatting>
  <conditionalFormatting sqref="C351:D354">
    <cfRule type="containsText" dxfId="7324" priority="9344" operator="containsText" text="SI">
      <formula>NOT(ISERROR(SEARCH("SI",C351)))</formula>
    </cfRule>
    <cfRule type="containsText" dxfId="7323" priority="9345" operator="containsText" text="NO">
      <formula>NOT(ISERROR(SEARCH("NO",C351)))</formula>
    </cfRule>
  </conditionalFormatting>
  <conditionalFormatting sqref="E351 C351:D354">
    <cfRule type="containsText" dxfId="7322" priority="9343" operator="containsText" text="NUEVO">
      <formula>NOT(ISERROR(SEARCH("NUEVO",C351)))</formula>
    </cfRule>
  </conditionalFormatting>
  <conditionalFormatting sqref="E351">
    <cfRule type="containsText" dxfId="7321" priority="9342" operator="containsText" text="Sin Información">
      <formula>NOT(ISERROR(SEARCH("Sin Información",E351)))</formula>
    </cfRule>
  </conditionalFormatting>
  <conditionalFormatting sqref="E352:E354">
    <cfRule type="containsText" dxfId="7320" priority="9339" operator="containsText" text="NUEVO">
      <formula>NOT(ISERROR(SEARCH("NUEVO",E352)))</formula>
    </cfRule>
  </conditionalFormatting>
  <conditionalFormatting sqref="E352:E354">
    <cfRule type="containsText" dxfId="7319" priority="9338" operator="containsText" text="Sin Información">
      <formula>NOT(ISERROR(SEARCH("Sin Información",E352)))</formula>
    </cfRule>
  </conditionalFormatting>
  <conditionalFormatting sqref="C355:D359">
    <cfRule type="containsText" dxfId="7318" priority="9337" operator="containsText" text="NO+$D$4:$D$10">
      <formula>NOT(ISERROR(SEARCH("NO+$D$4:$D$10",C355)))</formula>
    </cfRule>
  </conditionalFormatting>
  <conditionalFormatting sqref="C355:D359">
    <cfRule type="containsText" dxfId="7317" priority="9335" operator="containsText" text="SI">
      <formula>NOT(ISERROR(SEARCH("SI",C355)))</formula>
    </cfRule>
    <cfRule type="containsText" dxfId="7316" priority="9336" operator="containsText" text="NO">
      <formula>NOT(ISERROR(SEARCH("NO",C355)))</formula>
    </cfRule>
  </conditionalFormatting>
  <conditionalFormatting sqref="E357:E359 C355:D359">
    <cfRule type="containsText" dxfId="7315" priority="9334" operator="containsText" text="NUEVO">
      <formula>NOT(ISERROR(SEARCH("NUEVO",C355)))</formula>
    </cfRule>
  </conditionalFormatting>
  <conditionalFormatting sqref="E357:E359">
    <cfRule type="containsText" dxfId="7314" priority="9333" operator="containsText" text="Sin Información">
      <formula>NOT(ISERROR(SEARCH("Sin Información",E357)))</formula>
    </cfRule>
  </conditionalFormatting>
  <conditionalFormatting sqref="E355">
    <cfRule type="containsText" dxfId="7313" priority="9332" operator="containsText" text="NUEVO">
      <formula>NOT(ISERROR(SEARCH("NUEVO",E355)))</formula>
    </cfRule>
  </conditionalFormatting>
  <conditionalFormatting sqref="E355">
    <cfRule type="containsText" dxfId="7312" priority="9331" operator="containsText" text="Sin Información">
      <formula>NOT(ISERROR(SEARCH("Sin Información",E355)))</formula>
    </cfRule>
  </conditionalFormatting>
  <conditionalFormatting sqref="E356">
    <cfRule type="containsText" dxfId="7311" priority="9330" operator="containsText" text="NUEVO">
      <formula>NOT(ISERROR(SEARCH("NUEVO",E356)))</formula>
    </cfRule>
  </conditionalFormatting>
  <conditionalFormatting sqref="E356">
    <cfRule type="containsText" dxfId="7310" priority="9329" operator="containsText" text="Sin Información">
      <formula>NOT(ISERROR(SEARCH("Sin Información",E356)))</formula>
    </cfRule>
  </conditionalFormatting>
  <conditionalFormatting sqref="C360:D360">
    <cfRule type="containsText" dxfId="7309" priority="9328" operator="containsText" text="NO+$D$4:$D$10">
      <formula>NOT(ISERROR(SEARCH("NO+$D$4:$D$10",C360)))</formula>
    </cfRule>
  </conditionalFormatting>
  <conditionalFormatting sqref="C360:D360">
    <cfRule type="containsText" dxfId="7308" priority="9326" operator="containsText" text="SI">
      <formula>NOT(ISERROR(SEARCH("SI",C360)))</formula>
    </cfRule>
    <cfRule type="containsText" dxfId="7307" priority="9327" operator="containsText" text="NO">
      <formula>NOT(ISERROR(SEARCH("NO",C360)))</formula>
    </cfRule>
  </conditionalFormatting>
  <conditionalFormatting sqref="C360:D360">
    <cfRule type="containsText" dxfId="7306" priority="9325" operator="containsText" text="NUEVO">
      <formula>NOT(ISERROR(SEARCH("NUEVO",C360)))</formula>
    </cfRule>
  </conditionalFormatting>
  <conditionalFormatting sqref="E360">
    <cfRule type="containsText" dxfId="7305" priority="9324" operator="containsText" text="NUEVO">
      <formula>NOT(ISERROR(SEARCH("NUEVO",E360)))</formula>
    </cfRule>
  </conditionalFormatting>
  <conditionalFormatting sqref="E360">
    <cfRule type="containsText" dxfId="7304" priority="9323" operator="containsText" text="Sin Información">
      <formula>NOT(ISERROR(SEARCH("Sin Información",E360)))</formula>
    </cfRule>
  </conditionalFormatting>
  <conditionalFormatting sqref="C361:D361">
    <cfRule type="containsText" dxfId="7303" priority="9322" operator="containsText" text="NO+$D$4:$D$10">
      <formula>NOT(ISERROR(SEARCH("NO+$D$4:$D$10",C361)))</formula>
    </cfRule>
  </conditionalFormatting>
  <conditionalFormatting sqref="C361:D361">
    <cfRule type="containsText" dxfId="7302" priority="9320" operator="containsText" text="SI">
      <formula>NOT(ISERROR(SEARCH("SI",C361)))</formula>
    </cfRule>
    <cfRule type="containsText" dxfId="7301" priority="9321" operator="containsText" text="NO">
      <formula>NOT(ISERROR(SEARCH("NO",C361)))</formula>
    </cfRule>
  </conditionalFormatting>
  <conditionalFormatting sqref="C361:E361">
    <cfRule type="containsText" dxfId="7300" priority="9319" operator="containsText" text="NUEVO">
      <formula>NOT(ISERROR(SEARCH("NUEVO",C361)))</formula>
    </cfRule>
  </conditionalFormatting>
  <conditionalFormatting sqref="E361">
    <cfRule type="containsText" dxfId="7299" priority="9318" operator="containsText" text="Sin Información">
      <formula>NOT(ISERROR(SEARCH("Sin Información",E361)))</formula>
    </cfRule>
  </conditionalFormatting>
  <conditionalFormatting sqref="C362:D362">
    <cfRule type="containsText" dxfId="7298" priority="9317" operator="containsText" text="NO+$D$4:$D$10">
      <formula>NOT(ISERROR(SEARCH("NO+$D$4:$D$10",C362)))</formula>
    </cfRule>
  </conditionalFormatting>
  <conditionalFormatting sqref="C362:D362">
    <cfRule type="containsText" dxfId="7297" priority="9315" operator="containsText" text="SI">
      <formula>NOT(ISERROR(SEARCH("SI",C362)))</formula>
    </cfRule>
    <cfRule type="containsText" dxfId="7296" priority="9316" operator="containsText" text="NO">
      <formula>NOT(ISERROR(SEARCH("NO",C362)))</formula>
    </cfRule>
  </conditionalFormatting>
  <conditionalFormatting sqref="C362:E362">
    <cfRule type="containsText" dxfId="7295" priority="9314" operator="containsText" text="NUEVO">
      <formula>NOT(ISERROR(SEARCH("NUEVO",C362)))</formula>
    </cfRule>
  </conditionalFormatting>
  <conditionalFormatting sqref="E362">
    <cfRule type="containsText" dxfId="7294" priority="9313" operator="containsText" text="Sin Información">
      <formula>NOT(ISERROR(SEARCH("Sin Información",E362)))</formula>
    </cfRule>
  </conditionalFormatting>
  <conditionalFormatting sqref="C363:D363">
    <cfRule type="containsText" dxfId="7293" priority="9312" operator="containsText" text="NO+$D$4:$D$10">
      <formula>NOT(ISERROR(SEARCH("NO+$D$4:$D$10",C363)))</formula>
    </cfRule>
  </conditionalFormatting>
  <conditionalFormatting sqref="C363:D363">
    <cfRule type="containsText" dxfId="7292" priority="9310" operator="containsText" text="SI">
      <formula>NOT(ISERROR(SEARCH("SI",C363)))</formula>
    </cfRule>
    <cfRule type="containsText" dxfId="7291" priority="9311" operator="containsText" text="NO">
      <formula>NOT(ISERROR(SEARCH("NO",C363)))</formula>
    </cfRule>
  </conditionalFormatting>
  <conditionalFormatting sqref="C363:E363">
    <cfRule type="containsText" dxfId="7290" priority="9309" operator="containsText" text="NUEVO">
      <formula>NOT(ISERROR(SEARCH("NUEVO",C363)))</formula>
    </cfRule>
  </conditionalFormatting>
  <conditionalFormatting sqref="E363">
    <cfRule type="containsText" dxfId="7289" priority="9308" operator="containsText" text="Sin Información">
      <formula>NOT(ISERROR(SEARCH("Sin Información",E363)))</formula>
    </cfRule>
  </conditionalFormatting>
  <conditionalFormatting sqref="C364:D364">
    <cfRule type="containsText" dxfId="7288" priority="9307" operator="containsText" text="NO+$D$4:$D$10">
      <formula>NOT(ISERROR(SEARCH("NO+$D$4:$D$10",C364)))</formula>
    </cfRule>
  </conditionalFormatting>
  <conditionalFormatting sqref="C364:D364">
    <cfRule type="containsText" dxfId="7287" priority="9305" operator="containsText" text="SI">
      <formula>NOT(ISERROR(SEARCH("SI",C364)))</formula>
    </cfRule>
    <cfRule type="containsText" dxfId="7286" priority="9306" operator="containsText" text="NO">
      <formula>NOT(ISERROR(SEARCH("NO",C364)))</formula>
    </cfRule>
  </conditionalFormatting>
  <conditionalFormatting sqref="C364:E364">
    <cfRule type="containsText" dxfId="7285" priority="9304" operator="containsText" text="NUEVO">
      <formula>NOT(ISERROR(SEARCH("NUEVO",C364)))</formula>
    </cfRule>
  </conditionalFormatting>
  <conditionalFormatting sqref="E364">
    <cfRule type="containsText" dxfId="7284" priority="9303" operator="containsText" text="Sin Información">
      <formula>NOT(ISERROR(SEARCH("Sin Información",E364)))</formula>
    </cfRule>
  </conditionalFormatting>
  <conditionalFormatting sqref="C365:D365">
    <cfRule type="containsText" dxfId="7283" priority="9302" operator="containsText" text="NO+$D$4:$D$10">
      <formula>NOT(ISERROR(SEARCH("NO+$D$4:$D$10",C365)))</formula>
    </cfRule>
  </conditionalFormatting>
  <conditionalFormatting sqref="C365:D365">
    <cfRule type="containsText" dxfId="7282" priority="9300" operator="containsText" text="SI">
      <formula>NOT(ISERROR(SEARCH("SI",C365)))</formula>
    </cfRule>
    <cfRule type="containsText" dxfId="7281" priority="9301" operator="containsText" text="NO">
      <formula>NOT(ISERROR(SEARCH("NO",C365)))</formula>
    </cfRule>
  </conditionalFormatting>
  <conditionalFormatting sqref="C365:E365">
    <cfRule type="containsText" dxfId="7280" priority="9299" operator="containsText" text="NUEVO">
      <formula>NOT(ISERROR(SEARCH("NUEVO",C365)))</formula>
    </cfRule>
  </conditionalFormatting>
  <conditionalFormatting sqref="E365">
    <cfRule type="containsText" dxfId="7279" priority="9298" operator="containsText" text="Sin Información">
      <formula>NOT(ISERROR(SEARCH("Sin Información",E365)))</formula>
    </cfRule>
  </conditionalFormatting>
  <conditionalFormatting sqref="C366:D366">
    <cfRule type="containsText" dxfId="7278" priority="9297" operator="containsText" text="NO+$D$4:$D$10">
      <formula>NOT(ISERROR(SEARCH("NO+$D$4:$D$10",C366)))</formula>
    </cfRule>
  </conditionalFormatting>
  <conditionalFormatting sqref="C366:D366">
    <cfRule type="containsText" dxfId="7277" priority="9295" operator="containsText" text="SI">
      <formula>NOT(ISERROR(SEARCH("SI",C366)))</formula>
    </cfRule>
    <cfRule type="containsText" dxfId="7276" priority="9296" operator="containsText" text="NO">
      <formula>NOT(ISERROR(SEARCH("NO",C366)))</formula>
    </cfRule>
  </conditionalFormatting>
  <conditionalFormatting sqref="C366:D366">
    <cfRule type="containsText" dxfId="7275" priority="9294" operator="containsText" text="NUEVO">
      <formula>NOT(ISERROR(SEARCH("NUEVO",C366)))</formula>
    </cfRule>
  </conditionalFormatting>
  <conditionalFormatting sqref="E366">
    <cfRule type="containsText" dxfId="7274" priority="9293" operator="containsText" text="NUEVO">
      <formula>NOT(ISERROR(SEARCH("NUEVO",E366)))</formula>
    </cfRule>
  </conditionalFormatting>
  <conditionalFormatting sqref="E366">
    <cfRule type="containsText" dxfId="7273" priority="9292" operator="containsText" text="Sin Información">
      <formula>NOT(ISERROR(SEARCH("Sin Información",E366)))</formula>
    </cfRule>
  </conditionalFormatting>
  <conditionalFormatting sqref="C367:D367">
    <cfRule type="containsText" dxfId="7272" priority="9291" operator="containsText" text="NO+$D$4:$D$10">
      <formula>NOT(ISERROR(SEARCH("NO+$D$4:$D$10",C367)))</formula>
    </cfRule>
  </conditionalFormatting>
  <conditionalFormatting sqref="C367:D367">
    <cfRule type="containsText" dxfId="7271" priority="9289" operator="containsText" text="SI">
      <formula>NOT(ISERROR(SEARCH("SI",C367)))</formula>
    </cfRule>
    <cfRule type="containsText" dxfId="7270" priority="9290" operator="containsText" text="NO">
      <formula>NOT(ISERROR(SEARCH("NO",C367)))</formula>
    </cfRule>
  </conditionalFormatting>
  <conditionalFormatting sqref="C367:D367">
    <cfRule type="containsText" dxfId="7269" priority="9288" operator="containsText" text="NUEVO">
      <formula>NOT(ISERROR(SEARCH("NUEVO",C367)))</formula>
    </cfRule>
  </conditionalFormatting>
  <conditionalFormatting sqref="E367">
    <cfRule type="containsText" dxfId="7268" priority="9287" operator="containsText" text="NUEVO">
      <formula>NOT(ISERROR(SEARCH("NUEVO",E367)))</formula>
    </cfRule>
  </conditionalFormatting>
  <conditionalFormatting sqref="E367">
    <cfRule type="containsText" dxfId="7267" priority="9286" operator="containsText" text="Sin Información">
      <formula>NOT(ISERROR(SEARCH("Sin Información",E367)))</formula>
    </cfRule>
  </conditionalFormatting>
  <conditionalFormatting sqref="C368:D368">
    <cfRule type="containsText" dxfId="7266" priority="9285" operator="containsText" text="NO+$D$4:$D$10">
      <formula>NOT(ISERROR(SEARCH("NO+$D$4:$D$10",C368)))</formula>
    </cfRule>
  </conditionalFormatting>
  <conditionalFormatting sqref="C368:D368">
    <cfRule type="containsText" dxfId="7265" priority="9283" operator="containsText" text="SI">
      <formula>NOT(ISERROR(SEARCH("SI",C368)))</formula>
    </cfRule>
    <cfRule type="containsText" dxfId="7264" priority="9284" operator="containsText" text="NO">
      <formula>NOT(ISERROR(SEARCH("NO",C368)))</formula>
    </cfRule>
  </conditionalFormatting>
  <conditionalFormatting sqref="C368:D368">
    <cfRule type="containsText" dxfId="7263" priority="9282" operator="containsText" text="NUEVO">
      <formula>NOT(ISERROR(SEARCH("NUEVO",C368)))</formula>
    </cfRule>
  </conditionalFormatting>
  <conditionalFormatting sqref="E368">
    <cfRule type="containsText" dxfId="7262" priority="9281" operator="containsText" text="NUEVO">
      <formula>NOT(ISERROR(SEARCH("NUEVO",E368)))</formula>
    </cfRule>
  </conditionalFormatting>
  <conditionalFormatting sqref="E368">
    <cfRule type="containsText" dxfId="7261" priority="9280" operator="containsText" text="Sin Información">
      <formula>NOT(ISERROR(SEARCH("Sin Información",E368)))</formula>
    </cfRule>
  </conditionalFormatting>
  <conditionalFormatting sqref="C369:D369">
    <cfRule type="containsText" dxfId="7260" priority="9279" operator="containsText" text="NO+$D$4:$D$10">
      <formula>NOT(ISERROR(SEARCH("NO+$D$4:$D$10",C369)))</formula>
    </cfRule>
  </conditionalFormatting>
  <conditionalFormatting sqref="C369:D369">
    <cfRule type="containsText" dxfId="7259" priority="9277" operator="containsText" text="SI">
      <formula>NOT(ISERROR(SEARCH("SI",C369)))</formula>
    </cfRule>
    <cfRule type="containsText" dxfId="7258" priority="9278" operator="containsText" text="NO">
      <formula>NOT(ISERROR(SEARCH("NO",C369)))</formula>
    </cfRule>
  </conditionalFormatting>
  <conditionalFormatting sqref="C369:D369">
    <cfRule type="containsText" dxfId="7257" priority="9276" operator="containsText" text="NUEVO">
      <formula>NOT(ISERROR(SEARCH("NUEVO",C369)))</formula>
    </cfRule>
  </conditionalFormatting>
  <conditionalFormatting sqref="E369">
    <cfRule type="containsText" dxfId="7256" priority="9275" operator="containsText" text="NUEVO">
      <formula>NOT(ISERROR(SEARCH("NUEVO",E369)))</formula>
    </cfRule>
  </conditionalFormatting>
  <conditionalFormatting sqref="E369">
    <cfRule type="containsText" dxfId="7255" priority="9274" operator="containsText" text="Sin Información">
      <formula>NOT(ISERROR(SEARCH("Sin Información",E369)))</formula>
    </cfRule>
  </conditionalFormatting>
  <conditionalFormatting sqref="C370:D370">
    <cfRule type="containsText" dxfId="7254" priority="9273" operator="containsText" text="NO+$D$4:$D$10">
      <formula>NOT(ISERROR(SEARCH("NO+$D$4:$D$10",C370)))</formula>
    </cfRule>
  </conditionalFormatting>
  <conditionalFormatting sqref="C370:D370">
    <cfRule type="containsText" dxfId="7253" priority="9271" operator="containsText" text="SI">
      <formula>NOT(ISERROR(SEARCH("SI",C370)))</formula>
    </cfRule>
    <cfRule type="containsText" dxfId="7252" priority="9272" operator="containsText" text="NO">
      <formula>NOT(ISERROR(SEARCH("NO",C370)))</formula>
    </cfRule>
  </conditionalFormatting>
  <conditionalFormatting sqref="C370:D370">
    <cfRule type="containsText" dxfId="7251" priority="9270" operator="containsText" text="NUEVO">
      <formula>NOT(ISERROR(SEARCH("NUEVO",C370)))</formula>
    </cfRule>
  </conditionalFormatting>
  <conditionalFormatting sqref="E370">
    <cfRule type="containsText" dxfId="7250" priority="9269" operator="containsText" text="NUEVO">
      <formula>NOT(ISERROR(SEARCH("NUEVO",E370)))</formula>
    </cfRule>
  </conditionalFormatting>
  <conditionalFormatting sqref="E370">
    <cfRule type="containsText" dxfId="7249" priority="9268" operator="containsText" text="Sin Información">
      <formula>NOT(ISERROR(SEARCH("Sin Información",E370)))</formula>
    </cfRule>
  </conditionalFormatting>
  <conditionalFormatting sqref="C371:D371">
    <cfRule type="containsText" dxfId="7248" priority="9261" operator="containsText" text="NO+$D$4:$D$10">
      <formula>NOT(ISERROR(SEARCH("NO+$D$4:$D$10",C371)))</formula>
    </cfRule>
  </conditionalFormatting>
  <conditionalFormatting sqref="C371:D371">
    <cfRule type="containsText" dxfId="7247" priority="9259" operator="containsText" text="SI">
      <formula>NOT(ISERROR(SEARCH("SI",C371)))</formula>
    </cfRule>
    <cfRule type="containsText" dxfId="7246" priority="9260" operator="containsText" text="NO">
      <formula>NOT(ISERROR(SEARCH("NO",C371)))</formula>
    </cfRule>
  </conditionalFormatting>
  <conditionalFormatting sqref="C371:D371">
    <cfRule type="containsText" dxfId="7245" priority="9258" operator="containsText" text="NUEVO">
      <formula>NOT(ISERROR(SEARCH("NUEVO",C371)))</formula>
    </cfRule>
  </conditionalFormatting>
  <conditionalFormatting sqref="E371">
    <cfRule type="containsText" dxfId="7244" priority="9257" operator="containsText" text="NUEVO">
      <formula>NOT(ISERROR(SEARCH("NUEVO",E371)))</formula>
    </cfRule>
  </conditionalFormatting>
  <conditionalFormatting sqref="E371">
    <cfRule type="containsText" dxfId="7243" priority="9256" operator="containsText" text="Sin Información">
      <formula>NOT(ISERROR(SEARCH("Sin Información",E371)))</formula>
    </cfRule>
  </conditionalFormatting>
  <conditionalFormatting sqref="C372:D372">
    <cfRule type="containsText" dxfId="7242" priority="9255" operator="containsText" text="NO+$D$4:$D$10">
      <formula>NOT(ISERROR(SEARCH("NO+$D$4:$D$10",C372)))</formula>
    </cfRule>
  </conditionalFormatting>
  <conditionalFormatting sqref="C372:D372">
    <cfRule type="containsText" dxfId="7241" priority="9253" operator="containsText" text="SI">
      <formula>NOT(ISERROR(SEARCH("SI",C372)))</formula>
    </cfRule>
    <cfRule type="containsText" dxfId="7240" priority="9254" operator="containsText" text="NO">
      <formula>NOT(ISERROR(SEARCH("NO",C372)))</formula>
    </cfRule>
  </conditionalFormatting>
  <conditionalFormatting sqref="C372:D372">
    <cfRule type="containsText" dxfId="7239" priority="9252" operator="containsText" text="NUEVO">
      <formula>NOT(ISERROR(SEARCH("NUEVO",C372)))</formula>
    </cfRule>
  </conditionalFormatting>
  <conditionalFormatting sqref="E372">
    <cfRule type="containsText" dxfId="7238" priority="9251" operator="containsText" text="NUEVO">
      <formula>NOT(ISERROR(SEARCH("NUEVO",E372)))</formula>
    </cfRule>
  </conditionalFormatting>
  <conditionalFormatting sqref="E372">
    <cfRule type="containsText" dxfId="7237" priority="9250" operator="containsText" text="Sin Información">
      <formula>NOT(ISERROR(SEARCH("Sin Información",E372)))</formula>
    </cfRule>
  </conditionalFormatting>
  <conditionalFormatting sqref="C373:D373">
    <cfRule type="containsText" dxfId="7236" priority="9249" operator="containsText" text="NO+$D$4:$D$10">
      <formula>NOT(ISERROR(SEARCH("NO+$D$4:$D$10",C373)))</formula>
    </cfRule>
  </conditionalFormatting>
  <conditionalFormatting sqref="C373:D373">
    <cfRule type="containsText" dxfId="7235" priority="9247" operator="containsText" text="SI">
      <formula>NOT(ISERROR(SEARCH("SI",C373)))</formula>
    </cfRule>
    <cfRule type="containsText" dxfId="7234" priority="9248" operator="containsText" text="NO">
      <formula>NOT(ISERROR(SEARCH("NO",C373)))</formula>
    </cfRule>
  </conditionalFormatting>
  <conditionalFormatting sqref="C373:D373">
    <cfRule type="containsText" dxfId="7233" priority="9246" operator="containsText" text="NUEVO">
      <formula>NOT(ISERROR(SEARCH("NUEVO",C373)))</formula>
    </cfRule>
  </conditionalFormatting>
  <conditionalFormatting sqref="E373">
    <cfRule type="containsText" dxfId="7232" priority="9245" operator="containsText" text="NUEVO">
      <formula>NOT(ISERROR(SEARCH("NUEVO",E373)))</formula>
    </cfRule>
  </conditionalFormatting>
  <conditionalFormatting sqref="E373">
    <cfRule type="containsText" dxfId="7231" priority="9244" operator="containsText" text="Sin Información">
      <formula>NOT(ISERROR(SEARCH("Sin Información",E373)))</formula>
    </cfRule>
  </conditionalFormatting>
  <conditionalFormatting sqref="C374:D374">
    <cfRule type="containsText" dxfId="7230" priority="9243" operator="containsText" text="NO+$D$4:$D$10">
      <formula>NOT(ISERROR(SEARCH("NO+$D$4:$D$10",C374)))</formula>
    </cfRule>
  </conditionalFormatting>
  <conditionalFormatting sqref="C374:D374">
    <cfRule type="containsText" dxfId="7229" priority="9241" operator="containsText" text="SI">
      <formula>NOT(ISERROR(SEARCH("SI",C374)))</formula>
    </cfRule>
    <cfRule type="containsText" dxfId="7228" priority="9242" operator="containsText" text="NO">
      <formula>NOT(ISERROR(SEARCH("NO",C374)))</formula>
    </cfRule>
  </conditionalFormatting>
  <conditionalFormatting sqref="C374:E374">
    <cfRule type="containsText" dxfId="7227" priority="9240" operator="containsText" text="NUEVO">
      <formula>NOT(ISERROR(SEARCH("NUEVO",C374)))</formula>
    </cfRule>
  </conditionalFormatting>
  <conditionalFormatting sqref="E374">
    <cfRule type="containsText" dxfId="7226" priority="9239" operator="containsText" text="Sin Información">
      <formula>NOT(ISERROR(SEARCH("Sin Información",E374)))</formula>
    </cfRule>
  </conditionalFormatting>
  <conditionalFormatting sqref="C378:D378">
    <cfRule type="containsText" dxfId="7225" priority="9238" operator="containsText" text="NO+$D$4:$D$10">
      <formula>NOT(ISERROR(SEARCH("NO+$D$4:$D$10",C378)))</formula>
    </cfRule>
  </conditionalFormatting>
  <conditionalFormatting sqref="C378:D378">
    <cfRule type="containsText" dxfId="7224" priority="9236" operator="containsText" text="SI">
      <formula>NOT(ISERROR(SEARCH("SI",C378)))</formula>
    </cfRule>
    <cfRule type="containsText" dxfId="7223" priority="9237" operator="containsText" text="NO">
      <formula>NOT(ISERROR(SEARCH("NO",C378)))</formula>
    </cfRule>
  </conditionalFormatting>
  <conditionalFormatting sqref="C378:D378">
    <cfRule type="containsText" dxfId="7222" priority="9235" operator="containsText" text="NUEVO">
      <formula>NOT(ISERROR(SEARCH("NUEVO",C378)))</formula>
    </cfRule>
  </conditionalFormatting>
  <conditionalFormatting sqref="E378">
    <cfRule type="containsText" dxfId="7221" priority="9234" operator="containsText" text="NUEVO">
      <formula>NOT(ISERROR(SEARCH("NUEVO",E378)))</formula>
    </cfRule>
  </conditionalFormatting>
  <conditionalFormatting sqref="E378">
    <cfRule type="containsText" dxfId="7220" priority="9233" operator="containsText" text="Sin Información">
      <formula>NOT(ISERROR(SEARCH("Sin Información",E378)))</formula>
    </cfRule>
  </conditionalFormatting>
  <conditionalFormatting sqref="C379:D379">
    <cfRule type="containsText" dxfId="7219" priority="9232" operator="containsText" text="NO+$D$4:$D$10">
      <formula>NOT(ISERROR(SEARCH("NO+$D$4:$D$10",C379)))</formula>
    </cfRule>
  </conditionalFormatting>
  <conditionalFormatting sqref="C379:D379">
    <cfRule type="containsText" dxfId="7218" priority="9230" operator="containsText" text="SI">
      <formula>NOT(ISERROR(SEARCH("SI",C379)))</formula>
    </cfRule>
    <cfRule type="containsText" dxfId="7217" priority="9231" operator="containsText" text="NO">
      <formula>NOT(ISERROR(SEARCH("NO",C379)))</formula>
    </cfRule>
  </conditionalFormatting>
  <conditionalFormatting sqref="C379:E379">
    <cfRule type="containsText" dxfId="7216" priority="9229" operator="containsText" text="NUEVO">
      <formula>NOT(ISERROR(SEARCH("NUEVO",C379)))</formula>
    </cfRule>
  </conditionalFormatting>
  <conditionalFormatting sqref="E379">
    <cfRule type="containsText" dxfId="7215" priority="9228" operator="containsText" text="Sin Información">
      <formula>NOT(ISERROR(SEARCH("Sin Información",E379)))</formula>
    </cfRule>
  </conditionalFormatting>
  <conditionalFormatting sqref="E380">
    <cfRule type="containsText" dxfId="7214" priority="9227" operator="containsText" text="NUEVO">
      <formula>NOT(ISERROR(SEARCH("NUEVO",E380)))</formula>
    </cfRule>
  </conditionalFormatting>
  <conditionalFormatting sqref="E380">
    <cfRule type="containsText" dxfId="7213" priority="9226" operator="containsText" text="Sin Información">
      <formula>NOT(ISERROR(SEARCH("Sin Información",E380)))</formula>
    </cfRule>
  </conditionalFormatting>
  <conditionalFormatting sqref="C381:D381">
    <cfRule type="containsText" dxfId="7212" priority="9225" operator="containsText" text="NO+$D$4:$D$10">
      <formula>NOT(ISERROR(SEARCH("NO+$D$4:$D$10",C381)))</formula>
    </cfRule>
  </conditionalFormatting>
  <conditionalFormatting sqref="C381:D381">
    <cfRule type="containsText" dxfId="7211" priority="9223" operator="containsText" text="SI">
      <formula>NOT(ISERROR(SEARCH("SI",C381)))</formula>
    </cfRule>
    <cfRule type="containsText" dxfId="7210" priority="9224" operator="containsText" text="NO">
      <formula>NOT(ISERROR(SEARCH("NO",C381)))</formula>
    </cfRule>
  </conditionalFormatting>
  <conditionalFormatting sqref="C381:E381">
    <cfRule type="containsText" dxfId="7209" priority="9222" operator="containsText" text="NUEVO">
      <formula>NOT(ISERROR(SEARCH("NUEVO",C381)))</formula>
    </cfRule>
  </conditionalFormatting>
  <conditionalFormatting sqref="E381">
    <cfRule type="containsText" dxfId="7208" priority="9221" operator="containsText" text="Sin Información">
      <formula>NOT(ISERROR(SEARCH("Sin Información",E381)))</formula>
    </cfRule>
  </conditionalFormatting>
  <conditionalFormatting sqref="C383:D383">
    <cfRule type="containsText" dxfId="7207" priority="9220" operator="containsText" text="NO+$D$4:$D$10">
      <formula>NOT(ISERROR(SEARCH("NO+$D$4:$D$10",C383)))</formula>
    </cfRule>
  </conditionalFormatting>
  <conditionalFormatting sqref="C383:D383">
    <cfRule type="containsText" dxfId="7206" priority="9218" operator="containsText" text="SI">
      <formula>NOT(ISERROR(SEARCH("SI",C383)))</formula>
    </cfRule>
    <cfRule type="containsText" dxfId="7205" priority="9219" operator="containsText" text="NO">
      <formula>NOT(ISERROR(SEARCH("NO",C383)))</formula>
    </cfRule>
  </conditionalFormatting>
  <conditionalFormatting sqref="C383:E383">
    <cfRule type="containsText" dxfId="7204" priority="9217" operator="containsText" text="NUEVO">
      <formula>NOT(ISERROR(SEARCH("NUEVO",C383)))</formula>
    </cfRule>
  </conditionalFormatting>
  <conditionalFormatting sqref="E383">
    <cfRule type="containsText" dxfId="7203" priority="9216" operator="containsText" text="Sin Información">
      <formula>NOT(ISERROR(SEARCH("Sin Información",E383)))</formula>
    </cfRule>
  </conditionalFormatting>
  <conditionalFormatting sqref="C384:D384">
    <cfRule type="containsText" dxfId="7202" priority="9215" operator="containsText" text="NO+$D$4:$D$10">
      <formula>NOT(ISERROR(SEARCH("NO+$D$4:$D$10",C384)))</formula>
    </cfRule>
  </conditionalFormatting>
  <conditionalFormatting sqref="C384:D384">
    <cfRule type="containsText" dxfId="7201" priority="9213" operator="containsText" text="SI">
      <formula>NOT(ISERROR(SEARCH("SI",C384)))</formula>
    </cfRule>
    <cfRule type="containsText" dxfId="7200" priority="9214" operator="containsText" text="NO">
      <formula>NOT(ISERROR(SEARCH("NO",C384)))</formula>
    </cfRule>
  </conditionalFormatting>
  <conditionalFormatting sqref="C384:E384">
    <cfRule type="containsText" dxfId="7199" priority="9212" operator="containsText" text="NUEVO">
      <formula>NOT(ISERROR(SEARCH("NUEVO",C384)))</formula>
    </cfRule>
  </conditionalFormatting>
  <conditionalFormatting sqref="E384">
    <cfRule type="containsText" dxfId="7198" priority="9211" operator="containsText" text="Sin Información">
      <formula>NOT(ISERROR(SEARCH("Sin Información",E384)))</formula>
    </cfRule>
  </conditionalFormatting>
  <conditionalFormatting sqref="C385:D385">
    <cfRule type="containsText" dxfId="7197" priority="9210" operator="containsText" text="NO+$D$4:$D$10">
      <formula>NOT(ISERROR(SEARCH("NO+$D$4:$D$10",C385)))</formula>
    </cfRule>
  </conditionalFormatting>
  <conditionalFormatting sqref="C385:D385">
    <cfRule type="containsText" dxfId="7196" priority="9208" operator="containsText" text="SI">
      <formula>NOT(ISERROR(SEARCH("SI",C385)))</formula>
    </cfRule>
    <cfRule type="containsText" dxfId="7195" priority="9209" operator="containsText" text="NO">
      <formula>NOT(ISERROR(SEARCH("NO",C385)))</formula>
    </cfRule>
  </conditionalFormatting>
  <conditionalFormatting sqref="C385:D385">
    <cfRule type="containsText" dxfId="7194" priority="9207" operator="containsText" text="NUEVO">
      <formula>NOT(ISERROR(SEARCH("NUEVO",C385)))</formula>
    </cfRule>
  </conditionalFormatting>
  <conditionalFormatting sqref="E385">
    <cfRule type="containsText" dxfId="7193" priority="9206" operator="containsText" text="NUEVO">
      <formula>NOT(ISERROR(SEARCH("NUEVO",E385)))</formula>
    </cfRule>
  </conditionalFormatting>
  <conditionalFormatting sqref="E385">
    <cfRule type="containsText" dxfId="7192" priority="9205" operator="containsText" text="Sin Información">
      <formula>NOT(ISERROR(SEARCH("Sin Información",E385)))</formula>
    </cfRule>
  </conditionalFormatting>
  <conditionalFormatting sqref="C386:D386">
    <cfRule type="containsText" dxfId="7191" priority="9204" operator="containsText" text="NO+$D$4:$D$10">
      <formula>NOT(ISERROR(SEARCH("NO+$D$4:$D$10",C386)))</formula>
    </cfRule>
  </conditionalFormatting>
  <conditionalFormatting sqref="C386:D386">
    <cfRule type="containsText" dxfId="7190" priority="9202" operator="containsText" text="SI">
      <formula>NOT(ISERROR(SEARCH("SI",C386)))</formula>
    </cfRule>
    <cfRule type="containsText" dxfId="7189" priority="9203" operator="containsText" text="NO">
      <formula>NOT(ISERROR(SEARCH("NO",C386)))</formula>
    </cfRule>
  </conditionalFormatting>
  <conditionalFormatting sqref="C386:E386">
    <cfRule type="containsText" dxfId="7188" priority="9201" operator="containsText" text="NUEVO">
      <formula>NOT(ISERROR(SEARCH("NUEVO",C386)))</formula>
    </cfRule>
  </conditionalFormatting>
  <conditionalFormatting sqref="E386">
    <cfRule type="containsText" dxfId="7187" priority="9200" operator="containsText" text="Sin Información">
      <formula>NOT(ISERROR(SEARCH("Sin Información",E386)))</formula>
    </cfRule>
  </conditionalFormatting>
  <conditionalFormatting sqref="C387:D387">
    <cfRule type="containsText" dxfId="7186" priority="9199" operator="containsText" text="NO+$D$4:$D$10">
      <formula>NOT(ISERROR(SEARCH("NO+$D$4:$D$10",C387)))</formula>
    </cfRule>
  </conditionalFormatting>
  <conditionalFormatting sqref="C387:D387">
    <cfRule type="containsText" dxfId="7185" priority="9197" operator="containsText" text="SI">
      <formula>NOT(ISERROR(SEARCH("SI",C387)))</formula>
    </cfRule>
    <cfRule type="containsText" dxfId="7184" priority="9198" operator="containsText" text="NO">
      <formula>NOT(ISERROR(SEARCH("NO",C387)))</formula>
    </cfRule>
  </conditionalFormatting>
  <conditionalFormatting sqref="C387:E387">
    <cfRule type="containsText" dxfId="7183" priority="9196" operator="containsText" text="NUEVO">
      <formula>NOT(ISERROR(SEARCH("NUEVO",C387)))</formula>
    </cfRule>
  </conditionalFormatting>
  <conditionalFormatting sqref="E387">
    <cfRule type="containsText" dxfId="7182" priority="9195" operator="containsText" text="Sin Información">
      <formula>NOT(ISERROR(SEARCH("Sin Información",E387)))</formula>
    </cfRule>
  </conditionalFormatting>
  <conditionalFormatting sqref="E389:E391">
    <cfRule type="containsText" dxfId="7181" priority="9194" operator="containsText" text="NUEVO">
      <formula>NOT(ISERROR(SEARCH("NUEVO",E389)))</formula>
    </cfRule>
  </conditionalFormatting>
  <conditionalFormatting sqref="E389:E391">
    <cfRule type="containsText" dxfId="7180" priority="9193" operator="containsText" text="Sin Información">
      <formula>NOT(ISERROR(SEARCH("Sin Información",E389)))</formula>
    </cfRule>
  </conditionalFormatting>
  <conditionalFormatting sqref="E388">
    <cfRule type="containsText" dxfId="7179" priority="9192" operator="containsText" text="NUEVO">
      <formula>NOT(ISERROR(SEARCH("NUEVO",E388)))</formula>
    </cfRule>
  </conditionalFormatting>
  <conditionalFormatting sqref="E388">
    <cfRule type="containsText" dxfId="7178" priority="9191" operator="containsText" text="Sin Información">
      <formula>NOT(ISERROR(SEARCH("Sin Información",E388)))</formula>
    </cfRule>
  </conditionalFormatting>
  <conditionalFormatting sqref="E398">
    <cfRule type="containsText" dxfId="7177" priority="9188" operator="containsText" text="NUEVO">
      <formula>NOT(ISERROR(SEARCH("NUEVO",E398)))</formula>
    </cfRule>
  </conditionalFormatting>
  <conditionalFormatting sqref="E398">
    <cfRule type="containsText" dxfId="7176" priority="9187" operator="containsText" text="Sin Información">
      <formula>NOT(ISERROR(SEARCH("Sin Información",E398)))</formula>
    </cfRule>
  </conditionalFormatting>
  <conditionalFormatting sqref="C401:D402">
    <cfRule type="containsText" dxfId="7175" priority="9186" operator="containsText" text="NO+$D$4:$D$10">
      <formula>NOT(ISERROR(SEARCH("NO+$D$4:$D$10",C401)))</formula>
    </cfRule>
  </conditionalFormatting>
  <conditionalFormatting sqref="C401:D402">
    <cfRule type="containsText" dxfId="7174" priority="9184" operator="containsText" text="SI">
      <formula>NOT(ISERROR(SEARCH("SI",C401)))</formula>
    </cfRule>
    <cfRule type="containsText" dxfId="7173" priority="9185" operator="containsText" text="NO">
      <formula>NOT(ISERROR(SEARCH("NO",C401)))</formula>
    </cfRule>
  </conditionalFormatting>
  <conditionalFormatting sqref="E401:E402">
    <cfRule type="containsText" dxfId="7172" priority="9183" operator="containsText" text="Sin información">
      <formula>NOT(ISERROR(SEARCH("Sin información",E401)))</formula>
    </cfRule>
  </conditionalFormatting>
  <conditionalFormatting sqref="C401:E402">
    <cfRule type="containsText" dxfId="7171" priority="9182" operator="containsText" text="NUEVO">
      <formula>NOT(ISERROR(SEARCH("NUEVO",C401)))</formula>
    </cfRule>
  </conditionalFormatting>
  <conditionalFormatting sqref="E401:E402">
    <cfRule type="containsText" dxfId="7170" priority="9181" operator="containsText" text="Sin Información">
      <formula>NOT(ISERROR(SEARCH("Sin Información",E401)))</formula>
    </cfRule>
  </conditionalFormatting>
  <conditionalFormatting sqref="C404:D404">
    <cfRule type="containsText" dxfId="7169" priority="9180" operator="containsText" text="NO+$D$4:$D$10">
      <formula>NOT(ISERROR(SEARCH("NO+$D$4:$D$10",C404)))</formula>
    </cfRule>
  </conditionalFormatting>
  <conditionalFormatting sqref="C404:D404">
    <cfRule type="containsText" dxfId="7168" priority="9178" operator="containsText" text="SI">
      <formula>NOT(ISERROR(SEARCH("SI",C404)))</formula>
    </cfRule>
    <cfRule type="containsText" dxfId="7167" priority="9179" operator="containsText" text="NO">
      <formula>NOT(ISERROR(SEARCH("NO",C404)))</formula>
    </cfRule>
  </conditionalFormatting>
  <conditionalFormatting sqref="C404:E404">
    <cfRule type="containsText" dxfId="7166" priority="9177" operator="containsText" text="NUEVO">
      <formula>NOT(ISERROR(SEARCH("NUEVO",C404)))</formula>
    </cfRule>
  </conditionalFormatting>
  <conditionalFormatting sqref="E404">
    <cfRule type="containsText" dxfId="7165" priority="9176" operator="containsText" text="Sin Información">
      <formula>NOT(ISERROR(SEARCH("Sin Información",E404)))</formula>
    </cfRule>
  </conditionalFormatting>
  <conditionalFormatting sqref="C405:D405">
    <cfRule type="containsText" dxfId="7164" priority="9175" operator="containsText" text="NO+$D$4:$D$10">
      <formula>NOT(ISERROR(SEARCH("NO+$D$4:$D$10",C405)))</formula>
    </cfRule>
  </conditionalFormatting>
  <conditionalFormatting sqref="C405:D405">
    <cfRule type="containsText" dxfId="7163" priority="9173" operator="containsText" text="SI">
      <formula>NOT(ISERROR(SEARCH("SI",C405)))</formula>
    </cfRule>
    <cfRule type="containsText" dxfId="7162" priority="9174" operator="containsText" text="NO">
      <formula>NOT(ISERROR(SEARCH("NO",C405)))</formula>
    </cfRule>
  </conditionalFormatting>
  <conditionalFormatting sqref="C405:E405">
    <cfRule type="containsText" dxfId="7161" priority="9172" operator="containsText" text="NUEVO">
      <formula>NOT(ISERROR(SEARCH("NUEVO",C405)))</formula>
    </cfRule>
  </conditionalFormatting>
  <conditionalFormatting sqref="E405">
    <cfRule type="containsText" dxfId="7160" priority="9171" operator="containsText" text="Sin Información">
      <formula>NOT(ISERROR(SEARCH("Sin Información",E405)))</formula>
    </cfRule>
  </conditionalFormatting>
  <conditionalFormatting sqref="C406:D406">
    <cfRule type="containsText" dxfId="7159" priority="9164" operator="containsText" text="NO+$D$4:$D$10">
      <formula>NOT(ISERROR(SEARCH("NO+$D$4:$D$10",C406)))</formula>
    </cfRule>
  </conditionalFormatting>
  <conditionalFormatting sqref="C406:D406">
    <cfRule type="containsText" dxfId="7158" priority="9162" operator="containsText" text="SI">
      <formula>NOT(ISERROR(SEARCH("SI",C406)))</formula>
    </cfRule>
    <cfRule type="containsText" dxfId="7157" priority="9163" operator="containsText" text="NO">
      <formula>NOT(ISERROR(SEARCH("NO",C406)))</formula>
    </cfRule>
  </conditionalFormatting>
  <conditionalFormatting sqref="C406:E406">
    <cfRule type="containsText" dxfId="7156" priority="9161" operator="containsText" text="NUEVO">
      <formula>NOT(ISERROR(SEARCH("NUEVO",C406)))</formula>
    </cfRule>
  </conditionalFormatting>
  <conditionalFormatting sqref="E406">
    <cfRule type="containsText" dxfId="7155" priority="9160" operator="containsText" text="Sin Información">
      <formula>NOT(ISERROR(SEARCH("Sin Información",E406)))</formula>
    </cfRule>
  </conditionalFormatting>
  <conditionalFormatting sqref="C407:D407">
    <cfRule type="containsText" dxfId="7154" priority="9159" operator="containsText" text="NO+$D$4:$D$10">
      <formula>NOT(ISERROR(SEARCH("NO+$D$4:$D$10",C407)))</formula>
    </cfRule>
  </conditionalFormatting>
  <conditionalFormatting sqref="C407:D407">
    <cfRule type="containsText" dxfId="7153" priority="9157" operator="containsText" text="SI">
      <formula>NOT(ISERROR(SEARCH("SI",C407)))</formula>
    </cfRule>
    <cfRule type="containsText" dxfId="7152" priority="9158" operator="containsText" text="NO">
      <formula>NOT(ISERROR(SEARCH("NO",C407)))</formula>
    </cfRule>
  </conditionalFormatting>
  <conditionalFormatting sqref="C407:D407">
    <cfRule type="containsText" dxfId="7151" priority="9156" operator="containsText" text="NUEVO">
      <formula>NOT(ISERROR(SEARCH("NUEVO",C407)))</formula>
    </cfRule>
  </conditionalFormatting>
  <conditionalFormatting sqref="E407">
    <cfRule type="containsText" dxfId="7150" priority="9155" operator="containsText" text="NUEVO">
      <formula>NOT(ISERROR(SEARCH("NUEVO",E407)))</formula>
    </cfRule>
  </conditionalFormatting>
  <conditionalFormatting sqref="E407">
    <cfRule type="containsText" dxfId="7149" priority="9154" operator="containsText" text="Sin Información">
      <formula>NOT(ISERROR(SEARCH("Sin Información",E407)))</formula>
    </cfRule>
  </conditionalFormatting>
  <conditionalFormatting sqref="C408:D408">
    <cfRule type="containsText" dxfId="7148" priority="9153" operator="containsText" text="NO+$D$4:$D$10">
      <formula>NOT(ISERROR(SEARCH("NO+$D$4:$D$10",C408)))</formula>
    </cfRule>
  </conditionalFormatting>
  <conditionalFormatting sqref="C408:D408">
    <cfRule type="containsText" dxfId="7147" priority="9151" operator="containsText" text="SI">
      <formula>NOT(ISERROR(SEARCH("SI",C408)))</formula>
    </cfRule>
    <cfRule type="containsText" dxfId="7146" priority="9152" operator="containsText" text="NO">
      <formula>NOT(ISERROR(SEARCH("NO",C408)))</formula>
    </cfRule>
  </conditionalFormatting>
  <conditionalFormatting sqref="C408:E408">
    <cfRule type="containsText" dxfId="7145" priority="9150" operator="containsText" text="NUEVO">
      <formula>NOT(ISERROR(SEARCH("NUEVO",C408)))</formula>
    </cfRule>
  </conditionalFormatting>
  <conditionalFormatting sqref="E408">
    <cfRule type="containsText" dxfId="7144" priority="9149" operator="containsText" text="Sin Información">
      <formula>NOT(ISERROR(SEARCH("Sin Información",E408)))</formula>
    </cfRule>
  </conditionalFormatting>
  <conditionalFormatting sqref="C409:D409">
    <cfRule type="containsText" dxfId="7143" priority="9148" operator="containsText" text="NO+$D$4:$D$10">
      <formula>NOT(ISERROR(SEARCH("NO+$D$4:$D$10",C409)))</formula>
    </cfRule>
  </conditionalFormatting>
  <conditionalFormatting sqref="C409:D409">
    <cfRule type="containsText" dxfId="7142" priority="9146" operator="containsText" text="SI">
      <formula>NOT(ISERROR(SEARCH("SI",C409)))</formula>
    </cfRule>
    <cfRule type="containsText" dxfId="7141" priority="9147" operator="containsText" text="NO">
      <formula>NOT(ISERROR(SEARCH("NO",C409)))</formula>
    </cfRule>
  </conditionalFormatting>
  <conditionalFormatting sqref="C409:E409">
    <cfRule type="containsText" dxfId="7140" priority="9145" operator="containsText" text="NUEVO">
      <formula>NOT(ISERROR(SEARCH("NUEVO",C409)))</formula>
    </cfRule>
  </conditionalFormatting>
  <conditionalFormatting sqref="E409">
    <cfRule type="containsText" dxfId="7139" priority="9144" operator="containsText" text="Sin Información">
      <formula>NOT(ISERROR(SEARCH("Sin Información",E409)))</formula>
    </cfRule>
  </conditionalFormatting>
  <conditionalFormatting sqref="C410:D412">
    <cfRule type="containsText" dxfId="7138" priority="9143" operator="containsText" text="NO+$D$4:$D$10">
      <formula>NOT(ISERROR(SEARCH("NO+$D$4:$D$10",C410)))</formula>
    </cfRule>
  </conditionalFormatting>
  <conditionalFormatting sqref="C410:D412">
    <cfRule type="containsText" dxfId="7137" priority="9141" operator="containsText" text="SI">
      <formula>NOT(ISERROR(SEARCH("SI",C410)))</formula>
    </cfRule>
    <cfRule type="containsText" dxfId="7136" priority="9142" operator="containsText" text="NO">
      <formula>NOT(ISERROR(SEARCH("NO",C410)))</formula>
    </cfRule>
  </conditionalFormatting>
  <conditionalFormatting sqref="C410:E412">
    <cfRule type="containsText" dxfId="7135" priority="9140" operator="containsText" text="NUEVO">
      <formula>NOT(ISERROR(SEARCH("NUEVO",C410)))</formula>
    </cfRule>
  </conditionalFormatting>
  <conditionalFormatting sqref="E410:E412">
    <cfRule type="containsText" dxfId="7134" priority="9139" operator="containsText" text="Sin Información">
      <formula>NOT(ISERROR(SEARCH("Sin Información",E410)))</formula>
    </cfRule>
  </conditionalFormatting>
  <conditionalFormatting sqref="C413:D414">
    <cfRule type="containsText" dxfId="7133" priority="9138" operator="containsText" text="NO+$D$4:$D$10">
      <formula>NOT(ISERROR(SEARCH("NO+$D$4:$D$10",C413)))</formula>
    </cfRule>
  </conditionalFormatting>
  <conditionalFormatting sqref="C413:D414">
    <cfRule type="containsText" dxfId="7132" priority="9136" operator="containsText" text="SI">
      <formula>NOT(ISERROR(SEARCH("SI",C413)))</formula>
    </cfRule>
    <cfRule type="containsText" dxfId="7131" priority="9137" operator="containsText" text="NO">
      <formula>NOT(ISERROR(SEARCH("NO",C413)))</formula>
    </cfRule>
  </conditionalFormatting>
  <conditionalFormatting sqref="C413:E414">
    <cfRule type="containsText" dxfId="7130" priority="9135" operator="containsText" text="NUEVO">
      <formula>NOT(ISERROR(SEARCH("NUEVO",C413)))</formula>
    </cfRule>
  </conditionalFormatting>
  <conditionalFormatting sqref="E413:E414">
    <cfRule type="containsText" dxfId="7129" priority="9134" operator="containsText" text="Sin Información">
      <formula>NOT(ISERROR(SEARCH("Sin Información",E413)))</formula>
    </cfRule>
  </conditionalFormatting>
  <conditionalFormatting sqref="C434:D435">
    <cfRule type="containsText" dxfId="7128" priority="9121" operator="containsText" text="NO+$D$4:$D$10">
      <formula>NOT(ISERROR(SEARCH("NO+$D$4:$D$10",C434)))</formula>
    </cfRule>
  </conditionalFormatting>
  <conditionalFormatting sqref="C434:D435">
    <cfRule type="containsText" dxfId="7127" priority="9119" operator="containsText" text="SI">
      <formula>NOT(ISERROR(SEARCH("SI",C434)))</formula>
    </cfRule>
    <cfRule type="containsText" dxfId="7126" priority="9120" operator="containsText" text="NO">
      <formula>NOT(ISERROR(SEARCH("NO",C434)))</formula>
    </cfRule>
  </conditionalFormatting>
  <conditionalFormatting sqref="C434:E435">
    <cfRule type="containsText" dxfId="7125" priority="9118" operator="containsText" text="NUEVO">
      <formula>NOT(ISERROR(SEARCH("NUEVO",C434)))</formula>
    </cfRule>
  </conditionalFormatting>
  <conditionalFormatting sqref="E434:E435">
    <cfRule type="containsText" dxfId="7124" priority="9117" operator="containsText" text="Sin Información">
      <formula>NOT(ISERROR(SEARCH("Sin Información",E434)))</formula>
    </cfRule>
  </conditionalFormatting>
  <conditionalFormatting sqref="C436:D437">
    <cfRule type="containsText" dxfId="7123" priority="9116" operator="containsText" text="NO+$D$4:$D$10">
      <formula>NOT(ISERROR(SEARCH("NO+$D$4:$D$10",C436)))</formula>
    </cfRule>
  </conditionalFormatting>
  <conditionalFormatting sqref="C436:D437">
    <cfRule type="containsText" dxfId="7122" priority="9114" operator="containsText" text="SI">
      <formula>NOT(ISERROR(SEARCH("SI",C436)))</formula>
    </cfRule>
    <cfRule type="containsText" dxfId="7121" priority="9115" operator="containsText" text="NO">
      <formula>NOT(ISERROR(SEARCH("NO",C436)))</formula>
    </cfRule>
  </conditionalFormatting>
  <conditionalFormatting sqref="C436:E437">
    <cfRule type="containsText" dxfId="7120" priority="9113" operator="containsText" text="NUEVO">
      <formula>NOT(ISERROR(SEARCH("NUEVO",C436)))</formula>
    </cfRule>
  </conditionalFormatting>
  <conditionalFormatting sqref="E436:E437">
    <cfRule type="containsText" dxfId="7119" priority="9112" operator="containsText" text="Sin Información">
      <formula>NOT(ISERROR(SEARCH("Sin Información",E436)))</formula>
    </cfRule>
  </conditionalFormatting>
  <conditionalFormatting sqref="C438:D442">
    <cfRule type="containsText" dxfId="7118" priority="9111" operator="containsText" text="NO+$D$4:$D$10">
      <formula>NOT(ISERROR(SEARCH("NO+$D$4:$D$10",C438)))</formula>
    </cfRule>
  </conditionalFormatting>
  <conditionalFormatting sqref="C438:D442">
    <cfRule type="containsText" dxfId="7117" priority="9109" operator="containsText" text="SI">
      <formula>NOT(ISERROR(SEARCH("SI",C438)))</formula>
    </cfRule>
    <cfRule type="containsText" dxfId="7116" priority="9110" operator="containsText" text="NO">
      <formula>NOT(ISERROR(SEARCH("NO",C438)))</formula>
    </cfRule>
  </conditionalFormatting>
  <conditionalFormatting sqref="C438:E442">
    <cfRule type="containsText" dxfId="7115" priority="9108" operator="containsText" text="NUEVO">
      <formula>NOT(ISERROR(SEARCH("NUEVO",C438)))</formula>
    </cfRule>
  </conditionalFormatting>
  <conditionalFormatting sqref="E438:E442">
    <cfRule type="containsText" dxfId="7114" priority="9107" operator="containsText" text="Sin Información">
      <formula>NOT(ISERROR(SEARCH("Sin Información",E438)))</formula>
    </cfRule>
  </conditionalFormatting>
  <conditionalFormatting sqref="C453:D453">
    <cfRule type="containsText" dxfId="7113" priority="9101" operator="containsText" text="NO+$D$4:$D$10">
      <formula>NOT(ISERROR(SEARCH("NO+$D$4:$D$10",C453)))</formula>
    </cfRule>
  </conditionalFormatting>
  <conditionalFormatting sqref="C453:D453">
    <cfRule type="containsText" dxfId="7112" priority="9099" operator="containsText" text="SI">
      <formula>NOT(ISERROR(SEARCH("SI",C453)))</formula>
    </cfRule>
    <cfRule type="containsText" dxfId="7111" priority="9100" operator="containsText" text="NO">
      <formula>NOT(ISERROR(SEARCH("NO",C453)))</formula>
    </cfRule>
  </conditionalFormatting>
  <conditionalFormatting sqref="C453:E453">
    <cfRule type="containsText" dxfId="7110" priority="9098" operator="containsText" text="NUEVO">
      <formula>NOT(ISERROR(SEARCH("NUEVO",C453)))</formula>
    </cfRule>
  </conditionalFormatting>
  <conditionalFormatting sqref="E453">
    <cfRule type="containsText" dxfId="7109" priority="9097" operator="containsText" text="Sin Información">
      <formula>NOT(ISERROR(SEARCH("Sin Información",E453)))</formula>
    </cfRule>
  </conditionalFormatting>
  <conditionalFormatting sqref="C454:D454">
    <cfRule type="containsText" dxfId="7108" priority="9096" operator="containsText" text="NO+$D$4:$D$10">
      <formula>NOT(ISERROR(SEARCH("NO+$D$4:$D$10",C454)))</formula>
    </cfRule>
  </conditionalFormatting>
  <conditionalFormatting sqref="C454:D454">
    <cfRule type="containsText" dxfId="7107" priority="9094" operator="containsText" text="SI">
      <formula>NOT(ISERROR(SEARCH("SI",C454)))</formula>
    </cfRule>
    <cfRule type="containsText" dxfId="7106" priority="9095" operator="containsText" text="NO">
      <formula>NOT(ISERROR(SEARCH("NO",C454)))</formula>
    </cfRule>
  </conditionalFormatting>
  <conditionalFormatting sqref="C454:E454">
    <cfRule type="containsText" dxfId="7105" priority="9093" operator="containsText" text="NUEVO">
      <formula>NOT(ISERROR(SEARCH("NUEVO",C454)))</formula>
    </cfRule>
  </conditionalFormatting>
  <conditionalFormatting sqref="E454">
    <cfRule type="containsText" dxfId="7104" priority="9092" operator="containsText" text="Sin Información">
      <formula>NOT(ISERROR(SEARCH("Sin Información",E454)))</formula>
    </cfRule>
  </conditionalFormatting>
  <conditionalFormatting sqref="C455:D455">
    <cfRule type="containsText" dxfId="7103" priority="9091" operator="containsText" text="NO+$D$4:$D$10">
      <formula>NOT(ISERROR(SEARCH("NO+$D$4:$D$10",C455)))</formula>
    </cfRule>
  </conditionalFormatting>
  <conditionalFormatting sqref="C455:D455">
    <cfRule type="containsText" dxfId="7102" priority="9089" operator="containsText" text="SI">
      <formula>NOT(ISERROR(SEARCH("SI",C455)))</formula>
    </cfRule>
    <cfRule type="containsText" dxfId="7101" priority="9090" operator="containsText" text="NO">
      <formula>NOT(ISERROR(SEARCH("NO",C455)))</formula>
    </cfRule>
  </conditionalFormatting>
  <conditionalFormatting sqref="C455:E455">
    <cfRule type="containsText" dxfId="7100" priority="9088" operator="containsText" text="NUEVO">
      <formula>NOT(ISERROR(SEARCH("NUEVO",C455)))</formula>
    </cfRule>
  </conditionalFormatting>
  <conditionalFormatting sqref="E455">
    <cfRule type="containsText" dxfId="7099" priority="9087" operator="containsText" text="Sin Información">
      <formula>NOT(ISERROR(SEARCH("Sin Información",E455)))</formula>
    </cfRule>
  </conditionalFormatting>
  <conditionalFormatting sqref="C456:D456">
    <cfRule type="containsText" dxfId="7098" priority="9081" operator="containsText" text="NO+$D$4:$D$10">
      <formula>NOT(ISERROR(SEARCH("NO+$D$4:$D$10",C456)))</formula>
    </cfRule>
  </conditionalFormatting>
  <conditionalFormatting sqref="C456:D456">
    <cfRule type="containsText" dxfId="7097" priority="9079" operator="containsText" text="SI">
      <formula>NOT(ISERROR(SEARCH("SI",C456)))</formula>
    </cfRule>
    <cfRule type="containsText" dxfId="7096" priority="9080" operator="containsText" text="NO">
      <formula>NOT(ISERROR(SEARCH("NO",C456)))</formula>
    </cfRule>
  </conditionalFormatting>
  <conditionalFormatting sqref="C456:E456">
    <cfRule type="containsText" dxfId="7095" priority="9078" operator="containsText" text="NUEVO">
      <formula>NOT(ISERROR(SEARCH("NUEVO",C456)))</formula>
    </cfRule>
  </conditionalFormatting>
  <conditionalFormatting sqref="E456">
    <cfRule type="containsText" dxfId="7094" priority="9077" operator="containsText" text="Sin Información">
      <formula>NOT(ISERROR(SEARCH("Sin Información",E456)))</formula>
    </cfRule>
  </conditionalFormatting>
  <conditionalFormatting sqref="C460:D460">
    <cfRule type="containsText" dxfId="7093" priority="9076" operator="containsText" text="NO+$D$4:$D$10">
      <formula>NOT(ISERROR(SEARCH("NO+$D$4:$D$10",C460)))</formula>
    </cfRule>
  </conditionalFormatting>
  <conditionalFormatting sqref="C460:D460">
    <cfRule type="containsText" dxfId="7092" priority="9074" operator="containsText" text="SI">
      <formula>NOT(ISERROR(SEARCH("SI",C460)))</formula>
    </cfRule>
    <cfRule type="containsText" dxfId="7091" priority="9075" operator="containsText" text="NO">
      <formula>NOT(ISERROR(SEARCH("NO",C460)))</formula>
    </cfRule>
  </conditionalFormatting>
  <conditionalFormatting sqref="C460:D460">
    <cfRule type="containsText" dxfId="7090" priority="9073" operator="containsText" text="NUEVO">
      <formula>NOT(ISERROR(SEARCH("NUEVO",C460)))</formula>
    </cfRule>
  </conditionalFormatting>
  <conditionalFormatting sqref="E460">
    <cfRule type="containsText" dxfId="7089" priority="9072" operator="containsText" text="NUEVO">
      <formula>NOT(ISERROR(SEARCH("NUEVO",E460)))</formula>
    </cfRule>
  </conditionalFormatting>
  <conditionalFormatting sqref="E460">
    <cfRule type="containsText" dxfId="7088" priority="9071" operator="containsText" text="Sin Información">
      <formula>NOT(ISERROR(SEARCH("Sin Información",E460)))</formula>
    </cfRule>
  </conditionalFormatting>
  <conditionalFormatting sqref="C461:D461">
    <cfRule type="containsText" dxfId="7087" priority="9070" operator="containsText" text="NO+$D$4:$D$10">
      <formula>NOT(ISERROR(SEARCH("NO+$D$4:$D$10",C461)))</formula>
    </cfRule>
  </conditionalFormatting>
  <conditionalFormatting sqref="C461:D461">
    <cfRule type="containsText" dxfId="7086" priority="9068" operator="containsText" text="SI">
      <formula>NOT(ISERROR(SEARCH("SI",C461)))</formula>
    </cfRule>
    <cfRule type="containsText" dxfId="7085" priority="9069" operator="containsText" text="NO">
      <formula>NOT(ISERROR(SEARCH("NO",C461)))</formula>
    </cfRule>
  </conditionalFormatting>
  <conditionalFormatting sqref="C461:D461">
    <cfRule type="containsText" dxfId="7084" priority="9067" operator="containsText" text="NUEVO">
      <formula>NOT(ISERROR(SEARCH("NUEVO",C461)))</formula>
    </cfRule>
  </conditionalFormatting>
  <conditionalFormatting sqref="E461">
    <cfRule type="containsText" dxfId="7083" priority="9066" operator="containsText" text="NUEVO">
      <formula>NOT(ISERROR(SEARCH("NUEVO",E461)))</formula>
    </cfRule>
  </conditionalFormatting>
  <conditionalFormatting sqref="E461">
    <cfRule type="containsText" dxfId="7082" priority="9065" operator="containsText" text="Sin Información">
      <formula>NOT(ISERROR(SEARCH("Sin Información",E461)))</formula>
    </cfRule>
  </conditionalFormatting>
  <conditionalFormatting sqref="C462:D462">
    <cfRule type="containsText" dxfId="7081" priority="9064" operator="containsText" text="NO+$D$4:$D$10">
      <formula>NOT(ISERROR(SEARCH("NO+$D$4:$D$10",C462)))</formula>
    </cfRule>
  </conditionalFormatting>
  <conditionalFormatting sqref="C462:D462">
    <cfRule type="containsText" dxfId="7080" priority="9062" operator="containsText" text="SI">
      <formula>NOT(ISERROR(SEARCH("SI",C462)))</formula>
    </cfRule>
    <cfRule type="containsText" dxfId="7079" priority="9063" operator="containsText" text="NO">
      <formula>NOT(ISERROR(SEARCH("NO",C462)))</formula>
    </cfRule>
  </conditionalFormatting>
  <conditionalFormatting sqref="C462:D462">
    <cfRule type="containsText" dxfId="7078" priority="9061" operator="containsText" text="NUEVO">
      <formula>NOT(ISERROR(SEARCH("NUEVO",C462)))</formula>
    </cfRule>
  </conditionalFormatting>
  <conditionalFormatting sqref="E462">
    <cfRule type="containsText" dxfId="7077" priority="9060" operator="containsText" text="NUEVO">
      <formula>NOT(ISERROR(SEARCH("NUEVO",E462)))</formula>
    </cfRule>
  </conditionalFormatting>
  <conditionalFormatting sqref="E462">
    <cfRule type="containsText" dxfId="7076" priority="9059" operator="containsText" text="Sin Información">
      <formula>NOT(ISERROR(SEARCH("Sin Información",E462)))</formula>
    </cfRule>
  </conditionalFormatting>
  <conditionalFormatting sqref="C463:D463">
    <cfRule type="containsText" dxfId="7075" priority="9058" operator="containsText" text="NO+$D$4:$D$10">
      <formula>NOT(ISERROR(SEARCH("NO+$D$4:$D$10",C463)))</formula>
    </cfRule>
  </conditionalFormatting>
  <conditionalFormatting sqref="C463:D463">
    <cfRule type="containsText" dxfId="7074" priority="9056" operator="containsText" text="SI">
      <formula>NOT(ISERROR(SEARCH("SI",C463)))</formula>
    </cfRule>
    <cfRule type="containsText" dxfId="7073" priority="9057" operator="containsText" text="NO">
      <formula>NOT(ISERROR(SEARCH("NO",C463)))</formula>
    </cfRule>
  </conditionalFormatting>
  <conditionalFormatting sqref="C463:E463">
    <cfRule type="containsText" dxfId="7072" priority="9055" operator="containsText" text="NUEVO">
      <formula>NOT(ISERROR(SEARCH("NUEVO",C463)))</formula>
    </cfRule>
  </conditionalFormatting>
  <conditionalFormatting sqref="E463">
    <cfRule type="containsText" dxfId="7071" priority="9054" operator="containsText" text="Sin Información">
      <formula>NOT(ISERROR(SEARCH("Sin Información",E463)))</formula>
    </cfRule>
  </conditionalFormatting>
  <conditionalFormatting sqref="C464:D464">
    <cfRule type="containsText" dxfId="7070" priority="9053" operator="containsText" text="NO+$D$4:$D$10">
      <formula>NOT(ISERROR(SEARCH("NO+$D$4:$D$10",C464)))</formula>
    </cfRule>
  </conditionalFormatting>
  <conditionalFormatting sqref="C464:D464">
    <cfRule type="containsText" dxfId="7069" priority="9051" operator="containsText" text="SI">
      <formula>NOT(ISERROR(SEARCH("SI",C464)))</formula>
    </cfRule>
    <cfRule type="containsText" dxfId="7068" priority="9052" operator="containsText" text="NO">
      <formula>NOT(ISERROR(SEARCH("NO",C464)))</formula>
    </cfRule>
  </conditionalFormatting>
  <conditionalFormatting sqref="C464:E464">
    <cfRule type="containsText" dxfId="7067" priority="9050" operator="containsText" text="NUEVO">
      <formula>NOT(ISERROR(SEARCH("NUEVO",C464)))</formula>
    </cfRule>
  </conditionalFormatting>
  <conditionalFormatting sqref="E464">
    <cfRule type="containsText" dxfId="7066" priority="9049" operator="containsText" text="Sin Información">
      <formula>NOT(ISERROR(SEARCH("Sin Información",E464)))</formula>
    </cfRule>
  </conditionalFormatting>
  <conditionalFormatting sqref="C465:D465">
    <cfRule type="containsText" dxfId="7065" priority="9048" operator="containsText" text="NO+$D$4:$D$10">
      <formula>NOT(ISERROR(SEARCH("NO+$D$4:$D$10",C465)))</formula>
    </cfRule>
  </conditionalFormatting>
  <conditionalFormatting sqref="C465:D465">
    <cfRule type="containsText" dxfId="7064" priority="9046" operator="containsText" text="SI">
      <formula>NOT(ISERROR(SEARCH("SI",C465)))</formula>
    </cfRule>
    <cfRule type="containsText" dxfId="7063" priority="9047" operator="containsText" text="NO">
      <formula>NOT(ISERROR(SEARCH("NO",C465)))</formula>
    </cfRule>
  </conditionalFormatting>
  <conditionalFormatting sqref="C465:E465">
    <cfRule type="containsText" dxfId="7062" priority="9045" operator="containsText" text="NUEVO">
      <formula>NOT(ISERROR(SEARCH("NUEVO",C465)))</formula>
    </cfRule>
  </conditionalFormatting>
  <conditionalFormatting sqref="E465">
    <cfRule type="containsText" dxfId="7061" priority="9044" operator="containsText" text="Sin Información">
      <formula>NOT(ISERROR(SEARCH("Sin Información",E465)))</formula>
    </cfRule>
  </conditionalFormatting>
  <conditionalFormatting sqref="E470">
    <cfRule type="containsText" dxfId="7060" priority="9043" operator="containsText" text="NUEVO">
      <formula>NOT(ISERROR(SEARCH("NUEVO",E470)))</formula>
    </cfRule>
  </conditionalFormatting>
  <conditionalFormatting sqref="E470">
    <cfRule type="containsText" dxfId="7059" priority="9042" operator="containsText" text="Sin Información">
      <formula>NOT(ISERROR(SEARCH("Sin Información",E470)))</formula>
    </cfRule>
  </conditionalFormatting>
  <conditionalFormatting sqref="C471:D471">
    <cfRule type="containsText" dxfId="7058" priority="9041" operator="containsText" text="NO+$D$4:$D$10">
      <formula>NOT(ISERROR(SEARCH("NO+$D$4:$D$10",C471)))</formula>
    </cfRule>
  </conditionalFormatting>
  <conditionalFormatting sqref="C471:D471">
    <cfRule type="containsText" dxfId="7057" priority="9039" operator="containsText" text="SI">
      <formula>NOT(ISERROR(SEARCH("SI",C471)))</formula>
    </cfRule>
    <cfRule type="containsText" dxfId="7056" priority="9040" operator="containsText" text="NO">
      <formula>NOT(ISERROR(SEARCH("NO",C471)))</formula>
    </cfRule>
  </conditionalFormatting>
  <conditionalFormatting sqref="E471">
    <cfRule type="containsText" dxfId="7055" priority="9038" operator="containsText" text="Sin información">
      <formula>NOT(ISERROR(SEARCH("Sin información",E471)))</formula>
    </cfRule>
  </conditionalFormatting>
  <conditionalFormatting sqref="C471:E471">
    <cfRule type="containsText" dxfId="7054" priority="9037" operator="containsText" text="NUEVO">
      <formula>NOT(ISERROR(SEARCH("NUEVO",C471)))</formula>
    </cfRule>
  </conditionalFormatting>
  <conditionalFormatting sqref="E471">
    <cfRule type="containsText" dxfId="7053" priority="9036" operator="containsText" text="Sin Información">
      <formula>NOT(ISERROR(SEARCH("Sin Información",E471)))</formula>
    </cfRule>
  </conditionalFormatting>
  <conditionalFormatting sqref="C472:D472">
    <cfRule type="containsText" dxfId="7052" priority="9029" operator="containsText" text="NO+$D$4:$D$10">
      <formula>NOT(ISERROR(SEARCH("NO+$D$4:$D$10",C472)))</formula>
    </cfRule>
  </conditionalFormatting>
  <conditionalFormatting sqref="C472:D472">
    <cfRule type="containsText" dxfId="7051" priority="9027" operator="containsText" text="SI">
      <formula>NOT(ISERROR(SEARCH("SI",C472)))</formula>
    </cfRule>
    <cfRule type="containsText" dxfId="7050" priority="9028" operator="containsText" text="NO">
      <formula>NOT(ISERROR(SEARCH("NO",C472)))</formula>
    </cfRule>
  </conditionalFormatting>
  <conditionalFormatting sqref="C472:D472">
    <cfRule type="containsText" dxfId="7049" priority="9026" operator="containsText" text="NUEVO">
      <formula>NOT(ISERROR(SEARCH("NUEVO",C472)))</formula>
    </cfRule>
  </conditionalFormatting>
  <conditionalFormatting sqref="E472">
    <cfRule type="containsText" dxfId="7048" priority="9025" operator="containsText" text="Sin información">
      <formula>NOT(ISERROR(SEARCH("Sin información",E472)))</formula>
    </cfRule>
  </conditionalFormatting>
  <conditionalFormatting sqref="E472">
    <cfRule type="containsText" dxfId="7047" priority="9024" operator="containsText" text="NUEVO">
      <formula>NOT(ISERROR(SEARCH("NUEVO",E472)))</formula>
    </cfRule>
  </conditionalFormatting>
  <conditionalFormatting sqref="E472">
    <cfRule type="containsText" dxfId="7046" priority="9023" operator="containsText" text="Sin Información">
      <formula>NOT(ISERROR(SEARCH("Sin Información",E472)))</formula>
    </cfRule>
  </conditionalFormatting>
  <conditionalFormatting sqref="C473:D473">
    <cfRule type="containsText" dxfId="7045" priority="9022" operator="containsText" text="NO+$D$4:$D$10">
      <formula>NOT(ISERROR(SEARCH("NO+$D$4:$D$10",C473)))</formula>
    </cfRule>
  </conditionalFormatting>
  <conditionalFormatting sqref="C473:D473">
    <cfRule type="containsText" dxfId="7044" priority="9020" operator="containsText" text="SI">
      <formula>NOT(ISERROR(SEARCH("SI",C473)))</formula>
    </cfRule>
    <cfRule type="containsText" dxfId="7043" priority="9021" operator="containsText" text="NO">
      <formula>NOT(ISERROR(SEARCH("NO",C473)))</formula>
    </cfRule>
  </conditionalFormatting>
  <conditionalFormatting sqref="E473">
    <cfRule type="containsText" dxfId="7042" priority="9019" operator="containsText" text="Sin información">
      <formula>NOT(ISERROR(SEARCH("Sin información",E473)))</formula>
    </cfRule>
  </conditionalFormatting>
  <conditionalFormatting sqref="C473:E473">
    <cfRule type="containsText" dxfId="7041" priority="9018" operator="containsText" text="NUEVO">
      <formula>NOT(ISERROR(SEARCH("NUEVO",C473)))</formula>
    </cfRule>
  </conditionalFormatting>
  <conditionalFormatting sqref="E473">
    <cfRule type="containsText" dxfId="7040" priority="9017" operator="containsText" text="Sin Información">
      <formula>NOT(ISERROR(SEARCH("Sin Información",E473)))</formula>
    </cfRule>
  </conditionalFormatting>
  <conditionalFormatting sqref="C474:D474">
    <cfRule type="containsText" dxfId="7039" priority="9016" operator="containsText" text="NO+$D$4:$D$10">
      <formula>NOT(ISERROR(SEARCH("NO+$D$4:$D$10",C474)))</formula>
    </cfRule>
  </conditionalFormatting>
  <conditionalFormatting sqref="C474:D474">
    <cfRule type="containsText" dxfId="7038" priority="9014" operator="containsText" text="SI">
      <formula>NOT(ISERROR(SEARCH("SI",C474)))</formula>
    </cfRule>
    <cfRule type="containsText" dxfId="7037" priority="9015" operator="containsText" text="NO">
      <formula>NOT(ISERROR(SEARCH("NO",C474)))</formula>
    </cfRule>
  </conditionalFormatting>
  <conditionalFormatting sqref="C474:D474">
    <cfRule type="containsText" dxfId="7036" priority="9013" operator="containsText" text="NUEVO">
      <formula>NOT(ISERROR(SEARCH("NUEVO",C474)))</formula>
    </cfRule>
  </conditionalFormatting>
  <conditionalFormatting sqref="E474">
    <cfRule type="containsText" dxfId="7035" priority="9012" operator="containsText" text="Sin información">
      <formula>NOT(ISERROR(SEARCH("Sin información",E474)))</formula>
    </cfRule>
  </conditionalFormatting>
  <conditionalFormatting sqref="E474">
    <cfRule type="containsText" dxfId="7034" priority="9011" operator="containsText" text="NUEVO">
      <formula>NOT(ISERROR(SEARCH("NUEVO",E474)))</formula>
    </cfRule>
  </conditionalFormatting>
  <conditionalFormatting sqref="E474">
    <cfRule type="containsText" dxfId="7033" priority="9010" operator="containsText" text="Sin Información">
      <formula>NOT(ISERROR(SEARCH("Sin Información",E474)))</formula>
    </cfRule>
  </conditionalFormatting>
  <conditionalFormatting sqref="E474">
    <cfRule type="containsText" dxfId="7032" priority="9009" operator="containsText" text="Sin información">
      <formula>NOT(ISERROR(SEARCH("Sin información",E474)))</formula>
    </cfRule>
  </conditionalFormatting>
  <conditionalFormatting sqref="C475:D475">
    <cfRule type="containsText" dxfId="7031" priority="9008" operator="containsText" text="NO+$D$4:$D$10">
      <formula>NOT(ISERROR(SEARCH("NO+$D$4:$D$10",C475)))</formula>
    </cfRule>
  </conditionalFormatting>
  <conditionalFormatting sqref="C475:D475">
    <cfRule type="containsText" dxfId="7030" priority="9006" operator="containsText" text="SI">
      <formula>NOT(ISERROR(SEARCH("SI",C475)))</formula>
    </cfRule>
    <cfRule type="containsText" dxfId="7029" priority="9007" operator="containsText" text="NO">
      <formula>NOT(ISERROR(SEARCH("NO",C475)))</formula>
    </cfRule>
  </conditionalFormatting>
  <conditionalFormatting sqref="C475:E475">
    <cfRule type="containsText" dxfId="7028" priority="9005" operator="containsText" text="NUEVO">
      <formula>NOT(ISERROR(SEARCH("NUEVO",C475)))</formula>
    </cfRule>
  </conditionalFormatting>
  <conditionalFormatting sqref="E475">
    <cfRule type="containsText" dxfId="7027" priority="9004" operator="containsText" text="Sin Información">
      <formula>NOT(ISERROR(SEARCH("Sin Información",E475)))</formula>
    </cfRule>
  </conditionalFormatting>
  <conditionalFormatting sqref="C476:D476">
    <cfRule type="containsText" dxfId="7026" priority="9003" operator="containsText" text="NO+$D$4:$D$10">
      <formula>NOT(ISERROR(SEARCH("NO+$D$4:$D$10",C476)))</formula>
    </cfRule>
  </conditionalFormatting>
  <conditionalFormatting sqref="C476:D476">
    <cfRule type="containsText" dxfId="7025" priority="9001" operator="containsText" text="SI">
      <formula>NOT(ISERROR(SEARCH("SI",C476)))</formula>
    </cfRule>
    <cfRule type="containsText" dxfId="7024" priority="9002" operator="containsText" text="NO">
      <formula>NOT(ISERROR(SEARCH("NO",C476)))</formula>
    </cfRule>
  </conditionalFormatting>
  <conditionalFormatting sqref="C476:E476">
    <cfRule type="containsText" dxfId="7023" priority="9000" operator="containsText" text="NUEVO">
      <formula>NOT(ISERROR(SEARCH("NUEVO",C476)))</formula>
    </cfRule>
  </conditionalFormatting>
  <conditionalFormatting sqref="E476">
    <cfRule type="containsText" dxfId="7022" priority="8999" operator="containsText" text="Sin Información">
      <formula>NOT(ISERROR(SEARCH("Sin Información",E476)))</formula>
    </cfRule>
  </conditionalFormatting>
  <conditionalFormatting sqref="C477:D477">
    <cfRule type="containsText" dxfId="7021" priority="8993" operator="containsText" text="NO+$D$4:$D$10">
      <formula>NOT(ISERROR(SEARCH("NO+$D$4:$D$10",C477)))</formula>
    </cfRule>
  </conditionalFormatting>
  <conditionalFormatting sqref="C477:D477">
    <cfRule type="containsText" dxfId="7020" priority="8991" operator="containsText" text="SI">
      <formula>NOT(ISERROR(SEARCH("SI",C477)))</formula>
    </cfRule>
    <cfRule type="containsText" dxfId="7019" priority="8992" operator="containsText" text="NO">
      <formula>NOT(ISERROR(SEARCH("NO",C477)))</formula>
    </cfRule>
  </conditionalFormatting>
  <conditionalFormatting sqref="C477:E477">
    <cfRule type="containsText" dxfId="7018" priority="8990" operator="containsText" text="NUEVO">
      <formula>NOT(ISERROR(SEARCH("NUEVO",C477)))</formula>
    </cfRule>
  </conditionalFormatting>
  <conditionalFormatting sqref="E477">
    <cfRule type="containsText" dxfId="7017" priority="8989" operator="containsText" text="Sin Información">
      <formula>NOT(ISERROR(SEARCH("Sin Información",E477)))</formula>
    </cfRule>
  </conditionalFormatting>
  <conditionalFormatting sqref="C478:D478">
    <cfRule type="containsText" dxfId="7016" priority="8988" operator="containsText" text="NO+$D$4:$D$10">
      <formula>NOT(ISERROR(SEARCH("NO+$D$4:$D$10",C478)))</formula>
    </cfRule>
  </conditionalFormatting>
  <conditionalFormatting sqref="C478:D478">
    <cfRule type="containsText" dxfId="7015" priority="8986" operator="containsText" text="SI">
      <formula>NOT(ISERROR(SEARCH("SI",C478)))</formula>
    </cfRule>
    <cfRule type="containsText" dxfId="7014" priority="8987" operator="containsText" text="NO">
      <formula>NOT(ISERROR(SEARCH("NO",C478)))</formula>
    </cfRule>
  </conditionalFormatting>
  <conditionalFormatting sqref="C478:E478">
    <cfRule type="containsText" dxfId="7013" priority="8985" operator="containsText" text="NUEVO">
      <formula>NOT(ISERROR(SEARCH("NUEVO",C478)))</formula>
    </cfRule>
  </conditionalFormatting>
  <conditionalFormatting sqref="E478">
    <cfRule type="containsText" dxfId="7012" priority="8984" operator="containsText" text="Sin Información">
      <formula>NOT(ISERROR(SEARCH("Sin Información",E478)))</formula>
    </cfRule>
  </conditionalFormatting>
  <conditionalFormatting sqref="C479:D479">
    <cfRule type="containsText" dxfId="7011" priority="8983" operator="containsText" text="NO+$D$4:$D$10">
      <formula>NOT(ISERROR(SEARCH("NO+$D$4:$D$10",C479)))</formula>
    </cfRule>
  </conditionalFormatting>
  <conditionalFormatting sqref="C479:D479">
    <cfRule type="containsText" dxfId="7010" priority="8981" operator="containsText" text="SI">
      <formula>NOT(ISERROR(SEARCH("SI",C479)))</formula>
    </cfRule>
    <cfRule type="containsText" dxfId="7009" priority="8982" operator="containsText" text="NO">
      <formula>NOT(ISERROR(SEARCH("NO",C479)))</formula>
    </cfRule>
  </conditionalFormatting>
  <conditionalFormatting sqref="C479:D479">
    <cfRule type="containsText" dxfId="7008" priority="8980" operator="containsText" text="NUEVO">
      <formula>NOT(ISERROR(SEARCH("NUEVO",C479)))</formula>
    </cfRule>
  </conditionalFormatting>
  <conditionalFormatting sqref="E479">
    <cfRule type="containsText" dxfId="7007" priority="8979" operator="containsText" text="NUEVO">
      <formula>NOT(ISERROR(SEARCH("NUEVO",E479)))</formula>
    </cfRule>
  </conditionalFormatting>
  <conditionalFormatting sqref="E479">
    <cfRule type="containsText" dxfId="7006" priority="8978" operator="containsText" text="Sin Información">
      <formula>NOT(ISERROR(SEARCH("Sin Información",E479)))</formula>
    </cfRule>
  </conditionalFormatting>
  <conditionalFormatting sqref="C482:D482">
    <cfRule type="containsText" dxfId="7005" priority="8966" operator="containsText" text="NO+$D$4:$D$10">
      <formula>NOT(ISERROR(SEARCH("NO+$D$4:$D$10",C482)))</formula>
    </cfRule>
  </conditionalFormatting>
  <conditionalFormatting sqref="C482:D482">
    <cfRule type="containsText" dxfId="7004" priority="8964" operator="containsText" text="SI">
      <formula>NOT(ISERROR(SEARCH("SI",C482)))</formula>
    </cfRule>
    <cfRule type="containsText" dxfId="7003" priority="8965" operator="containsText" text="NO">
      <formula>NOT(ISERROR(SEARCH("NO",C482)))</formula>
    </cfRule>
  </conditionalFormatting>
  <conditionalFormatting sqref="C482:E482">
    <cfRule type="containsText" dxfId="7002" priority="8963" operator="containsText" text="NUEVO">
      <formula>NOT(ISERROR(SEARCH("NUEVO",C482)))</formula>
    </cfRule>
  </conditionalFormatting>
  <conditionalFormatting sqref="E482">
    <cfRule type="containsText" dxfId="7001" priority="8962" operator="containsText" text="Sin Información">
      <formula>NOT(ISERROR(SEARCH("Sin Información",E482)))</formula>
    </cfRule>
  </conditionalFormatting>
  <conditionalFormatting sqref="C483:D483">
    <cfRule type="containsText" dxfId="7000" priority="8961" operator="containsText" text="NO+$D$4:$D$10">
      <formula>NOT(ISERROR(SEARCH("NO+$D$4:$D$10",C483)))</formula>
    </cfRule>
  </conditionalFormatting>
  <conditionalFormatting sqref="C483:D483">
    <cfRule type="containsText" dxfId="6999" priority="8959" operator="containsText" text="SI">
      <formula>NOT(ISERROR(SEARCH("SI",C483)))</formula>
    </cfRule>
    <cfRule type="containsText" dxfId="6998" priority="8960" operator="containsText" text="NO">
      <formula>NOT(ISERROR(SEARCH("NO",C483)))</formula>
    </cfRule>
  </conditionalFormatting>
  <conditionalFormatting sqref="C483:E483">
    <cfRule type="containsText" dxfId="6997" priority="8958" operator="containsText" text="NUEVO">
      <formula>NOT(ISERROR(SEARCH("NUEVO",C483)))</formula>
    </cfRule>
  </conditionalFormatting>
  <conditionalFormatting sqref="E483">
    <cfRule type="containsText" dxfId="6996" priority="8957" operator="containsText" text="Sin Información">
      <formula>NOT(ISERROR(SEARCH("Sin Información",E483)))</formula>
    </cfRule>
  </conditionalFormatting>
  <conditionalFormatting sqref="C484:D484">
    <cfRule type="containsText" dxfId="6995" priority="8956" operator="containsText" text="NO+$D$4:$D$10">
      <formula>NOT(ISERROR(SEARCH("NO+$D$4:$D$10",C484)))</formula>
    </cfRule>
  </conditionalFormatting>
  <conditionalFormatting sqref="C484:D484">
    <cfRule type="containsText" dxfId="6994" priority="8954" operator="containsText" text="SI">
      <formula>NOT(ISERROR(SEARCH("SI",C484)))</formula>
    </cfRule>
    <cfRule type="containsText" dxfId="6993" priority="8955" operator="containsText" text="NO">
      <formula>NOT(ISERROR(SEARCH("NO",C484)))</formula>
    </cfRule>
  </conditionalFormatting>
  <conditionalFormatting sqref="C484:E484">
    <cfRule type="containsText" dxfId="6992" priority="8953" operator="containsText" text="NUEVO">
      <formula>NOT(ISERROR(SEARCH("NUEVO",C484)))</formula>
    </cfRule>
  </conditionalFormatting>
  <conditionalFormatting sqref="E484">
    <cfRule type="containsText" dxfId="6991" priority="8952" operator="containsText" text="Sin Información">
      <formula>NOT(ISERROR(SEARCH("Sin Información",E484)))</formula>
    </cfRule>
  </conditionalFormatting>
  <conditionalFormatting sqref="C485:D485">
    <cfRule type="containsText" dxfId="6990" priority="8951" operator="containsText" text="NO+$D$4:$D$10">
      <formula>NOT(ISERROR(SEARCH("NO+$D$4:$D$10",C485)))</formula>
    </cfRule>
  </conditionalFormatting>
  <conditionalFormatting sqref="C485:D485">
    <cfRule type="containsText" dxfId="6989" priority="8949" operator="containsText" text="SI">
      <formula>NOT(ISERROR(SEARCH("SI",C485)))</formula>
    </cfRule>
    <cfRule type="containsText" dxfId="6988" priority="8950" operator="containsText" text="NO">
      <formula>NOT(ISERROR(SEARCH("NO",C485)))</formula>
    </cfRule>
  </conditionalFormatting>
  <conditionalFormatting sqref="C485:E485">
    <cfRule type="containsText" dxfId="6987" priority="8948" operator="containsText" text="NUEVO">
      <formula>NOT(ISERROR(SEARCH("NUEVO",C485)))</formula>
    </cfRule>
  </conditionalFormatting>
  <conditionalFormatting sqref="E485">
    <cfRule type="containsText" dxfId="6986" priority="8947" operator="containsText" text="Sin Información">
      <formula>NOT(ISERROR(SEARCH("Sin Información",E485)))</formula>
    </cfRule>
  </conditionalFormatting>
  <conditionalFormatting sqref="C486:D486">
    <cfRule type="containsText" dxfId="6985" priority="8946" operator="containsText" text="NO+$D$4:$D$10">
      <formula>NOT(ISERROR(SEARCH("NO+$D$4:$D$10",C486)))</formula>
    </cfRule>
  </conditionalFormatting>
  <conditionalFormatting sqref="C486:D486">
    <cfRule type="containsText" dxfId="6984" priority="8944" operator="containsText" text="SI">
      <formula>NOT(ISERROR(SEARCH("SI",C486)))</formula>
    </cfRule>
    <cfRule type="containsText" dxfId="6983" priority="8945" operator="containsText" text="NO">
      <formula>NOT(ISERROR(SEARCH("NO",C486)))</formula>
    </cfRule>
  </conditionalFormatting>
  <conditionalFormatting sqref="C486:E486">
    <cfRule type="containsText" dxfId="6982" priority="8943" operator="containsText" text="NUEVO">
      <formula>NOT(ISERROR(SEARCH("NUEVO",C486)))</formula>
    </cfRule>
  </conditionalFormatting>
  <conditionalFormatting sqref="E486">
    <cfRule type="containsText" dxfId="6981" priority="8942" operator="containsText" text="Sin Información">
      <formula>NOT(ISERROR(SEARCH("Sin Información",E486)))</formula>
    </cfRule>
  </conditionalFormatting>
  <conditionalFormatting sqref="C487:D487">
    <cfRule type="containsText" dxfId="6980" priority="8941" operator="containsText" text="NO+$D$4:$D$10">
      <formula>NOT(ISERROR(SEARCH("NO+$D$4:$D$10",C487)))</formula>
    </cfRule>
  </conditionalFormatting>
  <conditionalFormatting sqref="C487:D487">
    <cfRule type="containsText" dxfId="6979" priority="8939" operator="containsText" text="SI">
      <formula>NOT(ISERROR(SEARCH("SI",C487)))</formula>
    </cfRule>
    <cfRule type="containsText" dxfId="6978" priority="8940" operator="containsText" text="NO">
      <formula>NOT(ISERROR(SEARCH("NO",C487)))</formula>
    </cfRule>
  </conditionalFormatting>
  <conditionalFormatting sqref="C487:E487">
    <cfRule type="containsText" dxfId="6977" priority="8938" operator="containsText" text="NUEVO">
      <formula>NOT(ISERROR(SEARCH("NUEVO",C487)))</formula>
    </cfRule>
  </conditionalFormatting>
  <conditionalFormatting sqref="E487">
    <cfRule type="containsText" dxfId="6976" priority="8937" operator="containsText" text="Sin Información">
      <formula>NOT(ISERROR(SEARCH("Sin Información",E487)))</formula>
    </cfRule>
  </conditionalFormatting>
  <conditionalFormatting sqref="C488:D488">
    <cfRule type="containsText" dxfId="6975" priority="8936" operator="containsText" text="NO+$D$4:$D$10">
      <formula>NOT(ISERROR(SEARCH("NO+$D$4:$D$10",C488)))</formula>
    </cfRule>
  </conditionalFormatting>
  <conditionalFormatting sqref="C488:D488">
    <cfRule type="containsText" dxfId="6974" priority="8934" operator="containsText" text="SI">
      <formula>NOT(ISERROR(SEARCH("SI",C488)))</formula>
    </cfRule>
    <cfRule type="containsText" dxfId="6973" priority="8935" operator="containsText" text="NO">
      <formula>NOT(ISERROR(SEARCH("NO",C488)))</formula>
    </cfRule>
  </conditionalFormatting>
  <conditionalFormatting sqref="C488:E488">
    <cfRule type="containsText" dxfId="6972" priority="8933" operator="containsText" text="NUEVO">
      <formula>NOT(ISERROR(SEARCH("NUEVO",C488)))</formula>
    </cfRule>
  </conditionalFormatting>
  <conditionalFormatting sqref="E488">
    <cfRule type="containsText" dxfId="6971" priority="8932" operator="containsText" text="Sin Información">
      <formula>NOT(ISERROR(SEARCH("Sin Información",E488)))</formula>
    </cfRule>
  </conditionalFormatting>
  <conditionalFormatting sqref="C489:D489">
    <cfRule type="containsText" dxfId="6970" priority="8931" operator="containsText" text="NO+$D$4:$D$10">
      <formula>NOT(ISERROR(SEARCH("NO+$D$4:$D$10",C489)))</formula>
    </cfRule>
  </conditionalFormatting>
  <conditionalFormatting sqref="C489:D489">
    <cfRule type="containsText" dxfId="6969" priority="8929" operator="containsText" text="SI">
      <formula>NOT(ISERROR(SEARCH("SI",C489)))</formula>
    </cfRule>
    <cfRule type="containsText" dxfId="6968" priority="8930" operator="containsText" text="NO">
      <formula>NOT(ISERROR(SEARCH("NO",C489)))</formula>
    </cfRule>
  </conditionalFormatting>
  <conditionalFormatting sqref="E489">
    <cfRule type="containsText" dxfId="6967" priority="8928" operator="containsText" text="Sin información">
      <formula>NOT(ISERROR(SEARCH("Sin información",E489)))</formula>
    </cfRule>
  </conditionalFormatting>
  <conditionalFormatting sqref="C489:E489">
    <cfRule type="containsText" dxfId="6966" priority="8927" operator="containsText" text="NUEVO">
      <formula>NOT(ISERROR(SEARCH("NUEVO",C489)))</formula>
    </cfRule>
  </conditionalFormatting>
  <conditionalFormatting sqref="E489">
    <cfRule type="containsText" dxfId="6965" priority="8926" operator="containsText" text="Sin Información">
      <formula>NOT(ISERROR(SEARCH("Sin Información",E489)))</formula>
    </cfRule>
  </conditionalFormatting>
  <conditionalFormatting sqref="C491:D491">
    <cfRule type="containsText" dxfId="6964" priority="8925" operator="containsText" text="NO+$D$4:$D$10">
      <formula>NOT(ISERROR(SEARCH("NO+$D$4:$D$10",C491)))</formula>
    </cfRule>
  </conditionalFormatting>
  <conditionalFormatting sqref="C491:D491">
    <cfRule type="containsText" dxfId="6963" priority="8923" operator="containsText" text="SI">
      <formula>NOT(ISERROR(SEARCH("SI",C491)))</formula>
    </cfRule>
    <cfRule type="containsText" dxfId="6962" priority="8924" operator="containsText" text="NO">
      <formula>NOT(ISERROR(SEARCH("NO",C491)))</formula>
    </cfRule>
  </conditionalFormatting>
  <conditionalFormatting sqref="C491:E491">
    <cfRule type="containsText" dxfId="6961" priority="8922" operator="containsText" text="NUEVO">
      <formula>NOT(ISERROR(SEARCH("NUEVO",C491)))</formula>
    </cfRule>
  </conditionalFormatting>
  <conditionalFormatting sqref="E491">
    <cfRule type="containsText" dxfId="6960" priority="8921" operator="containsText" text="Sin Información">
      <formula>NOT(ISERROR(SEARCH("Sin Información",E491)))</formula>
    </cfRule>
  </conditionalFormatting>
  <conditionalFormatting sqref="C492:D492">
    <cfRule type="containsText" dxfId="6959" priority="8920" operator="containsText" text="NO+$D$4:$D$10">
      <formula>NOT(ISERROR(SEARCH("NO+$D$4:$D$10",C492)))</formula>
    </cfRule>
  </conditionalFormatting>
  <conditionalFormatting sqref="C492:D492">
    <cfRule type="containsText" dxfId="6958" priority="8918" operator="containsText" text="SI">
      <formula>NOT(ISERROR(SEARCH("SI",C492)))</formula>
    </cfRule>
    <cfRule type="containsText" dxfId="6957" priority="8919" operator="containsText" text="NO">
      <formula>NOT(ISERROR(SEARCH("NO",C492)))</formula>
    </cfRule>
  </conditionalFormatting>
  <conditionalFormatting sqref="C492:E492">
    <cfRule type="containsText" dxfId="6956" priority="8917" operator="containsText" text="NUEVO">
      <formula>NOT(ISERROR(SEARCH("NUEVO",C492)))</formula>
    </cfRule>
  </conditionalFormatting>
  <conditionalFormatting sqref="E492">
    <cfRule type="containsText" dxfId="6955" priority="8916" operator="containsText" text="Sin Información">
      <formula>NOT(ISERROR(SEARCH("Sin Información",E492)))</formula>
    </cfRule>
  </conditionalFormatting>
  <conditionalFormatting sqref="C493:D493">
    <cfRule type="containsText" dxfId="6954" priority="8915" operator="containsText" text="NO+$D$4:$D$10">
      <formula>NOT(ISERROR(SEARCH("NO+$D$4:$D$10",C493)))</formula>
    </cfRule>
  </conditionalFormatting>
  <conditionalFormatting sqref="C493:D493">
    <cfRule type="containsText" dxfId="6953" priority="8913" operator="containsText" text="SI">
      <formula>NOT(ISERROR(SEARCH("SI",C493)))</formula>
    </cfRule>
    <cfRule type="containsText" dxfId="6952" priority="8914" operator="containsText" text="NO">
      <formula>NOT(ISERROR(SEARCH("NO",C493)))</formula>
    </cfRule>
  </conditionalFormatting>
  <conditionalFormatting sqref="C493:E493">
    <cfRule type="containsText" dxfId="6951" priority="8912" operator="containsText" text="NUEVO">
      <formula>NOT(ISERROR(SEARCH("NUEVO",C493)))</formula>
    </cfRule>
  </conditionalFormatting>
  <conditionalFormatting sqref="E493">
    <cfRule type="containsText" dxfId="6950" priority="8911" operator="containsText" text="Sin Información">
      <formula>NOT(ISERROR(SEARCH("Sin Información",E493)))</formula>
    </cfRule>
  </conditionalFormatting>
  <conditionalFormatting sqref="C494:D494">
    <cfRule type="containsText" dxfId="6949" priority="8910" operator="containsText" text="NO+$D$4:$D$10">
      <formula>NOT(ISERROR(SEARCH("NO+$D$4:$D$10",C494)))</formula>
    </cfRule>
  </conditionalFormatting>
  <conditionalFormatting sqref="C494:D494">
    <cfRule type="containsText" dxfId="6948" priority="8908" operator="containsText" text="SI">
      <formula>NOT(ISERROR(SEARCH("SI",C494)))</formula>
    </cfRule>
    <cfRule type="containsText" dxfId="6947" priority="8909" operator="containsText" text="NO">
      <formula>NOT(ISERROR(SEARCH("NO",C494)))</formula>
    </cfRule>
  </conditionalFormatting>
  <conditionalFormatting sqref="C494:E494">
    <cfRule type="containsText" dxfId="6946" priority="8907" operator="containsText" text="NUEVO">
      <formula>NOT(ISERROR(SEARCH("NUEVO",C494)))</formula>
    </cfRule>
  </conditionalFormatting>
  <conditionalFormatting sqref="E494">
    <cfRule type="containsText" dxfId="6945" priority="8906" operator="containsText" text="Sin Información">
      <formula>NOT(ISERROR(SEARCH("Sin Información",E494)))</formula>
    </cfRule>
  </conditionalFormatting>
  <conditionalFormatting sqref="C495:D495">
    <cfRule type="containsText" dxfId="6944" priority="8905" operator="containsText" text="NO+$D$4:$D$10">
      <formula>NOT(ISERROR(SEARCH("NO+$D$4:$D$10",C495)))</formula>
    </cfRule>
  </conditionalFormatting>
  <conditionalFormatting sqref="C495:D495">
    <cfRule type="containsText" dxfId="6943" priority="8903" operator="containsText" text="SI">
      <formula>NOT(ISERROR(SEARCH("SI",C495)))</formula>
    </cfRule>
    <cfRule type="containsText" dxfId="6942" priority="8904" operator="containsText" text="NO">
      <formula>NOT(ISERROR(SEARCH("NO",C495)))</formula>
    </cfRule>
  </conditionalFormatting>
  <conditionalFormatting sqref="C495:E495">
    <cfRule type="containsText" dxfId="6941" priority="8902" operator="containsText" text="NUEVO">
      <formula>NOT(ISERROR(SEARCH("NUEVO",C495)))</formula>
    </cfRule>
  </conditionalFormatting>
  <conditionalFormatting sqref="E495">
    <cfRule type="containsText" dxfId="6940" priority="8901" operator="containsText" text="Sin Información">
      <formula>NOT(ISERROR(SEARCH("Sin Información",E495)))</formula>
    </cfRule>
  </conditionalFormatting>
  <conditionalFormatting sqref="C496:D496">
    <cfRule type="containsText" dxfId="6939" priority="8900" operator="containsText" text="NO+$D$4:$D$10">
      <formula>NOT(ISERROR(SEARCH("NO+$D$4:$D$10",C496)))</formula>
    </cfRule>
  </conditionalFormatting>
  <conditionalFormatting sqref="C496:D496">
    <cfRule type="containsText" dxfId="6938" priority="8898" operator="containsText" text="SI">
      <formula>NOT(ISERROR(SEARCH("SI",C496)))</formula>
    </cfRule>
    <cfRule type="containsText" dxfId="6937" priority="8899" operator="containsText" text="NO">
      <formula>NOT(ISERROR(SEARCH("NO",C496)))</formula>
    </cfRule>
  </conditionalFormatting>
  <conditionalFormatting sqref="C496:D496">
    <cfRule type="containsText" dxfId="6936" priority="8897" operator="containsText" text="NUEVO">
      <formula>NOT(ISERROR(SEARCH("NUEVO",C496)))</formula>
    </cfRule>
  </conditionalFormatting>
  <conditionalFormatting sqref="E496">
    <cfRule type="containsText" dxfId="6935" priority="8896" operator="containsText" text="NUEVO">
      <formula>NOT(ISERROR(SEARCH("NUEVO",E496)))</formula>
    </cfRule>
  </conditionalFormatting>
  <conditionalFormatting sqref="E496">
    <cfRule type="containsText" dxfId="6934" priority="8895" operator="containsText" text="Sin Información">
      <formula>NOT(ISERROR(SEARCH("Sin Información",E496)))</formula>
    </cfRule>
  </conditionalFormatting>
  <conditionalFormatting sqref="C497:D497">
    <cfRule type="containsText" dxfId="6933" priority="8894" operator="containsText" text="NO+$D$4:$D$10">
      <formula>NOT(ISERROR(SEARCH("NO+$D$4:$D$10",C497)))</formula>
    </cfRule>
  </conditionalFormatting>
  <conditionalFormatting sqref="C497:D497">
    <cfRule type="containsText" dxfId="6932" priority="8892" operator="containsText" text="SI">
      <formula>NOT(ISERROR(SEARCH("SI",C497)))</formula>
    </cfRule>
    <cfRule type="containsText" dxfId="6931" priority="8893" operator="containsText" text="NO">
      <formula>NOT(ISERROR(SEARCH("NO",C497)))</formula>
    </cfRule>
  </conditionalFormatting>
  <conditionalFormatting sqref="E497">
    <cfRule type="containsText" dxfId="6930" priority="8891" operator="containsText" text="Sin información">
      <formula>NOT(ISERROR(SEARCH("Sin información",E497)))</formula>
    </cfRule>
  </conditionalFormatting>
  <conditionalFormatting sqref="C497:E497">
    <cfRule type="containsText" dxfId="6929" priority="8890" operator="containsText" text="NUEVO">
      <formula>NOT(ISERROR(SEARCH("NUEVO",C497)))</formula>
    </cfRule>
  </conditionalFormatting>
  <conditionalFormatting sqref="E497">
    <cfRule type="containsText" dxfId="6928" priority="8889" operator="containsText" text="Sin Información">
      <formula>NOT(ISERROR(SEARCH("Sin Información",E497)))</formula>
    </cfRule>
  </conditionalFormatting>
  <conditionalFormatting sqref="C498:D498">
    <cfRule type="containsText" dxfId="6927" priority="8888" operator="containsText" text="NO+$D$4:$D$10">
      <formula>NOT(ISERROR(SEARCH("NO+$D$4:$D$10",C498)))</formula>
    </cfRule>
  </conditionalFormatting>
  <conditionalFormatting sqref="C498:D498">
    <cfRule type="containsText" dxfId="6926" priority="8886" operator="containsText" text="SI">
      <formula>NOT(ISERROR(SEARCH("SI",C498)))</formula>
    </cfRule>
    <cfRule type="containsText" dxfId="6925" priority="8887" operator="containsText" text="NO">
      <formula>NOT(ISERROR(SEARCH("NO",C498)))</formula>
    </cfRule>
  </conditionalFormatting>
  <conditionalFormatting sqref="C498:D498">
    <cfRule type="containsText" dxfId="6924" priority="8885" operator="containsText" text="NUEVO">
      <formula>NOT(ISERROR(SEARCH("NUEVO",C498)))</formula>
    </cfRule>
  </conditionalFormatting>
  <conditionalFormatting sqref="E498">
    <cfRule type="containsText" dxfId="6923" priority="8884" operator="containsText" text="NUEVO">
      <formula>NOT(ISERROR(SEARCH("NUEVO",E498)))</formula>
    </cfRule>
  </conditionalFormatting>
  <conditionalFormatting sqref="E498">
    <cfRule type="containsText" dxfId="6922" priority="8883" operator="containsText" text="Sin Información">
      <formula>NOT(ISERROR(SEARCH("Sin Información",E498)))</formula>
    </cfRule>
  </conditionalFormatting>
  <conditionalFormatting sqref="C499:D499">
    <cfRule type="containsText" dxfId="6921" priority="8882" operator="containsText" text="NO+$D$4:$D$10">
      <formula>NOT(ISERROR(SEARCH("NO+$D$4:$D$10",C499)))</formula>
    </cfRule>
  </conditionalFormatting>
  <conditionalFormatting sqref="C499:D499">
    <cfRule type="containsText" dxfId="6920" priority="8880" operator="containsText" text="SI">
      <formula>NOT(ISERROR(SEARCH("SI",C499)))</formula>
    </cfRule>
    <cfRule type="containsText" dxfId="6919" priority="8881" operator="containsText" text="NO">
      <formula>NOT(ISERROR(SEARCH("NO",C499)))</formula>
    </cfRule>
  </conditionalFormatting>
  <conditionalFormatting sqref="C499:E499">
    <cfRule type="containsText" dxfId="6918" priority="8879" operator="containsText" text="NUEVO">
      <formula>NOT(ISERROR(SEARCH("NUEVO",C499)))</formula>
    </cfRule>
  </conditionalFormatting>
  <conditionalFormatting sqref="E499">
    <cfRule type="containsText" dxfId="6917" priority="8878" operator="containsText" text="Sin Información">
      <formula>NOT(ISERROR(SEARCH("Sin Información",E499)))</formula>
    </cfRule>
  </conditionalFormatting>
  <conditionalFormatting sqref="C500:D500">
    <cfRule type="containsText" dxfId="6916" priority="8877" operator="containsText" text="NO+$D$4:$D$10">
      <formula>NOT(ISERROR(SEARCH("NO+$D$4:$D$10",C500)))</formula>
    </cfRule>
  </conditionalFormatting>
  <conditionalFormatting sqref="C500:D500">
    <cfRule type="containsText" dxfId="6915" priority="8875" operator="containsText" text="SI">
      <formula>NOT(ISERROR(SEARCH("SI",C500)))</formula>
    </cfRule>
    <cfRule type="containsText" dxfId="6914" priority="8876" operator="containsText" text="NO">
      <formula>NOT(ISERROR(SEARCH("NO",C500)))</formula>
    </cfRule>
  </conditionalFormatting>
  <conditionalFormatting sqref="C500:E500">
    <cfRule type="containsText" dxfId="6913" priority="8874" operator="containsText" text="NUEVO">
      <formula>NOT(ISERROR(SEARCH("NUEVO",C500)))</formula>
    </cfRule>
  </conditionalFormatting>
  <conditionalFormatting sqref="E500">
    <cfRule type="containsText" dxfId="6912" priority="8873" operator="containsText" text="Sin Información">
      <formula>NOT(ISERROR(SEARCH("Sin Información",E500)))</formula>
    </cfRule>
  </conditionalFormatting>
  <conditionalFormatting sqref="C501:D501">
    <cfRule type="containsText" dxfId="6911" priority="8872" operator="containsText" text="NO+$D$4:$D$10">
      <formula>NOT(ISERROR(SEARCH("NO+$D$4:$D$10",C501)))</formula>
    </cfRule>
  </conditionalFormatting>
  <conditionalFormatting sqref="C501:D501">
    <cfRule type="containsText" dxfId="6910" priority="8870" operator="containsText" text="SI">
      <formula>NOT(ISERROR(SEARCH("SI",C501)))</formula>
    </cfRule>
    <cfRule type="containsText" dxfId="6909" priority="8871" operator="containsText" text="NO">
      <formula>NOT(ISERROR(SEARCH("NO",C501)))</formula>
    </cfRule>
  </conditionalFormatting>
  <conditionalFormatting sqref="C501:E501">
    <cfRule type="containsText" dxfId="6908" priority="8869" operator="containsText" text="NUEVO">
      <formula>NOT(ISERROR(SEARCH("NUEVO",C501)))</formula>
    </cfRule>
  </conditionalFormatting>
  <conditionalFormatting sqref="E501">
    <cfRule type="containsText" dxfId="6907" priority="8868" operator="containsText" text="Sin Información">
      <formula>NOT(ISERROR(SEARCH("Sin Información",E501)))</formula>
    </cfRule>
  </conditionalFormatting>
  <conditionalFormatting sqref="C502:D502">
    <cfRule type="containsText" dxfId="6906" priority="8867" operator="containsText" text="NO+$D$4:$D$10">
      <formula>NOT(ISERROR(SEARCH("NO+$D$4:$D$10",C502)))</formula>
    </cfRule>
  </conditionalFormatting>
  <conditionalFormatting sqref="C502:D502">
    <cfRule type="containsText" dxfId="6905" priority="8865" operator="containsText" text="SI">
      <formula>NOT(ISERROR(SEARCH("SI",C502)))</formula>
    </cfRule>
    <cfRule type="containsText" dxfId="6904" priority="8866" operator="containsText" text="NO">
      <formula>NOT(ISERROR(SEARCH("NO",C502)))</formula>
    </cfRule>
  </conditionalFormatting>
  <conditionalFormatting sqref="E502">
    <cfRule type="containsText" dxfId="6903" priority="8864" operator="containsText" text="Sin información">
      <formula>NOT(ISERROR(SEARCH("Sin información",E502)))</formula>
    </cfRule>
  </conditionalFormatting>
  <conditionalFormatting sqref="C502:E502">
    <cfRule type="containsText" dxfId="6902" priority="8863" operator="containsText" text="NUEVO">
      <formula>NOT(ISERROR(SEARCH("NUEVO",C502)))</formula>
    </cfRule>
  </conditionalFormatting>
  <conditionalFormatting sqref="E502">
    <cfRule type="containsText" dxfId="6901" priority="8862" operator="containsText" text="Sin Información">
      <formula>NOT(ISERROR(SEARCH("Sin Información",E502)))</formula>
    </cfRule>
  </conditionalFormatting>
  <conditionalFormatting sqref="C503:D503">
    <cfRule type="containsText" dxfId="6900" priority="8861" operator="containsText" text="NO+$D$4:$D$10">
      <formula>NOT(ISERROR(SEARCH("NO+$D$4:$D$10",C503)))</formula>
    </cfRule>
  </conditionalFormatting>
  <conditionalFormatting sqref="C503:D503">
    <cfRule type="containsText" dxfId="6899" priority="8859" operator="containsText" text="SI">
      <formula>NOT(ISERROR(SEARCH("SI",C503)))</formula>
    </cfRule>
    <cfRule type="containsText" dxfId="6898" priority="8860" operator="containsText" text="NO">
      <formula>NOT(ISERROR(SEARCH("NO",C503)))</formula>
    </cfRule>
  </conditionalFormatting>
  <conditionalFormatting sqref="C503:E503">
    <cfRule type="containsText" dxfId="6897" priority="8858" operator="containsText" text="NUEVO">
      <formula>NOT(ISERROR(SEARCH("NUEVO",C503)))</formula>
    </cfRule>
  </conditionalFormatting>
  <conditionalFormatting sqref="E503">
    <cfRule type="containsText" dxfId="6896" priority="8857" operator="containsText" text="Sin Información">
      <formula>NOT(ISERROR(SEARCH("Sin Información",E503)))</formula>
    </cfRule>
  </conditionalFormatting>
  <conditionalFormatting sqref="C504:D504">
    <cfRule type="containsText" dxfId="6895" priority="8856" operator="containsText" text="NO+$D$4:$D$10">
      <formula>NOT(ISERROR(SEARCH("NO+$D$4:$D$10",C504)))</formula>
    </cfRule>
  </conditionalFormatting>
  <conditionalFormatting sqref="C504:D504">
    <cfRule type="containsText" dxfId="6894" priority="8854" operator="containsText" text="SI">
      <formula>NOT(ISERROR(SEARCH("SI",C504)))</formula>
    </cfRule>
    <cfRule type="containsText" dxfId="6893" priority="8855" operator="containsText" text="NO">
      <formula>NOT(ISERROR(SEARCH("NO",C504)))</formula>
    </cfRule>
  </conditionalFormatting>
  <conditionalFormatting sqref="C504:E504">
    <cfRule type="containsText" dxfId="6892" priority="8853" operator="containsText" text="NUEVO">
      <formula>NOT(ISERROR(SEARCH("NUEVO",C504)))</formula>
    </cfRule>
  </conditionalFormatting>
  <conditionalFormatting sqref="E504">
    <cfRule type="containsText" dxfId="6891" priority="8852" operator="containsText" text="Sin Información">
      <formula>NOT(ISERROR(SEARCH("Sin Información",E504)))</formula>
    </cfRule>
  </conditionalFormatting>
  <conditionalFormatting sqref="C505:D505">
    <cfRule type="containsText" dxfId="6890" priority="8851" operator="containsText" text="NO+$D$4:$D$10">
      <formula>NOT(ISERROR(SEARCH("NO+$D$4:$D$10",C505)))</formula>
    </cfRule>
  </conditionalFormatting>
  <conditionalFormatting sqref="C505:D505">
    <cfRule type="containsText" dxfId="6889" priority="8849" operator="containsText" text="SI">
      <formula>NOT(ISERROR(SEARCH("SI",C505)))</formula>
    </cfRule>
    <cfRule type="containsText" dxfId="6888" priority="8850" operator="containsText" text="NO">
      <formula>NOT(ISERROR(SEARCH("NO",C505)))</formula>
    </cfRule>
  </conditionalFormatting>
  <conditionalFormatting sqref="C505:D505">
    <cfRule type="containsText" dxfId="6887" priority="8848" operator="containsText" text="NUEVO">
      <formula>NOT(ISERROR(SEARCH("NUEVO",C505)))</formula>
    </cfRule>
  </conditionalFormatting>
  <conditionalFormatting sqref="E505">
    <cfRule type="containsText" dxfId="6886" priority="8847" operator="containsText" text="NUEVO">
      <formula>NOT(ISERROR(SEARCH("NUEVO",E505)))</formula>
    </cfRule>
  </conditionalFormatting>
  <conditionalFormatting sqref="E505">
    <cfRule type="containsText" dxfId="6885" priority="8846" operator="containsText" text="Sin Información">
      <formula>NOT(ISERROR(SEARCH("Sin Información",E505)))</formula>
    </cfRule>
  </conditionalFormatting>
  <conditionalFormatting sqref="C506:D506">
    <cfRule type="containsText" dxfId="6884" priority="8845" operator="containsText" text="NO+$D$4:$D$10">
      <formula>NOT(ISERROR(SEARCH("NO+$D$4:$D$10",C506)))</formula>
    </cfRule>
  </conditionalFormatting>
  <conditionalFormatting sqref="C506:D506">
    <cfRule type="containsText" dxfId="6883" priority="8843" operator="containsText" text="SI">
      <formula>NOT(ISERROR(SEARCH("SI",C506)))</formula>
    </cfRule>
    <cfRule type="containsText" dxfId="6882" priority="8844" operator="containsText" text="NO">
      <formula>NOT(ISERROR(SEARCH("NO",C506)))</formula>
    </cfRule>
  </conditionalFormatting>
  <conditionalFormatting sqref="C506:D506">
    <cfRule type="containsText" dxfId="6881" priority="8842" operator="containsText" text="NUEVO">
      <formula>NOT(ISERROR(SEARCH("NUEVO",C506)))</formula>
    </cfRule>
  </conditionalFormatting>
  <conditionalFormatting sqref="E506">
    <cfRule type="containsText" dxfId="6880" priority="8840" operator="containsText" text="Sin Información">
      <formula>NOT(ISERROR(SEARCH("Sin Información",E506)))</formula>
    </cfRule>
  </conditionalFormatting>
  <conditionalFormatting sqref="E506">
    <cfRule type="containsText" dxfId="6879" priority="8841" operator="containsText" text="NUEVO">
      <formula>NOT(ISERROR(SEARCH("NUEVO",E506)))</formula>
    </cfRule>
  </conditionalFormatting>
  <conditionalFormatting sqref="C507:D507">
    <cfRule type="containsText" dxfId="6878" priority="8839" operator="containsText" text="NO+$D$4:$D$10">
      <formula>NOT(ISERROR(SEARCH("NO+$D$4:$D$10",C507)))</formula>
    </cfRule>
  </conditionalFormatting>
  <conditionalFormatting sqref="C507:D507">
    <cfRule type="containsText" dxfId="6877" priority="8837" operator="containsText" text="SI">
      <formula>NOT(ISERROR(SEARCH("SI",C507)))</formula>
    </cfRule>
    <cfRule type="containsText" dxfId="6876" priority="8838" operator="containsText" text="NO">
      <formula>NOT(ISERROR(SEARCH("NO",C507)))</formula>
    </cfRule>
  </conditionalFormatting>
  <conditionalFormatting sqref="C507:D507">
    <cfRule type="containsText" dxfId="6875" priority="8836" operator="containsText" text="NUEVO">
      <formula>NOT(ISERROR(SEARCH("NUEVO",C507)))</formula>
    </cfRule>
  </conditionalFormatting>
  <conditionalFormatting sqref="E507">
    <cfRule type="containsText" dxfId="6874" priority="8835" operator="containsText" text="NUEVO">
      <formula>NOT(ISERROR(SEARCH("NUEVO",E507)))</formula>
    </cfRule>
  </conditionalFormatting>
  <conditionalFormatting sqref="E507">
    <cfRule type="containsText" dxfId="6873" priority="8834" operator="containsText" text="Sin Información">
      <formula>NOT(ISERROR(SEARCH("Sin Información",E507)))</formula>
    </cfRule>
  </conditionalFormatting>
  <conditionalFormatting sqref="C509:D509">
    <cfRule type="containsText" dxfId="6872" priority="8828" operator="containsText" text="NO+$D$4:$D$10">
      <formula>NOT(ISERROR(SEARCH("NO+$D$4:$D$10",C509)))</formula>
    </cfRule>
  </conditionalFormatting>
  <conditionalFormatting sqref="C509:D509">
    <cfRule type="containsText" dxfId="6871" priority="8826" operator="containsText" text="SI">
      <formula>NOT(ISERROR(SEARCH("SI",C509)))</formula>
    </cfRule>
    <cfRule type="containsText" dxfId="6870" priority="8827" operator="containsText" text="NO">
      <formula>NOT(ISERROR(SEARCH("NO",C509)))</formula>
    </cfRule>
  </conditionalFormatting>
  <conditionalFormatting sqref="C509:E509">
    <cfRule type="containsText" dxfId="6869" priority="8825" operator="containsText" text="NUEVO">
      <formula>NOT(ISERROR(SEARCH("NUEVO",C509)))</formula>
    </cfRule>
  </conditionalFormatting>
  <conditionalFormatting sqref="E509">
    <cfRule type="containsText" dxfId="6868" priority="8824" operator="containsText" text="Sin Información">
      <formula>NOT(ISERROR(SEARCH("Sin Información",E509)))</formula>
    </cfRule>
  </conditionalFormatting>
  <conditionalFormatting sqref="C510:D510">
    <cfRule type="containsText" dxfId="6867" priority="8823" operator="containsText" text="NO+$D$4:$D$10">
      <formula>NOT(ISERROR(SEARCH("NO+$D$4:$D$10",C510)))</formula>
    </cfRule>
  </conditionalFormatting>
  <conditionalFormatting sqref="C510:D510">
    <cfRule type="containsText" dxfId="6866" priority="8821" operator="containsText" text="SI">
      <formula>NOT(ISERROR(SEARCH("SI",C510)))</formula>
    </cfRule>
    <cfRule type="containsText" dxfId="6865" priority="8822" operator="containsText" text="NO">
      <formula>NOT(ISERROR(SEARCH("NO",C510)))</formula>
    </cfRule>
  </conditionalFormatting>
  <conditionalFormatting sqref="C510:E510">
    <cfRule type="containsText" dxfId="6864" priority="8820" operator="containsText" text="NUEVO">
      <formula>NOT(ISERROR(SEARCH("NUEVO",C510)))</formula>
    </cfRule>
  </conditionalFormatting>
  <conditionalFormatting sqref="E510">
    <cfRule type="containsText" dxfId="6863" priority="8819" operator="containsText" text="Sin Información">
      <formula>NOT(ISERROR(SEARCH("Sin Información",E510)))</formula>
    </cfRule>
  </conditionalFormatting>
  <conditionalFormatting sqref="C511:D511">
    <cfRule type="containsText" dxfId="6862" priority="8818" operator="containsText" text="NO+$D$4:$D$10">
      <formula>NOT(ISERROR(SEARCH("NO+$D$4:$D$10",C511)))</formula>
    </cfRule>
  </conditionalFormatting>
  <conditionalFormatting sqref="C511:D511">
    <cfRule type="containsText" dxfId="6861" priority="8816" operator="containsText" text="SI">
      <formula>NOT(ISERROR(SEARCH("SI",C511)))</formula>
    </cfRule>
    <cfRule type="containsText" dxfId="6860" priority="8817" operator="containsText" text="NO">
      <formula>NOT(ISERROR(SEARCH("NO",C511)))</formula>
    </cfRule>
  </conditionalFormatting>
  <conditionalFormatting sqref="C511:D511">
    <cfRule type="containsText" dxfId="6859" priority="8815" operator="containsText" text="NUEVO">
      <formula>NOT(ISERROR(SEARCH("NUEVO",C511)))</formula>
    </cfRule>
  </conditionalFormatting>
  <conditionalFormatting sqref="E511">
    <cfRule type="containsText" dxfId="6858" priority="8814" operator="containsText" text="NUEVO">
      <formula>NOT(ISERROR(SEARCH("NUEVO",E511)))</formula>
    </cfRule>
  </conditionalFormatting>
  <conditionalFormatting sqref="E511">
    <cfRule type="containsText" dxfId="6857" priority="8813" operator="containsText" text="Sin Información">
      <formula>NOT(ISERROR(SEARCH("Sin Información",E511)))</formula>
    </cfRule>
  </conditionalFormatting>
  <conditionalFormatting sqref="C512:D512">
    <cfRule type="containsText" dxfId="6856" priority="8812" operator="containsText" text="NO+$D$4:$D$10">
      <formula>NOT(ISERROR(SEARCH("NO+$D$4:$D$10",C512)))</formula>
    </cfRule>
  </conditionalFormatting>
  <conditionalFormatting sqref="C512:D512">
    <cfRule type="containsText" dxfId="6855" priority="8810" operator="containsText" text="SI">
      <formula>NOT(ISERROR(SEARCH("SI",C512)))</formula>
    </cfRule>
    <cfRule type="containsText" dxfId="6854" priority="8811" operator="containsText" text="NO">
      <formula>NOT(ISERROR(SEARCH("NO",C512)))</formula>
    </cfRule>
  </conditionalFormatting>
  <conditionalFormatting sqref="C512:D512">
    <cfRule type="containsText" dxfId="6853" priority="8809" operator="containsText" text="NUEVO">
      <formula>NOT(ISERROR(SEARCH("NUEVO",C512)))</formula>
    </cfRule>
  </conditionalFormatting>
  <conditionalFormatting sqref="E512">
    <cfRule type="containsText" dxfId="6852" priority="8807" operator="containsText" text="Sin Información">
      <formula>NOT(ISERROR(SEARCH("Sin Información",E512)))</formula>
    </cfRule>
  </conditionalFormatting>
  <conditionalFormatting sqref="E512">
    <cfRule type="containsText" dxfId="6851" priority="8808" operator="containsText" text="NUEVO">
      <formula>NOT(ISERROR(SEARCH("NUEVO",E512)))</formula>
    </cfRule>
  </conditionalFormatting>
  <conditionalFormatting sqref="C513:D513">
    <cfRule type="containsText" dxfId="6850" priority="8806" operator="containsText" text="NO+$D$4:$D$10">
      <formula>NOT(ISERROR(SEARCH("NO+$D$4:$D$10",C513)))</formula>
    </cfRule>
  </conditionalFormatting>
  <conditionalFormatting sqref="C513:D513">
    <cfRule type="containsText" dxfId="6849" priority="8804" operator="containsText" text="SI">
      <formula>NOT(ISERROR(SEARCH("SI",C513)))</formula>
    </cfRule>
    <cfRule type="containsText" dxfId="6848" priority="8805" operator="containsText" text="NO">
      <formula>NOT(ISERROR(SEARCH("NO",C513)))</formula>
    </cfRule>
  </conditionalFormatting>
  <conditionalFormatting sqref="C513:D513">
    <cfRule type="containsText" dxfId="6847" priority="8803" operator="containsText" text="NUEVO">
      <formula>NOT(ISERROR(SEARCH("NUEVO",C513)))</formula>
    </cfRule>
  </conditionalFormatting>
  <conditionalFormatting sqref="E513">
    <cfRule type="containsText" dxfId="6846" priority="8802" operator="containsText" text="NUEVO">
      <formula>NOT(ISERROR(SEARCH("NUEVO",E513)))</formula>
    </cfRule>
  </conditionalFormatting>
  <conditionalFormatting sqref="E513">
    <cfRule type="containsText" dxfId="6845" priority="8801" operator="containsText" text="Sin Información">
      <formula>NOT(ISERROR(SEARCH("Sin Información",E513)))</formula>
    </cfRule>
  </conditionalFormatting>
  <conditionalFormatting sqref="C514:D520">
    <cfRule type="containsText" dxfId="6844" priority="8800" operator="containsText" text="NO+$D$4:$D$10">
      <formula>NOT(ISERROR(SEARCH("NO+$D$4:$D$10",C514)))</formula>
    </cfRule>
  </conditionalFormatting>
  <conditionalFormatting sqref="C514:D520">
    <cfRule type="containsText" dxfId="6843" priority="8798" operator="containsText" text="SI">
      <formula>NOT(ISERROR(SEARCH("SI",C514)))</formula>
    </cfRule>
    <cfRule type="containsText" dxfId="6842" priority="8799" operator="containsText" text="NO">
      <formula>NOT(ISERROR(SEARCH("NO",C514)))</formula>
    </cfRule>
  </conditionalFormatting>
  <conditionalFormatting sqref="C514:D520">
    <cfRule type="containsText" dxfId="6841" priority="8797" operator="containsText" text="NUEVO">
      <formula>NOT(ISERROR(SEARCH("NUEVO",C514)))</formula>
    </cfRule>
  </conditionalFormatting>
  <conditionalFormatting sqref="E514:E517">
    <cfRule type="containsText" dxfId="6840" priority="8796" operator="containsText" text="NUEVO">
      <formula>NOT(ISERROR(SEARCH("NUEVO",E514)))</formula>
    </cfRule>
  </conditionalFormatting>
  <conditionalFormatting sqref="E514:E517">
    <cfRule type="containsText" dxfId="6839" priority="8795" operator="containsText" text="Sin Información">
      <formula>NOT(ISERROR(SEARCH("Sin Información",E514)))</formula>
    </cfRule>
  </conditionalFormatting>
  <conditionalFormatting sqref="E518">
    <cfRule type="containsText" dxfId="6838" priority="8794" operator="containsText" text="NUEVO">
      <formula>NOT(ISERROR(SEARCH("NUEVO",E518)))</formula>
    </cfRule>
  </conditionalFormatting>
  <conditionalFormatting sqref="E518">
    <cfRule type="containsText" dxfId="6837" priority="8793" operator="containsText" text="Sin Información">
      <formula>NOT(ISERROR(SEARCH("Sin Información",E518)))</formula>
    </cfRule>
  </conditionalFormatting>
  <conditionalFormatting sqref="E519:E520">
    <cfRule type="containsText" dxfId="6836" priority="8792" operator="containsText" text="NUEVO">
      <formula>NOT(ISERROR(SEARCH("NUEVO",E519)))</formula>
    </cfRule>
  </conditionalFormatting>
  <conditionalFormatting sqref="E519:E520">
    <cfRule type="containsText" dxfId="6835" priority="8791" operator="containsText" text="Sin Información">
      <formula>NOT(ISERROR(SEARCH("Sin Información",E519)))</formula>
    </cfRule>
  </conditionalFormatting>
  <conditionalFormatting sqref="C521:D522">
    <cfRule type="containsText" dxfId="6834" priority="8790" operator="containsText" text="NO+$D$4:$D$10">
      <formula>NOT(ISERROR(SEARCH("NO+$D$4:$D$10",C521)))</formula>
    </cfRule>
  </conditionalFormatting>
  <conditionalFormatting sqref="C521:D522">
    <cfRule type="containsText" dxfId="6833" priority="8788" operator="containsText" text="SI">
      <formula>NOT(ISERROR(SEARCH("SI",C521)))</formula>
    </cfRule>
    <cfRule type="containsText" dxfId="6832" priority="8789" operator="containsText" text="NO">
      <formula>NOT(ISERROR(SEARCH("NO",C521)))</formula>
    </cfRule>
  </conditionalFormatting>
  <conditionalFormatting sqref="C521:D522">
    <cfRule type="containsText" dxfId="6831" priority="8787" operator="containsText" text="NUEVO">
      <formula>NOT(ISERROR(SEARCH("NUEVO",C521)))</formula>
    </cfRule>
  </conditionalFormatting>
  <conditionalFormatting sqref="E521:E522">
    <cfRule type="containsText" dxfId="6830" priority="8786" operator="containsText" text="NUEVO">
      <formula>NOT(ISERROR(SEARCH("NUEVO",E521)))</formula>
    </cfRule>
  </conditionalFormatting>
  <conditionalFormatting sqref="E521:E522">
    <cfRule type="containsText" dxfId="6829" priority="8785" operator="containsText" text="Sin Información">
      <formula>NOT(ISERROR(SEARCH("Sin Información",E521)))</formula>
    </cfRule>
  </conditionalFormatting>
  <conditionalFormatting sqref="C523:D523 C525:D528">
    <cfRule type="containsText" dxfId="6828" priority="8784" operator="containsText" text="NO+$D$4:$D$10">
      <formula>NOT(ISERROR(SEARCH("NO+$D$4:$D$10",C523)))</formula>
    </cfRule>
  </conditionalFormatting>
  <conditionalFormatting sqref="C523:D523 C525:D528">
    <cfRule type="containsText" dxfId="6827" priority="8782" operator="containsText" text="SI">
      <formula>NOT(ISERROR(SEARCH("SI",C523)))</formula>
    </cfRule>
    <cfRule type="containsText" dxfId="6826" priority="8783" operator="containsText" text="NO">
      <formula>NOT(ISERROR(SEARCH("NO",C523)))</formula>
    </cfRule>
  </conditionalFormatting>
  <conditionalFormatting sqref="C523:D523 C525:D528">
    <cfRule type="containsText" dxfId="6825" priority="8781" operator="containsText" text="NUEVO">
      <formula>NOT(ISERROR(SEARCH("NUEVO",C523)))</formula>
    </cfRule>
  </conditionalFormatting>
  <conditionalFormatting sqref="E523">
    <cfRule type="containsText" dxfId="6824" priority="8780" operator="containsText" text="NUEVO">
      <formula>NOT(ISERROR(SEARCH("NUEVO",E523)))</formula>
    </cfRule>
  </conditionalFormatting>
  <conditionalFormatting sqref="E523">
    <cfRule type="containsText" dxfId="6823" priority="8779" operator="containsText" text="Sin Información">
      <formula>NOT(ISERROR(SEARCH("Sin Información",E523)))</formula>
    </cfRule>
  </conditionalFormatting>
  <conditionalFormatting sqref="E528">
    <cfRule type="containsText" dxfId="6822" priority="8776" operator="containsText" text="NUEVO">
      <formula>NOT(ISERROR(SEARCH("NUEVO",E528)))</formula>
    </cfRule>
  </conditionalFormatting>
  <conditionalFormatting sqref="E528">
    <cfRule type="containsText" dxfId="6821" priority="8775" operator="containsText" text="Sin Información">
      <formula>NOT(ISERROR(SEARCH("Sin Información",E528)))</formula>
    </cfRule>
  </conditionalFormatting>
  <conditionalFormatting sqref="E525:E527">
    <cfRule type="containsText" dxfId="6820" priority="8778" operator="containsText" text="NUEVO">
      <formula>NOT(ISERROR(SEARCH("NUEVO",E525)))</formula>
    </cfRule>
  </conditionalFormatting>
  <conditionalFormatting sqref="E525:E527">
    <cfRule type="containsText" dxfId="6819" priority="8777" operator="containsText" text="Sin Información">
      <formula>NOT(ISERROR(SEARCH("Sin Información",E525)))</formula>
    </cfRule>
  </conditionalFormatting>
  <conditionalFormatting sqref="C529:D529">
    <cfRule type="containsText" dxfId="6818" priority="8774" operator="containsText" text="NO+$D$4:$D$10">
      <formula>NOT(ISERROR(SEARCH("NO+$D$4:$D$10",C529)))</formula>
    </cfRule>
  </conditionalFormatting>
  <conditionalFormatting sqref="C529:D529">
    <cfRule type="containsText" dxfId="6817" priority="8772" operator="containsText" text="SI">
      <formula>NOT(ISERROR(SEARCH("SI",C529)))</formula>
    </cfRule>
    <cfRule type="containsText" dxfId="6816" priority="8773" operator="containsText" text="NO">
      <formula>NOT(ISERROR(SEARCH("NO",C529)))</formula>
    </cfRule>
  </conditionalFormatting>
  <conditionalFormatting sqref="C529:E529">
    <cfRule type="containsText" dxfId="6815" priority="8771" operator="containsText" text="NUEVO">
      <formula>NOT(ISERROR(SEARCH("NUEVO",C529)))</formula>
    </cfRule>
  </conditionalFormatting>
  <conditionalFormatting sqref="E529">
    <cfRule type="containsText" dxfId="6814" priority="8770" operator="containsText" text="Sin Información">
      <formula>NOT(ISERROR(SEARCH("Sin Información",E529)))</formula>
    </cfRule>
  </conditionalFormatting>
  <conditionalFormatting sqref="C532:D532">
    <cfRule type="containsText" dxfId="6813" priority="8753" operator="containsText" text="NO+$D$4:$D$10">
      <formula>NOT(ISERROR(SEARCH("NO+$D$4:$D$10",C532)))</formula>
    </cfRule>
  </conditionalFormatting>
  <conditionalFormatting sqref="C532:D532">
    <cfRule type="containsText" dxfId="6812" priority="8751" operator="containsText" text="SI">
      <formula>NOT(ISERROR(SEARCH("SI",C532)))</formula>
    </cfRule>
    <cfRule type="containsText" dxfId="6811" priority="8752" operator="containsText" text="NO">
      <formula>NOT(ISERROR(SEARCH("NO",C532)))</formula>
    </cfRule>
  </conditionalFormatting>
  <conditionalFormatting sqref="C532:E532">
    <cfRule type="containsText" dxfId="6810" priority="8750" operator="containsText" text="NUEVO">
      <formula>NOT(ISERROR(SEARCH("NUEVO",C532)))</formula>
    </cfRule>
  </conditionalFormatting>
  <conditionalFormatting sqref="E532">
    <cfRule type="containsText" dxfId="6809" priority="8749" operator="containsText" text="Sin Información">
      <formula>NOT(ISERROR(SEARCH("Sin Información",E532)))</formula>
    </cfRule>
  </conditionalFormatting>
  <conditionalFormatting sqref="C533:D533">
    <cfRule type="containsText" dxfId="6808" priority="8748" operator="containsText" text="NO+$D$4:$D$10">
      <formula>NOT(ISERROR(SEARCH("NO+$D$4:$D$10",C533)))</formula>
    </cfRule>
  </conditionalFormatting>
  <conditionalFormatting sqref="C533:D533">
    <cfRule type="containsText" dxfId="6807" priority="8746" operator="containsText" text="SI">
      <formula>NOT(ISERROR(SEARCH("SI",C533)))</formula>
    </cfRule>
    <cfRule type="containsText" dxfId="6806" priority="8747" operator="containsText" text="NO">
      <formula>NOT(ISERROR(SEARCH("NO",C533)))</formula>
    </cfRule>
  </conditionalFormatting>
  <conditionalFormatting sqref="C533:E533">
    <cfRule type="containsText" dxfId="6805" priority="8745" operator="containsText" text="NUEVO">
      <formula>NOT(ISERROR(SEARCH("NUEVO",C533)))</formula>
    </cfRule>
  </conditionalFormatting>
  <conditionalFormatting sqref="E533">
    <cfRule type="containsText" dxfId="6804" priority="8744" operator="containsText" text="Sin Información">
      <formula>NOT(ISERROR(SEARCH("Sin Información",E533)))</formula>
    </cfRule>
  </conditionalFormatting>
  <conditionalFormatting sqref="C534:D534">
    <cfRule type="containsText" dxfId="6803" priority="8743" operator="containsText" text="NO+$D$4:$D$10">
      <formula>NOT(ISERROR(SEARCH("NO+$D$4:$D$10",C534)))</formula>
    </cfRule>
  </conditionalFormatting>
  <conditionalFormatting sqref="C534:D534">
    <cfRule type="containsText" dxfId="6802" priority="8741" operator="containsText" text="SI">
      <formula>NOT(ISERROR(SEARCH("SI",C534)))</formula>
    </cfRule>
    <cfRule type="containsText" dxfId="6801" priority="8742" operator="containsText" text="NO">
      <formula>NOT(ISERROR(SEARCH("NO",C534)))</formula>
    </cfRule>
  </conditionalFormatting>
  <conditionalFormatting sqref="C534:E534">
    <cfRule type="containsText" dxfId="6800" priority="8740" operator="containsText" text="NUEVO">
      <formula>NOT(ISERROR(SEARCH("NUEVO",C534)))</formula>
    </cfRule>
  </conditionalFormatting>
  <conditionalFormatting sqref="E534">
    <cfRule type="containsText" dxfId="6799" priority="8739" operator="containsText" text="Sin Información">
      <formula>NOT(ISERROR(SEARCH("Sin Información",E534)))</formula>
    </cfRule>
  </conditionalFormatting>
  <conditionalFormatting sqref="C535:D535">
    <cfRule type="containsText" dxfId="6798" priority="8738" operator="containsText" text="NO+$D$4:$D$10">
      <formula>NOT(ISERROR(SEARCH("NO+$D$4:$D$10",C535)))</formula>
    </cfRule>
  </conditionalFormatting>
  <conditionalFormatting sqref="C535:D535">
    <cfRule type="containsText" dxfId="6797" priority="8736" operator="containsText" text="SI">
      <formula>NOT(ISERROR(SEARCH("SI",C535)))</formula>
    </cfRule>
    <cfRule type="containsText" dxfId="6796" priority="8737" operator="containsText" text="NO">
      <formula>NOT(ISERROR(SEARCH("NO",C535)))</formula>
    </cfRule>
  </conditionalFormatting>
  <conditionalFormatting sqref="C535:E535">
    <cfRule type="containsText" dxfId="6795" priority="8735" operator="containsText" text="NUEVO">
      <formula>NOT(ISERROR(SEARCH("NUEVO",C535)))</formula>
    </cfRule>
  </conditionalFormatting>
  <conditionalFormatting sqref="E535">
    <cfRule type="containsText" dxfId="6794" priority="8734" operator="containsText" text="Sin Información">
      <formula>NOT(ISERROR(SEARCH("Sin Información",E535)))</formula>
    </cfRule>
  </conditionalFormatting>
  <conditionalFormatting sqref="C536:D536">
    <cfRule type="containsText" dxfId="6793" priority="8733" operator="containsText" text="NO+$D$4:$D$10">
      <formula>NOT(ISERROR(SEARCH("NO+$D$4:$D$10",C536)))</formula>
    </cfRule>
  </conditionalFormatting>
  <conditionalFormatting sqref="C536:D536">
    <cfRule type="containsText" dxfId="6792" priority="8731" operator="containsText" text="SI">
      <formula>NOT(ISERROR(SEARCH("SI",C536)))</formula>
    </cfRule>
    <cfRule type="containsText" dxfId="6791" priority="8732" operator="containsText" text="NO">
      <formula>NOT(ISERROR(SEARCH("NO",C536)))</formula>
    </cfRule>
  </conditionalFormatting>
  <conditionalFormatting sqref="E536">
    <cfRule type="containsText" dxfId="6790" priority="8730" operator="containsText" text="Sin información">
      <formula>NOT(ISERROR(SEARCH("Sin información",E536)))</formula>
    </cfRule>
  </conditionalFormatting>
  <conditionalFormatting sqref="C536:E536">
    <cfRule type="containsText" dxfId="6789" priority="8729" operator="containsText" text="NUEVO">
      <formula>NOT(ISERROR(SEARCH("NUEVO",C536)))</formula>
    </cfRule>
  </conditionalFormatting>
  <conditionalFormatting sqref="E536">
    <cfRule type="containsText" dxfId="6788" priority="8728" operator="containsText" text="Sin Información">
      <formula>NOT(ISERROR(SEARCH("Sin Información",E536)))</formula>
    </cfRule>
  </conditionalFormatting>
  <conditionalFormatting sqref="E536">
    <cfRule type="containsText" dxfId="6787" priority="8727" operator="containsText" text="Sin información">
      <formula>NOT(ISERROR(SEARCH("Sin información",E536)))</formula>
    </cfRule>
  </conditionalFormatting>
  <conditionalFormatting sqref="E536">
    <cfRule type="containsText" dxfId="6786" priority="8726" operator="containsText" text="NUEVO">
      <formula>NOT(ISERROR(SEARCH("NUEVO",E536)))</formula>
    </cfRule>
  </conditionalFormatting>
  <conditionalFormatting sqref="C537:D537">
    <cfRule type="containsText" dxfId="6785" priority="8725" operator="containsText" text="NO+$D$4:$D$10">
      <formula>NOT(ISERROR(SEARCH("NO+$D$4:$D$10",C537)))</formula>
    </cfRule>
  </conditionalFormatting>
  <conditionalFormatting sqref="C537:D537">
    <cfRule type="containsText" dxfId="6784" priority="8723" operator="containsText" text="SI">
      <formula>NOT(ISERROR(SEARCH("SI",C537)))</formula>
    </cfRule>
    <cfRule type="containsText" dxfId="6783" priority="8724" operator="containsText" text="NO">
      <formula>NOT(ISERROR(SEARCH("NO",C537)))</formula>
    </cfRule>
  </conditionalFormatting>
  <conditionalFormatting sqref="C537:D537">
    <cfRule type="containsText" dxfId="6782" priority="8722" operator="containsText" text="NUEVO">
      <formula>NOT(ISERROR(SEARCH("NUEVO",C537)))</formula>
    </cfRule>
  </conditionalFormatting>
  <conditionalFormatting sqref="E537">
    <cfRule type="containsText" dxfId="6781" priority="8721" operator="containsText" text="NUEVO">
      <formula>NOT(ISERROR(SEARCH("NUEVO",E537)))</formula>
    </cfRule>
  </conditionalFormatting>
  <conditionalFormatting sqref="E537">
    <cfRule type="containsText" dxfId="6780" priority="8720" operator="containsText" text="Sin Información">
      <formula>NOT(ISERROR(SEARCH("Sin Información",E537)))</formula>
    </cfRule>
  </conditionalFormatting>
  <conditionalFormatting sqref="C538:D538">
    <cfRule type="containsText" dxfId="6779" priority="8719" operator="containsText" text="NO+$D$4:$D$10">
      <formula>NOT(ISERROR(SEARCH("NO+$D$4:$D$10",C538)))</formula>
    </cfRule>
  </conditionalFormatting>
  <conditionalFormatting sqref="C538:D538">
    <cfRule type="containsText" dxfId="6778" priority="8717" operator="containsText" text="SI">
      <formula>NOT(ISERROR(SEARCH("SI",C538)))</formula>
    </cfRule>
    <cfRule type="containsText" dxfId="6777" priority="8718" operator="containsText" text="NO">
      <formula>NOT(ISERROR(SEARCH("NO",C538)))</formula>
    </cfRule>
  </conditionalFormatting>
  <conditionalFormatting sqref="C538:E538">
    <cfRule type="containsText" dxfId="6776" priority="8716" operator="containsText" text="NUEVO">
      <formula>NOT(ISERROR(SEARCH("NUEVO",C538)))</formula>
    </cfRule>
  </conditionalFormatting>
  <conditionalFormatting sqref="E538">
    <cfRule type="containsText" dxfId="6775" priority="8715" operator="containsText" text="Sin Información">
      <formula>NOT(ISERROR(SEARCH("Sin Información",E538)))</formula>
    </cfRule>
  </conditionalFormatting>
  <conditionalFormatting sqref="C539:D540">
    <cfRule type="containsText" dxfId="6774" priority="8714" operator="containsText" text="NO+$D$4:$D$10">
      <formula>NOT(ISERROR(SEARCH("NO+$D$4:$D$10",C539)))</formula>
    </cfRule>
  </conditionalFormatting>
  <conditionalFormatting sqref="C539:D540">
    <cfRule type="containsText" dxfId="6773" priority="8712" operator="containsText" text="SI">
      <formula>NOT(ISERROR(SEARCH("SI",C539)))</formula>
    </cfRule>
    <cfRule type="containsText" dxfId="6772" priority="8713" operator="containsText" text="NO">
      <formula>NOT(ISERROR(SEARCH("NO",C539)))</formula>
    </cfRule>
  </conditionalFormatting>
  <conditionalFormatting sqref="C539:E540">
    <cfRule type="containsText" dxfId="6771" priority="8711" operator="containsText" text="NUEVO">
      <formula>NOT(ISERROR(SEARCH("NUEVO",C539)))</formula>
    </cfRule>
  </conditionalFormatting>
  <conditionalFormatting sqref="E539:E540">
    <cfRule type="containsText" dxfId="6770" priority="8710" operator="containsText" text="Sin Información">
      <formula>NOT(ISERROR(SEARCH("Sin Información",E539)))</formula>
    </cfRule>
  </conditionalFormatting>
  <conditionalFormatting sqref="E586">
    <cfRule type="containsText" dxfId="6769" priority="8709" operator="containsText" text="NUEVO">
      <formula>NOT(ISERROR(SEARCH("NUEVO",E586)))</formula>
    </cfRule>
  </conditionalFormatting>
  <conditionalFormatting sqref="E586">
    <cfRule type="containsText" dxfId="6768" priority="8708" operator="containsText" text="Sin Información">
      <formula>NOT(ISERROR(SEARCH("Sin Información",E586)))</formula>
    </cfRule>
  </conditionalFormatting>
  <conditionalFormatting sqref="E590">
    <cfRule type="containsText" dxfId="6767" priority="8705" operator="containsText" text="NUEVO">
      <formula>NOT(ISERROR(SEARCH("NUEVO",E590)))</formula>
    </cfRule>
  </conditionalFormatting>
  <conditionalFormatting sqref="E590">
    <cfRule type="containsText" dxfId="6766" priority="8704" operator="containsText" text="Sin Información">
      <formula>NOT(ISERROR(SEARCH("Sin Información",E590)))</formula>
    </cfRule>
  </conditionalFormatting>
  <conditionalFormatting sqref="C591:D595">
    <cfRule type="containsText" dxfId="6765" priority="8703" operator="containsText" text="NO+$D$4:$D$10">
      <formula>NOT(ISERROR(SEARCH("NO+$D$4:$D$10",C591)))</formula>
    </cfRule>
  </conditionalFormatting>
  <conditionalFormatting sqref="C591:D595">
    <cfRule type="containsText" dxfId="6764" priority="8701" operator="containsText" text="SI">
      <formula>NOT(ISERROR(SEARCH("SI",C591)))</formula>
    </cfRule>
    <cfRule type="containsText" dxfId="6763" priority="8702" operator="containsText" text="NO">
      <formula>NOT(ISERROR(SEARCH("NO",C591)))</formula>
    </cfRule>
  </conditionalFormatting>
  <conditionalFormatting sqref="C591:D595">
    <cfRule type="containsText" dxfId="6762" priority="8700" operator="containsText" text="NUEVO">
      <formula>NOT(ISERROR(SEARCH("NUEVO",C591)))</formula>
    </cfRule>
  </conditionalFormatting>
  <conditionalFormatting sqref="E591:E595">
    <cfRule type="containsText" dxfId="6761" priority="8699" operator="containsText" text="NUEVO">
      <formula>NOT(ISERROR(SEARCH("NUEVO",E591)))</formula>
    </cfRule>
  </conditionalFormatting>
  <conditionalFormatting sqref="E591:E595">
    <cfRule type="containsText" dxfId="6760" priority="8698" operator="containsText" text="Sin Información">
      <formula>NOT(ISERROR(SEARCH("Sin Información",E591)))</formula>
    </cfRule>
  </conditionalFormatting>
  <conditionalFormatting sqref="C596:D600">
    <cfRule type="containsText" dxfId="6759" priority="8697" operator="containsText" text="NO+$D$4:$D$10">
      <formula>NOT(ISERROR(SEARCH("NO+$D$4:$D$10",C596)))</formula>
    </cfRule>
  </conditionalFormatting>
  <conditionalFormatting sqref="C596:D600">
    <cfRule type="containsText" dxfId="6758" priority="8695" operator="containsText" text="SI">
      <formula>NOT(ISERROR(SEARCH("SI",C596)))</formula>
    </cfRule>
    <cfRule type="containsText" dxfId="6757" priority="8696" operator="containsText" text="NO">
      <formula>NOT(ISERROR(SEARCH("NO",C596)))</formula>
    </cfRule>
  </conditionalFormatting>
  <conditionalFormatting sqref="C596:D600">
    <cfRule type="containsText" dxfId="6756" priority="8694" operator="containsText" text="NUEVO">
      <formula>NOT(ISERROR(SEARCH("NUEVO",C596)))</formula>
    </cfRule>
  </conditionalFormatting>
  <conditionalFormatting sqref="E596">
    <cfRule type="containsText" dxfId="6755" priority="8693" operator="containsText" text="NUEVO">
      <formula>NOT(ISERROR(SEARCH("NUEVO",E596)))</formula>
    </cfRule>
  </conditionalFormatting>
  <conditionalFormatting sqref="E596">
    <cfRule type="containsText" dxfId="6754" priority="8692" operator="containsText" text="Sin Información">
      <formula>NOT(ISERROR(SEARCH("Sin Información",E596)))</formula>
    </cfRule>
  </conditionalFormatting>
  <conditionalFormatting sqref="E597:E599">
    <cfRule type="containsText" dxfId="6753" priority="8691" operator="containsText" text="NUEVO">
      <formula>NOT(ISERROR(SEARCH("NUEVO",E597)))</formula>
    </cfRule>
  </conditionalFormatting>
  <conditionalFormatting sqref="E597:E599">
    <cfRule type="containsText" dxfId="6752" priority="8690" operator="containsText" text="Sin Información">
      <formula>NOT(ISERROR(SEARCH("Sin Información",E597)))</formula>
    </cfRule>
  </conditionalFormatting>
  <conditionalFormatting sqref="E600">
    <cfRule type="containsText" dxfId="6751" priority="8689" operator="containsText" text="NUEVO">
      <formula>NOT(ISERROR(SEARCH("NUEVO",E600)))</formula>
    </cfRule>
  </conditionalFormatting>
  <conditionalFormatting sqref="E600">
    <cfRule type="containsText" dxfId="6750" priority="8688" operator="containsText" text="Sin Información">
      <formula>NOT(ISERROR(SEARCH("Sin Información",E600)))</formula>
    </cfRule>
  </conditionalFormatting>
  <conditionalFormatting sqref="C601:D603">
    <cfRule type="containsText" dxfId="6749" priority="8687" operator="containsText" text="NO+$D$4:$D$10">
      <formula>NOT(ISERROR(SEARCH("NO+$D$4:$D$10",C601)))</formula>
    </cfRule>
  </conditionalFormatting>
  <conditionalFormatting sqref="C601:D603">
    <cfRule type="containsText" dxfId="6748" priority="8685" operator="containsText" text="SI">
      <formula>NOT(ISERROR(SEARCH("SI",C601)))</formula>
    </cfRule>
    <cfRule type="containsText" dxfId="6747" priority="8686" operator="containsText" text="NO">
      <formula>NOT(ISERROR(SEARCH("NO",C601)))</formula>
    </cfRule>
  </conditionalFormatting>
  <conditionalFormatting sqref="C601:E603">
    <cfRule type="containsText" dxfId="6746" priority="8684" operator="containsText" text="NUEVO">
      <formula>NOT(ISERROR(SEARCH("NUEVO",C601)))</formula>
    </cfRule>
  </conditionalFormatting>
  <conditionalFormatting sqref="E601:E603">
    <cfRule type="containsText" dxfId="6745" priority="8683" operator="containsText" text="Sin Información">
      <formula>NOT(ISERROR(SEARCH("Sin Información",E601)))</formula>
    </cfRule>
  </conditionalFormatting>
  <conditionalFormatting sqref="C457:E457">
    <cfRule type="containsText" dxfId="6744" priority="8667" operator="containsText" text="NUEVO">
      <formula>NOT(ISERROR(SEARCH("NUEVO",C457)))</formula>
    </cfRule>
  </conditionalFormatting>
  <conditionalFormatting sqref="C403:D403">
    <cfRule type="containsText" dxfId="6743" priority="8675" operator="containsText" text="NO+$D$4:$D$10">
      <formula>NOT(ISERROR(SEARCH("NO+$D$4:$D$10",C403)))</formula>
    </cfRule>
  </conditionalFormatting>
  <conditionalFormatting sqref="C403:D403">
    <cfRule type="containsText" dxfId="6742" priority="8673" operator="containsText" text="SI">
      <formula>NOT(ISERROR(SEARCH("SI",C403)))</formula>
    </cfRule>
    <cfRule type="containsText" dxfId="6741" priority="8674" operator="containsText" text="NO">
      <formula>NOT(ISERROR(SEARCH("NO",C403)))</formula>
    </cfRule>
  </conditionalFormatting>
  <conditionalFormatting sqref="C403:E403">
    <cfRule type="containsText" dxfId="6740" priority="8672" operator="containsText" text="NUEVO">
      <formula>NOT(ISERROR(SEARCH("NUEVO",C403)))</formula>
    </cfRule>
  </conditionalFormatting>
  <conditionalFormatting sqref="E403">
    <cfRule type="containsText" dxfId="6739" priority="8671" operator="containsText" text="Sin Información">
      <formula>NOT(ISERROR(SEARCH("Sin Información",E403)))</formula>
    </cfRule>
  </conditionalFormatting>
  <conditionalFormatting sqref="C457:D457">
    <cfRule type="containsText" dxfId="6738" priority="8670" operator="containsText" text="NO+$D$4:$D$10">
      <formula>NOT(ISERROR(SEARCH("NO+$D$4:$D$10",C457)))</formula>
    </cfRule>
  </conditionalFormatting>
  <conditionalFormatting sqref="C457:D457">
    <cfRule type="containsText" dxfId="6737" priority="8668" operator="containsText" text="SI">
      <formula>NOT(ISERROR(SEARCH("SI",C457)))</formula>
    </cfRule>
    <cfRule type="containsText" dxfId="6736" priority="8669" operator="containsText" text="NO">
      <formula>NOT(ISERROR(SEARCH("NO",C457)))</formula>
    </cfRule>
  </conditionalFormatting>
  <conditionalFormatting sqref="E457">
    <cfRule type="containsText" dxfId="6735" priority="8666" operator="containsText" text="Sin Información">
      <formula>NOT(ISERROR(SEARCH("Sin Información",E457)))</formula>
    </cfRule>
  </conditionalFormatting>
  <conditionalFormatting sqref="C458:D458">
    <cfRule type="containsText" dxfId="6734" priority="8665" operator="containsText" text="NO+$D$4:$D$10">
      <formula>NOT(ISERROR(SEARCH("NO+$D$4:$D$10",C458)))</formula>
    </cfRule>
  </conditionalFormatting>
  <conditionalFormatting sqref="C458:D458">
    <cfRule type="containsText" dxfId="6733" priority="8663" operator="containsText" text="SI">
      <formula>NOT(ISERROR(SEARCH("SI",C458)))</formula>
    </cfRule>
    <cfRule type="containsText" dxfId="6732" priority="8664" operator="containsText" text="NO">
      <formula>NOT(ISERROR(SEARCH("NO",C458)))</formula>
    </cfRule>
  </conditionalFormatting>
  <conditionalFormatting sqref="C458:E458">
    <cfRule type="containsText" dxfId="6731" priority="8662" operator="containsText" text="NUEVO">
      <formula>NOT(ISERROR(SEARCH("NUEVO",C458)))</formula>
    </cfRule>
  </conditionalFormatting>
  <conditionalFormatting sqref="E458">
    <cfRule type="containsText" dxfId="6730" priority="8661" operator="containsText" text="Sin Información">
      <formula>NOT(ISERROR(SEARCH("Sin Información",E458)))</formula>
    </cfRule>
  </conditionalFormatting>
  <conditionalFormatting sqref="C480:D480">
    <cfRule type="containsText" dxfId="6729" priority="8660" operator="containsText" text="NO+$D$4:$D$10">
      <formula>NOT(ISERROR(SEARCH("NO+$D$4:$D$10",C480)))</formula>
    </cfRule>
  </conditionalFormatting>
  <conditionalFormatting sqref="C480:D480">
    <cfRule type="containsText" dxfId="6728" priority="8658" operator="containsText" text="SI">
      <formula>NOT(ISERROR(SEARCH("SI",C480)))</formula>
    </cfRule>
    <cfRule type="containsText" dxfId="6727" priority="8659" operator="containsText" text="NO">
      <formula>NOT(ISERROR(SEARCH("NO",C480)))</formula>
    </cfRule>
  </conditionalFormatting>
  <conditionalFormatting sqref="C480:E480">
    <cfRule type="containsText" dxfId="6726" priority="8657" operator="containsText" text="NUEVO">
      <formula>NOT(ISERROR(SEARCH("NUEVO",C480)))</formula>
    </cfRule>
  </conditionalFormatting>
  <conditionalFormatting sqref="E480">
    <cfRule type="containsText" dxfId="6725" priority="8656" operator="containsText" text="Sin Información">
      <formula>NOT(ISERROR(SEARCH("Sin Información",E480)))</formula>
    </cfRule>
  </conditionalFormatting>
  <conditionalFormatting sqref="C490:D490">
    <cfRule type="containsText" dxfId="6724" priority="8650" operator="containsText" text="NO+$D$4:$D$10">
      <formula>NOT(ISERROR(SEARCH("NO+$D$4:$D$10",C490)))</formula>
    </cfRule>
  </conditionalFormatting>
  <conditionalFormatting sqref="C490:D490">
    <cfRule type="containsText" dxfId="6723" priority="8648" operator="containsText" text="SI">
      <formula>NOT(ISERROR(SEARCH("SI",C490)))</formula>
    </cfRule>
    <cfRule type="containsText" dxfId="6722" priority="8649" operator="containsText" text="NO">
      <formula>NOT(ISERROR(SEARCH("NO",C490)))</formula>
    </cfRule>
  </conditionalFormatting>
  <conditionalFormatting sqref="C490:E490">
    <cfRule type="containsText" dxfId="6721" priority="8647" operator="containsText" text="NUEVO">
      <formula>NOT(ISERROR(SEARCH("NUEVO",C490)))</formula>
    </cfRule>
  </conditionalFormatting>
  <conditionalFormatting sqref="E490">
    <cfRule type="containsText" dxfId="6720" priority="8646" operator="containsText" text="Sin Información">
      <formula>NOT(ISERROR(SEARCH("Sin Información",E490)))</formula>
    </cfRule>
  </conditionalFormatting>
  <conditionalFormatting sqref="C606:D607">
    <cfRule type="containsText" dxfId="6719" priority="8639" operator="containsText" text="NO+$D$4:$D$10">
      <formula>NOT(ISERROR(SEARCH("NO+$D$4:$D$10",C606)))</formula>
    </cfRule>
  </conditionalFormatting>
  <conditionalFormatting sqref="C606:D607">
    <cfRule type="containsText" dxfId="6718" priority="8637" operator="containsText" text="SI">
      <formula>NOT(ISERROR(SEARCH("SI",C606)))</formula>
    </cfRule>
    <cfRule type="containsText" dxfId="6717" priority="8638" operator="containsText" text="NO">
      <formula>NOT(ISERROR(SEARCH("NO",C606)))</formula>
    </cfRule>
  </conditionalFormatting>
  <conditionalFormatting sqref="C606:D607">
    <cfRule type="containsText" dxfId="6716" priority="8636" operator="containsText" text="NUEVO">
      <formula>NOT(ISERROR(SEARCH("NUEVO",C606)))</formula>
    </cfRule>
  </conditionalFormatting>
  <conditionalFormatting sqref="E606">
    <cfRule type="containsText" dxfId="6715" priority="8635" operator="containsText" text="NUEVO">
      <formula>NOT(ISERROR(SEARCH("NUEVO",E606)))</formula>
    </cfRule>
  </conditionalFormatting>
  <conditionalFormatting sqref="E606">
    <cfRule type="containsText" dxfId="6714" priority="8634" operator="containsText" text="Sin Información">
      <formula>NOT(ISERROR(SEARCH("Sin Información",E606)))</formula>
    </cfRule>
  </conditionalFormatting>
  <conditionalFormatting sqref="E607">
    <cfRule type="containsText" dxfId="6713" priority="8633" operator="containsText" text="NUEVO">
      <formula>NOT(ISERROR(SEARCH("NUEVO",E607)))</formula>
    </cfRule>
  </conditionalFormatting>
  <conditionalFormatting sqref="E607">
    <cfRule type="containsText" dxfId="6712" priority="8632" operator="containsText" text="Sin Información">
      <formula>NOT(ISERROR(SEARCH("Sin Información",E607)))</formula>
    </cfRule>
  </conditionalFormatting>
  <conditionalFormatting sqref="C382:D382">
    <cfRule type="containsText" dxfId="6711" priority="8631" operator="containsText" text="NO+$D$4:$D$10">
      <formula>NOT(ISERROR(SEARCH("NO+$D$4:$D$10",C382)))</formula>
    </cfRule>
  </conditionalFormatting>
  <conditionalFormatting sqref="C382:D382">
    <cfRule type="containsText" dxfId="6710" priority="8629" operator="containsText" text="SI">
      <formula>NOT(ISERROR(SEARCH("SI",C382)))</formula>
    </cfRule>
    <cfRule type="containsText" dxfId="6709" priority="8630" operator="containsText" text="NO">
      <formula>NOT(ISERROR(SEARCH("NO",C382)))</formula>
    </cfRule>
  </conditionalFormatting>
  <conditionalFormatting sqref="C382:E382">
    <cfRule type="containsText" dxfId="6708" priority="8628" operator="containsText" text="NUEVO">
      <formula>NOT(ISERROR(SEARCH("NUEVO",C382)))</formula>
    </cfRule>
  </conditionalFormatting>
  <conditionalFormatting sqref="E382">
    <cfRule type="containsText" dxfId="6707" priority="8627" operator="containsText" text="Sin Información">
      <formula>NOT(ISERROR(SEARCH("Sin Información",E382)))</formula>
    </cfRule>
  </conditionalFormatting>
  <conditionalFormatting sqref="C508:D508">
    <cfRule type="containsText" dxfId="6706" priority="8626" operator="containsText" text="NO+$D$4:$D$10">
      <formula>NOT(ISERROR(SEARCH("NO+$D$4:$D$10",C508)))</formula>
    </cfRule>
  </conditionalFormatting>
  <conditionalFormatting sqref="C508:D508">
    <cfRule type="containsText" dxfId="6705" priority="8624" operator="containsText" text="SI">
      <formula>NOT(ISERROR(SEARCH("SI",C508)))</formula>
    </cfRule>
    <cfRule type="containsText" dxfId="6704" priority="8625" operator="containsText" text="NO">
      <formula>NOT(ISERROR(SEARCH("NO",C508)))</formula>
    </cfRule>
  </conditionalFormatting>
  <conditionalFormatting sqref="E508">
    <cfRule type="containsText" dxfId="6703" priority="8623" operator="containsText" text="Sin información">
      <formula>NOT(ISERROR(SEARCH("Sin información",E508)))</formula>
    </cfRule>
  </conditionalFormatting>
  <conditionalFormatting sqref="C508:E508">
    <cfRule type="containsText" dxfId="6702" priority="8622" operator="containsText" text="NUEVO">
      <formula>NOT(ISERROR(SEARCH("NUEVO",C508)))</formula>
    </cfRule>
  </conditionalFormatting>
  <conditionalFormatting sqref="E508">
    <cfRule type="containsText" dxfId="6701" priority="8621" operator="containsText" text="Sin Información">
      <formula>NOT(ISERROR(SEARCH("Sin Información",E508)))</formula>
    </cfRule>
  </conditionalFormatting>
  <conditionalFormatting sqref="C524:D524">
    <cfRule type="containsText" dxfId="6700" priority="8620" operator="containsText" text="NO+$D$4:$D$10">
      <formula>NOT(ISERROR(SEARCH("NO+$D$4:$D$10",C524)))</formula>
    </cfRule>
  </conditionalFormatting>
  <conditionalFormatting sqref="C524:D524">
    <cfRule type="containsText" dxfId="6699" priority="8618" operator="containsText" text="SI">
      <formula>NOT(ISERROR(SEARCH("SI",C524)))</formula>
    </cfRule>
    <cfRule type="containsText" dxfId="6698" priority="8619" operator="containsText" text="NO">
      <formula>NOT(ISERROR(SEARCH("NO",C524)))</formula>
    </cfRule>
  </conditionalFormatting>
  <conditionalFormatting sqref="C524:E524">
    <cfRule type="containsText" dxfId="6697" priority="8617" operator="containsText" text="NUEVO">
      <formula>NOT(ISERROR(SEARCH("NUEVO",C524)))</formula>
    </cfRule>
  </conditionalFormatting>
  <conditionalFormatting sqref="E524">
    <cfRule type="containsText" dxfId="6696" priority="8616" operator="containsText" text="Sin Información">
      <formula>NOT(ISERROR(SEARCH("Sin Información",E524)))</formula>
    </cfRule>
  </conditionalFormatting>
  <conditionalFormatting sqref="C530:D530">
    <cfRule type="containsText" dxfId="6695" priority="8615" operator="containsText" text="NO+$D$4:$D$10">
      <formula>NOT(ISERROR(SEARCH("NO+$D$4:$D$10",C530)))</formula>
    </cfRule>
  </conditionalFormatting>
  <conditionalFormatting sqref="C530:D530">
    <cfRule type="containsText" dxfId="6694" priority="8613" operator="containsText" text="SI">
      <formula>NOT(ISERROR(SEARCH("SI",C530)))</formula>
    </cfRule>
    <cfRule type="containsText" dxfId="6693" priority="8614" operator="containsText" text="NO">
      <formula>NOT(ISERROR(SEARCH("NO",C530)))</formula>
    </cfRule>
  </conditionalFormatting>
  <conditionalFormatting sqref="C530:E530">
    <cfRule type="containsText" dxfId="6692" priority="8612" operator="containsText" text="NUEVO">
      <formula>NOT(ISERROR(SEARCH("NUEVO",C530)))</formula>
    </cfRule>
  </conditionalFormatting>
  <conditionalFormatting sqref="E530">
    <cfRule type="containsText" dxfId="6691" priority="8611" operator="containsText" text="Sin Información">
      <formula>NOT(ISERROR(SEARCH("Sin Información",E530)))</formula>
    </cfRule>
  </conditionalFormatting>
  <conditionalFormatting sqref="C608:D608">
    <cfRule type="containsText" dxfId="6690" priority="8605" operator="containsText" text="NO+$D$4:$D$10">
      <formula>NOT(ISERROR(SEARCH("NO+$D$4:$D$10",C608)))</formula>
    </cfRule>
  </conditionalFormatting>
  <conditionalFormatting sqref="C608:D608">
    <cfRule type="containsText" dxfId="6689" priority="8603" operator="containsText" text="SI">
      <formula>NOT(ISERROR(SEARCH("SI",C608)))</formula>
    </cfRule>
    <cfRule type="containsText" dxfId="6688" priority="8604" operator="containsText" text="NO">
      <formula>NOT(ISERROR(SEARCH("NO",C608)))</formula>
    </cfRule>
  </conditionalFormatting>
  <conditionalFormatting sqref="C608:E608">
    <cfRule type="containsText" dxfId="6687" priority="8602" operator="containsText" text="NUEVO">
      <formula>NOT(ISERROR(SEARCH("NUEVO",C608)))</formula>
    </cfRule>
  </conditionalFormatting>
  <conditionalFormatting sqref="E608">
    <cfRule type="containsText" dxfId="6686" priority="8601" operator="containsText" text="Sin Información">
      <formula>NOT(ISERROR(SEARCH("Sin Información",E608)))</formula>
    </cfRule>
  </conditionalFormatting>
  <conditionalFormatting sqref="C609:D609">
    <cfRule type="containsText" dxfId="6685" priority="8588" operator="containsText" text="NO+$D$4:$D$10">
      <formula>NOT(ISERROR(SEARCH("NO+$D$4:$D$10",C609)))</formula>
    </cfRule>
  </conditionalFormatting>
  <conditionalFormatting sqref="C609:D609">
    <cfRule type="containsText" dxfId="6684" priority="8586" operator="containsText" text="SI">
      <formula>NOT(ISERROR(SEARCH("SI",C609)))</formula>
    </cfRule>
    <cfRule type="containsText" dxfId="6683" priority="8587" operator="containsText" text="NO">
      <formula>NOT(ISERROR(SEARCH("NO",C609)))</formula>
    </cfRule>
  </conditionalFormatting>
  <conditionalFormatting sqref="C609:D609">
    <cfRule type="containsText" dxfId="6682" priority="8585" operator="containsText" text="NUEVO">
      <formula>NOT(ISERROR(SEARCH("NUEVO",C609)))</formula>
    </cfRule>
  </conditionalFormatting>
  <conditionalFormatting sqref="E609">
    <cfRule type="containsText" dxfId="6681" priority="8583" operator="containsText" text="Sin Información">
      <formula>NOT(ISERROR(SEARCH("Sin Información",E609)))</formula>
    </cfRule>
  </conditionalFormatting>
  <conditionalFormatting sqref="E609">
    <cfRule type="containsText" dxfId="6680" priority="8584" operator="containsText" text="NUEVO">
      <formula>NOT(ISERROR(SEARCH("NUEVO",E609)))</formula>
    </cfRule>
  </conditionalFormatting>
  <conditionalFormatting sqref="C610:D610">
    <cfRule type="containsText" dxfId="6679" priority="8582" operator="containsText" text="NO+$D$4:$D$10">
      <formula>NOT(ISERROR(SEARCH("NO+$D$4:$D$10",C610)))</formula>
    </cfRule>
  </conditionalFormatting>
  <conditionalFormatting sqref="C610:D610">
    <cfRule type="containsText" dxfId="6678" priority="8580" operator="containsText" text="SI">
      <formula>NOT(ISERROR(SEARCH("SI",C610)))</formula>
    </cfRule>
    <cfRule type="containsText" dxfId="6677" priority="8581" operator="containsText" text="NO">
      <formula>NOT(ISERROR(SEARCH("NO",C610)))</formula>
    </cfRule>
  </conditionalFormatting>
  <conditionalFormatting sqref="C610:E610">
    <cfRule type="containsText" dxfId="6676" priority="8579" operator="containsText" text="NUEVO">
      <formula>NOT(ISERROR(SEARCH("NUEVO",C610)))</formula>
    </cfRule>
  </conditionalFormatting>
  <conditionalFormatting sqref="E610">
    <cfRule type="containsText" dxfId="6675" priority="8578" operator="containsText" text="Sin Información">
      <formula>NOT(ISERROR(SEARCH("Sin Información",E610)))</formula>
    </cfRule>
  </conditionalFormatting>
  <conditionalFormatting sqref="C611:D611">
    <cfRule type="containsText" dxfId="6674" priority="8577" operator="containsText" text="NO+$D$4:$D$10">
      <formula>NOT(ISERROR(SEARCH("NO+$D$4:$D$10",C611)))</formula>
    </cfRule>
  </conditionalFormatting>
  <conditionalFormatting sqref="C611:D611">
    <cfRule type="containsText" dxfId="6673" priority="8575" operator="containsText" text="SI">
      <formula>NOT(ISERROR(SEARCH("SI",C611)))</formula>
    </cfRule>
    <cfRule type="containsText" dxfId="6672" priority="8576" operator="containsText" text="NO">
      <formula>NOT(ISERROR(SEARCH("NO",C611)))</formula>
    </cfRule>
  </conditionalFormatting>
  <conditionalFormatting sqref="C611:E611">
    <cfRule type="containsText" dxfId="6671" priority="8574" operator="containsText" text="NUEVO">
      <formula>NOT(ISERROR(SEARCH("NUEVO",C611)))</formula>
    </cfRule>
  </conditionalFormatting>
  <conditionalFormatting sqref="E611">
    <cfRule type="containsText" dxfId="6670" priority="8573" operator="containsText" text="Sin Información">
      <formula>NOT(ISERROR(SEARCH("Sin Información",E611)))</formula>
    </cfRule>
  </conditionalFormatting>
  <conditionalFormatting sqref="C612:D612">
    <cfRule type="containsText" dxfId="6669" priority="8572" operator="containsText" text="NO+$D$4:$D$10">
      <formula>NOT(ISERROR(SEARCH("NO+$D$4:$D$10",C612)))</formula>
    </cfRule>
  </conditionalFormatting>
  <conditionalFormatting sqref="C612:D612">
    <cfRule type="containsText" dxfId="6668" priority="8570" operator="containsText" text="SI">
      <formula>NOT(ISERROR(SEARCH("SI",C612)))</formula>
    </cfRule>
    <cfRule type="containsText" dxfId="6667" priority="8571" operator="containsText" text="NO">
      <formula>NOT(ISERROR(SEARCH("NO",C612)))</formula>
    </cfRule>
  </conditionalFormatting>
  <conditionalFormatting sqref="C612:D612">
    <cfRule type="containsText" dxfId="6666" priority="8569" operator="containsText" text="NUEVO">
      <formula>NOT(ISERROR(SEARCH("NUEVO",C612)))</formula>
    </cfRule>
  </conditionalFormatting>
  <conditionalFormatting sqref="E612">
    <cfRule type="containsText" dxfId="6665" priority="8568" operator="containsText" text="NUEVO">
      <formula>NOT(ISERROR(SEARCH("NUEVO",E612)))</formula>
    </cfRule>
  </conditionalFormatting>
  <conditionalFormatting sqref="E612">
    <cfRule type="containsText" dxfId="6664" priority="8567" operator="containsText" text="Sin Información">
      <formula>NOT(ISERROR(SEARCH("Sin Información",E612)))</formula>
    </cfRule>
  </conditionalFormatting>
  <conditionalFormatting sqref="C613:D614">
    <cfRule type="containsText" dxfId="6663" priority="8566" operator="containsText" text="NO+$D$4:$D$10">
      <formula>NOT(ISERROR(SEARCH("NO+$D$4:$D$10",C613)))</formula>
    </cfRule>
  </conditionalFormatting>
  <conditionalFormatting sqref="C613:D614">
    <cfRule type="containsText" dxfId="6662" priority="8564" operator="containsText" text="SI">
      <formula>NOT(ISERROR(SEARCH("SI",C613)))</formula>
    </cfRule>
    <cfRule type="containsText" dxfId="6661" priority="8565" operator="containsText" text="NO">
      <formula>NOT(ISERROR(SEARCH("NO",C613)))</formula>
    </cfRule>
  </conditionalFormatting>
  <conditionalFormatting sqref="C613:D614">
    <cfRule type="containsText" dxfId="6660" priority="8563" operator="containsText" text="NUEVO">
      <formula>NOT(ISERROR(SEARCH("NUEVO",C613)))</formula>
    </cfRule>
  </conditionalFormatting>
  <conditionalFormatting sqref="E613:E614">
    <cfRule type="containsText" dxfId="6659" priority="8562" operator="containsText" text="NUEVO">
      <formula>NOT(ISERROR(SEARCH("NUEVO",E613)))</formula>
    </cfRule>
  </conditionalFormatting>
  <conditionalFormatting sqref="E613:E614">
    <cfRule type="containsText" dxfId="6658" priority="8561" operator="containsText" text="Sin Información">
      <formula>NOT(ISERROR(SEARCH("Sin Información",E613)))</formula>
    </cfRule>
  </conditionalFormatting>
  <conditionalFormatting sqref="C615:D617">
    <cfRule type="containsText" dxfId="6657" priority="8560" operator="containsText" text="NO+$D$4:$D$10">
      <formula>NOT(ISERROR(SEARCH("NO+$D$4:$D$10",C615)))</formula>
    </cfRule>
  </conditionalFormatting>
  <conditionalFormatting sqref="C615:D617">
    <cfRule type="containsText" dxfId="6656" priority="8558" operator="containsText" text="SI">
      <formula>NOT(ISERROR(SEARCH("SI",C615)))</formula>
    </cfRule>
    <cfRule type="containsText" dxfId="6655" priority="8559" operator="containsText" text="NO">
      <formula>NOT(ISERROR(SEARCH("NO",C615)))</formula>
    </cfRule>
  </conditionalFormatting>
  <conditionalFormatting sqref="C615:D617">
    <cfRule type="containsText" dxfId="6654" priority="8557" operator="containsText" text="NUEVO">
      <formula>NOT(ISERROR(SEARCH("NUEVO",C615)))</formula>
    </cfRule>
  </conditionalFormatting>
  <conditionalFormatting sqref="E615:E617">
    <cfRule type="containsText" dxfId="6653" priority="8556" operator="containsText" text="NUEVO">
      <formula>NOT(ISERROR(SEARCH("NUEVO",E615)))</formula>
    </cfRule>
  </conditionalFormatting>
  <conditionalFormatting sqref="E615:E617">
    <cfRule type="containsText" dxfId="6652" priority="8555" operator="containsText" text="Sin Información">
      <formula>NOT(ISERROR(SEARCH("Sin Información",E615)))</formula>
    </cfRule>
  </conditionalFormatting>
  <conditionalFormatting sqref="C620:D620">
    <cfRule type="containsText" dxfId="6651" priority="8548" operator="containsText" text="NO+$D$4:$D$10">
      <formula>NOT(ISERROR(SEARCH("NO+$D$4:$D$10",C620)))</formula>
    </cfRule>
  </conditionalFormatting>
  <conditionalFormatting sqref="C620:D620">
    <cfRule type="containsText" dxfId="6650" priority="8546" operator="containsText" text="SI">
      <formula>NOT(ISERROR(SEARCH("SI",C620)))</formula>
    </cfRule>
    <cfRule type="containsText" dxfId="6649" priority="8547" operator="containsText" text="NO">
      <formula>NOT(ISERROR(SEARCH("NO",C620)))</formula>
    </cfRule>
  </conditionalFormatting>
  <conditionalFormatting sqref="C620:D620">
    <cfRule type="containsText" dxfId="6648" priority="8545" operator="containsText" text="NUEVO">
      <formula>NOT(ISERROR(SEARCH("NUEVO",C620)))</formula>
    </cfRule>
  </conditionalFormatting>
  <conditionalFormatting sqref="E620">
    <cfRule type="containsText" dxfId="6647" priority="8544" operator="containsText" text="NUEVO">
      <formula>NOT(ISERROR(SEARCH("NUEVO",E620)))</formula>
    </cfRule>
  </conditionalFormatting>
  <conditionalFormatting sqref="E620">
    <cfRule type="containsText" dxfId="6646" priority="8543" operator="containsText" text="Sin Información">
      <formula>NOT(ISERROR(SEARCH("Sin Información",E620)))</formula>
    </cfRule>
  </conditionalFormatting>
  <conditionalFormatting sqref="C621:D621">
    <cfRule type="containsText" dxfId="6645" priority="8542" operator="containsText" text="NO+$D$4:$D$10">
      <formula>NOT(ISERROR(SEARCH("NO+$D$4:$D$10",C621)))</formula>
    </cfRule>
  </conditionalFormatting>
  <conditionalFormatting sqref="C621:D621">
    <cfRule type="containsText" dxfId="6644" priority="8540" operator="containsText" text="SI">
      <formula>NOT(ISERROR(SEARCH("SI",C621)))</formula>
    </cfRule>
    <cfRule type="containsText" dxfId="6643" priority="8541" operator="containsText" text="NO">
      <formula>NOT(ISERROR(SEARCH("NO",C621)))</formula>
    </cfRule>
  </conditionalFormatting>
  <conditionalFormatting sqref="C621:D621">
    <cfRule type="containsText" dxfId="6642" priority="8539" operator="containsText" text="NUEVO">
      <formula>NOT(ISERROR(SEARCH("NUEVO",C621)))</formula>
    </cfRule>
  </conditionalFormatting>
  <conditionalFormatting sqref="E621">
    <cfRule type="containsText" dxfId="6641" priority="8537" operator="containsText" text="Sin Información">
      <formula>NOT(ISERROR(SEARCH("Sin Información",E621)))</formula>
    </cfRule>
  </conditionalFormatting>
  <conditionalFormatting sqref="E621">
    <cfRule type="containsText" dxfId="6640" priority="8538" operator="containsText" text="NUEVO">
      <formula>NOT(ISERROR(SEARCH("NUEVO",E621)))</formula>
    </cfRule>
  </conditionalFormatting>
  <conditionalFormatting sqref="C622:D622">
    <cfRule type="containsText" dxfId="6639" priority="8536" operator="containsText" text="NO+$D$4:$D$10">
      <formula>NOT(ISERROR(SEARCH("NO+$D$4:$D$10",C622)))</formula>
    </cfRule>
  </conditionalFormatting>
  <conditionalFormatting sqref="C622:D622">
    <cfRule type="containsText" dxfId="6638" priority="8534" operator="containsText" text="SI">
      <formula>NOT(ISERROR(SEARCH("SI",C622)))</formula>
    </cfRule>
    <cfRule type="containsText" dxfId="6637" priority="8535" operator="containsText" text="NO">
      <formula>NOT(ISERROR(SEARCH("NO",C622)))</formula>
    </cfRule>
  </conditionalFormatting>
  <conditionalFormatting sqref="C622:D622">
    <cfRule type="containsText" dxfId="6636" priority="8533" operator="containsText" text="NUEVO">
      <formula>NOT(ISERROR(SEARCH("NUEVO",C622)))</formula>
    </cfRule>
  </conditionalFormatting>
  <conditionalFormatting sqref="E622">
    <cfRule type="containsText" dxfId="6635" priority="8531" operator="containsText" text="Sin Información">
      <formula>NOT(ISERROR(SEARCH("Sin Información",E622)))</formula>
    </cfRule>
  </conditionalFormatting>
  <conditionalFormatting sqref="E622">
    <cfRule type="containsText" dxfId="6634" priority="8532" operator="containsText" text="NUEVO">
      <formula>NOT(ISERROR(SEARCH("NUEVO",E622)))</formula>
    </cfRule>
  </conditionalFormatting>
  <conditionalFormatting sqref="C623:D623">
    <cfRule type="containsText" dxfId="6633" priority="8530" operator="containsText" text="NO+$D$4:$D$10">
      <formula>NOT(ISERROR(SEARCH("NO+$D$4:$D$10",C623)))</formula>
    </cfRule>
  </conditionalFormatting>
  <conditionalFormatting sqref="C623:D623">
    <cfRule type="containsText" dxfId="6632" priority="8528" operator="containsText" text="SI">
      <formula>NOT(ISERROR(SEARCH("SI",C623)))</formula>
    </cfRule>
    <cfRule type="containsText" dxfId="6631" priority="8529" operator="containsText" text="NO">
      <formula>NOT(ISERROR(SEARCH("NO",C623)))</formula>
    </cfRule>
  </conditionalFormatting>
  <conditionalFormatting sqref="C623:D623">
    <cfRule type="containsText" dxfId="6630" priority="8527" operator="containsText" text="NUEVO">
      <formula>NOT(ISERROR(SEARCH("NUEVO",C623)))</formula>
    </cfRule>
  </conditionalFormatting>
  <conditionalFormatting sqref="E623">
    <cfRule type="containsText" dxfId="6629" priority="8525" operator="containsText" text="Sin Información">
      <formula>NOT(ISERROR(SEARCH("Sin Información",E623)))</formula>
    </cfRule>
  </conditionalFormatting>
  <conditionalFormatting sqref="E623">
    <cfRule type="containsText" dxfId="6628" priority="8526" operator="containsText" text="NUEVO">
      <formula>NOT(ISERROR(SEARCH("NUEVO",E623)))</formula>
    </cfRule>
  </conditionalFormatting>
  <conditionalFormatting sqref="C624:D626">
    <cfRule type="containsText" dxfId="6627" priority="8524" operator="containsText" text="NO+$D$4:$D$10">
      <formula>NOT(ISERROR(SEARCH("NO+$D$4:$D$10",C624)))</formula>
    </cfRule>
  </conditionalFormatting>
  <conditionalFormatting sqref="C624:D626">
    <cfRule type="containsText" dxfId="6626" priority="8522" operator="containsText" text="SI">
      <formula>NOT(ISERROR(SEARCH("SI",C624)))</formula>
    </cfRule>
    <cfRule type="containsText" dxfId="6625" priority="8523" operator="containsText" text="NO">
      <formula>NOT(ISERROR(SEARCH("NO",C624)))</formula>
    </cfRule>
  </conditionalFormatting>
  <conditionalFormatting sqref="C624:D626">
    <cfRule type="containsText" dxfId="6624" priority="8521" operator="containsText" text="NUEVO">
      <formula>NOT(ISERROR(SEARCH("NUEVO",C624)))</formula>
    </cfRule>
  </conditionalFormatting>
  <conditionalFormatting sqref="E624:E626">
    <cfRule type="containsText" dxfId="6623" priority="8520" operator="containsText" text="NUEVO">
      <formula>NOT(ISERROR(SEARCH("NUEVO",E624)))</formula>
    </cfRule>
  </conditionalFormatting>
  <conditionalFormatting sqref="E624:E626">
    <cfRule type="containsText" dxfId="6622" priority="8519" operator="containsText" text="Sin Información">
      <formula>NOT(ISERROR(SEARCH("Sin Información",E624)))</formula>
    </cfRule>
  </conditionalFormatting>
  <conditionalFormatting sqref="C627:D628">
    <cfRule type="containsText" dxfId="6621" priority="8518" operator="containsText" text="NO+$D$4:$D$10">
      <formula>NOT(ISERROR(SEARCH("NO+$D$4:$D$10",C627)))</formula>
    </cfRule>
  </conditionalFormatting>
  <conditionalFormatting sqref="C627:D628">
    <cfRule type="containsText" dxfId="6620" priority="8516" operator="containsText" text="SI">
      <formula>NOT(ISERROR(SEARCH("SI",C627)))</formula>
    </cfRule>
    <cfRule type="containsText" dxfId="6619" priority="8517" operator="containsText" text="NO">
      <formula>NOT(ISERROR(SEARCH("NO",C627)))</formula>
    </cfRule>
  </conditionalFormatting>
  <conditionalFormatting sqref="C627:D628">
    <cfRule type="containsText" dxfId="6618" priority="8515" operator="containsText" text="NUEVO">
      <formula>NOT(ISERROR(SEARCH("NUEVO",C627)))</formula>
    </cfRule>
  </conditionalFormatting>
  <conditionalFormatting sqref="E627">
    <cfRule type="containsText" dxfId="6617" priority="8514" operator="containsText" text="NUEVO">
      <formula>NOT(ISERROR(SEARCH("NUEVO",E627)))</formula>
    </cfRule>
  </conditionalFormatting>
  <conditionalFormatting sqref="E627">
    <cfRule type="containsText" dxfId="6616" priority="8513" operator="containsText" text="Sin Información">
      <formula>NOT(ISERROR(SEARCH("Sin Información",E627)))</formula>
    </cfRule>
  </conditionalFormatting>
  <conditionalFormatting sqref="E628">
    <cfRule type="containsText" dxfId="6615" priority="8512" operator="containsText" text="NUEVO">
      <formula>NOT(ISERROR(SEARCH("NUEVO",E628)))</formula>
    </cfRule>
  </conditionalFormatting>
  <conditionalFormatting sqref="E628">
    <cfRule type="containsText" dxfId="6614" priority="8511" operator="containsText" text="Sin Información">
      <formula>NOT(ISERROR(SEARCH("Sin Información",E628)))</formula>
    </cfRule>
  </conditionalFormatting>
  <conditionalFormatting sqref="C399:D400">
    <cfRule type="containsText" dxfId="6613" priority="8505" operator="containsText" text="NO+$D$4:$D$10">
      <formula>NOT(ISERROR(SEARCH("NO+$D$4:$D$10",C399)))</formula>
    </cfRule>
  </conditionalFormatting>
  <conditionalFormatting sqref="C399:D400">
    <cfRule type="containsText" dxfId="6612" priority="8503" operator="containsText" text="SI">
      <formula>NOT(ISERROR(SEARCH("SI",C399)))</formula>
    </cfRule>
    <cfRule type="containsText" dxfId="6611" priority="8504" operator="containsText" text="NO">
      <formula>NOT(ISERROR(SEARCH("NO",C399)))</formula>
    </cfRule>
  </conditionalFormatting>
  <conditionalFormatting sqref="C399:E400">
    <cfRule type="containsText" dxfId="6610" priority="8502" operator="containsText" text="NUEVO">
      <formula>NOT(ISERROR(SEARCH("NUEVO",C399)))</formula>
    </cfRule>
  </conditionalFormatting>
  <conditionalFormatting sqref="E399:E400">
    <cfRule type="containsText" dxfId="6609" priority="8501" operator="containsText" text="Sin Información">
      <formula>NOT(ISERROR(SEARCH("Sin Información",E399)))</formula>
    </cfRule>
  </conditionalFormatting>
  <conditionalFormatting sqref="C459:D459">
    <cfRule type="containsText" dxfId="6608" priority="8500" operator="containsText" text="NO+$D$4:$D$10">
      <formula>NOT(ISERROR(SEARCH("NO+$D$4:$D$10",C459)))</formula>
    </cfRule>
  </conditionalFormatting>
  <conditionalFormatting sqref="C459:D459">
    <cfRule type="containsText" dxfId="6607" priority="8498" operator="containsText" text="SI">
      <formula>NOT(ISERROR(SEARCH("SI",C459)))</formula>
    </cfRule>
    <cfRule type="containsText" dxfId="6606" priority="8499" operator="containsText" text="NO">
      <formula>NOT(ISERROR(SEARCH("NO",C459)))</formula>
    </cfRule>
  </conditionalFormatting>
  <conditionalFormatting sqref="C459:D459">
    <cfRule type="containsText" dxfId="6605" priority="8497" operator="containsText" text="NUEVO">
      <formula>NOT(ISERROR(SEARCH("NUEVO",C459)))</formula>
    </cfRule>
  </conditionalFormatting>
  <conditionalFormatting sqref="E459">
    <cfRule type="containsText" dxfId="6604" priority="8496" operator="containsText" text="NUEVO">
      <formula>NOT(ISERROR(SEARCH("NUEVO",E459)))</formula>
    </cfRule>
  </conditionalFormatting>
  <conditionalFormatting sqref="E459">
    <cfRule type="containsText" dxfId="6603" priority="8495" operator="containsText" text="Sin Información">
      <formula>NOT(ISERROR(SEARCH("Sin Información",E459)))</formula>
    </cfRule>
  </conditionalFormatting>
  <conditionalFormatting sqref="C481:D481">
    <cfRule type="containsText" dxfId="6602" priority="8489" operator="containsText" text="NO+$D$4:$D$10">
      <formula>NOT(ISERROR(SEARCH("NO+$D$4:$D$10",C481)))</formula>
    </cfRule>
  </conditionalFormatting>
  <conditionalFormatting sqref="C481:D481">
    <cfRule type="containsText" dxfId="6601" priority="8487" operator="containsText" text="SI">
      <formula>NOT(ISERROR(SEARCH("SI",C481)))</formula>
    </cfRule>
    <cfRule type="containsText" dxfId="6600" priority="8488" operator="containsText" text="NO">
      <formula>NOT(ISERROR(SEARCH("NO",C481)))</formula>
    </cfRule>
  </conditionalFormatting>
  <conditionalFormatting sqref="C481:D481">
    <cfRule type="containsText" dxfId="6599" priority="8486" operator="containsText" text="NUEVO">
      <formula>NOT(ISERROR(SEARCH("NUEVO",C481)))</formula>
    </cfRule>
  </conditionalFormatting>
  <conditionalFormatting sqref="E481">
    <cfRule type="containsText" dxfId="6598" priority="8485" operator="containsText" text="NUEVO">
      <formula>NOT(ISERROR(SEARCH("NUEVO",E481)))</formula>
    </cfRule>
  </conditionalFormatting>
  <conditionalFormatting sqref="E481">
    <cfRule type="containsText" dxfId="6597" priority="8484" operator="containsText" text="Sin Información">
      <formula>NOT(ISERROR(SEARCH("Sin Información",E481)))</formula>
    </cfRule>
  </conditionalFormatting>
  <conditionalFormatting sqref="C629:D631">
    <cfRule type="containsText" dxfId="6596" priority="8483" operator="containsText" text="NO+$D$4:$D$10">
      <formula>NOT(ISERROR(SEARCH("NO+$D$4:$D$10",C629)))</formula>
    </cfRule>
  </conditionalFormatting>
  <conditionalFormatting sqref="C629:D631">
    <cfRule type="containsText" dxfId="6595" priority="8481" operator="containsText" text="SI">
      <formula>NOT(ISERROR(SEARCH("SI",C629)))</formula>
    </cfRule>
    <cfRule type="containsText" dxfId="6594" priority="8482" operator="containsText" text="NO">
      <formula>NOT(ISERROR(SEARCH("NO",C629)))</formula>
    </cfRule>
  </conditionalFormatting>
  <conditionalFormatting sqref="C629:D631">
    <cfRule type="containsText" dxfId="6593" priority="8480" operator="containsText" text="NUEVO">
      <formula>NOT(ISERROR(SEARCH("NUEVO",C629)))</formula>
    </cfRule>
  </conditionalFormatting>
  <conditionalFormatting sqref="E630:E631">
    <cfRule type="containsText" dxfId="6592" priority="8479" operator="containsText" text="NUEVO">
      <formula>NOT(ISERROR(SEARCH("NUEVO",E630)))</formula>
    </cfRule>
  </conditionalFormatting>
  <conditionalFormatting sqref="E630:E631">
    <cfRule type="containsText" dxfId="6591" priority="8478" operator="containsText" text="Sin Información">
      <formula>NOT(ISERROR(SEARCH("Sin Información",E630)))</formula>
    </cfRule>
  </conditionalFormatting>
  <conditionalFormatting sqref="E629">
    <cfRule type="containsText" dxfId="6590" priority="8477" operator="containsText" text="NUEVO">
      <formula>NOT(ISERROR(SEARCH("NUEVO",E629)))</formula>
    </cfRule>
  </conditionalFormatting>
  <conditionalFormatting sqref="E629">
    <cfRule type="containsText" dxfId="6589" priority="8476" operator="containsText" text="Sin Información">
      <formula>NOT(ISERROR(SEARCH("Sin Información",E629)))</formula>
    </cfRule>
  </conditionalFormatting>
  <conditionalFormatting sqref="C632:D635">
    <cfRule type="containsText" dxfId="6588" priority="8475" operator="containsText" text="NO+$D$4:$D$10">
      <formula>NOT(ISERROR(SEARCH("NO+$D$4:$D$10",C632)))</formula>
    </cfRule>
  </conditionalFormatting>
  <conditionalFormatting sqref="C632:D635">
    <cfRule type="containsText" dxfId="6587" priority="8473" operator="containsText" text="SI">
      <formula>NOT(ISERROR(SEARCH("SI",C632)))</formula>
    </cfRule>
    <cfRule type="containsText" dxfId="6586" priority="8474" operator="containsText" text="NO">
      <formula>NOT(ISERROR(SEARCH("NO",C632)))</formula>
    </cfRule>
  </conditionalFormatting>
  <conditionalFormatting sqref="C632:D635">
    <cfRule type="containsText" dxfId="6585" priority="8472" operator="containsText" text="NUEVO">
      <formula>NOT(ISERROR(SEARCH("NUEVO",C632)))</formula>
    </cfRule>
  </conditionalFormatting>
  <conditionalFormatting sqref="E632:E635">
    <cfRule type="containsText" dxfId="6584" priority="8471" operator="containsText" text="NUEVO">
      <formula>NOT(ISERROR(SEARCH("NUEVO",E632)))</formula>
    </cfRule>
  </conditionalFormatting>
  <conditionalFormatting sqref="E632:E635">
    <cfRule type="containsText" dxfId="6583" priority="8470" operator="containsText" text="Sin Información">
      <formula>NOT(ISERROR(SEARCH("Sin Información",E632)))</formula>
    </cfRule>
  </conditionalFormatting>
  <conditionalFormatting sqref="C636:D637">
    <cfRule type="containsText" dxfId="6582" priority="8469" operator="containsText" text="NO+$D$4:$D$10">
      <formula>NOT(ISERROR(SEARCH("NO+$D$4:$D$10",C636)))</formula>
    </cfRule>
  </conditionalFormatting>
  <conditionalFormatting sqref="C636:D637">
    <cfRule type="containsText" dxfId="6581" priority="8467" operator="containsText" text="SI">
      <formula>NOT(ISERROR(SEARCH("SI",C636)))</formula>
    </cfRule>
    <cfRule type="containsText" dxfId="6580" priority="8468" operator="containsText" text="NO">
      <formula>NOT(ISERROR(SEARCH("NO",C636)))</formula>
    </cfRule>
  </conditionalFormatting>
  <conditionalFormatting sqref="C636:D637">
    <cfRule type="containsText" dxfId="6579" priority="8466" operator="containsText" text="NUEVO">
      <formula>NOT(ISERROR(SEARCH("NUEVO",C636)))</formula>
    </cfRule>
  </conditionalFormatting>
  <conditionalFormatting sqref="E637">
    <cfRule type="containsText" dxfId="6578" priority="8465" operator="containsText" text="NUEVO">
      <formula>NOT(ISERROR(SEARCH("NUEVO",E637)))</formula>
    </cfRule>
  </conditionalFormatting>
  <conditionalFormatting sqref="E637">
    <cfRule type="containsText" dxfId="6577" priority="8464" operator="containsText" text="Sin Información">
      <formula>NOT(ISERROR(SEARCH("Sin Información",E637)))</formula>
    </cfRule>
  </conditionalFormatting>
  <conditionalFormatting sqref="E636">
    <cfRule type="containsText" dxfId="6576" priority="8463" operator="containsText" text="NUEVO">
      <formula>NOT(ISERROR(SEARCH("NUEVO",E636)))</formula>
    </cfRule>
  </conditionalFormatting>
  <conditionalFormatting sqref="E636">
    <cfRule type="containsText" dxfId="6575" priority="8462" operator="containsText" text="Sin Información">
      <formula>NOT(ISERROR(SEARCH("Sin Información",E636)))</formula>
    </cfRule>
  </conditionalFormatting>
  <conditionalFormatting sqref="C638:D638">
    <cfRule type="containsText" dxfId="6574" priority="8461" operator="containsText" text="NO+$D$4:$D$10">
      <formula>NOT(ISERROR(SEARCH("NO+$D$4:$D$10",C638)))</formula>
    </cfRule>
  </conditionalFormatting>
  <conditionalFormatting sqref="C638:D638">
    <cfRule type="containsText" dxfId="6573" priority="8459" operator="containsText" text="SI">
      <formula>NOT(ISERROR(SEARCH("SI",C638)))</formula>
    </cfRule>
    <cfRule type="containsText" dxfId="6572" priority="8460" operator="containsText" text="NO">
      <formula>NOT(ISERROR(SEARCH("NO",C638)))</formula>
    </cfRule>
  </conditionalFormatting>
  <conditionalFormatting sqref="C638:D638">
    <cfRule type="containsText" dxfId="6571" priority="8458" operator="containsText" text="NUEVO">
      <formula>NOT(ISERROR(SEARCH("NUEVO",C638)))</formula>
    </cfRule>
  </conditionalFormatting>
  <conditionalFormatting sqref="E638">
    <cfRule type="containsText" dxfId="6570" priority="8457" operator="containsText" text="NUEVO">
      <formula>NOT(ISERROR(SEARCH("NUEVO",E638)))</formula>
    </cfRule>
  </conditionalFormatting>
  <conditionalFormatting sqref="E638">
    <cfRule type="containsText" dxfId="6569" priority="8456" operator="containsText" text="Sin Información">
      <formula>NOT(ISERROR(SEARCH("Sin Información",E638)))</formula>
    </cfRule>
  </conditionalFormatting>
  <conditionalFormatting sqref="C639:D639">
    <cfRule type="containsText" dxfId="6568" priority="8455" operator="containsText" text="NO+$D$4:$D$10">
      <formula>NOT(ISERROR(SEARCH("NO+$D$4:$D$10",C639)))</formula>
    </cfRule>
  </conditionalFormatting>
  <conditionalFormatting sqref="C639:D639">
    <cfRule type="containsText" dxfId="6567" priority="8453" operator="containsText" text="SI">
      <formula>NOT(ISERROR(SEARCH("SI",C639)))</formula>
    </cfRule>
    <cfRule type="containsText" dxfId="6566" priority="8454" operator="containsText" text="NO">
      <formula>NOT(ISERROR(SEARCH("NO",C639)))</formula>
    </cfRule>
  </conditionalFormatting>
  <conditionalFormatting sqref="C639:D639">
    <cfRule type="containsText" dxfId="6565" priority="8452" operator="containsText" text="NUEVO">
      <formula>NOT(ISERROR(SEARCH("NUEVO",C639)))</formula>
    </cfRule>
  </conditionalFormatting>
  <conditionalFormatting sqref="E639">
    <cfRule type="containsText" dxfId="6564" priority="8450" operator="containsText" text="Sin Información">
      <formula>NOT(ISERROR(SEARCH("Sin Información",E639)))</formula>
    </cfRule>
  </conditionalFormatting>
  <conditionalFormatting sqref="E639">
    <cfRule type="containsText" dxfId="6563" priority="8451" operator="containsText" text="NUEVO">
      <formula>NOT(ISERROR(SEARCH("NUEVO",E639)))</formula>
    </cfRule>
  </conditionalFormatting>
  <conditionalFormatting sqref="C640:D642">
    <cfRule type="containsText" dxfId="6562" priority="8449" operator="containsText" text="NO+$D$4:$D$10">
      <formula>NOT(ISERROR(SEARCH("NO+$D$4:$D$10",C640)))</formula>
    </cfRule>
  </conditionalFormatting>
  <conditionalFormatting sqref="C640:D642">
    <cfRule type="containsText" dxfId="6561" priority="8447" operator="containsText" text="SI">
      <formula>NOT(ISERROR(SEARCH("SI",C640)))</formula>
    </cfRule>
    <cfRule type="containsText" dxfId="6560" priority="8448" operator="containsText" text="NO">
      <formula>NOT(ISERROR(SEARCH("NO",C640)))</formula>
    </cfRule>
  </conditionalFormatting>
  <conditionalFormatting sqref="C640:D642">
    <cfRule type="containsText" dxfId="6559" priority="8446" operator="containsText" text="NUEVO">
      <formula>NOT(ISERROR(SEARCH("NUEVO",C640)))</formula>
    </cfRule>
  </conditionalFormatting>
  <conditionalFormatting sqref="E640:E641">
    <cfRule type="containsText" dxfId="6558" priority="8444" operator="containsText" text="Sin Información">
      <formula>NOT(ISERROR(SEARCH("Sin Información",E640)))</formula>
    </cfRule>
  </conditionalFormatting>
  <conditionalFormatting sqref="E640:E641">
    <cfRule type="containsText" dxfId="6557" priority="8445" operator="containsText" text="NUEVO">
      <formula>NOT(ISERROR(SEARCH("NUEVO",E640)))</formula>
    </cfRule>
  </conditionalFormatting>
  <conditionalFormatting sqref="E642">
    <cfRule type="containsText" dxfId="6556" priority="8442" operator="containsText" text="Sin Información">
      <formula>NOT(ISERROR(SEARCH("Sin Información",E642)))</formula>
    </cfRule>
  </conditionalFormatting>
  <conditionalFormatting sqref="E642">
    <cfRule type="containsText" dxfId="6555" priority="8443" operator="containsText" text="NUEVO">
      <formula>NOT(ISERROR(SEARCH("NUEVO",E642)))</formula>
    </cfRule>
  </conditionalFormatting>
  <conditionalFormatting sqref="C643:D643">
    <cfRule type="containsText" dxfId="6554" priority="8435" operator="containsText" text="NO+$D$4:$D$10">
      <formula>NOT(ISERROR(SEARCH("NO+$D$4:$D$10",C643)))</formula>
    </cfRule>
  </conditionalFormatting>
  <conditionalFormatting sqref="C643:D643">
    <cfRule type="containsText" dxfId="6553" priority="8433" operator="containsText" text="SI">
      <formula>NOT(ISERROR(SEARCH("SI",C643)))</formula>
    </cfRule>
    <cfRule type="containsText" dxfId="6552" priority="8434" operator="containsText" text="NO">
      <formula>NOT(ISERROR(SEARCH("NO",C643)))</formula>
    </cfRule>
  </conditionalFormatting>
  <conditionalFormatting sqref="C643:D643">
    <cfRule type="containsText" dxfId="6551" priority="8432" operator="containsText" text="NUEVO">
      <formula>NOT(ISERROR(SEARCH("NUEVO",C643)))</formula>
    </cfRule>
  </conditionalFormatting>
  <conditionalFormatting sqref="E643">
    <cfRule type="containsText" dxfId="6550" priority="8431" operator="containsText" text="NUEVO">
      <formula>NOT(ISERROR(SEARCH("NUEVO",E643)))</formula>
    </cfRule>
  </conditionalFormatting>
  <conditionalFormatting sqref="E643">
    <cfRule type="containsText" dxfId="6549" priority="8430" operator="containsText" text="Sin Información">
      <formula>NOT(ISERROR(SEARCH("Sin Información",E643)))</formula>
    </cfRule>
  </conditionalFormatting>
  <conditionalFormatting sqref="C644:D645">
    <cfRule type="containsText" dxfId="6548" priority="8423" operator="containsText" text="NO+$D$4:$D$10">
      <formula>NOT(ISERROR(SEARCH("NO+$D$4:$D$10",C644)))</formula>
    </cfRule>
  </conditionalFormatting>
  <conditionalFormatting sqref="C644:D645">
    <cfRule type="containsText" dxfId="6547" priority="8421" operator="containsText" text="SI">
      <formula>NOT(ISERROR(SEARCH("SI",C644)))</formula>
    </cfRule>
    <cfRule type="containsText" dxfId="6546" priority="8422" operator="containsText" text="NO">
      <formula>NOT(ISERROR(SEARCH("NO",C644)))</formula>
    </cfRule>
  </conditionalFormatting>
  <conditionalFormatting sqref="C644:E645">
    <cfRule type="containsText" dxfId="6545" priority="8420" operator="containsText" text="NUEVO">
      <formula>NOT(ISERROR(SEARCH("NUEVO",C644)))</formula>
    </cfRule>
  </conditionalFormatting>
  <conditionalFormatting sqref="E644:E645">
    <cfRule type="containsText" dxfId="6544" priority="8419" operator="containsText" text="Sin Información">
      <formula>NOT(ISERROR(SEARCH("Sin Información",E644)))</formula>
    </cfRule>
  </conditionalFormatting>
  <conditionalFormatting sqref="C646:D646">
    <cfRule type="containsText" dxfId="6543" priority="8412" operator="containsText" text="NO+$D$4:$D$10">
      <formula>NOT(ISERROR(SEARCH("NO+$D$4:$D$10",C646)))</formula>
    </cfRule>
  </conditionalFormatting>
  <conditionalFormatting sqref="C646:D646">
    <cfRule type="containsText" dxfId="6542" priority="8410" operator="containsText" text="SI">
      <formula>NOT(ISERROR(SEARCH("SI",C646)))</formula>
    </cfRule>
    <cfRule type="containsText" dxfId="6541" priority="8411" operator="containsText" text="NO">
      <formula>NOT(ISERROR(SEARCH("NO",C646)))</formula>
    </cfRule>
  </conditionalFormatting>
  <conditionalFormatting sqref="C646:D646">
    <cfRule type="containsText" dxfId="6540" priority="8409" operator="containsText" text="NUEVO">
      <formula>NOT(ISERROR(SEARCH("NUEVO",C646)))</formula>
    </cfRule>
  </conditionalFormatting>
  <conditionalFormatting sqref="E646">
    <cfRule type="containsText" dxfId="6539" priority="8408" operator="containsText" text="Sin información">
      <formula>NOT(ISERROR(SEARCH("Sin información",E646)))</formula>
    </cfRule>
  </conditionalFormatting>
  <conditionalFormatting sqref="E646">
    <cfRule type="containsText" dxfId="6538" priority="8407" operator="containsText" text="NUEVO">
      <formula>NOT(ISERROR(SEARCH("NUEVO",E646)))</formula>
    </cfRule>
  </conditionalFormatting>
  <conditionalFormatting sqref="E646">
    <cfRule type="containsText" dxfId="6537" priority="8406" operator="containsText" text="Sin Información">
      <formula>NOT(ISERROR(SEARCH("Sin Información",E646)))</formula>
    </cfRule>
  </conditionalFormatting>
  <conditionalFormatting sqref="C647:D647">
    <cfRule type="containsText" dxfId="6536" priority="8405" operator="containsText" text="NO+$D$4:$D$10">
      <formula>NOT(ISERROR(SEARCH("NO+$D$4:$D$10",C647)))</formula>
    </cfRule>
  </conditionalFormatting>
  <conditionalFormatting sqref="C647:D647">
    <cfRule type="containsText" dxfId="6535" priority="8403" operator="containsText" text="SI">
      <formula>NOT(ISERROR(SEARCH("SI",C647)))</formula>
    </cfRule>
    <cfRule type="containsText" dxfId="6534" priority="8404" operator="containsText" text="NO">
      <formula>NOT(ISERROR(SEARCH("NO",C647)))</formula>
    </cfRule>
  </conditionalFormatting>
  <conditionalFormatting sqref="C647:D647">
    <cfRule type="containsText" dxfId="6533" priority="8402" operator="containsText" text="NUEVO">
      <formula>NOT(ISERROR(SEARCH("NUEVO",C647)))</formula>
    </cfRule>
  </conditionalFormatting>
  <conditionalFormatting sqref="E647">
    <cfRule type="containsText" dxfId="6532" priority="8400" operator="containsText" text="Sin Información">
      <formula>NOT(ISERROR(SEARCH("Sin Información",E647)))</formula>
    </cfRule>
  </conditionalFormatting>
  <conditionalFormatting sqref="E647">
    <cfRule type="containsText" dxfId="6531" priority="8401" operator="containsText" text="NUEVO">
      <formula>NOT(ISERROR(SEARCH("NUEVO",E647)))</formula>
    </cfRule>
  </conditionalFormatting>
  <conditionalFormatting sqref="C648:D648">
    <cfRule type="containsText" dxfId="6530" priority="8399" operator="containsText" text="NO+$D$4:$D$10">
      <formula>NOT(ISERROR(SEARCH("NO+$D$4:$D$10",C648)))</formula>
    </cfRule>
  </conditionalFormatting>
  <conditionalFormatting sqref="C648:D648">
    <cfRule type="containsText" dxfId="6529" priority="8397" operator="containsText" text="SI">
      <formula>NOT(ISERROR(SEARCH("SI",C648)))</formula>
    </cfRule>
    <cfRule type="containsText" dxfId="6528" priority="8398" operator="containsText" text="NO">
      <formula>NOT(ISERROR(SEARCH("NO",C648)))</formula>
    </cfRule>
  </conditionalFormatting>
  <conditionalFormatting sqref="C648:E648">
    <cfRule type="containsText" dxfId="6527" priority="8396" operator="containsText" text="NUEVO">
      <formula>NOT(ISERROR(SEARCH("NUEVO",C648)))</formula>
    </cfRule>
  </conditionalFormatting>
  <conditionalFormatting sqref="E648">
    <cfRule type="containsText" dxfId="6526" priority="8395" operator="containsText" text="Sin Información">
      <formula>NOT(ISERROR(SEARCH("Sin Información",E648)))</formula>
    </cfRule>
  </conditionalFormatting>
  <conditionalFormatting sqref="C649:D649">
    <cfRule type="containsText" dxfId="6525" priority="8394" operator="containsText" text="NO+$D$4:$D$10">
      <formula>NOT(ISERROR(SEARCH("NO+$D$4:$D$10",C649)))</formula>
    </cfRule>
  </conditionalFormatting>
  <conditionalFormatting sqref="C649:D649">
    <cfRule type="containsText" dxfId="6524" priority="8392" operator="containsText" text="SI">
      <formula>NOT(ISERROR(SEARCH("SI",C649)))</formula>
    </cfRule>
    <cfRule type="containsText" dxfId="6523" priority="8393" operator="containsText" text="NO">
      <formula>NOT(ISERROR(SEARCH("NO",C649)))</formula>
    </cfRule>
  </conditionalFormatting>
  <conditionalFormatting sqref="C649:D649">
    <cfRule type="containsText" dxfId="6522" priority="8391" operator="containsText" text="NUEVO">
      <formula>NOT(ISERROR(SEARCH("NUEVO",C649)))</formula>
    </cfRule>
  </conditionalFormatting>
  <conditionalFormatting sqref="E649">
    <cfRule type="containsText" dxfId="6521" priority="8389" operator="containsText" text="NUEVO">
      <formula>NOT(ISERROR(SEARCH("NUEVO",E649)))</formula>
    </cfRule>
  </conditionalFormatting>
  <conditionalFormatting sqref="E649">
    <cfRule type="containsText" dxfId="6520" priority="8388" operator="containsText" text="Sin Información">
      <formula>NOT(ISERROR(SEARCH("Sin Información",E649)))</formula>
    </cfRule>
  </conditionalFormatting>
  <conditionalFormatting sqref="C650:D650">
    <cfRule type="containsText" dxfId="6519" priority="8387" operator="containsText" text="NO+$D$4:$D$10">
      <formula>NOT(ISERROR(SEARCH("NO+$D$4:$D$10",C650)))</formula>
    </cfRule>
  </conditionalFormatting>
  <conditionalFormatting sqref="C650:D650">
    <cfRule type="containsText" dxfId="6518" priority="8385" operator="containsText" text="SI">
      <formula>NOT(ISERROR(SEARCH("SI",C650)))</formula>
    </cfRule>
    <cfRule type="containsText" dxfId="6517" priority="8386" operator="containsText" text="NO">
      <formula>NOT(ISERROR(SEARCH("NO",C650)))</formula>
    </cfRule>
  </conditionalFormatting>
  <conditionalFormatting sqref="C650:D650">
    <cfRule type="containsText" dxfId="6516" priority="8384" operator="containsText" text="NUEVO">
      <formula>NOT(ISERROR(SEARCH("NUEVO",C650)))</formula>
    </cfRule>
  </conditionalFormatting>
  <conditionalFormatting sqref="E650">
    <cfRule type="containsText" dxfId="6515" priority="8383" operator="containsText" text="NUEVO">
      <formula>NOT(ISERROR(SEARCH("NUEVO",E650)))</formula>
    </cfRule>
  </conditionalFormatting>
  <conditionalFormatting sqref="E650">
    <cfRule type="containsText" dxfId="6514" priority="8382" operator="containsText" text="Sin Información">
      <formula>NOT(ISERROR(SEARCH("Sin Información",E650)))</formula>
    </cfRule>
  </conditionalFormatting>
  <conditionalFormatting sqref="C651:D651">
    <cfRule type="containsText" dxfId="6513" priority="8381" operator="containsText" text="NO+$D$4:$D$10">
      <formula>NOT(ISERROR(SEARCH("NO+$D$4:$D$10",C651)))</formula>
    </cfRule>
  </conditionalFormatting>
  <conditionalFormatting sqref="C651:D651">
    <cfRule type="containsText" dxfId="6512" priority="8379" operator="containsText" text="SI">
      <formula>NOT(ISERROR(SEARCH("SI",C651)))</formula>
    </cfRule>
    <cfRule type="containsText" dxfId="6511" priority="8380" operator="containsText" text="NO">
      <formula>NOT(ISERROR(SEARCH("NO",C651)))</formula>
    </cfRule>
  </conditionalFormatting>
  <conditionalFormatting sqref="C651:D651">
    <cfRule type="containsText" dxfId="6510" priority="8378" operator="containsText" text="NUEVO">
      <formula>NOT(ISERROR(SEARCH("NUEVO",C651)))</formula>
    </cfRule>
  </conditionalFormatting>
  <conditionalFormatting sqref="E651">
    <cfRule type="containsText" dxfId="6509" priority="8377" operator="containsText" text="NUEVO">
      <formula>NOT(ISERROR(SEARCH("NUEVO",E651)))</formula>
    </cfRule>
  </conditionalFormatting>
  <conditionalFormatting sqref="E651">
    <cfRule type="containsText" dxfId="6508" priority="8376" operator="containsText" text="Sin Información">
      <formula>NOT(ISERROR(SEARCH("Sin Información",E651)))</formula>
    </cfRule>
  </conditionalFormatting>
  <conditionalFormatting sqref="C652:D652">
    <cfRule type="containsText" dxfId="6507" priority="8375" operator="containsText" text="NO+$D$4:$D$10">
      <formula>NOT(ISERROR(SEARCH("NO+$D$4:$D$10",C652)))</formula>
    </cfRule>
  </conditionalFormatting>
  <conditionalFormatting sqref="C652:D652">
    <cfRule type="containsText" dxfId="6506" priority="8373" operator="containsText" text="SI">
      <formula>NOT(ISERROR(SEARCH("SI",C652)))</formula>
    </cfRule>
    <cfRule type="containsText" dxfId="6505" priority="8374" operator="containsText" text="NO">
      <formula>NOT(ISERROR(SEARCH("NO",C652)))</formula>
    </cfRule>
  </conditionalFormatting>
  <conditionalFormatting sqref="C652:D652">
    <cfRule type="containsText" dxfId="6504" priority="8372" operator="containsText" text="NUEVO">
      <formula>NOT(ISERROR(SEARCH("NUEVO",C652)))</formula>
    </cfRule>
  </conditionalFormatting>
  <conditionalFormatting sqref="E652">
    <cfRule type="containsText" dxfId="6503" priority="8371" operator="containsText" text="Sin información">
      <formula>NOT(ISERROR(SEARCH("Sin información",E652)))</formula>
    </cfRule>
  </conditionalFormatting>
  <conditionalFormatting sqref="E652">
    <cfRule type="containsText" dxfId="6502" priority="8370" operator="containsText" text="NUEVO">
      <formula>NOT(ISERROR(SEARCH("NUEVO",E652)))</formula>
    </cfRule>
  </conditionalFormatting>
  <conditionalFormatting sqref="C653:D653">
    <cfRule type="containsText" dxfId="6501" priority="8369" operator="containsText" text="NO+$D$4:$D$10">
      <formula>NOT(ISERROR(SEARCH("NO+$D$4:$D$10",C653)))</formula>
    </cfRule>
  </conditionalFormatting>
  <conditionalFormatting sqref="C653:D653">
    <cfRule type="containsText" dxfId="6500" priority="8367" operator="containsText" text="SI">
      <formula>NOT(ISERROR(SEARCH("SI",C653)))</formula>
    </cfRule>
    <cfRule type="containsText" dxfId="6499" priority="8368" operator="containsText" text="NO">
      <formula>NOT(ISERROR(SEARCH("NO",C653)))</formula>
    </cfRule>
  </conditionalFormatting>
  <conditionalFormatting sqref="C653:D653">
    <cfRule type="containsText" dxfId="6498" priority="8366" operator="containsText" text="NUEVO">
      <formula>NOT(ISERROR(SEARCH("NUEVO",C653)))</formula>
    </cfRule>
  </conditionalFormatting>
  <conditionalFormatting sqref="E653">
    <cfRule type="containsText" dxfId="6497" priority="8365" operator="containsText" text="NUEVO">
      <formula>NOT(ISERROR(SEARCH("NUEVO",E653)))</formula>
    </cfRule>
  </conditionalFormatting>
  <conditionalFormatting sqref="E653">
    <cfRule type="containsText" dxfId="6496" priority="8364" operator="containsText" text="Sin Información">
      <formula>NOT(ISERROR(SEARCH("Sin Información",E653)))</formula>
    </cfRule>
  </conditionalFormatting>
  <conditionalFormatting sqref="C655:D655">
    <cfRule type="containsText" dxfId="6495" priority="8363" operator="containsText" text="NO+$D$4:$D$10">
      <formula>NOT(ISERROR(SEARCH("NO+$D$4:$D$10",C655)))</formula>
    </cfRule>
  </conditionalFormatting>
  <conditionalFormatting sqref="C655:D655">
    <cfRule type="containsText" dxfId="6494" priority="8361" operator="containsText" text="SI">
      <formula>NOT(ISERROR(SEARCH("SI",C655)))</formula>
    </cfRule>
    <cfRule type="containsText" dxfId="6493" priority="8362" operator="containsText" text="NO">
      <formula>NOT(ISERROR(SEARCH("NO",C655)))</formula>
    </cfRule>
  </conditionalFormatting>
  <conditionalFormatting sqref="C655:D655">
    <cfRule type="containsText" dxfId="6492" priority="8360" operator="containsText" text="NUEVO">
      <formula>NOT(ISERROR(SEARCH("NUEVO",C655)))</formula>
    </cfRule>
  </conditionalFormatting>
  <conditionalFormatting sqref="E655">
    <cfRule type="containsText" dxfId="6491" priority="8357" operator="containsText" text="NUEVO">
      <formula>NOT(ISERROR(SEARCH("NUEVO",E655)))</formula>
    </cfRule>
  </conditionalFormatting>
  <conditionalFormatting sqref="E655">
    <cfRule type="containsText" dxfId="6490" priority="8356" operator="containsText" text="Sin Información">
      <formula>NOT(ISERROR(SEARCH("Sin Información",E655)))</formula>
    </cfRule>
  </conditionalFormatting>
  <conditionalFormatting sqref="C656:D656">
    <cfRule type="containsText" dxfId="6489" priority="8355" operator="containsText" text="NO+$D$4:$D$10">
      <formula>NOT(ISERROR(SEARCH("NO+$D$4:$D$10",C656)))</formula>
    </cfRule>
  </conditionalFormatting>
  <conditionalFormatting sqref="C656:D656">
    <cfRule type="containsText" dxfId="6488" priority="8353" operator="containsText" text="SI">
      <formula>NOT(ISERROR(SEARCH("SI",C656)))</formula>
    </cfRule>
    <cfRule type="containsText" dxfId="6487" priority="8354" operator="containsText" text="NO">
      <formula>NOT(ISERROR(SEARCH("NO",C656)))</formula>
    </cfRule>
  </conditionalFormatting>
  <conditionalFormatting sqref="C656:D656">
    <cfRule type="containsText" dxfId="6486" priority="8352" operator="containsText" text="NUEVO">
      <formula>NOT(ISERROR(SEARCH("NUEVO",C656)))</formula>
    </cfRule>
  </conditionalFormatting>
  <conditionalFormatting sqref="E656">
    <cfRule type="containsText" dxfId="6485" priority="8349" operator="containsText" text="NUEVO">
      <formula>NOT(ISERROR(SEARCH("NUEVO",E656)))</formula>
    </cfRule>
  </conditionalFormatting>
  <conditionalFormatting sqref="E656">
    <cfRule type="containsText" dxfId="6484" priority="8348" operator="containsText" text="Sin Información">
      <formula>NOT(ISERROR(SEARCH("Sin Información",E656)))</formula>
    </cfRule>
  </conditionalFormatting>
  <conditionalFormatting sqref="C657:D657">
    <cfRule type="containsText" dxfId="6483" priority="8347" operator="containsText" text="NO+$D$4:$D$10">
      <formula>NOT(ISERROR(SEARCH("NO+$D$4:$D$10",C657)))</formula>
    </cfRule>
  </conditionalFormatting>
  <conditionalFormatting sqref="C657:D657">
    <cfRule type="containsText" dxfId="6482" priority="8345" operator="containsText" text="SI">
      <formula>NOT(ISERROR(SEARCH("SI",C657)))</formula>
    </cfRule>
    <cfRule type="containsText" dxfId="6481" priority="8346" operator="containsText" text="NO">
      <formula>NOT(ISERROR(SEARCH("NO",C657)))</formula>
    </cfRule>
  </conditionalFormatting>
  <conditionalFormatting sqref="C657:D657">
    <cfRule type="containsText" dxfId="6480" priority="8344" operator="containsText" text="NUEVO">
      <formula>NOT(ISERROR(SEARCH("NUEVO",C657)))</formula>
    </cfRule>
  </conditionalFormatting>
  <conditionalFormatting sqref="E657">
    <cfRule type="containsText" dxfId="6479" priority="8342" operator="containsText" text="Sin Información">
      <formula>NOT(ISERROR(SEARCH("Sin Información",E657)))</formula>
    </cfRule>
  </conditionalFormatting>
  <conditionalFormatting sqref="E657">
    <cfRule type="containsText" dxfId="6478" priority="8343" operator="containsText" text="NUEVO">
      <formula>NOT(ISERROR(SEARCH("NUEVO",E657)))</formula>
    </cfRule>
  </conditionalFormatting>
  <conditionalFormatting sqref="C658:D658">
    <cfRule type="containsText" dxfId="6477" priority="8341" operator="containsText" text="NO+$D$4:$D$10">
      <formula>NOT(ISERROR(SEARCH("NO+$D$4:$D$10",C658)))</formula>
    </cfRule>
  </conditionalFormatting>
  <conditionalFormatting sqref="C658:D658">
    <cfRule type="containsText" dxfId="6476" priority="8339" operator="containsText" text="SI">
      <formula>NOT(ISERROR(SEARCH("SI",C658)))</formula>
    </cfRule>
    <cfRule type="containsText" dxfId="6475" priority="8340" operator="containsText" text="NO">
      <formula>NOT(ISERROR(SEARCH("NO",C658)))</formula>
    </cfRule>
  </conditionalFormatting>
  <conditionalFormatting sqref="C658:D658">
    <cfRule type="containsText" dxfId="6474" priority="8338" operator="containsText" text="NUEVO">
      <formula>NOT(ISERROR(SEARCH("NUEVO",C658)))</formula>
    </cfRule>
  </conditionalFormatting>
  <conditionalFormatting sqref="E658">
    <cfRule type="containsText" dxfId="6473" priority="8336" operator="containsText" text="Sin Información">
      <formula>NOT(ISERROR(SEARCH("Sin Información",E658)))</formula>
    </cfRule>
  </conditionalFormatting>
  <conditionalFormatting sqref="E658">
    <cfRule type="containsText" dxfId="6472" priority="8337" operator="containsText" text="NUEVO">
      <formula>NOT(ISERROR(SEARCH("NUEVO",E658)))</formula>
    </cfRule>
  </conditionalFormatting>
  <conditionalFormatting sqref="C659:D659">
    <cfRule type="containsText" dxfId="6471" priority="8335" operator="containsText" text="NO+$D$4:$D$10">
      <formula>NOT(ISERROR(SEARCH("NO+$D$4:$D$10",C659)))</formula>
    </cfRule>
  </conditionalFormatting>
  <conditionalFormatting sqref="C659:D659">
    <cfRule type="containsText" dxfId="6470" priority="8333" operator="containsText" text="SI">
      <formula>NOT(ISERROR(SEARCH("SI",C659)))</formula>
    </cfRule>
    <cfRule type="containsText" dxfId="6469" priority="8334" operator="containsText" text="NO">
      <formula>NOT(ISERROR(SEARCH("NO",C659)))</formula>
    </cfRule>
  </conditionalFormatting>
  <conditionalFormatting sqref="C659:D659">
    <cfRule type="containsText" dxfId="6468" priority="8332" operator="containsText" text="NUEVO">
      <formula>NOT(ISERROR(SEARCH("NUEVO",C659)))</formula>
    </cfRule>
  </conditionalFormatting>
  <conditionalFormatting sqref="E659">
    <cfRule type="containsText" dxfId="6467" priority="8329" operator="containsText" text="Sin Información">
      <formula>NOT(ISERROR(SEARCH("Sin Información",E659)))</formula>
    </cfRule>
  </conditionalFormatting>
  <conditionalFormatting sqref="E659">
    <cfRule type="containsText" dxfId="6466" priority="8330" operator="containsText" text="NUEVO">
      <formula>NOT(ISERROR(SEARCH("NUEVO",E659)))</formula>
    </cfRule>
  </conditionalFormatting>
  <conditionalFormatting sqref="C661:D663">
    <cfRule type="containsText" dxfId="6465" priority="8323" operator="containsText" text="NO+$D$4:$D$10">
      <formula>NOT(ISERROR(SEARCH("NO+$D$4:$D$10",C661)))</formula>
    </cfRule>
  </conditionalFormatting>
  <conditionalFormatting sqref="C661:D663">
    <cfRule type="containsText" dxfId="6464" priority="8321" operator="containsText" text="SI">
      <formula>NOT(ISERROR(SEARCH("SI",C661)))</formula>
    </cfRule>
    <cfRule type="containsText" dxfId="6463" priority="8322" operator="containsText" text="NO">
      <formula>NOT(ISERROR(SEARCH("NO",C661)))</formula>
    </cfRule>
  </conditionalFormatting>
  <conditionalFormatting sqref="C661:D663 E661:E662">
    <cfRule type="containsText" dxfId="6462" priority="8320" operator="containsText" text="NUEVO">
      <formula>NOT(ISERROR(SEARCH("NUEVO",C661)))</formula>
    </cfRule>
  </conditionalFormatting>
  <conditionalFormatting sqref="E661:E662">
    <cfRule type="containsText" dxfId="6461" priority="8319" operator="containsText" text="Sin Información">
      <formula>NOT(ISERROR(SEARCH("Sin Información",E661)))</formula>
    </cfRule>
  </conditionalFormatting>
  <conditionalFormatting sqref="E663">
    <cfRule type="containsText" dxfId="6460" priority="8317" operator="containsText" text="Sin Información">
      <formula>NOT(ISERROR(SEARCH("Sin Información",E663)))</formula>
    </cfRule>
  </conditionalFormatting>
  <conditionalFormatting sqref="E663">
    <cfRule type="containsText" dxfId="6459" priority="8318" operator="containsText" text="NUEVO">
      <formula>NOT(ISERROR(SEARCH("NUEVO",E663)))</formula>
    </cfRule>
  </conditionalFormatting>
  <conditionalFormatting sqref="C531:D531">
    <cfRule type="containsText" dxfId="6458" priority="8311" operator="containsText" text="NO+$D$4:$D$10">
      <formula>NOT(ISERROR(SEARCH("NO+$D$4:$D$10",C531)))</formula>
    </cfRule>
  </conditionalFormatting>
  <conditionalFormatting sqref="C531:D531">
    <cfRule type="containsText" dxfId="6457" priority="8309" operator="containsText" text="SI">
      <formula>NOT(ISERROR(SEARCH("SI",C531)))</formula>
    </cfRule>
    <cfRule type="containsText" dxfId="6456" priority="8310" operator="containsText" text="NO">
      <formula>NOT(ISERROR(SEARCH("NO",C531)))</formula>
    </cfRule>
  </conditionalFormatting>
  <conditionalFormatting sqref="C531:E531">
    <cfRule type="containsText" dxfId="6455" priority="8308" operator="containsText" text="NUEVO">
      <formula>NOT(ISERROR(SEARCH("NUEVO",C531)))</formula>
    </cfRule>
  </conditionalFormatting>
  <conditionalFormatting sqref="E531">
    <cfRule type="containsText" dxfId="6454" priority="8307" operator="containsText" text="Sin Información">
      <formula>NOT(ISERROR(SEARCH("Sin Información",E531)))</formula>
    </cfRule>
  </conditionalFormatting>
  <conditionalFormatting sqref="C684:D684">
    <cfRule type="containsText" dxfId="6453" priority="8295" operator="containsText" text="NO+$D$4:$D$10">
      <formula>NOT(ISERROR(SEARCH("NO+$D$4:$D$10",C684)))</formula>
    </cfRule>
  </conditionalFormatting>
  <conditionalFormatting sqref="C684:D684">
    <cfRule type="containsText" dxfId="6452" priority="8293" operator="containsText" text="SI">
      <formula>NOT(ISERROR(SEARCH("SI",C684)))</formula>
    </cfRule>
    <cfRule type="containsText" dxfId="6451" priority="8294" operator="containsText" text="NO">
      <formula>NOT(ISERROR(SEARCH("NO",C684)))</formula>
    </cfRule>
  </conditionalFormatting>
  <conditionalFormatting sqref="C684:D684">
    <cfRule type="containsText" dxfId="6450" priority="8292" operator="containsText" text="NUEVO">
      <formula>NOT(ISERROR(SEARCH("NUEVO",C684)))</formula>
    </cfRule>
  </conditionalFormatting>
  <conditionalFormatting sqref="E684">
    <cfRule type="containsText" dxfId="6449" priority="8291" operator="containsText" text="NUEVO">
      <formula>NOT(ISERROR(SEARCH("NUEVO",E684)))</formula>
    </cfRule>
  </conditionalFormatting>
  <conditionalFormatting sqref="E684">
    <cfRule type="containsText" dxfId="6448" priority="8290" operator="containsText" text="Sin Información">
      <formula>NOT(ISERROR(SEARCH("Sin Información",E684)))</formula>
    </cfRule>
  </conditionalFormatting>
  <conditionalFormatting sqref="C685:D686">
    <cfRule type="containsText" dxfId="6447" priority="8289" operator="containsText" text="NO+$D$4:$D$10">
      <formula>NOT(ISERROR(SEARCH("NO+$D$4:$D$10",C685)))</formula>
    </cfRule>
  </conditionalFormatting>
  <conditionalFormatting sqref="C685:D686">
    <cfRule type="containsText" dxfId="6446" priority="8287" operator="containsText" text="SI">
      <formula>NOT(ISERROR(SEARCH("SI",C685)))</formula>
    </cfRule>
    <cfRule type="containsText" dxfId="6445" priority="8288" operator="containsText" text="NO">
      <formula>NOT(ISERROR(SEARCH("NO",C685)))</formula>
    </cfRule>
  </conditionalFormatting>
  <conditionalFormatting sqref="C685:D686">
    <cfRule type="containsText" dxfId="6444" priority="8286" operator="containsText" text="NUEVO">
      <formula>NOT(ISERROR(SEARCH("NUEVO",C685)))</formula>
    </cfRule>
  </conditionalFormatting>
  <conditionalFormatting sqref="E685:E686">
    <cfRule type="containsText" dxfId="6443" priority="8285" operator="containsText" text="NUEVO">
      <formula>NOT(ISERROR(SEARCH("NUEVO",E685)))</formula>
    </cfRule>
  </conditionalFormatting>
  <conditionalFormatting sqref="E685:E686">
    <cfRule type="containsText" dxfId="6442" priority="8284" operator="containsText" text="Sin Información">
      <formula>NOT(ISERROR(SEARCH("Sin Información",E685)))</formula>
    </cfRule>
  </conditionalFormatting>
  <conditionalFormatting sqref="C687:D687">
    <cfRule type="containsText" dxfId="6441" priority="8277" operator="containsText" text="NO+$D$4:$D$10">
      <formula>NOT(ISERROR(SEARCH("NO+$D$4:$D$10",C687)))</formula>
    </cfRule>
  </conditionalFormatting>
  <conditionalFormatting sqref="C687:D687">
    <cfRule type="containsText" dxfId="6440" priority="8275" operator="containsText" text="SI">
      <formula>NOT(ISERROR(SEARCH("SI",C687)))</formula>
    </cfRule>
    <cfRule type="containsText" dxfId="6439" priority="8276" operator="containsText" text="NO">
      <formula>NOT(ISERROR(SEARCH("NO",C687)))</formula>
    </cfRule>
  </conditionalFormatting>
  <conditionalFormatting sqref="C687:D687">
    <cfRule type="containsText" dxfId="6438" priority="8274" operator="containsText" text="NUEVO">
      <formula>NOT(ISERROR(SEARCH("NUEVO",C687)))</formula>
    </cfRule>
  </conditionalFormatting>
  <conditionalFormatting sqref="E687">
    <cfRule type="containsText" dxfId="6437" priority="8272" operator="containsText" text="Sin Información">
      <formula>NOT(ISERROR(SEARCH("Sin Información",E687)))</formula>
    </cfRule>
  </conditionalFormatting>
  <conditionalFormatting sqref="E687">
    <cfRule type="containsText" dxfId="6436" priority="8273" operator="containsText" text="NUEVO">
      <formula>NOT(ISERROR(SEARCH("NUEVO",E687)))</formula>
    </cfRule>
  </conditionalFormatting>
  <conditionalFormatting sqref="C688:D688">
    <cfRule type="containsText" dxfId="6435" priority="8271" operator="containsText" text="NO+$D$4:$D$10">
      <formula>NOT(ISERROR(SEARCH("NO+$D$4:$D$10",C688)))</formula>
    </cfRule>
  </conditionalFormatting>
  <conditionalFormatting sqref="C688:D688">
    <cfRule type="containsText" dxfId="6434" priority="8269" operator="containsText" text="SI">
      <formula>NOT(ISERROR(SEARCH("SI",C688)))</formula>
    </cfRule>
    <cfRule type="containsText" dxfId="6433" priority="8270" operator="containsText" text="NO">
      <formula>NOT(ISERROR(SEARCH("NO",C688)))</formula>
    </cfRule>
  </conditionalFormatting>
  <conditionalFormatting sqref="C688:D688">
    <cfRule type="containsText" dxfId="6432" priority="8268" operator="containsText" text="NUEVO">
      <formula>NOT(ISERROR(SEARCH("NUEVO",C688)))</formula>
    </cfRule>
  </conditionalFormatting>
  <conditionalFormatting sqref="E688">
    <cfRule type="containsText" dxfId="6431" priority="8267" operator="containsText" text="NUEVO">
      <formula>NOT(ISERROR(SEARCH("NUEVO",E688)))</formula>
    </cfRule>
  </conditionalFormatting>
  <conditionalFormatting sqref="E688">
    <cfRule type="containsText" dxfId="6430" priority="8266" operator="containsText" text="Sin Información">
      <formula>NOT(ISERROR(SEARCH("Sin Información",E688)))</formula>
    </cfRule>
  </conditionalFormatting>
  <conditionalFormatting sqref="C689:D689">
    <cfRule type="containsText" dxfId="6429" priority="8265" operator="containsText" text="NO+$D$4:$D$10">
      <formula>NOT(ISERROR(SEARCH("NO+$D$4:$D$10",C689)))</formula>
    </cfRule>
  </conditionalFormatting>
  <conditionalFormatting sqref="C689:D689">
    <cfRule type="containsText" dxfId="6428" priority="8263" operator="containsText" text="SI">
      <formula>NOT(ISERROR(SEARCH("SI",C689)))</formula>
    </cfRule>
    <cfRule type="containsText" dxfId="6427" priority="8264" operator="containsText" text="NO">
      <formula>NOT(ISERROR(SEARCH("NO",C689)))</formula>
    </cfRule>
  </conditionalFormatting>
  <conditionalFormatting sqref="C689:D689">
    <cfRule type="containsText" dxfId="6426" priority="8262" operator="containsText" text="NUEVO">
      <formula>NOT(ISERROR(SEARCH("NUEVO",C689)))</formula>
    </cfRule>
  </conditionalFormatting>
  <conditionalFormatting sqref="E689">
    <cfRule type="containsText" dxfId="6425" priority="8261" operator="containsText" text="NUEVO">
      <formula>NOT(ISERROR(SEARCH("NUEVO",E689)))</formula>
    </cfRule>
  </conditionalFormatting>
  <conditionalFormatting sqref="E689">
    <cfRule type="containsText" dxfId="6424" priority="8260" operator="containsText" text="Sin Información">
      <formula>NOT(ISERROR(SEARCH("Sin Información",E689)))</formula>
    </cfRule>
  </conditionalFormatting>
  <conditionalFormatting sqref="E690:E692">
    <cfRule type="containsText" dxfId="6423" priority="8255" operator="containsText" text="NUEVO">
      <formula>NOT(ISERROR(SEARCH("NUEVO",E690)))</formula>
    </cfRule>
  </conditionalFormatting>
  <conditionalFormatting sqref="E690:E692">
    <cfRule type="containsText" dxfId="6422" priority="8254" operator="containsText" text="Sin Información">
      <formula>NOT(ISERROR(SEARCH("Sin Información",E690)))</formula>
    </cfRule>
  </conditionalFormatting>
  <conditionalFormatting sqref="E693">
    <cfRule type="containsText" dxfId="6421" priority="8253" operator="containsText" text="NUEVO">
      <formula>NOT(ISERROR(SEARCH("NUEVO",E693)))</formula>
    </cfRule>
  </conditionalFormatting>
  <conditionalFormatting sqref="E693">
    <cfRule type="containsText" dxfId="6420" priority="8252" operator="containsText" text="Sin Información">
      <formula>NOT(ISERROR(SEARCH("Sin Información",E693)))</formula>
    </cfRule>
  </conditionalFormatting>
  <conditionalFormatting sqref="C694:D694">
    <cfRule type="containsText" dxfId="6419" priority="8251" operator="containsText" text="NO+$D$4:$D$10">
      <formula>NOT(ISERROR(SEARCH("NO+$D$4:$D$10",C694)))</formula>
    </cfRule>
  </conditionalFormatting>
  <conditionalFormatting sqref="C694:D694">
    <cfRule type="containsText" dxfId="6418" priority="8249" operator="containsText" text="SI">
      <formula>NOT(ISERROR(SEARCH("SI",C694)))</formula>
    </cfRule>
    <cfRule type="containsText" dxfId="6417" priority="8250" operator="containsText" text="NO">
      <formula>NOT(ISERROR(SEARCH("NO",C694)))</formula>
    </cfRule>
  </conditionalFormatting>
  <conditionalFormatting sqref="C694:D694">
    <cfRule type="containsText" dxfId="6416" priority="8248" operator="containsText" text="NUEVO">
      <formula>NOT(ISERROR(SEARCH("NUEVO",C694)))</formula>
    </cfRule>
  </conditionalFormatting>
  <conditionalFormatting sqref="E694">
    <cfRule type="containsText" dxfId="6415" priority="8247" operator="containsText" text="NUEVO">
      <formula>NOT(ISERROR(SEARCH("NUEVO",E694)))</formula>
    </cfRule>
  </conditionalFormatting>
  <conditionalFormatting sqref="E694">
    <cfRule type="containsText" dxfId="6414" priority="8246" operator="containsText" text="Sin Información">
      <formula>NOT(ISERROR(SEARCH("Sin Información",E694)))</formula>
    </cfRule>
  </conditionalFormatting>
  <conditionalFormatting sqref="C695:D697">
    <cfRule type="containsText" dxfId="6413" priority="8245" operator="containsText" text="NO+$D$4:$D$10">
      <formula>NOT(ISERROR(SEARCH("NO+$D$4:$D$10",C695)))</formula>
    </cfRule>
  </conditionalFormatting>
  <conditionalFormatting sqref="C695:D697">
    <cfRule type="containsText" dxfId="6412" priority="8243" operator="containsText" text="SI">
      <formula>NOT(ISERROR(SEARCH("SI",C695)))</formula>
    </cfRule>
    <cfRule type="containsText" dxfId="6411" priority="8244" operator="containsText" text="NO">
      <formula>NOT(ISERROR(SEARCH("NO",C695)))</formula>
    </cfRule>
  </conditionalFormatting>
  <conditionalFormatting sqref="C695:D697">
    <cfRule type="containsText" dxfId="6410" priority="8242" operator="containsText" text="NUEVO">
      <formula>NOT(ISERROR(SEARCH("NUEVO",C695)))</formula>
    </cfRule>
  </conditionalFormatting>
  <conditionalFormatting sqref="E695:E697">
    <cfRule type="containsText" dxfId="6409" priority="8241" operator="containsText" text="NUEVO">
      <formula>NOT(ISERROR(SEARCH("NUEVO",E695)))</formula>
    </cfRule>
  </conditionalFormatting>
  <conditionalFormatting sqref="E695:E697">
    <cfRule type="containsText" dxfId="6408" priority="8240" operator="containsText" text="Sin Información">
      <formula>NOT(ISERROR(SEARCH("Sin Información",E695)))</formula>
    </cfRule>
  </conditionalFormatting>
  <conditionalFormatting sqref="C698:D698">
    <cfRule type="containsText" dxfId="6407" priority="8233" operator="containsText" text="NO+$D$4:$D$10">
      <formula>NOT(ISERROR(SEARCH("NO+$D$4:$D$10",C698)))</formula>
    </cfRule>
  </conditionalFormatting>
  <conditionalFormatting sqref="C698:D698">
    <cfRule type="containsText" dxfId="6406" priority="8231" operator="containsText" text="SI">
      <formula>NOT(ISERROR(SEARCH("SI",C698)))</formula>
    </cfRule>
    <cfRule type="containsText" dxfId="6405" priority="8232" operator="containsText" text="NO">
      <formula>NOT(ISERROR(SEARCH("NO",C698)))</formula>
    </cfRule>
  </conditionalFormatting>
  <conditionalFormatting sqref="C698:E698">
    <cfRule type="containsText" dxfId="6404" priority="8230" operator="containsText" text="NUEVO">
      <formula>NOT(ISERROR(SEARCH("NUEVO",C698)))</formula>
    </cfRule>
  </conditionalFormatting>
  <conditionalFormatting sqref="E698">
    <cfRule type="containsText" dxfId="6403" priority="8229" operator="containsText" text="Sin Información">
      <formula>NOT(ISERROR(SEARCH("Sin Información",E698)))</formula>
    </cfRule>
  </conditionalFormatting>
  <conditionalFormatting sqref="C699:D699">
    <cfRule type="containsText" dxfId="6402" priority="8207" operator="containsText" text="NO+$D$4:$D$10">
      <formula>NOT(ISERROR(SEARCH("NO+$D$4:$D$10",C699)))</formula>
    </cfRule>
  </conditionalFormatting>
  <conditionalFormatting sqref="C699:D699">
    <cfRule type="containsText" dxfId="6401" priority="8205" operator="containsText" text="SI">
      <formula>NOT(ISERROR(SEARCH("SI",C699)))</formula>
    </cfRule>
    <cfRule type="containsText" dxfId="6400" priority="8206" operator="containsText" text="NO">
      <formula>NOT(ISERROR(SEARCH("NO",C699)))</formula>
    </cfRule>
  </conditionalFormatting>
  <conditionalFormatting sqref="C699:D699">
    <cfRule type="containsText" dxfId="6399" priority="8204" operator="containsText" text="NUEVO">
      <formula>NOT(ISERROR(SEARCH("NUEVO",C699)))</formula>
    </cfRule>
  </conditionalFormatting>
  <conditionalFormatting sqref="E699">
    <cfRule type="containsText" dxfId="6398" priority="8203" operator="containsText" text="NUEVO">
      <formula>NOT(ISERROR(SEARCH("NUEVO",E699)))</formula>
    </cfRule>
  </conditionalFormatting>
  <conditionalFormatting sqref="E699">
    <cfRule type="containsText" dxfId="6397" priority="8202" operator="containsText" text="Sin Información">
      <formula>NOT(ISERROR(SEARCH("Sin Información",E699)))</formula>
    </cfRule>
  </conditionalFormatting>
  <conditionalFormatting sqref="C700:D700">
    <cfRule type="containsText" dxfId="6396" priority="8201" operator="containsText" text="NO+$D$4:$D$10">
      <formula>NOT(ISERROR(SEARCH("NO+$D$4:$D$10",C700)))</formula>
    </cfRule>
  </conditionalFormatting>
  <conditionalFormatting sqref="C700:D700">
    <cfRule type="containsText" dxfId="6395" priority="8199" operator="containsText" text="SI">
      <formula>NOT(ISERROR(SEARCH("SI",C700)))</formula>
    </cfRule>
    <cfRule type="containsText" dxfId="6394" priority="8200" operator="containsText" text="NO">
      <formula>NOT(ISERROR(SEARCH("NO",C700)))</formula>
    </cfRule>
  </conditionalFormatting>
  <conditionalFormatting sqref="C700:D700">
    <cfRule type="containsText" dxfId="6393" priority="8198" operator="containsText" text="NUEVO">
      <formula>NOT(ISERROR(SEARCH("NUEVO",C700)))</formula>
    </cfRule>
  </conditionalFormatting>
  <conditionalFormatting sqref="E700">
    <cfRule type="containsText" dxfId="6392" priority="8196" operator="containsText" text="NUEVO">
      <formula>NOT(ISERROR(SEARCH("NUEVO",E700)))</formula>
    </cfRule>
  </conditionalFormatting>
  <conditionalFormatting sqref="E700">
    <cfRule type="containsText" dxfId="6391" priority="8195" operator="containsText" text="Sin Información">
      <formula>NOT(ISERROR(SEARCH("Sin Información",E700)))</formula>
    </cfRule>
  </conditionalFormatting>
  <conditionalFormatting sqref="C701:D701">
    <cfRule type="containsText" dxfId="6390" priority="8176" operator="containsText" text="NO+$D$4:$D$10">
      <formula>NOT(ISERROR(SEARCH("NO+$D$4:$D$10",C701)))</formula>
    </cfRule>
  </conditionalFormatting>
  <conditionalFormatting sqref="C701:D701">
    <cfRule type="containsText" dxfId="6389" priority="8174" operator="containsText" text="SI">
      <formula>NOT(ISERROR(SEARCH("SI",C701)))</formula>
    </cfRule>
    <cfRule type="containsText" dxfId="6388" priority="8175" operator="containsText" text="NO">
      <formula>NOT(ISERROR(SEARCH("NO",C701)))</formula>
    </cfRule>
  </conditionalFormatting>
  <conditionalFormatting sqref="C701:E701">
    <cfRule type="containsText" dxfId="6387" priority="8173" operator="containsText" text="NUEVO">
      <formula>NOT(ISERROR(SEARCH("NUEVO",C701)))</formula>
    </cfRule>
  </conditionalFormatting>
  <conditionalFormatting sqref="E701">
    <cfRule type="containsText" dxfId="6386" priority="8172" operator="containsText" text="Sin Información">
      <formula>NOT(ISERROR(SEARCH("Sin Información",E701)))</formula>
    </cfRule>
  </conditionalFormatting>
  <conditionalFormatting sqref="C702:D702">
    <cfRule type="containsText" dxfId="6385" priority="8165" operator="containsText" text="NO+$D$4:$D$10">
      <formula>NOT(ISERROR(SEARCH("NO+$D$4:$D$10",C702)))</formula>
    </cfRule>
  </conditionalFormatting>
  <conditionalFormatting sqref="C702:D702">
    <cfRule type="containsText" dxfId="6384" priority="8163" operator="containsText" text="SI">
      <formula>NOT(ISERROR(SEARCH("SI",C702)))</formula>
    </cfRule>
    <cfRule type="containsText" dxfId="6383" priority="8164" operator="containsText" text="NO">
      <formula>NOT(ISERROR(SEARCH("NO",C702)))</formula>
    </cfRule>
  </conditionalFormatting>
  <conditionalFormatting sqref="C702:D702">
    <cfRule type="containsText" dxfId="6382" priority="8162" operator="containsText" text="NUEVO">
      <formula>NOT(ISERROR(SEARCH("NUEVO",C702)))</formula>
    </cfRule>
  </conditionalFormatting>
  <conditionalFormatting sqref="E702">
    <cfRule type="containsText" dxfId="6381" priority="8161" operator="containsText" text="NUEVO">
      <formula>NOT(ISERROR(SEARCH("NUEVO",E702)))</formula>
    </cfRule>
  </conditionalFormatting>
  <conditionalFormatting sqref="E702">
    <cfRule type="containsText" dxfId="6380" priority="8160" operator="containsText" text="Sin Información">
      <formula>NOT(ISERROR(SEARCH("Sin Información",E702)))</formula>
    </cfRule>
  </conditionalFormatting>
  <conditionalFormatting sqref="C703:D703">
    <cfRule type="containsText" dxfId="6379" priority="8159" operator="containsText" text="NO+$D$4:$D$10">
      <formula>NOT(ISERROR(SEARCH("NO+$D$4:$D$10",C703)))</formula>
    </cfRule>
  </conditionalFormatting>
  <conditionalFormatting sqref="C703:D703">
    <cfRule type="containsText" dxfId="6378" priority="8157" operator="containsText" text="SI">
      <formula>NOT(ISERROR(SEARCH("SI",C703)))</formula>
    </cfRule>
    <cfRule type="containsText" dxfId="6377" priority="8158" operator="containsText" text="NO">
      <formula>NOT(ISERROR(SEARCH("NO",C703)))</formula>
    </cfRule>
  </conditionalFormatting>
  <conditionalFormatting sqref="C703:E703">
    <cfRule type="containsText" dxfId="6376" priority="8156" operator="containsText" text="NUEVO">
      <formula>NOT(ISERROR(SEARCH("NUEVO",C703)))</formula>
    </cfRule>
  </conditionalFormatting>
  <conditionalFormatting sqref="E703">
    <cfRule type="containsText" dxfId="6375" priority="8155" operator="containsText" text="Sin Información">
      <formula>NOT(ISERROR(SEARCH("Sin Información",E703)))</formula>
    </cfRule>
  </conditionalFormatting>
  <conditionalFormatting sqref="C704:D704">
    <cfRule type="containsText" dxfId="6374" priority="8154" operator="containsText" text="NO+$D$4:$D$10">
      <formula>NOT(ISERROR(SEARCH("NO+$D$4:$D$10",C704)))</formula>
    </cfRule>
  </conditionalFormatting>
  <conditionalFormatting sqref="C704:D704">
    <cfRule type="containsText" dxfId="6373" priority="8152" operator="containsText" text="SI">
      <formula>NOT(ISERROR(SEARCH("SI",C704)))</formula>
    </cfRule>
    <cfRule type="containsText" dxfId="6372" priority="8153" operator="containsText" text="NO">
      <formula>NOT(ISERROR(SEARCH("NO",C704)))</formula>
    </cfRule>
  </conditionalFormatting>
  <conditionalFormatting sqref="C704:D704">
    <cfRule type="containsText" dxfId="6371" priority="8151" operator="containsText" text="NUEVO">
      <formula>NOT(ISERROR(SEARCH("NUEVO",C704)))</formula>
    </cfRule>
  </conditionalFormatting>
  <conditionalFormatting sqref="E704">
    <cfRule type="containsText" dxfId="6370" priority="8150" operator="containsText" text="NUEVO">
      <formula>NOT(ISERROR(SEARCH("NUEVO",E704)))</formula>
    </cfRule>
  </conditionalFormatting>
  <conditionalFormatting sqref="E704">
    <cfRule type="containsText" dxfId="6369" priority="8149" operator="containsText" text="Sin Información">
      <formula>NOT(ISERROR(SEARCH("Sin Información",E704)))</formula>
    </cfRule>
  </conditionalFormatting>
  <conditionalFormatting sqref="C705:D705">
    <cfRule type="containsText" dxfId="6368" priority="8148" operator="containsText" text="NO+$D$4:$D$10">
      <formula>NOT(ISERROR(SEARCH("NO+$D$4:$D$10",C705)))</formula>
    </cfRule>
  </conditionalFormatting>
  <conditionalFormatting sqref="C705:D705">
    <cfRule type="containsText" dxfId="6367" priority="8146" operator="containsText" text="SI">
      <formula>NOT(ISERROR(SEARCH("SI",C705)))</formula>
    </cfRule>
    <cfRule type="containsText" dxfId="6366" priority="8147" operator="containsText" text="NO">
      <formula>NOT(ISERROR(SEARCH("NO",C705)))</formula>
    </cfRule>
  </conditionalFormatting>
  <conditionalFormatting sqref="C705:D705">
    <cfRule type="containsText" dxfId="6365" priority="8145" operator="containsText" text="NUEVO">
      <formula>NOT(ISERROR(SEARCH("NUEVO",C705)))</formula>
    </cfRule>
  </conditionalFormatting>
  <conditionalFormatting sqref="E705">
    <cfRule type="containsText" dxfId="6364" priority="8144" operator="containsText" text="NUEVO">
      <formula>NOT(ISERROR(SEARCH("NUEVO",E705)))</formula>
    </cfRule>
  </conditionalFormatting>
  <conditionalFormatting sqref="E705">
    <cfRule type="containsText" dxfId="6363" priority="8143" operator="containsText" text="Sin Información">
      <formula>NOT(ISERROR(SEARCH("Sin Información",E705)))</formula>
    </cfRule>
  </conditionalFormatting>
  <conditionalFormatting sqref="E711">
    <cfRule type="containsText" dxfId="6362" priority="8133" operator="containsText" text="NUEVO">
      <formula>NOT(ISERROR(SEARCH("NUEVO",E711)))</formula>
    </cfRule>
  </conditionalFormatting>
  <conditionalFormatting sqref="E711">
    <cfRule type="containsText" dxfId="6361" priority="8132" operator="containsText" text="Sin Información">
      <formula>NOT(ISERROR(SEARCH("Sin Información",E711)))</formula>
    </cfRule>
  </conditionalFormatting>
  <conditionalFormatting sqref="E706:E708">
    <cfRule type="containsText" dxfId="6360" priority="8131" operator="containsText" text="NUEVO">
      <formula>NOT(ISERROR(SEARCH("NUEVO",E706)))</formula>
    </cfRule>
  </conditionalFormatting>
  <conditionalFormatting sqref="E706:E708">
    <cfRule type="containsText" dxfId="6359" priority="8130" operator="containsText" text="Sin Información">
      <formula>NOT(ISERROR(SEARCH("Sin Información",E706)))</formula>
    </cfRule>
  </conditionalFormatting>
  <conditionalFormatting sqref="E709">
    <cfRule type="containsText" dxfId="6358" priority="8127" operator="containsText" text="NUEVO">
      <formula>NOT(ISERROR(SEARCH("NUEVO",E709)))</formula>
    </cfRule>
  </conditionalFormatting>
  <conditionalFormatting sqref="E709">
    <cfRule type="containsText" dxfId="6357" priority="8126" operator="containsText" text="Sin Información">
      <formula>NOT(ISERROR(SEARCH("Sin Información",E709)))</formula>
    </cfRule>
  </conditionalFormatting>
  <conditionalFormatting sqref="E710">
    <cfRule type="containsText" dxfId="6356" priority="8125" operator="containsText" text="NUEVO">
      <formula>NOT(ISERROR(SEARCH("NUEVO",E710)))</formula>
    </cfRule>
  </conditionalFormatting>
  <conditionalFormatting sqref="E710">
    <cfRule type="containsText" dxfId="6355" priority="8124" operator="containsText" text="Sin Información">
      <formula>NOT(ISERROR(SEARCH("Sin Información",E710)))</formula>
    </cfRule>
  </conditionalFormatting>
  <conditionalFormatting sqref="C712:D712">
    <cfRule type="containsText" dxfId="6354" priority="8123" operator="containsText" text="NO+$D$4:$D$10">
      <formula>NOT(ISERROR(SEARCH("NO+$D$4:$D$10",C712)))</formula>
    </cfRule>
  </conditionalFormatting>
  <conditionalFormatting sqref="C712:D712">
    <cfRule type="containsText" dxfId="6353" priority="8121" operator="containsText" text="SI">
      <formula>NOT(ISERROR(SEARCH("SI",C712)))</formula>
    </cfRule>
    <cfRule type="containsText" dxfId="6352" priority="8122" operator="containsText" text="NO">
      <formula>NOT(ISERROR(SEARCH("NO",C712)))</formula>
    </cfRule>
  </conditionalFormatting>
  <conditionalFormatting sqref="C712:E712">
    <cfRule type="containsText" dxfId="6351" priority="8120" operator="containsText" text="NUEVO">
      <formula>NOT(ISERROR(SEARCH("NUEVO",C712)))</formula>
    </cfRule>
  </conditionalFormatting>
  <conditionalFormatting sqref="E712">
    <cfRule type="containsText" dxfId="6350" priority="8119" operator="containsText" text="Sin Información">
      <formula>NOT(ISERROR(SEARCH("Sin Información",E712)))</formula>
    </cfRule>
  </conditionalFormatting>
  <conditionalFormatting sqref="C713:D713">
    <cfRule type="containsText" dxfId="6349" priority="8118" operator="containsText" text="NO+$D$4:$D$10">
      <formula>NOT(ISERROR(SEARCH("NO+$D$4:$D$10",C713)))</formula>
    </cfRule>
  </conditionalFormatting>
  <conditionalFormatting sqref="C713:D713">
    <cfRule type="containsText" dxfId="6348" priority="8116" operator="containsText" text="SI">
      <formula>NOT(ISERROR(SEARCH("SI",C713)))</formula>
    </cfRule>
    <cfRule type="containsText" dxfId="6347" priority="8117" operator="containsText" text="NO">
      <formula>NOT(ISERROR(SEARCH("NO",C713)))</formula>
    </cfRule>
  </conditionalFormatting>
  <conditionalFormatting sqref="C713:D713">
    <cfRule type="containsText" dxfId="6346" priority="8115" operator="containsText" text="NUEVO">
      <formula>NOT(ISERROR(SEARCH("NUEVO",C713)))</formula>
    </cfRule>
  </conditionalFormatting>
  <conditionalFormatting sqref="E713">
    <cfRule type="containsText" dxfId="6345" priority="8114" operator="containsText" text="NUEVO">
      <formula>NOT(ISERROR(SEARCH("NUEVO",E713)))</formula>
    </cfRule>
  </conditionalFormatting>
  <conditionalFormatting sqref="E713">
    <cfRule type="containsText" dxfId="6344" priority="8113" operator="containsText" text="Sin Información">
      <formula>NOT(ISERROR(SEARCH("Sin Información",E713)))</formula>
    </cfRule>
  </conditionalFormatting>
  <conditionalFormatting sqref="C714:D714">
    <cfRule type="containsText" dxfId="6343" priority="8112" operator="containsText" text="NO+$D$4:$D$10">
      <formula>NOT(ISERROR(SEARCH("NO+$D$4:$D$10",C714)))</formula>
    </cfRule>
  </conditionalFormatting>
  <conditionalFormatting sqref="C714:D714">
    <cfRule type="containsText" dxfId="6342" priority="8110" operator="containsText" text="SI">
      <formula>NOT(ISERROR(SEARCH("SI",C714)))</formula>
    </cfRule>
    <cfRule type="containsText" dxfId="6341" priority="8111" operator="containsText" text="NO">
      <formula>NOT(ISERROR(SEARCH("NO",C714)))</formula>
    </cfRule>
  </conditionalFormatting>
  <conditionalFormatting sqref="C714:D714">
    <cfRule type="containsText" dxfId="6340" priority="8109" operator="containsText" text="NUEVO">
      <formula>NOT(ISERROR(SEARCH("NUEVO",C714)))</formula>
    </cfRule>
  </conditionalFormatting>
  <conditionalFormatting sqref="E714">
    <cfRule type="containsText" dxfId="6339" priority="8107" operator="containsText" text="Sin Información">
      <formula>NOT(ISERROR(SEARCH("Sin Información",E714)))</formula>
    </cfRule>
  </conditionalFormatting>
  <conditionalFormatting sqref="E714">
    <cfRule type="containsText" dxfId="6338" priority="8108" operator="containsText" text="NUEVO">
      <formula>NOT(ISERROR(SEARCH("NUEVO",E714)))</formula>
    </cfRule>
  </conditionalFormatting>
  <conditionalFormatting sqref="C715:D717">
    <cfRule type="containsText" dxfId="6337" priority="8106" operator="containsText" text="NO+$D$4:$D$10">
      <formula>NOT(ISERROR(SEARCH("NO+$D$4:$D$10",C715)))</formula>
    </cfRule>
  </conditionalFormatting>
  <conditionalFormatting sqref="C715:D717">
    <cfRule type="containsText" dxfId="6336" priority="8104" operator="containsText" text="SI">
      <formula>NOT(ISERROR(SEARCH("SI",C715)))</formula>
    </cfRule>
    <cfRule type="containsText" dxfId="6335" priority="8105" operator="containsText" text="NO">
      <formula>NOT(ISERROR(SEARCH("NO",C715)))</formula>
    </cfRule>
  </conditionalFormatting>
  <conditionalFormatting sqref="C715:D717">
    <cfRule type="containsText" dxfId="6334" priority="8103" operator="containsText" text="NUEVO">
      <formula>NOT(ISERROR(SEARCH("NUEVO",C715)))</formula>
    </cfRule>
  </conditionalFormatting>
  <conditionalFormatting sqref="E715:E717">
    <cfRule type="containsText" dxfId="6333" priority="8101" operator="containsText" text="Sin Información">
      <formula>NOT(ISERROR(SEARCH("Sin Información",E715)))</formula>
    </cfRule>
  </conditionalFormatting>
  <conditionalFormatting sqref="E715:E717">
    <cfRule type="containsText" dxfId="6332" priority="8102" operator="containsText" text="NUEVO">
      <formula>NOT(ISERROR(SEARCH("NUEVO",E715)))</formula>
    </cfRule>
  </conditionalFormatting>
  <conditionalFormatting sqref="C296:D296">
    <cfRule type="containsText" dxfId="6331" priority="8094" operator="containsText" text="NO+$D$4:$D$10">
      <formula>NOT(ISERROR(SEARCH("NO+$D$4:$D$10",C296)))</formula>
    </cfRule>
  </conditionalFormatting>
  <conditionalFormatting sqref="C296:D296">
    <cfRule type="containsText" dxfId="6330" priority="8092" operator="containsText" text="SI">
      <formula>NOT(ISERROR(SEARCH("SI",C296)))</formula>
    </cfRule>
    <cfRule type="containsText" dxfId="6329" priority="8093" operator="containsText" text="NO">
      <formula>NOT(ISERROR(SEARCH("NO",C296)))</formula>
    </cfRule>
  </conditionalFormatting>
  <conditionalFormatting sqref="C296:D296">
    <cfRule type="containsText" dxfId="6328" priority="8091" operator="containsText" text="NUEVO">
      <formula>NOT(ISERROR(SEARCH("NUEVO",C296)))</formula>
    </cfRule>
  </conditionalFormatting>
  <conditionalFormatting sqref="E296">
    <cfRule type="containsText" dxfId="6327" priority="8089" operator="containsText" text="NUEVO">
      <formula>NOT(ISERROR(SEARCH("NUEVO",E296)))</formula>
    </cfRule>
  </conditionalFormatting>
  <conditionalFormatting sqref="E296">
    <cfRule type="containsText" dxfId="6326" priority="8090" operator="containsText" text="Sin información">
      <formula>NOT(ISERROR(SEARCH("Sin información",E296)))</formula>
    </cfRule>
  </conditionalFormatting>
  <conditionalFormatting sqref="C816:D816">
    <cfRule type="containsText" dxfId="6325" priority="8070" operator="containsText" text="NO+$D$4:$D$10">
      <formula>NOT(ISERROR(SEARCH("NO+$D$4:$D$10",C816)))</formula>
    </cfRule>
  </conditionalFormatting>
  <conditionalFormatting sqref="C816:D816">
    <cfRule type="containsText" dxfId="6324" priority="8068" operator="containsText" text="SI">
      <formula>NOT(ISERROR(SEARCH("SI",C816)))</formula>
    </cfRule>
    <cfRule type="containsText" dxfId="6323" priority="8069" operator="containsText" text="NO">
      <formula>NOT(ISERROR(SEARCH("NO",C816)))</formula>
    </cfRule>
  </conditionalFormatting>
  <conditionalFormatting sqref="C816:D816">
    <cfRule type="containsText" dxfId="6322" priority="8067" operator="containsText" text="NUEVO">
      <formula>NOT(ISERROR(SEARCH("NUEVO",C816)))</formula>
    </cfRule>
  </conditionalFormatting>
  <conditionalFormatting sqref="E816">
    <cfRule type="containsText" dxfId="6321" priority="8066" operator="containsText" text="NUEVO">
      <formula>NOT(ISERROR(SEARCH("NUEVO",E816)))</formula>
    </cfRule>
  </conditionalFormatting>
  <conditionalFormatting sqref="E816">
    <cfRule type="containsText" dxfId="6320" priority="8065" operator="containsText" text="Sin Información">
      <formula>NOT(ISERROR(SEARCH("Sin Información",E816)))</formula>
    </cfRule>
  </conditionalFormatting>
  <conditionalFormatting sqref="C817:D817">
    <cfRule type="containsText" dxfId="6319" priority="8062" operator="containsText" text="NO+$D$4:$D$10">
      <formula>NOT(ISERROR(SEARCH("NO+$D$4:$D$10",C817)))</formula>
    </cfRule>
  </conditionalFormatting>
  <conditionalFormatting sqref="C817:D817">
    <cfRule type="containsText" dxfId="6318" priority="8060" operator="containsText" text="SI">
      <formula>NOT(ISERROR(SEARCH("SI",C817)))</formula>
    </cfRule>
    <cfRule type="containsText" dxfId="6317" priority="8061" operator="containsText" text="NO">
      <formula>NOT(ISERROR(SEARCH("NO",C817)))</formula>
    </cfRule>
  </conditionalFormatting>
  <conditionalFormatting sqref="C817:D817">
    <cfRule type="containsText" dxfId="6316" priority="8059" operator="containsText" text="NUEVO">
      <formula>NOT(ISERROR(SEARCH("NUEVO",C817)))</formula>
    </cfRule>
  </conditionalFormatting>
  <conditionalFormatting sqref="F817">
    <cfRule type="containsText" dxfId="6315" priority="8058" operator="containsText" text="NO+$D$4:$D$10">
      <formula>NOT(ISERROR(SEARCH("NO+$D$4:$D$10",F817)))</formula>
    </cfRule>
  </conditionalFormatting>
  <conditionalFormatting sqref="F817">
    <cfRule type="containsText" dxfId="6314" priority="8056" operator="containsText" text="SI">
      <formula>NOT(ISERROR(SEARCH("SI",F817)))</formula>
    </cfRule>
    <cfRule type="containsText" dxfId="6313" priority="8057" operator="containsText" text="NO">
      <formula>NOT(ISERROR(SEARCH("NO",F817)))</formula>
    </cfRule>
  </conditionalFormatting>
  <conditionalFormatting sqref="F817">
    <cfRule type="containsText" dxfId="6312" priority="8055" operator="containsText" text="NUEVO">
      <formula>NOT(ISERROR(SEARCH("NUEVO",F817)))</formula>
    </cfRule>
  </conditionalFormatting>
  <conditionalFormatting sqref="C821:D821">
    <cfRule type="containsText" dxfId="6311" priority="8034" operator="containsText" text="NO+$D$4:$D$10">
      <formula>NOT(ISERROR(SEARCH("NO+$D$4:$D$10",C821)))</formula>
    </cfRule>
  </conditionalFormatting>
  <conditionalFormatting sqref="C821:D821">
    <cfRule type="containsText" dxfId="6310" priority="8032" operator="containsText" text="SI">
      <formula>NOT(ISERROR(SEARCH("SI",C821)))</formula>
    </cfRule>
    <cfRule type="containsText" dxfId="6309" priority="8033" operator="containsText" text="NO">
      <formula>NOT(ISERROR(SEARCH("NO",C821)))</formula>
    </cfRule>
  </conditionalFormatting>
  <conditionalFormatting sqref="C821:D821">
    <cfRule type="containsText" dxfId="6308" priority="8031" operator="containsText" text="NUEVO">
      <formula>NOT(ISERROR(SEARCH("NUEVO",C821)))</formula>
    </cfRule>
  </conditionalFormatting>
  <conditionalFormatting sqref="E821">
    <cfRule type="containsText" dxfId="6307" priority="8030" operator="containsText" text="Sin información">
      <formula>NOT(ISERROR(SEARCH("Sin información",E821)))</formula>
    </cfRule>
  </conditionalFormatting>
  <conditionalFormatting sqref="E821">
    <cfRule type="containsText" dxfId="6306" priority="8029" operator="containsText" text="NUEVO">
      <formula>NOT(ISERROR(SEARCH("NUEVO",E821)))</formula>
    </cfRule>
  </conditionalFormatting>
  <conditionalFormatting sqref="F821">
    <cfRule type="containsText" dxfId="6305" priority="8028" operator="containsText" text="NO+$D$4:$D$10">
      <formula>NOT(ISERROR(SEARCH("NO+$D$4:$D$10",F821)))</formula>
    </cfRule>
  </conditionalFormatting>
  <conditionalFormatting sqref="F821">
    <cfRule type="containsText" dxfId="6304" priority="8026" operator="containsText" text="SI">
      <formula>NOT(ISERROR(SEARCH("SI",F821)))</formula>
    </cfRule>
    <cfRule type="containsText" dxfId="6303" priority="8027" operator="containsText" text="NO">
      <formula>NOT(ISERROR(SEARCH("NO",F821)))</formula>
    </cfRule>
  </conditionalFormatting>
  <conditionalFormatting sqref="F821">
    <cfRule type="containsText" dxfId="6302" priority="8025" operator="containsText" text="NUEVO">
      <formula>NOT(ISERROR(SEARCH("NUEVO",F821)))</formula>
    </cfRule>
  </conditionalFormatting>
  <conditionalFormatting sqref="C822:D822">
    <cfRule type="containsText" dxfId="6301" priority="8008" operator="containsText" text="NO+$D$4:$D$10">
      <formula>NOT(ISERROR(SEARCH("NO+$D$4:$D$10",C822)))</formula>
    </cfRule>
  </conditionalFormatting>
  <conditionalFormatting sqref="C822:D822">
    <cfRule type="containsText" dxfId="6300" priority="8006" operator="containsText" text="SI">
      <formula>NOT(ISERROR(SEARCH("SI",C822)))</formula>
    </cfRule>
    <cfRule type="containsText" dxfId="6299" priority="8007" operator="containsText" text="NO">
      <formula>NOT(ISERROR(SEARCH("NO",C822)))</formula>
    </cfRule>
  </conditionalFormatting>
  <conditionalFormatting sqref="C822:D822">
    <cfRule type="containsText" dxfId="6298" priority="8005" operator="containsText" text="NUEVO">
      <formula>NOT(ISERROR(SEARCH("NUEVO",C822)))</formula>
    </cfRule>
  </conditionalFormatting>
  <conditionalFormatting sqref="E822">
    <cfRule type="containsText" dxfId="6297" priority="8003" operator="containsText" text="Sin Información">
      <formula>NOT(ISERROR(SEARCH("Sin Información",E822)))</formula>
    </cfRule>
  </conditionalFormatting>
  <conditionalFormatting sqref="E822">
    <cfRule type="containsText" dxfId="6296" priority="8004" operator="containsText" text="NUEVO">
      <formula>NOT(ISERROR(SEARCH("NUEVO",E822)))</formula>
    </cfRule>
  </conditionalFormatting>
  <conditionalFormatting sqref="C823:D823">
    <cfRule type="containsText" dxfId="6295" priority="7996" operator="containsText" text="NO+$D$4:$D$10">
      <formula>NOT(ISERROR(SEARCH("NO+$D$4:$D$10",C823)))</formula>
    </cfRule>
  </conditionalFormatting>
  <conditionalFormatting sqref="C823:D823">
    <cfRule type="containsText" dxfId="6294" priority="7994" operator="containsText" text="SI">
      <formula>NOT(ISERROR(SEARCH("SI",C823)))</formula>
    </cfRule>
    <cfRule type="containsText" dxfId="6293" priority="7995" operator="containsText" text="NO">
      <formula>NOT(ISERROR(SEARCH("NO",C823)))</formula>
    </cfRule>
  </conditionalFormatting>
  <conditionalFormatting sqref="C823:D823">
    <cfRule type="containsText" dxfId="6292" priority="7993" operator="containsText" text="NUEVO">
      <formula>NOT(ISERROR(SEARCH("NUEVO",C823)))</formula>
    </cfRule>
  </conditionalFormatting>
  <conditionalFormatting sqref="E823">
    <cfRule type="containsText" dxfId="6291" priority="7992" operator="containsText" text="NUEVO">
      <formula>NOT(ISERROR(SEARCH("NUEVO",E823)))</formula>
    </cfRule>
  </conditionalFormatting>
  <conditionalFormatting sqref="E823">
    <cfRule type="containsText" dxfId="6290" priority="7991" operator="containsText" text="Sin Información">
      <formula>NOT(ISERROR(SEARCH("Sin Información",E823)))</formula>
    </cfRule>
  </conditionalFormatting>
  <conditionalFormatting sqref="C824:D824">
    <cfRule type="containsText" dxfId="6289" priority="7990" operator="containsText" text="NO+$D$4:$D$10">
      <formula>NOT(ISERROR(SEARCH("NO+$D$4:$D$10",C824)))</formula>
    </cfRule>
  </conditionalFormatting>
  <conditionalFormatting sqref="C824:D824">
    <cfRule type="containsText" dxfId="6288" priority="7988" operator="containsText" text="SI">
      <formula>NOT(ISERROR(SEARCH("SI",C824)))</formula>
    </cfRule>
    <cfRule type="containsText" dxfId="6287" priority="7989" operator="containsText" text="NO">
      <formula>NOT(ISERROR(SEARCH("NO",C824)))</formula>
    </cfRule>
  </conditionalFormatting>
  <conditionalFormatting sqref="C824:D824">
    <cfRule type="containsText" dxfId="6286" priority="7987" operator="containsText" text="NUEVO">
      <formula>NOT(ISERROR(SEARCH("NUEVO",C824)))</formula>
    </cfRule>
  </conditionalFormatting>
  <conditionalFormatting sqref="E824">
    <cfRule type="containsText" dxfId="6285" priority="7986" operator="containsText" text="NUEVO">
      <formula>NOT(ISERROR(SEARCH("NUEVO",E824)))</formula>
    </cfRule>
  </conditionalFormatting>
  <conditionalFormatting sqref="E824">
    <cfRule type="containsText" dxfId="6284" priority="7985" operator="containsText" text="Sin Información">
      <formula>NOT(ISERROR(SEARCH("Sin Información",E824)))</formula>
    </cfRule>
  </conditionalFormatting>
  <conditionalFormatting sqref="C825:D825">
    <cfRule type="containsText" dxfId="6283" priority="7984" operator="containsText" text="NO+$D$4:$D$10">
      <formula>NOT(ISERROR(SEARCH("NO+$D$4:$D$10",C825)))</formula>
    </cfRule>
  </conditionalFormatting>
  <conditionalFormatting sqref="C825:D825">
    <cfRule type="containsText" dxfId="6282" priority="7982" operator="containsText" text="SI">
      <formula>NOT(ISERROR(SEARCH("SI",C825)))</formula>
    </cfRule>
    <cfRule type="containsText" dxfId="6281" priority="7983" operator="containsText" text="NO">
      <formula>NOT(ISERROR(SEARCH("NO",C825)))</formula>
    </cfRule>
  </conditionalFormatting>
  <conditionalFormatting sqref="C825:D825">
    <cfRule type="containsText" dxfId="6280" priority="7981" operator="containsText" text="NUEVO">
      <formula>NOT(ISERROR(SEARCH("NUEVO",C825)))</formula>
    </cfRule>
  </conditionalFormatting>
  <conditionalFormatting sqref="E825">
    <cfRule type="containsText" dxfId="6279" priority="7980" operator="containsText" text="NUEVO">
      <formula>NOT(ISERROR(SEARCH("NUEVO",E825)))</formula>
    </cfRule>
  </conditionalFormatting>
  <conditionalFormatting sqref="E825">
    <cfRule type="containsText" dxfId="6278" priority="7979" operator="containsText" text="Sin Información">
      <formula>NOT(ISERROR(SEARCH("Sin Información",E825)))</formula>
    </cfRule>
  </conditionalFormatting>
  <conditionalFormatting sqref="C826:D826">
    <cfRule type="containsText" dxfId="6277" priority="7978" operator="containsText" text="NO+$D$4:$D$10">
      <formula>NOT(ISERROR(SEARCH("NO+$D$4:$D$10",C826)))</formula>
    </cfRule>
  </conditionalFormatting>
  <conditionalFormatting sqref="C826:D826">
    <cfRule type="containsText" dxfId="6276" priority="7976" operator="containsText" text="SI">
      <formula>NOT(ISERROR(SEARCH("SI",C826)))</formula>
    </cfRule>
    <cfRule type="containsText" dxfId="6275" priority="7977" operator="containsText" text="NO">
      <formula>NOT(ISERROR(SEARCH("NO",C826)))</formula>
    </cfRule>
  </conditionalFormatting>
  <conditionalFormatting sqref="C826:D826">
    <cfRule type="containsText" dxfId="6274" priority="7975" operator="containsText" text="NUEVO">
      <formula>NOT(ISERROR(SEARCH("NUEVO",C826)))</formula>
    </cfRule>
  </conditionalFormatting>
  <conditionalFormatting sqref="E826">
    <cfRule type="containsText" dxfId="6273" priority="7974" operator="containsText" text="NUEVO">
      <formula>NOT(ISERROR(SEARCH("NUEVO",E826)))</formula>
    </cfRule>
  </conditionalFormatting>
  <conditionalFormatting sqref="E826">
    <cfRule type="containsText" dxfId="6272" priority="7973" operator="containsText" text="Sin Información">
      <formula>NOT(ISERROR(SEARCH("Sin Información",E826)))</formula>
    </cfRule>
  </conditionalFormatting>
  <conditionalFormatting sqref="C827:D827">
    <cfRule type="containsText" dxfId="6271" priority="7972" operator="containsText" text="NO+$D$4:$D$10">
      <formula>NOT(ISERROR(SEARCH("NO+$D$4:$D$10",C827)))</formula>
    </cfRule>
  </conditionalFormatting>
  <conditionalFormatting sqref="C827:D827">
    <cfRule type="containsText" dxfId="6270" priority="7970" operator="containsText" text="SI">
      <formula>NOT(ISERROR(SEARCH("SI",C827)))</formula>
    </cfRule>
    <cfRule type="containsText" dxfId="6269" priority="7971" operator="containsText" text="NO">
      <formula>NOT(ISERROR(SEARCH("NO",C827)))</formula>
    </cfRule>
  </conditionalFormatting>
  <conditionalFormatting sqref="C827:D827">
    <cfRule type="containsText" dxfId="6268" priority="7969" operator="containsText" text="NUEVO">
      <formula>NOT(ISERROR(SEARCH("NUEVO",C827)))</formula>
    </cfRule>
  </conditionalFormatting>
  <conditionalFormatting sqref="E827">
    <cfRule type="containsText" dxfId="6267" priority="7967" operator="containsText" text="NUEVO">
      <formula>NOT(ISERROR(SEARCH("NUEVO",E827)))</formula>
    </cfRule>
  </conditionalFormatting>
  <conditionalFormatting sqref="E827">
    <cfRule type="containsText" dxfId="6266" priority="7968" operator="containsText" text="Sin información">
      <formula>NOT(ISERROR(SEARCH("Sin información",E827)))</formula>
    </cfRule>
  </conditionalFormatting>
  <conditionalFormatting sqref="F827">
    <cfRule type="containsText" dxfId="6265" priority="7966" operator="containsText" text="NO+$D$4:$D$10">
      <formula>NOT(ISERROR(SEARCH("NO+$D$4:$D$10",F827)))</formula>
    </cfRule>
  </conditionalFormatting>
  <conditionalFormatting sqref="F827">
    <cfRule type="containsText" dxfId="6264" priority="7964" operator="containsText" text="SI">
      <formula>NOT(ISERROR(SEARCH("SI",F827)))</formula>
    </cfRule>
    <cfRule type="containsText" dxfId="6263" priority="7965" operator="containsText" text="NO">
      <formula>NOT(ISERROR(SEARCH("NO",F827)))</formula>
    </cfRule>
  </conditionalFormatting>
  <conditionalFormatting sqref="F827">
    <cfRule type="containsText" dxfId="6262" priority="7963" operator="containsText" text="NUEVO">
      <formula>NOT(ISERROR(SEARCH("NUEVO",F827)))</formula>
    </cfRule>
  </conditionalFormatting>
  <conditionalFormatting sqref="C877:D877 C928:D930 C912:D914 C879:D893 C1017:D1019 C870:D873">
    <cfRule type="containsText" dxfId="6261" priority="7956" operator="containsText" text="NO+$D$4:$D$10">
      <formula>NOT(ISERROR(SEARCH("NO+$D$4:$D$10",C870)))</formula>
    </cfRule>
  </conditionalFormatting>
  <conditionalFormatting sqref="C877:D877 C928:D930 C912:D914 C879:D893 C1017:D1019 C870:D873">
    <cfRule type="containsText" dxfId="6260" priority="7954" operator="containsText" text="SI">
      <formula>NOT(ISERROR(SEARCH("SI",C870)))</formula>
    </cfRule>
    <cfRule type="containsText" dxfId="6259" priority="7955" operator="containsText" text="NO">
      <formula>NOT(ISERROR(SEARCH("NO",C870)))</formula>
    </cfRule>
  </conditionalFormatting>
  <conditionalFormatting sqref="C877:E877 C873:E873 C928:E929 C930:D930 C1018:E1019 E912:E913 C912:D914 C879:E892 C1017:D1017 C870:D872">
    <cfRule type="containsText" dxfId="6258" priority="7953" operator="containsText" text="NUEVO">
      <formula>NOT(ISERROR(SEARCH("NUEVO",C870)))</formula>
    </cfRule>
  </conditionalFormatting>
  <conditionalFormatting sqref="E877 E873 E928:E929 E1018:E1019 E912:E913 E879:E892">
    <cfRule type="containsText" dxfId="6257" priority="7952" operator="containsText" text="Sin información">
      <formula>NOT(ISERROR(SEARCH("Sin información",E873)))</formula>
    </cfRule>
  </conditionalFormatting>
  <conditionalFormatting sqref="C828:D830">
    <cfRule type="containsText" dxfId="6256" priority="7951" operator="containsText" text="NO+$D$4:$D$10">
      <formula>NOT(ISERROR(SEARCH("NO+$D$4:$D$10",C828)))</formula>
    </cfRule>
  </conditionalFormatting>
  <conditionalFormatting sqref="C828:D830">
    <cfRule type="containsText" dxfId="6255" priority="7949" operator="containsText" text="SI">
      <formula>NOT(ISERROR(SEARCH("SI",C828)))</formula>
    </cfRule>
    <cfRule type="containsText" dxfId="6254" priority="7950" operator="containsText" text="NO">
      <formula>NOT(ISERROR(SEARCH("NO",C828)))</formula>
    </cfRule>
  </conditionalFormatting>
  <conditionalFormatting sqref="E828:E830">
    <cfRule type="containsText" dxfId="6253" priority="7948" operator="containsText" text="Sin información">
      <formula>NOT(ISERROR(SEARCH("Sin información",E828)))</formula>
    </cfRule>
  </conditionalFormatting>
  <conditionalFormatting sqref="C828:E830">
    <cfRule type="containsText" dxfId="6252" priority="7947" operator="containsText" text="NUEVO">
      <formula>NOT(ISERROR(SEARCH("NUEVO",C828)))</formula>
    </cfRule>
  </conditionalFormatting>
  <conditionalFormatting sqref="C831:D831">
    <cfRule type="containsText" dxfId="6251" priority="7946" operator="containsText" text="NO+$D$4:$D$10">
      <formula>NOT(ISERROR(SEARCH("NO+$D$4:$D$10",C831)))</formula>
    </cfRule>
  </conditionalFormatting>
  <conditionalFormatting sqref="C831:D831">
    <cfRule type="containsText" dxfId="6250" priority="7944" operator="containsText" text="SI">
      <formula>NOT(ISERROR(SEARCH("SI",C831)))</formula>
    </cfRule>
    <cfRule type="containsText" dxfId="6249" priority="7945" operator="containsText" text="NO">
      <formula>NOT(ISERROR(SEARCH("NO",C831)))</formula>
    </cfRule>
  </conditionalFormatting>
  <conditionalFormatting sqref="C831:D831">
    <cfRule type="containsText" dxfId="6248" priority="7942" operator="containsText" text="NUEVO">
      <formula>NOT(ISERROR(SEARCH("NUEVO",C831)))</formula>
    </cfRule>
  </conditionalFormatting>
  <conditionalFormatting sqref="E831">
    <cfRule type="containsText" dxfId="6247" priority="7941" operator="containsText" text="Sin información">
      <formula>NOT(ISERROR(SEARCH("Sin información",E831)))</formula>
    </cfRule>
  </conditionalFormatting>
  <conditionalFormatting sqref="E831">
    <cfRule type="containsText" dxfId="6246" priority="7940" operator="containsText" text="NUEVO">
      <formula>NOT(ISERROR(SEARCH("NUEVO",E831)))</formula>
    </cfRule>
  </conditionalFormatting>
  <conditionalFormatting sqref="C832:D832">
    <cfRule type="containsText" dxfId="6245" priority="7939" operator="containsText" text="NO+$D$4:$D$10">
      <formula>NOT(ISERROR(SEARCH("NO+$D$4:$D$10",C832)))</formula>
    </cfRule>
  </conditionalFormatting>
  <conditionalFormatting sqref="C832:D832">
    <cfRule type="containsText" dxfId="6244" priority="7937" operator="containsText" text="SI">
      <formula>NOT(ISERROR(SEARCH("SI",C832)))</formula>
    </cfRule>
    <cfRule type="containsText" dxfId="6243" priority="7938" operator="containsText" text="NO">
      <formula>NOT(ISERROR(SEARCH("NO",C832)))</formula>
    </cfRule>
  </conditionalFormatting>
  <conditionalFormatting sqref="C832:E832">
    <cfRule type="containsText" dxfId="6242" priority="7936" operator="containsText" text="NUEVO">
      <formula>NOT(ISERROR(SEARCH("NUEVO",C832)))</formula>
    </cfRule>
  </conditionalFormatting>
  <conditionalFormatting sqref="E832">
    <cfRule type="containsText" dxfId="6241" priority="7935" operator="containsText" text="Sin información">
      <formula>NOT(ISERROR(SEARCH("Sin información",E832)))</formula>
    </cfRule>
  </conditionalFormatting>
  <conditionalFormatting sqref="C833:D833">
    <cfRule type="containsText" dxfId="6240" priority="7934" operator="containsText" text="NO+$D$4:$D$10">
      <formula>NOT(ISERROR(SEARCH("NO+$D$4:$D$10",C833)))</formula>
    </cfRule>
  </conditionalFormatting>
  <conditionalFormatting sqref="C833:D833">
    <cfRule type="containsText" dxfId="6239" priority="7932" operator="containsText" text="SI">
      <formula>NOT(ISERROR(SEARCH("SI",C833)))</formula>
    </cfRule>
    <cfRule type="containsText" dxfId="6238" priority="7933" operator="containsText" text="NO">
      <formula>NOT(ISERROR(SEARCH("NO",C833)))</formula>
    </cfRule>
  </conditionalFormatting>
  <conditionalFormatting sqref="E833">
    <cfRule type="containsText" dxfId="6237" priority="7931" operator="containsText" text="Sin información">
      <formula>NOT(ISERROR(SEARCH("Sin información",E833)))</formula>
    </cfRule>
  </conditionalFormatting>
  <conditionalFormatting sqref="C833:E833">
    <cfRule type="containsText" dxfId="6236" priority="7930" operator="containsText" text="NUEVO">
      <formula>NOT(ISERROR(SEARCH("NUEVO",C833)))</formula>
    </cfRule>
  </conditionalFormatting>
  <conditionalFormatting sqref="C834:D834">
    <cfRule type="containsText" dxfId="6235" priority="7929" operator="containsText" text="NO+$D$4:$D$10">
      <formula>NOT(ISERROR(SEARCH("NO+$D$4:$D$10",C834)))</formula>
    </cfRule>
  </conditionalFormatting>
  <conditionalFormatting sqref="C834:D834">
    <cfRule type="containsText" dxfId="6234" priority="7927" operator="containsText" text="SI">
      <formula>NOT(ISERROR(SEARCH("SI",C834)))</formula>
    </cfRule>
    <cfRule type="containsText" dxfId="6233" priority="7928" operator="containsText" text="NO">
      <formula>NOT(ISERROR(SEARCH("NO",C834)))</formula>
    </cfRule>
  </conditionalFormatting>
  <conditionalFormatting sqref="E834">
    <cfRule type="containsText" dxfId="6232" priority="7926" operator="containsText" text="Sin información">
      <formula>NOT(ISERROR(SEARCH("Sin información",E834)))</formula>
    </cfRule>
  </conditionalFormatting>
  <conditionalFormatting sqref="C834:E834">
    <cfRule type="containsText" dxfId="6231" priority="7925" operator="containsText" text="NUEVO">
      <formula>NOT(ISERROR(SEARCH("NUEVO",C834)))</formula>
    </cfRule>
  </conditionalFormatting>
  <conditionalFormatting sqref="C835:D835">
    <cfRule type="containsText" dxfId="6230" priority="7924" operator="containsText" text="NO+$D$4:$D$10">
      <formula>NOT(ISERROR(SEARCH("NO+$D$4:$D$10",C835)))</formula>
    </cfRule>
  </conditionalFormatting>
  <conditionalFormatting sqref="C835:D835">
    <cfRule type="containsText" dxfId="6229" priority="7922" operator="containsText" text="SI">
      <formula>NOT(ISERROR(SEARCH("SI",C835)))</formula>
    </cfRule>
    <cfRule type="containsText" dxfId="6228" priority="7923" operator="containsText" text="NO">
      <formula>NOT(ISERROR(SEARCH("NO",C835)))</formula>
    </cfRule>
  </conditionalFormatting>
  <conditionalFormatting sqref="E835">
    <cfRule type="containsText" dxfId="6227" priority="7921" operator="containsText" text="Sin información">
      <formula>NOT(ISERROR(SEARCH("Sin información",E835)))</formula>
    </cfRule>
  </conditionalFormatting>
  <conditionalFormatting sqref="C835:E835">
    <cfRule type="containsText" dxfId="6226" priority="7920" operator="containsText" text="NUEVO">
      <formula>NOT(ISERROR(SEARCH("NUEVO",C835)))</formula>
    </cfRule>
  </conditionalFormatting>
  <conditionalFormatting sqref="C836:D836">
    <cfRule type="containsText" dxfId="6225" priority="7919" operator="containsText" text="NO+$D$4:$D$10">
      <formula>NOT(ISERROR(SEARCH("NO+$D$4:$D$10",C836)))</formula>
    </cfRule>
  </conditionalFormatting>
  <conditionalFormatting sqref="C836:D836">
    <cfRule type="containsText" dxfId="6224" priority="7917" operator="containsText" text="SI">
      <formula>NOT(ISERROR(SEARCH("SI",C836)))</formula>
    </cfRule>
    <cfRule type="containsText" dxfId="6223" priority="7918" operator="containsText" text="NO">
      <formula>NOT(ISERROR(SEARCH("NO",C836)))</formula>
    </cfRule>
  </conditionalFormatting>
  <conditionalFormatting sqref="E836">
    <cfRule type="containsText" dxfId="6222" priority="7916" operator="containsText" text="Sin información">
      <formula>NOT(ISERROR(SEARCH("Sin información",E836)))</formula>
    </cfRule>
  </conditionalFormatting>
  <conditionalFormatting sqref="C836:E836">
    <cfRule type="containsText" dxfId="6221" priority="7915" operator="containsText" text="NUEVO">
      <formula>NOT(ISERROR(SEARCH("NUEVO",C836)))</formula>
    </cfRule>
  </conditionalFormatting>
  <conditionalFormatting sqref="C837:D837">
    <cfRule type="containsText" dxfId="6220" priority="7914" operator="containsText" text="NO+$D$4:$D$10">
      <formula>NOT(ISERROR(SEARCH("NO+$D$4:$D$10",C837)))</formula>
    </cfRule>
  </conditionalFormatting>
  <conditionalFormatting sqref="C837:D837">
    <cfRule type="containsText" dxfId="6219" priority="7912" operator="containsText" text="SI">
      <formula>NOT(ISERROR(SEARCH("SI",C837)))</formula>
    </cfRule>
    <cfRule type="containsText" dxfId="6218" priority="7913" operator="containsText" text="NO">
      <formula>NOT(ISERROR(SEARCH("NO",C837)))</formula>
    </cfRule>
  </conditionalFormatting>
  <conditionalFormatting sqref="E837">
    <cfRule type="containsText" dxfId="6217" priority="7911" operator="containsText" text="Sin información">
      <formula>NOT(ISERROR(SEARCH("Sin información",E837)))</formula>
    </cfRule>
  </conditionalFormatting>
  <conditionalFormatting sqref="C837:E837">
    <cfRule type="containsText" dxfId="6216" priority="7910" operator="containsText" text="NUEVO">
      <formula>NOT(ISERROR(SEARCH("NUEVO",C837)))</formula>
    </cfRule>
  </conditionalFormatting>
  <conditionalFormatting sqref="C838:D838">
    <cfRule type="containsText" dxfId="6215" priority="7909" operator="containsText" text="NO+$D$4:$D$10">
      <formula>NOT(ISERROR(SEARCH("NO+$D$4:$D$10",C838)))</formula>
    </cfRule>
  </conditionalFormatting>
  <conditionalFormatting sqref="C838:D838">
    <cfRule type="containsText" dxfId="6214" priority="7907" operator="containsText" text="SI">
      <formula>NOT(ISERROR(SEARCH("SI",C838)))</formula>
    </cfRule>
    <cfRule type="containsText" dxfId="6213" priority="7908" operator="containsText" text="NO">
      <formula>NOT(ISERROR(SEARCH("NO",C838)))</formula>
    </cfRule>
  </conditionalFormatting>
  <conditionalFormatting sqref="E838">
    <cfRule type="containsText" dxfId="6212" priority="7906" operator="containsText" text="Sin información">
      <formula>NOT(ISERROR(SEARCH("Sin información",E838)))</formula>
    </cfRule>
  </conditionalFormatting>
  <conditionalFormatting sqref="C838:E838">
    <cfRule type="containsText" dxfId="6211" priority="7905" operator="containsText" text="NUEVO">
      <formula>NOT(ISERROR(SEARCH("NUEVO",C838)))</formula>
    </cfRule>
  </conditionalFormatting>
  <conditionalFormatting sqref="C839:D839">
    <cfRule type="containsText" dxfId="6210" priority="7904" operator="containsText" text="NO+$D$4:$D$10">
      <formula>NOT(ISERROR(SEARCH("NO+$D$4:$D$10",C839)))</formula>
    </cfRule>
  </conditionalFormatting>
  <conditionalFormatting sqref="C839:D839">
    <cfRule type="containsText" dxfId="6209" priority="7902" operator="containsText" text="SI">
      <formula>NOT(ISERROR(SEARCH("SI",C839)))</formula>
    </cfRule>
    <cfRule type="containsText" dxfId="6208" priority="7903" operator="containsText" text="NO">
      <formula>NOT(ISERROR(SEARCH("NO",C839)))</formula>
    </cfRule>
  </conditionalFormatting>
  <conditionalFormatting sqref="E839">
    <cfRule type="containsText" dxfId="6207" priority="7901" operator="containsText" text="Sin información">
      <formula>NOT(ISERROR(SEARCH("Sin información",E839)))</formula>
    </cfRule>
  </conditionalFormatting>
  <conditionalFormatting sqref="C839:E839">
    <cfRule type="containsText" dxfId="6206" priority="7900" operator="containsText" text="NUEVO">
      <formula>NOT(ISERROR(SEARCH("NUEVO",C839)))</formula>
    </cfRule>
  </conditionalFormatting>
  <conditionalFormatting sqref="C840:D840">
    <cfRule type="containsText" dxfId="6205" priority="7899" operator="containsText" text="NO+$D$4:$D$10">
      <formula>NOT(ISERROR(SEARCH("NO+$D$4:$D$10",C840)))</formula>
    </cfRule>
  </conditionalFormatting>
  <conditionalFormatting sqref="C840:D840">
    <cfRule type="containsText" dxfId="6204" priority="7897" operator="containsText" text="SI">
      <formula>NOT(ISERROR(SEARCH("SI",C840)))</formula>
    </cfRule>
    <cfRule type="containsText" dxfId="6203" priority="7898" operator="containsText" text="NO">
      <formula>NOT(ISERROR(SEARCH("NO",C840)))</formula>
    </cfRule>
  </conditionalFormatting>
  <conditionalFormatting sqref="E840">
    <cfRule type="containsText" dxfId="6202" priority="7896" operator="containsText" text="Sin información">
      <formula>NOT(ISERROR(SEARCH("Sin información",E840)))</formula>
    </cfRule>
  </conditionalFormatting>
  <conditionalFormatting sqref="C840:E840">
    <cfRule type="containsText" dxfId="6201" priority="7895" operator="containsText" text="NUEVO">
      <formula>NOT(ISERROR(SEARCH("NUEVO",C840)))</formula>
    </cfRule>
  </conditionalFormatting>
  <conditionalFormatting sqref="C841:D841">
    <cfRule type="containsText" dxfId="6200" priority="7894" operator="containsText" text="NO+$D$4:$D$10">
      <formula>NOT(ISERROR(SEARCH("NO+$D$4:$D$10",C841)))</formula>
    </cfRule>
  </conditionalFormatting>
  <conditionalFormatting sqref="C841:D841">
    <cfRule type="containsText" dxfId="6199" priority="7892" operator="containsText" text="SI">
      <formula>NOT(ISERROR(SEARCH("SI",C841)))</formula>
    </cfRule>
    <cfRule type="containsText" dxfId="6198" priority="7893" operator="containsText" text="NO">
      <formula>NOT(ISERROR(SEARCH("NO",C841)))</formula>
    </cfRule>
  </conditionalFormatting>
  <conditionalFormatting sqref="E841">
    <cfRule type="containsText" dxfId="6197" priority="7891" operator="containsText" text="Sin información">
      <formula>NOT(ISERROR(SEARCH("Sin información",E841)))</formula>
    </cfRule>
  </conditionalFormatting>
  <conditionalFormatting sqref="C841:E841">
    <cfRule type="containsText" dxfId="6196" priority="7890" operator="containsText" text="NUEVO">
      <formula>NOT(ISERROR(SEARCH("NUEVO",C841)))</formula>
    </cfRule>
  </conditionalFormatting>
  <conditionalFormatting sqref="C842:D843">
    <cfRule type="containsText" dxfId="6195" priority="7889" operator="containsText" text="NO+$D$4:$D$10">
      <formula>NOT(ISERROR(SEARCH("NO+$D$4:$D$10",C842)))</formula>
    </cfRule>
  </conditionalFormatting>
  <conditionalFormatting sqref="C842:D843">
    <cfRule type="containsText" dxfId="6194" priority="7887" operator="containsText" text="SI">
      <formula>NOT(ISERROR(SEARCH("SI",C842)))</formula>
    </cfRule>
    <cfRule type="containsText" dxfId="6193" priority="7888" operator="containsText" text="NO">
      <formula>NOT(ISERROR(SEARCH("NO",C842)))</formula>
    </cfRule>
  </conditionalFormatting>
  <conditionalFormatting sqref="E842:E843">
    <cfRule type="containsText" dxfId="6192" priority="7886" operator="containsText" text="Sin información">
      <formula>NOT(ISERROR(SEARCH("Sin información",E842)))</formula>
    </cfRule>
  </conditionalFormatting>
  <conditionalFormatting sqref="C842:E843">
    <cfRule type="containsText" dxfId="6191" priority="7885" operator="containsText" text="NUEVO">
      <formula>NOT(ISERROR(SEARCH("NUEVO",C842)))</formula>
    </cfRule>
  </conditionalFormatting>
  <conditionalFormatting sqref="C844:D844">
    <cfRule type="containsText" dxfId="6190" priority="7884" operator="containsText" text="NO+$D$4:$D$10">
      <formula>NOT(ISERROR(SEARCH("NO+$D$4:$D$10",C844)))</formula>
    </cfRule>
  </conditionalFormatting>
  <conditionalFormatting sqref="C844:D844">
    <cfRule type="containsText" dxfId="6189" priority="7882" operator="containsText" text="SI">
      <formula>NOT(ISERROR(SEARCH("SI",C844)))</formula>
    </cfRule>
    <cfRule type="containsText" dxfId="6188" priority="7883" operator="containsText" text="NO">
      <formula>NOT(ISERROR(SEARCH("NO",C844)))</formula>
    </cfRule>
  </conditionalFormatting>
  <conditionalFormatting sqref="E844">
    <cfRule type="containsText" dxfId="6187" priority="7881" operator="containsText" text="Sin información">
      <formula>NOT(ISERROR(SEARCH("Sin información",E844)))</formula>
    </cfRule>
  </conditionalFormatting>
  <conditionalFormatting sqref="C844:E844">
    <cfRule type="containsText" dxfId="6186" priority="7880" operator="containsText" text="NUEVO">
      <formula>NOT(ISERROR(SEARCH("NUEVO",C844)))</formula>
    </cfRule>
  </conditionalFormatting>
  <conditionalFormatting sqref="E845">
    <cfRule type="containsText" dxfId="6185" priority="7876" operator="containsText" text="Sin información">
      <formula>NOT(ISERROR(SEARCH("Sin información",E845)))</formula>
    </cfRule>
  </conditionalFormatting>
  <conditionalFormatting sqref="C845:E845">
    <cfRule type="containsText" dxfId="6184" priority="7875" operator="containsText" text="NUEVO">
      <formula>NOT(ISERROR(SEARCH("NUEVO",C845)))</formula>
    </cfRule>
  </conditionalFormatting>
  <conditionalFormatting sqref="C845:D845">
    <cfRule type="containsText" dxfId="6183" priority="7879" operator="containsText" text="NO+$D$4:$D$10">
      <formula>NOT(ISERROR(SEARCH("NO+$D$4:$D$10",C845)))</formula>
    </cfRule>
  </conditionalFormatting>
  <conditionalFormatting sqref="C845:D845">
    <cfRule type="containsText" dxfId="6182" priority="7877" operator="containsText" text="SI">
      <formula>NOT(ISERROR(SEARCH("SI",C845)))</formula>
    </cfRule>
    <cfRule type="containsText" dxfId="6181" priority="7878" operator="containsText" text="NO">
      <formula>NOT(ISERROR(SEARCH("NO",C845)))</formula>
    </cfRule>
  </conditionalFormatting>
  <conditionalFormatting sqref="C846:D846">
    <cfRule type="containsText" dxfId="6180" priority="7874" operator="containsText" text="NO+$D$4:$D$10">
      <formula>NOT(ISERROR(SEARCH("NO+$D$4:$D$10",C846)))</formula>
    </cfRule>
  </conditionalFormatting>
  <conditionalFormatting sqref="C846:D846">
    <cfRule type="containsText" dxfId="6179" priority="7872" operator="containsText" text="SI">
      <formula>NOT(ISERROR(SEARCH("SI",C846)))</formula>
    </cfRule>
    <cfRule type="containsText" dxfId="6178" priority="7873" operator="containsText" text="NO">
      <formula>NOT(ISERROR(SEARCH("NO",C846)))</formula>
    </cfRule>
  </conditionalFormatting>
  <conditionalFormatting sqref="E846">
    <cfRule type="containsText" dxfId="6177" priority="7871" operator="containsText" text="Sin información">
      <formula>NOT(ISERROR(SEARCH("Sin información",E846)))</formula>
    </cfRule>
  </conditionalFormatting>
  <conditionalFormatting sqref="C846:E846">
    <cfRule type="containsText" dxfId="6176" priority="7870" operator="containsText" text="NUEVO">
      <formula>NOT(ISERROR(SEARCH("NUEVO",C846)))</formula>
    </cfRule>
  </conditionalFormatting>
  <conditionalFormatting sqref="C847:D848">
    <cfRule type="containsText" dxfId="6175" priority="7869" operator="containsText" text="NO+$D$4:$D$10">
      <formula>NOT(ISERROR(SEARCH("NO+$D$4:$D$10",C847)))</formula>
    </cfRule>
  </conditionalFormatting>
  <conditionalFormatting sqref="C847:D848">
    <cfRule type="containsText" dxfId="6174" priority="7867" operator="containsText" text="SI">
      <formula>NOT(ISERROR(SEARCH("SI",C847)))</formula>
    </cfRule>
    <cfRule type="containsText" dxfId="6173" priority="7868" operator="containsText" text="NO">
      <formula>NOT(ISERROR(SEARCH("NO",C847)))</formula>
    </cfRule>
  </conditionalFormatting>
  <conditionalFormatting sqref="E847:E848">
    <cfRule type="containsText" dxfId="6172" priority="7866" operator="containsText" text="Sin información">
      <formula>NOT(ISERROR(SEARCH("Sin información",E847)))</formula>
    </cfRule>
  </conditionalFormatting>
  <conditionalFormatting sqref="C847:E848">
    <cfRule type="containsText" dxfId="6171" priority="7865" operator="containsText" text="NUEVO">
      <formula>NOT(ISERROR(SEARCH("NUEVO",C847)))</formula>
    </cfRule>
  </conditionalFormatting>
  <conditionalFormatting sqref="C849:D849">
    <cfRule type="containsText" dxfId="6170" priority="7864" operator="containsText" text="NO+$D$4:$D$10">
      <formula>NOT(ISERROR(SEARCH("NO+$D$4:$D$10",C849)))</formula>
    </cfRule>
  </conditionalFormatting>
  <conditionalFormatting sqref="C849:D849">
    <cfRule type="containsText" dxfId="6169" priority="7862" operator="containsText" text="SI">
      <formula>NOT(ISERROR(SEARCH("SI",C849)))</formula>
    </cfRule>
    <cfRule type="containsText" dxfId="6168" priority="7863" operator="containsText" text="NO">
      <formula>NOT(ISERROR(SEARCH("NO",C849)))</formula>
    </cfRule>
  </conditionalFormatting>
  <conditionalFormatting sqref="E849">
    <cfRule type="containsText" dxfId="6167" priority="7861" operator="containsText" text="Sin información">
      <formula>NOT(ISERROR(SEARCH("Sin información",E849)))</formula>
    </cfRule>
  </conditionalFormatting>
  <conditionalFormatting sqref="C849:D849">
    <cfRule type="containsText" dxfId="6166" priority="7860" operator="containsText" text="NUEVO">
      <formula>NOT(ISERROR(SEARCH("NUEVO",C849)))</formula>
    </cfRule>
  </conditionalFormatting>
  <conditionalFormatting sqref="E849">
    <cfRule type="containsText" dxfId="6165" priority="7859" operator="containsText" text="Sin información">
      <formula>NOT(ISERROR(SEARCH("Sin información",E849)))</formula>
    </cfRule>
  </conditionalFormatting>
  <conditionalFormatting sqref="C850:D851">
    <cfRule type="containsText" dxfId="6164" priority="7858" operator="containsText" text="NO+$D$4:$D$10">
      <formula>NOT(ISERROR(SEARCH("NO+$D$4:$D$10",C850)))</formula>
    </cfRule>
  </conditionalFormatting>
  <conditionalFormatting sqref="C850:D851">
    <cfRule type="containsText" dxfId="6163" priority="7856" operator="containsText" text="SI">
      <formula>NOT(ISERROR(SEARCH("SI",C850)))</formula>
    </cfRule>
    <cfRule type="containsText" dxfId="6162" priority="7857" operator="containsText" text="NO">
      <formula>NOT(ISERROR(SEARCH("NO",C850)))</formula>
    </cfRule>
  </conditionalFormatting>
  <conditionalFormatting sqref="C850:D851">
    <cfRule type="containsText" dxfId="6161" priority="7855" operator="containsText" text="NUEVO">
      <formula>NOT(ISERROR(SEARCH("NUEVO",C850)))</formula>
    </cfRule>
  </conditionalFormatting>
  <conditionalFormatting sqref="E850:E851">
    <cfRule type="containsText" dxfId="6160" priority="7854" operator="containsText" text="Sin información">
      <formula>NOT(ISERROR(SEARCH("Sin información",E850)))</formula>
    </cfRule>
  </conditionalFormatting>
  <conditionalFormatting sqref="E850:E851">
    <cfRule type="containsText" dxfId="6159" priority="7853" operator="containsText" text="NUEVO">
      <formula>NOT(ISERROR(SEARCH("NUEVO",E850)))</formula>
    </cfRule>
  </conditionalFormatting>
  <conditionalFormatting sqref="C852:D855">
    <cfRule type="containsText" dxfId="6158" priority="7852" operator="containsText" text="NO+$D$4:$D$10">
      <formula>NOT(ISERROR(SEARCH("NO+$D$4:$D$10",C852)))</formula>
    </cfRule>
  </conditionalFormatting>
  <conditionalFormatting sqref="C852:D855">
    <cfRule type="containsText" dxfId="6157" priority="7850" operator="containsText" text="SI">
      <formula>NOT(ISERROR(SEARCH("SI",C852)))</formula>
    </cfRule>
    <cfRule type="containsText" dxfId="6156" priority="7851" operator="containsText" text="NO">
      <formula>NOT(ISERROR(SEARCH("NO",C852)))</formula>
    </cfRule>
  </conditionalFormatting>
  <conditionalFormatting sqref="E854">
    <cfRule type="containsText" dxfId="6155" priority="7849" operator="containsText" text="Sin información">
      <formula>NOT(ISERROR(SEARCH("Sin información",E854)))</formula>
    </cfRule>
  </conditionalFormatting>
  <conditionalFormatting sqref="E854 C852:D855">
    <cfRule type="containsText" dxfId="6154" priority="7848" operator="containsText" text="NUEVO">
      <formula>NOT(ISERROR(SEARCH("NUEVO",C852)))</formula>
    </cfRule>
  </conditionalFormatting>
  <conditionalFormatting sqref="E855">
    <cfRule type="containsText" dxfId="6153" priority="7847" operator="containsText" text="Sin información">
      <formula>NOT(ISERROR(SEARCH("Sin información",E855)))</formula>
    </cfRule>
  </conditionalFormatting>
  <conditionalFormatting sqref="E855">
    <cfRule type="containsText" dxfId="6152" priority="7846" operator="containsText" text="NUEVO">
      <formula>NOT(ISERROR(SEARCH("NUEVO",E855)))</formula>
    </cfRule>
  </conditionalFormatting>
  <conditionalFormatting sqref="E853">
    <cfRule type="containsText" dxfId="6151" priority="7842" operator="containsText" text="NUEVO">
      <formula>NOT(ISERROR(SEARCH("NUEVO",E853)))</formula>
    </cfRule>
  </conditionalFormatting>
  <conditionalFormatting sqref="E852">
    <cfRule type="containsText" dxfId="6150" priority="7845" operator="containsText" text="Sin información">
      <formula>NOT(ISERROR(SEARCH("Sin información",E852)))</formula>
    </cfRule>
  </conditionalFormatting>
  <conditionalFormatting sqref="E852">
    <cfRule type="containsText" dxfId="6149" priority="7844" operator="containsText" text="NUEVO">
      <formula>NOT(ISERROR(SEARCH("NUEVO",E852)))</formula>
    </cfRule>
  </conditionalFormatting>
  <conditionalFormatting sqref="E853">
    <cfRule type="containsText" dxfId="6148" priority="7843" operator="containsText" text="Sin información">
      <formula>NOT(ISERROR(SEARCH("Sin información",E853)))</formula>
    </cfRule>
  </conditionalFormatting>
  <conditionalFormatting sqref="C856:D856">
    <cfRule type="containsText" dxfId="6147" priority="7841" operator="containsText" text="NO+$D$4:$D$10">
      <formula>NOT(ISERROR(SEARCH("NO+$D$4:$D$10",C856)))</formula>
    </cfRule>
  </conditionalFormatting>
  <conditionalFormatting sqref="C856:D856">
    <cfRule type="containsText" dxfId="6146" priority="7839" operator="containsText" text="SI">
      <formula>NOT(ISERROR(SEARCH("SI",C856)))</formula>
    </cfRule>
    <cfRule type="containsText" dxfId="6145" priority="7840" operator="containsText" text="NO">
      <formula>NOT(ISERROR(SEARCH("NO",C856)))</formula>
    </cfRule>
  </conditionalFormatting>
  <conditionalFormatting sqref="C856:D856">
    <cfRule type="containsText" dxfId="6144" priority="7838" operator="containsText" text="NUEVO">
      <formula>NOT(ISERROR(SEARCH("NUEVO",C856)))</formula>
    </cfRule>
  </conditionalFormatting>
  <conditionalFormatting sqref="E856">
    <cfRule type="containsText" dxfId="6143" priority="7837" operator="containsText" text="Sin información">
      <formula>NOT(ISERROR(SEARCH("Sin información",E856)))</formula>
    </cfRule>
  </conditionalFormatting>
  <conditionalFormatting sqref="E856">
    <cfRule type="containsText" dxfId="6142" priority="7836" operator="containsText" text="NUEVO">
      <formula>NOT(ISERROR(SEARCH("NUEVO",E856)))</formula>
    </cfRule>
  </conditionalFormatting>
  <conditionalFormatting sqref="C857:D857">
    <cfRule type="containsText" dxfId="6141" priority="7835" operator="containsText" text="NO+$D$4:$D$10">
      <formula>NOT(ISERROR(SEARCH("NO+$D$4:$D$10",C857)))</formula>
    </cfRule>
  </conditionalFormatting>
  <conditionalFormatting sqref="C857:D857">
    <cfRule type="containsText" dxfId="6140" priority="7833" operator="containsText" text="SI">
      <formula>NOT(ISERROR(SEARCH("SI",C857)))</formula>
    </cfRule>
    <cfRule type="containsText" dxfId="6139" priority="7834" operator="containsText" text="NO">
      <formula>NOT(ISERROR(SEARCH("NO",C857)))</formula>
    </cfRule>
  </conditionalFormatting>
  <conditionalFormatting sqref="E857">
    <cfRule type="containsText" dxfId="6138" priority="7832" operator="containsText" text="Sin información">
      <formula>NOT(ISERROR(SEARCH("Sin información",E857)))</formula>
    </cfRule>
  </conditionalFormatting>
  <conditionalFormatting sqref="C857:E857">
    <cfRule type="containsText" dxfId="6137" priority="7831" operator="containsText" text="NUEVO">
      <formula>NOT(ISERROR(SEARCH("NUEVO",C857)))</formula>
    </cfRule>
  </conditionalFormatting>
  <conditionalFormatting sqref="F857">
    <cfRule type="containsText" dxfId="6136" priority="7830" operator="containsText" text="NO+$D$4:$D$10">
      <formula>NOT(ISERROR(SEARCH("NO+$D$4:$D$10",F857)))</formula>
    </cfRule>
  </conditionalFormatting>
  <conditionalFormatting sqref="F857">
    <cfRule type="containsText" dxfId="6135" priority="7828" operator="containsText" text="SI">
      <formula>NOT(ISERROR(SEARCH("SI",F857)))</formula>
    </cfRule>
    <cfRule type="containsText" dxfId="6134" priority="7829" operator="containsText" text="NO">
      <formula>NOT(ISERROR(SEARCH("NO",F857)))</formula>
    </cfRule>
  </conditionalFormatting>
  <conditionalFormatting sqref="F857">
    <cfRule type="containsText" dxfId="6133" priority="7827" operator="containsText" text="NUEVO">
      <formula>NOT(ISERROR(SEARCH("NUEVO",F857)))</formula>
    </cfRule>
  </conditionalFormatting>
  <conditionalFormatting sqref="C858:D858">
    <cfRule type="containsText" dxfId="6132" priority="7826" operator="containsText" text="NO+$D$4:$D$10">
      <formula>NOT(ISERROR(SEARCH("NO+$D$4:$D$10",C858)))</formula>
    </cfRule>
  </conditionalFormatting>
  <conditionalFormatting sqref="C858:D858">
    <cfRule type="containsText" dxfId="6131" priority="7824" operator="containsText" text="SI">
      <formula>NOT(ISERROR(SEARCH("SI",C858)))</formula>
    </cfRule>
    <cfRule type="containsText" dxfId="6130" priority="7825" operator="containsText" text="NO">
      <formula>NOT(ISERROR(SEARCH("NO",C858)))</formula>
    </cfRule>
  </conditionalFormatting>
  <conditionalFormatting sqref="E858">
    <cfRule type="containsText" dxfId="6129" priority="7823" operator="containsText" text="Sin información">
      <formula>NOT(ISERROR(SEARCH("Sin información",E858)))</formula>
    </cfRule>
  </conditionalFormatting>
  <conditionalFormatting sqref="C858:E858">
    <cfRule type="containsText" dxfId="6128" priority="7822" operator="containsText" text="NUEVO">
      <formula>NOT(ISERROR(SEARCH("NUEVO",C858)))</formula>
    </cfRule>
  </conditionalFormatting>
  <conditionalFormatting sqref="F858">
    <cfRule type="containsText" dxfId="6127" priority="7821" operator="containsText" text="NO+$D$4:$D$10">
      <formula>NOT(ISERROR(SEARCH("NO+$D$4:$D$10",F858)))</formula>
    </cfRule>
  </conditionalFormatting>
  <conditionalFormatting sqref="F858">
    <cfRule type="containsText" dxfId="6126" priority="7819" operator="containsText" text="SI">
      <formula>NOT(ISERROR(SEARCH("SI",F858)))</formula>
    </cfRule>
    <cfRule type="containsText" dxfId="6125" priority="7820" operator="containsText" text="NO">
      <formula>NOT(ISERROR(SEARCH("NO",F858)))</formula>
    </cfRule>
  </conditionalFormatting>
  <conditionalFormatting sqref="F858">
    <cfRule type="containsText" dxfId="6124" priority="7818" operator="containsText" text="NUEVO">
      <formula>NOT(ISERROR(SEARCH("NUEVO",F858)))</formula>
    </cfRule>
  </conditionalFormatting>
  <conditionalFormatting sqref="C859:D859">
    <cfRule type="containsText" dxfId="6123" priority="7817" operator="containsText" text="NO+$D$4:$D$10">
      <formula>NOT(ISERROR(SEARCH("NO+$D$4:$D$10",C859)))</formula>
    </cfRule>
  </conditionalFormatting>
  <conditionalFormatting sqref="C859:D859">
    <cfRule type="containsText" dxfId="6122" priority="7815" operator="containsText" text="SI">
      <formula>NOT(ISERROR(SEARCH("SI",C859)))</formula>
    </cfRule>
    <cfRule type="containsText" dxfId="6121" priority="7816" operator="containsText" text="NO">
      <formula>NOT(ISERROR(SEARCH("NO",C859)))</formula>
    </cfRule>
  </conditionalFormatting>
  <conditionalFormatting sqref="E859">
    <cfRule type="containsText" dxfId="6120" priority="7814" operator="containsText" text="Sin información">
      <formula>NOT(ISERROR(SEARCH("Sin información",E859)))</formula>
    </cfRule>
  </conditionalFormatting>
  <conditionalFormatting sqref="C859:E859">
    <cfRule type="containsText" dxfId="6119" priority="7813" operator="containsText" text="NUEVO">
      <formula>NOT(ISERROR(SEARCH("NUEVO",C859)))</formula>
    </cfRule>
  </conditionalFormatting>
  <conditionalFormatting sqref="F859">
    <cfRule type="containsText" dxfId="6118" priority="7812" operator="containsText" text="NO+$D$4:$D$10">
      <formula>NOT(ISERROR(SEARCH("NO+$D$4:$D$10",F859)))</formula>
    </cfRule>
  </conditionalFormatting>
  <conditionalFormatting sqref="F859">
    <cfRule type="containsText" dxfId="6117" priority="7810" operator="containsText" text="SI">
      <formula>NOT(ISERROR(SEARCH("SI",F859)))</formula>
    </cfRule>
    <cfRule type="containsText" dxfId="6116" priority="7811" operator="containsText" text="NO">
      <formula>NOT(ISERROR(SEARCH("NO",F859)))</formula>
    </cfRule>
  </conditionalFormatting>
  <conditionalFormatting sqref="F859">
    <cfRule type="containsText" dxfId="6115" priority="7809" operator="containsText" text="NUEVO">
      <formula>NOT(ISERROR(SEARCH("NUEVO",F859)))</formula>
    </cfRule>
  </conditionalFormatting>
  <conditionalFormatting sqref="C860:D860">
    <cfRule type="containsText" dxfId="6114" priority="7808" operator="containsText" text="NO+$D$4:$D$10">
      <formula>NOT(ISERROR(SEARCH("NO+$D$4:$D$10",C860)))</formula>
    </cfRule>
  </conditionalFormatting>
  <conditionalFormatting sqref="C860:D860">
    <cfRule type="containsText" dxfId="6113" priority="7806" operator="containsText" text="SI">
      <formula>NOT(ISERROR(SEARCH("SI",C860)))</formula>
    </cfRule>
    <cfRule type="containsText" dxfId="6112" priority="7807" operator="containsText" text="NO">
      <formula>NOT(ISERROR(SEARCH("NO",C860)))</formula>
    </cfRule>
  </conditionalFormatting>
  <conditionalFormatting sqref="E860">
    <cfRule type="containsText" dxfId="6111" priority="7805" operator="containsText" text="Sin información">
      <formula>NOT(ISERROR(SEARCH("Sin información",E860)))</formula>
    </cfRule>
  </conditionalFormatting>
  <conditionalFormatting sqref="C860:E860">
    <cfRule type="containsText" dxfId="6110" priority="7804" operator="containsText" text="NUEVO">
      <formula>NOT(ISERROR(SEARCH("NUEVO",C860)))</formula>
    </cfRule>
  </conditionalFormatting>
  <conditionalFormatting sqref="F860">
    <cfRule type="containsText" dxfId="6109" priority="7803" operator="containsText" text="NO+$D$4:$D$10">
      <formula>NOT(ISERROR(SEARCH("NO+$D$4:$D$10",F860)))</formula>
    </cfRule>
  </conditionalFormatting>
  <conditionalFormatting sqref="F860">
    <cfRule type="containsText" dxfId="6108" priority="7801" operator="containsText" text="SI">
      <formula>NOT(ISERROR(SEARCH("SI",F860)))</formula>
    </cfRule>
    <cfRule type="containsText" dxfId="6107" priority="7802" operator="containsText" text="NO">
      <formula>NOT(ISERROR(SEARCH("NO",F860)))</formula>
    </cfRule>
  </conditionalFormatting>
  <conditionalFormatting sqref="F860">
    <cfRule type="containsText" dxfId="6106" priority="7800" operator="containsText" text="NUEVO">
      <formula>NOT(ISERROR(SEARCH("NUEVO",F860)))</formula>
    </cfRule>
  </conditionalFormatting>
  <conditionalFormatting sqref="C861:D862">
    <cfRule type="containsText" dxfId="6105" priority="7799" operator="containsText" text="NO+$D$4:$D$10">
      <formula>NOT(ISERROR(SEARCH("NO+$D$4:$D$10",C861)))</formula>
    </cfRule>
  </conditionalFormatting>
  <conditionalFormatting sqref="C861:D862">
    <cfRule type="containsText" dxfId="6104" priority="7797" operator="containsText" text="SI">
      <formula>NOT(ISERROR(SEARCH("SI",C861)))</formula>
    </cfRule>
    <cfRule type="containsText" dxfId="6103" priority="7798" operator="containsText" text="NO">
      <formula>NOT(ISERROR(SEARCH("NO",C861)))</formula>
    </cfRule>
  </conditionalFormatting>
  <conditionalFormatting sqref="E861">
    <cfRule type="containsText" dxfId="6102" priority="7796" operator="containsText" text="Sin información">
      <formula>NOT(ISERROR(SEARCH("Sin información",E861)))</formula>
    </cfRule>
  </conditionalFormatting>
  <conditionalFormatting sqref="C861:E862">
    <cfRule type="containsText" dxfId="6101" priority="7795" operator="containsText" text="NUEVO">
      <formula>NOT(ISERROR(SEARCH("NUEVO",C861)))</formula>
    </cfRule>
  </conditionalFormatting>
  <conditionalFormatting sqref="E862">
    <cfRule type="containsText" dxfId="6100" priority="7794" operator="containsText" text="Sin información">
      <formula>NOT(ISERROR(SEARCH("Sin información",E862)))</formula>
    </cfRule>
  </conditionalFormatting>
  <conditionalFormatting sqref="F861:F862">
    <cfRule type="containsText" dxfId="6099" priority="7793" operator="containsText" text="NO+$D$4:$D$10">
      <formula>NOT(ISERROR(SEARCH("NO+$D$4:$D$10",F861)))</formula>
    </cfRule>
  </conditionalFormatting>
  <conditionalFormatting sqref="F861:F862">
    <cfRule type="containsText" dxfId="6098" priority="7791" operator="containsText" text="SI">
      <formula>NOT(ISERROR(SEARCH("SI",F861)))</formula>
    </cfRule>
    <cfRule type="containsText" dxfId="6097" priority="7792" operator="containsText" text="NO">
      <formula>NOT(ISERROR(SEARCH("NO",F861)))</formula>
    </cfRule>
  </conditionalFormatting>
  <conditionalFormatting sqref="F861:F862">
    <cfRule type="containsText" dxfId="6096" priority="7790" operator="containsText" text="NUEVO">
      <formula>NOT(ISERROR(SEARCH("NUEVO",F861)))</formula>
    </cfRule>
  </conditionalFormatting>
  <conditionalFormatting sqref="C863:D863">
    <cfRule type="containsText" dxfId="6095" priority="7789" operator="containsText" text="NO+$D$4:$D$10">
      <formula>NOT(ISERROR(SEARCH("NO+$D$4:$D$10",C863)))</formula>
    </cfRule>
  </conditionalFormatting>
  <conditionalFormatting sqref="C863:D863">
    <cfRule type="containsText" dxfId="6094" priority="7787" operator="containsText" text="SI">
      <formula>NOT(ISERROR(SEARCH("SI",C863)))</formula>
    </cfRule>
    <cfRule type="containsText" dxfId="6093" priority="7788" operator="containsText" text="NO">
      <formula>NOT(ISERROR(SEARCH("NO",C863)))</formula>
    </cfRule>
  </conditionalFormatting>
  <conditionalFormatting sqref="E863">
    <cfRule type="containsText" dxfId="6092" priority="7786" operator="containsText" text="Sin información">
      <formula>NOT(ISERROR(SEARCH("Sin información",E863)))</formula>
    </cfRule>
  </conditionalFormatting>
  <conditionalFormatting sqref="C863:E863">
    <cfRule type="containsText" dxfId="6091" priority="7785" operator="containsText" text="NUEVO">
      <formula>NOT(ISERROR(SEARCH("NUEVO",C863)))</formula>
    </cfRule>
  </conditionalFormatting>
  <conditionalFormatting sqref="F863">
    <cfRule type="containsText" dxfId="6090" priority="7784" operator="containsText" text="NO+$D$4:$D$10">
      <formula>NOT(ISERROR(SEARCH("NO+$D$4:$D$10",F863)))</formula>
    </cfRule>
  </conditionalFormatting>
  <conditionalFormatting sqref="F863">
    <cfRule type="containsText" dxfId="6089" priority="7782" operator="containsText" text="SI">
      <formula>NOT(ISERROR(SEARCH("SI",F863)))</formula>
    </cfRule>
    <cfRule type="containsText" dxfId="6088" priority="7783" operator="containsText" text="NO">
      <formula>NOT(ISERROR(SEARCH("NO",F863)))</formula>
    </cfRule>
  </conditionalFormatting>
  <conditionalFormatting sqref="F863">
    <cfRule type="containsText" dxfId="6087" priority="7781" operator="containsText" text="NUEVO">
      <formula>NOT(ISERROR(SEARCH("NUEVO",F863)))</formula>
    </cfRule>
  </conditionalFormatting>
  <conditionalFormatting sqref="C864:D864">
    <cfRule type="containsText" dxfId="6086" priority="7780" operator="containsText" text="NO+$D$4:$D$10">
      <formula>NOT(ISERROR(SEARCH("NO+$D$4:$D$10",C864)))</formula>
    </cfRule>
  </conditionalFormatting>
  <conditionalFormatting sqref="C864:D864">
    <cfRule type="containsText" dxfId="6085" priority="7778" operator="containsText" text="SI">
      <formula>NOT(ISERROR(SEARCH("SI",C864)))</formula>
    </cfRule>
    <cfRule type="containsText" dxfId="6084" priority="7779" operator="containsText" text="NO">
      <formula>NOT(ISERROR(SEARCH("NO",C864)))</formula>
    </cfRule>
  </conditionalFormatting>
  <conditionalFormatting sqref="E864">
    <cfRule type="containsText" dxfId="6083" priority="7777" operator="containsText" text="Sin información">
      <formula>NOT(ISERROR(SEARCH("Sin información",E864)))</formula>
    </cfRule>
  </conditionalFormatting>
  <conditionalFormatting sqref="C864:E864">
    <cfRule type="containsText" dxfId="6082" priority="7776" operator="containsText" text="NUEVO">
      <formula>NOT(ISERROR(SEARCH("NUEVO",C864)))</formula>
    </cfRule>
  </conditionalFormatting>
  <conditionalFormatting sqref="C865:D866">
    <cfRule type="containsText" dxfId="6081" priority="7775" operator="containsText" text="NO+$D$4:$D$10">
      <formula>NOT(ISERROR(SEARCH("NO+$D$4:$D$10",C865)))</formula>
    </cfRule>
  </conditionalFormatting>
  <conditionalFormatting sqref="C865:D866">
    <cfRule type="containsText" dxfId="6080" priority="7773" operator="containsText" text="SI">
      <formula>NOT(ISERROR(SEARCH("SI",C865)))</formula>
    </cfRule>
    <cfRule type="containsText" dxfId="6079" priority="7774" operator="containsText" text="NO">
      <formula>NOT(ISERROR(SEARCH("NO",C865)))</formula>
    </cfRule>
  </conditionalFormatting>
  <conditionalFormatting sqref="E865:E866">
    <cfRule type="containsText" dxfId="6078" priority="7772" operator="containsText" text="Sin información">
      <formula>NOT(ISERROR(SEARCH("Sin información",E865)))</formula>
    </cfRule>
  </conditionalFormatting>
  <conditionalFormatting sqref="C865:E866">
    <cfRule type="containsText" dxfId="6077" priority="7771" operator="containsText" text="NUEVO">
      <formula>NOT(ISERROR(SEARCH("NUEVO",C865)))</formula>
    </cfRule>
  </conditionalFormatting>
  <conditionalFormatting sqref="C867:D867">
    <cfRule type="containsText" dxfId="6076" priority="7770" operator="containsText" text="NO+$D$4:$D$10">
      <formula>NOT(ISERROR(SEARCH("NO+$D$4:$D$10",C867)))</formula>
    </cfRule>
  </conditionalFormatting>
  <conditionalFormatting sqref="C867:D867">
    <cfRule type="containsText" dxfId="6075" priority="7768" operator="containsText" text="SI">
      <formula>NOT(ISERROR(SEARCH("SI",C867)))</formula>
    </cfRule>
    <cfRule type="containsText" dxfId="6074" priority="7769" operator="containsText" text="NO">
      <formula>NOT(ISERROR(SEARCH("NO",C867)))</formula>
    </cfRule>
  </conditionalFormatting>
  <conditionalFormatting sqref="C867:D867">
    <cfRule type="containsText" dxfId="6073" priority="7767" operator="containsText" text="NUEVO">
      <formula>NOT(ISERROR(SEARCH("NUEVO",C867)))</formula>
    </cfRule>
  </conditionalFormatting>
  <conditionalFormatting sqref="E867">
    <cfRule type="containsText" dxfId="6072" priority="7766" operator="containsText" text="Sin información">
      <formula>NOT(ISERROR(SEARCH("Sin información",E867)))</formula>
    </cfRule>
  </conditionalFormatting>
  <conditionalFormatting sqref="E867">
    <cfRule type="containsText" dxfId="6071" priority="7765" operator="containsText" text="NUEVO">
      <formula>NOT(ISERROR(SEARCH("NUEVO",E867)))</formula>
    </cfRule>
  </conditionalFormatting>
  <conditionalFormatting sqref="C868:D869">
    <cfRule type="containsText" dxfId="6070" priority="7764" operator="containsText" text="NO+$D$4:$D$10">
      <formula>NOT(ISERROR(SEARCH("NO+$D$4:$D$10",C868)))</formula>
    </cfRule>
  </conditionalFormatting>
  <conditionalFormatting sqref="C868:D869">
    <cfRule type="containsText" dxfId="6069" priority="7762" operator="containsText" text="SI">
      <formula>NOT(ISERROR(SEARCH("SI",C868)))</formula>
    </cfRule>
    <cfRule type="containsText" dxfId="6068" priority="7763" operator="containsText" text="NO">
      <formula>NOT(ISERROR(SEARCH("NO",C868)))</formula>
    </cfRule>
  </conditionalFormatting>
  <conditionalFormatting sqref="C868:D869">
    <cfRule type="containsText" dxfId="6067" priority="7761" operator="containsText" text="NUEVO">
      <formula>NOT(ISERROR(SEARCH("NUEVO",C868)))</formula>
    </cfRule>
  </conditionalFormatting>
  <conditionalFormatting sqref="E868:E869">
    <cfRule type="containsText" dxfId="6066" priority="7760" operator="containsText" text="Sin información">
      <formula>NOT(ISERROR(SEARCH("Sin información",E868)))</formula>
    </cfRule>
  </conditionalFormatting>
  <conditionalFormatting sqref="E868:E869">
    <cfRule type="containsText" dxfId="6065" priority="7759" operator="containsText" text="NUEVO">
      <formula>NOT(ISERROR(SEARCH("NUEVO",E868)))</formula>
    </cfRule>
  </conditionalFormatting>
  <conditionalFormatting sqref="E870 E872">
    <cfRule type="containsText" dxfId="6064" priority="7758" operator="containsText" text="Sin información">
      <formula>NOT(ISERROR(SEARCH("Sin información",E870)))</formula>
    </cfRule>
  </conditionalFormatting>
  <conditionalFormatting sqref="E872 E870">
    <cfRule type="containsText" dxfId="6063" priority="7757" operator="containsText" text="NUEVO">
      <formula>NOT(ISERROR(SEARCH("NUEVO",E870)))</formula>
    </cfRule>
  </conditionalFormatting>
  <conditionalFormatting sqref="E871">
    <cfRule type="containsText" dxfId="6062" priority="7756" operator="containsText" text="Sin información">
      <formula>NOT(ISERROR(SEARCH("Sin información",E871)))</formula>
    </cfRule>
  </conditionalFormatting>
  <conditionalFormatting sqref="E871">
    <cfRule type="containsText" dxfId="6061" priority="7755" operator="containsText" text="NUEVO">
      <formula>NOT(ISERROR(SEARCH("NUEVO",E871)))</formula>
    </cfRule>
  </conditionalFormatting>
  <conditionalFormatting sqref="C874:D875">
    <cfRule type="containsText" dxfId="6060" priority="7754" operator="containsText" text="NO+$D$4:$D$10">
      <formula>NOT(ISERROR(SEARCH("NO+$D$4:$D$10",C874)))</formula>
    </cfRule>
  </conditionalFormatting>
  <conditionalFormatting sqref="C874:D875">
    <cfRule type="containsText" dxfId="6059" priority="7752" operator="containsText" text="SI">
      <formula>NOT(ISERROR(SEARCH("SI",C874)))</formula>
    </cfRule>
    <cfRule type="containsText" dxfId="6058" priority="7753" operator="containsText" text="NO">
      <formula>NOT(ISERROR(SEARCH("NO",C874)))</formula>
    </cfRule>
  </conditionalFormatting>
  <conditionalFormatting sqref="E874:E875">
    <cfRule type="containsText" dxfId="6057" priority="7751" operator="containsText" text="Sin información">
      <formula>NOT(ISERROR(SEARCH("Sin información",E874)))</formula>
    </cfRule>
  </conditionalFormatting>
  <conditionalFormatting sqref="C874:E875">
    <cfRule type="containsText" dxfId="6056" priority="7750" operator="containsText" text="NUEVO">
      <formula>NOT(ISERROR(SEARCH("NUEVO",C874)))</formula>
    </cfRule>
  </conditionalFormatting>
  <conditionalFormatting sqref="C876:D876">
    <cfRule type="containsText" dxfId="6055" priority="7749" operator="containsText" text="NO+$D$4:$D$10">
      <formula>NOT(ISERROR(SEARCH("NO+$D$4:$D$10",C876)))</formula>
    </cfRule>
  </conditionalFormatting>
  <conditionalFormatting sqref="C876:D876">
    <cfRule type="containsText" dxfId="6054" priority="7747" operator="containsText" text="SI">
      <formula>NOT(ISERROR(SEARCH("SI",C876)))</formula>
    </cfRule>
    <cfRule type="containsText" dxfId="6053" priority="7748" operator="containsText" text="NO">
      <formula>NOT(ISERROR(SEARCH("NO",C876)))</formula>
    </cfRule>
  </conditionalFormatting>
  <conditionalFormatting sqref="E876">
    <cfRule type="containsText" dxfId="6052" priority="7746" operator="containsText" text="Sin información">
      <formula>NOT(ISERROR(SEARCH("Sin información",E876)))</formula>
    </cfRule>
  </conditionalFormatting>
  <conditionalFormatting sqref="C876:E876">
    <cfRule type="containsText" dxfId="6051" priority="7745" operator="containsText" text="NUEVO">
      <formula>NOT(ISERROR(SEARCH("NUEVO",C876)))</formula>
    </cfRule>
  </conditionalFormatting>
  <conditionalFormatting sqref="C878:D878">
    <cfRule type="containsText" dxfId="6050" priority="7744" operator="containsText" text="NO+$D$4:$D$10">
      <formula>NOT(ISERROR(SEARCH("NO+$D$4:$D$10",C878)))</formula>
    </cfRule>
  </conditionalFormatting>
  <conditionalFormatting sqref="C878:D878">
    <cfRule type="containsText" dxfId="6049" priority="7742" operator="containsText" text="SI">
      <formula>NOT(ISERROR(SEARCH("SI",C878)))</formula>
    </cfRule>
    <cfRule type="containsText" dxfId="6048" priority="7743" operator="containsText" text="NO">
      <formula>NOT(ISERROR(SEARCH("NO",C878)))</formula>
    </cfRule>
  </conditionalFormatting>
  <conditionalFormatting sqref="C878:D878">
    <cfRule type="containsText" dxfId="6047" priority="7741" operator="containsText" text="NUEVO">
      <formula>NOT(ISERROR(SEARCH("NUEVO",C878)))</formula>
    </cfRule>
  </conditionalFormatting>
  <conditionalFormatting sqref="E878">
    <cfRule type="containsText" dxfId="6046" priority="7740" operator="containsText" text="Sin información">
      <formula>NOT(ISERROR(SEARCH("Sin información",E878)))</formula>
    </cfRule>
  </conditionalFormatting>
  <conditionalFormatting sqref="E878">
    <cfRule type="containsText" dxfId="6045" priority="7739" operator="containsText" text="NUEVO">
      <formula>NOT(ISERROR(SEARCH("NUEVO",E878)))</formula>
    </cfRule>
  </conditionalFormatting>
  <conditionalFormatting sqref="C879:D879">
    <cfRule type="containsText" dxfId="6044" priority="7738" operator="containsText" text="NO+$D$4:$D$10">
      <formula>NOT(ISERROR(SEARCH("NO+$D$4:$D$10",C879)))</formula>
    </cfRule>
  </conditionalFormatting>
  <conditionalFormatting sqref="C879:D879">
    <cfRule type="containsText" dxfId="6043" priority="7736" operator="containsText" text="SI">
      <formula>NOT(ISERROR(SEARCH("SI",C879)))</formula>
    </cfRule>
    <cfRule type="containsText" dxfId="6042" priority="7737" operator="containsText" text="NO">
      <formula>NOT(ISERROR(SEARCH("NO",C879)))</formula>
    </cfRule>
  </conditionalFormatting>
  <conditionalFormatting sqref="E879">
    <cfRule type="containsText" dxfId="6041" priority="7735" operator="containsText" text="Sin información">
      <formula>NOT(ISERROR(SEARCH("Sin información",E879)))</formula>
    </cfRule>
  </conditionalFormatting>
  <conditionalFormatting sqref="C879:E879">
    <cfRule type="containsText" dxfId="6040" priority="7734" operator="containsText" text="NUEVO">
      <formula>NOT(ISERROR(SEARCH("NUEVO",C879)))</formula>
    </cfRule>
  </conditionalFormatting>
  <conditionalFormatting sqref="C880:D880">
    <cfRule type="containsText" dxfId="6039" priority="7733" operator="containsText" text="NO+$D$4:$D$10">
      <formula>NOT(ISERROR(SEARCH("NO+$D$4:$D$10",C880)))</formula>
    </cfRule>
  </conditionalFormatting>
  <conditionalFormatting sqref="C880:D880">
    <cfRule type="containsText" dxfId="6038" priority="7731" operator="containsText" text="SI">
      <formula>NOT(ISERROR(SEARCH("SI",C880)))</formula>
    </cfRule>
    <cfRule type="containsText" dxfId="6037" priority="7732" operator="containsText" text="NO">
      <formula>NOT(ISERROR(SEARCH("NO",C880)))</formula>
    </cfRule>
  </conditionalFormatting>
  <conditionalFormatting sqref="E880">
    <cfRule type="containsText" dxfId="6036" priority="7730" operator="containsText" text="Sin información">
      <formula>NOT(ISERROR(SEARCH("Sin información",E880)))</formula>
    </cfRule>
  </conditionalFormatting>
  <conditionalFormatting sqref="C880:E880">
    <cfRule type="containsText" dxfId="6035" priority="7729" operator="containsText" text="NUEVO">
      <formula>NOT(ISERROR(SEARCH("NUEVO",C880)))</formula>
    </cfRule>
  </conditionalFormatting>
  <conditionalFormatting sqref="C881:D881">
    <cfRule type="containsText" dxfId="6034" priority="7728" operator="containsText" text="NO+$D$4:$D$10">
      <formula>NOT(ISERROR(SEARCH("NO+$D$4:$D$10",C881)))</formula>
    </cfRule>
  </conditionalFormatting>
  <conditionalFormatting sqref="C881:D881">
    <cfRule type="containsText" dxfId="6033" priority="7726" operator="containsText" text="SI">
      <formula>NOT(ISERROR(SEARCH("SI",C881)))</formula>
    </cfRule>
    <cfRule type="containsText" dxfId="6032" priority="7727" operator="containsText" text="NO">
      <formula>NOT(ISERROR(SEARCH("NO",C881)))</formula>
    </cfRule>
  </conditionalFormatting>
  <conditionalFormatting sqref="E881">
    <cfRule type="containsText" dxfId="6031" priority="7725" operator="containsText" text="Sin información">
      <formula>NOT(ISERROR(SEARCH("Sin información",E881)))</formula>
    </cfRule>
  </conditionalFormatting>
  <conditionalFormatting sqref="C881:D881">
    <cfRule type="containsText" dxfId="6030" priority="7724" operator="containsText" text="NUEVO">
      <formula>NOT(ISERROR(SEARCH("NUEVO",C881)))</formula>
    </cfRule>
  </conditionalFormatting>
  <conditionalFormatting sqref="E881">
    <cfRule type="containsText" dxfId="6029" priority="7723" operator="containsText" text="Sin información">
      <formula>NOT(ISERROR(SEARCH("Sin información",E881)))</formula>
    </cfRule>
  </conditionalFormatting>
  <conditionalFormatting sqref="C882:D882">
    <cfRule type="containsText" dxfId="6028" priority="7722" operator="containsText" text="NO+$D$4:$D$10">
      <formula>NOT(ISERROR(SEARCH("NO+$D$4:$D$10",C882)))</formula>
    </cfRule>
  </conditionalFormatting>
  <conditionalFormatting sqref="C882:D882">
    <cfRule type="containsText" dxfId="6027" priority="7720" operator="containsText" text="SI">
      <formula>NOT(ISERROR(SEARCH("SI",C882)))</formula>
    </cfRule>
    <cfRule type="containsText" dxfId="6026" priority="7721" operator="containsText" text="NO">
      <formula>NOT(ISERROR(SEARCH("NO",C882)))</formula>
    </cfRule>
  </conditionalFormatting>
  <conditionalFormatting sqref="E882">
    <cfRule type="containsText" dxfId="6025" priority="7719" operator="containsText" text="Sin información">
      <formula>NOT(ISERROR(SEARCH("Sin información",E882)))</formula>
    </cfRule>
  </conditionalFormatting>
  <conditionalFormatting sqref="C882:E882">
    <cfRule type="containsText" dxfId="6024" priority="7718" operator="containsText" text="NUEVO">
      <formula>NOT(ISERROR(SEARCH("NUEVO",C882)))</formula>
    </cfRule>
  </conditionalFormatting>
  <conditionalFormatting sqref="C883:D883">
    <cfRule type="containsText" dxfId="6023" priority="7717" operator="containsText" text="NO+$D$4:$D$10">
      <formula>NOT(ISERROR(SEARCH("NO+$D$4:$D$10",C883)))</formula>
    </cfRule>
  </conditionalFormatting>
  <conditionalFormatting sqref="C883:D883">
    <cfRule type="containsText" dxfId="6022" priority="7715" operator="containsText" text="SI">
      <formula>NOT(ISERROR(SEARCH("SI",C883)))</formula>
    </cfRule>
    <cfRule type="containsText" dxfId="6021" priority="7716" operator="containsText" text="NO">
      <formula>NOT(ISERROR(SEARCH("NO",C883)))</formula>
    </cfRule>
  </conditionalFormatting>
  <conditionalFormatting sqref="E883">
    <cfRule type="containsText" dxfId="6020" priority="7714" operator="containsText" text="Sin información">
      <formula>NOT(ISERROR(SEARCH("Sin información",E883)))</formula>
    </cfRule>
  </conditionalFormatting>
  <conditionalFormatting sqref="C883:E883">
    <cfRule type="containsText" dxfId="6019" priority="7713" operator="containsText" text="NUEVO">
      <formula>NOT(ISERROR(SEARCH("NUEVO",C883)))</formula>
    </cfRule>
  </conditionalFormatting>
  <conditionalFormatting sqref="C884:D884">
    <cfRule type="containsText" dxfId="6018" priority="7712" operator="containsText" text="NO+$D$4:$D$10">
      <formula>NOT(ISERROR(SEARCH("NO+$D$4:$D$10",C884)))</formula>
    </cfRule>
  </conditionalFormatting>
  <conditionalFormatting sqref="C884:D884">
    <cfRule type="containsText" dxfId="6017" priority="7710" operator="containsText" text="SI">
      <formula>NOT(ISERROR(SEARCH("SI",C884)))</formula>
    </cfRule>
    <cfRule type="containsText" dxfId="6016" priority="7711" operator="containsText" text="NO">
      <formula>NOT(ISERROR(SEARCH("NO",C884)))</formula>
    </cfRule>
  </conditionalFormatting>
  <conditionalFormatting sqref="E884">
    <cfRule type="containsText" dxfId="6015" priority="7709" operator="containsText" text="Sin información">
      <formula>NOT(ISERROR(SEARCH("Sin información",E884)))</formula>
    </cfRule>
  </conditionalFormatting>
  <conditionalFormatting sqref="C884:E884">
    <cfRule type="containsText" dxfId="6014" priority="7708" operator="containsText" text="NUEVO">
      <formula>NOT(ISERROR(SEARCH("NUEVO",C884)))</formula>
    </cfRule>
  </conditionalFormatting>
  <conditionalFormatting sqref="C885:D886">
    <cfRule type="containsText" dxfId="6013" priority="7707" operator="containsText" text="NO+$D$4:$D$10">
      <formula>NOT(ISERROR(SEARCH("NO+$D$4:$D$10",C885)))</formula>
    </cfRule>
  </conditionalFormatting>
  <conditionalFormatting sqref="C885:D886">
    <cfRule type="containsText" dxfId="6012" priority="7705" operator="containsText" text="SI">
      <formula>NOT(ISERROR(SEARCH("SI",C885)))</formula>
    </cfRule>
    <cfRule type="containsText" dxfId="6011" priority="7706" operator="containsText" text="NO">
      <formula>NOT(ISERROR(SEARCH("NO",C885)))</formula>
    </cfRule>
  </conditionalFormatting>
  <conditionalFormatting sqref="E885:E886">
    <cfRule type="containsText" dxfId="6010" priority="7704" operator="containsText" text="Sin información">
      <formula>NOT(ISERROR(SEARCH("Sin información",E885)))</formula>
    </cfRule>
  </conditionalFormatting>
  <conditionalFormatting sqref="C885:E886">
    <cfRule type="containsText" dxfId="6009" priority="7703" operator="containsText" text="NUEVO">
      <formula>NOT(ISERROR(SEARCH("NUEVO",C885)))</formula>
    </cfRule>
  </conditionalFormatting>
  <conditionalFormatting sqref="C887:D888">
    <cfRule type="containsText" dxfId="6008" priority="7702" operator="containsText" text="NO+$D$4:$D$10">
      <formula>NOT(ISERROR(SEARCH("NO+$D$4:$D$10",C887)))</formula>
    </cfRule>
  </conditionalFormatting>
  <conditionalFormatting sqref="C887:D888">
    <cfRule type="containsText" dxfId="6007" priority="7700" operator="containsText" text="SI">
      <formula>NOT(ISERROR(SEARCH("SI",C887)))</formula>
    </cfRule>
    <cfRule type="containsText" dxfId="6006" priority="7701" operator="containsText" text="NO">
      <formula>NOT(ISERROR(SEARCH("NO",C887)))</formula>
    </cfRule>
  </conditionalFormatting>
  <conditionalFormatting sqref="E887:E888">
    <cfRule type="containsText" dxfId="6005" priority="7699" operator="containsText" text="Sin información">
      <formula>NOT(ISERROR(SEARCH("Sin información",E887)))</formula>
    </cfRule>
  </conditionalFormatting>
  <conditionalFormatting sqref="C887:E888">
    <cfRule type="containsText" dxfId="6004" priority="7698" operator="containsText" text="NUEVO">
      <formula>NOT(ISERROR(SEARCH("NUEVO",C887)))</formula>
    </cfRule>
  </conditionalFormatting>
  <conditionalFormatting sqref="C889:D891">
    <cfRule type="containsText" dxfId="6003" priority="7697" operator="containsText" text="NO+$D$4:$D$10">
      <formula>NOT(ISERROR(SEARCH("NO+$D$4:$D$10",C889)))</formula>
    </cfRule>
  </conditionalFormatting>
  <conditionalFormatting sqref="C889:D891">
    <cfRule type="containsText" dxfId="6002" priority="7695" operator="containsText" text="SI">
      <formula>NOT(ISERROR(SEARCH("SI",C889)))</formula>
    </cfRule>
    <cfRule type="containsText" dxfId="6001" priority="7696" operator="containsText" text="NO">
      <formula>NOT(ISERROR(SEARCH("NO",C889)))</formula>
    </cfRule>
  </conditionalFormatting>
  <conditionalFormatting sqref="E890:E891">
    <cfRule type="containsText" dxfId="6000" priority="7694" operator="containsText" text="Sin información">
      <formula>NOT(ISERROR(SEARCH("Sin información",E890)))</formula>
    </cfRule>
  </conditionalFormatting>
  <conditionalFormatting sqref="E890:E891 C889:D891">
    <cfRule type="containsText" dxfId="5999" priority="7693" operator="containsText" text="NUEVO">
      <formula>NOT(ISERROR(SEARCH("NUEVO",C889)))</formula>
    </cfRule>
  </conditionalFormatting>
  <conditionalFormatting sqref="E889">
    <cfRule type="containsText" dxfId="5998" priority="7692" operator="containsText" text="Sin información">
      <formula>NOT(ISERROR(SEARCH("Sin información",E889)))</formula>
    </cfRule>
  </conditionalFormatting>
  <conditionalFormatting sqref="E889">
    <cfRule type="containsText" dxfId="5997" priority="7691" operator="containsText" text="NUEVO">
      <formula>NOT(ISERROR(SEARCH("NUEVO",E889)))</formula>
    </cfRule>
  </conditionalFormatting>
  <conditionalFormatting sqref="C893:D893">
    <cfRule type="containsText" dxfId="5996" priority="7690" operator="containsText" text="NUEVO">
      <formula>NOT(ISERROR(SEARCH("NUEVO",C893)))</formula>
    </cfRule>
  </conditionalFormatting>
  <conditionalFormatting sqref="E893">
    <cfRule type="containsText" dxfId="5995" priority="7689" operator="containsText" text="Sin información">
      <formula>NOT(ISERROR(SEARCH("Sin información",E893)))</formula>
    </cfRule>
  </conditionalFormatting>
  <conditionalFormatting sqref="E893">
    <cfRule type="containsText" dxfId="5994" priority="7688" operator="containsText" text="NUEVO">
      <formula>NOT(ISERROR(SEARCH("NUEVO",E893)))</formula>
    </cfRule>
  </conditionalFormatting>
  <conditionalFormatting sqref="C894:D894">
    <cfRule type="containsText" dxfId="5993" priority="7687" operator="containsText" text="NO+$D$4:$D$10">
      <formula>NOT(ISERROR(SEARCH("NO+$D$4:$D$10",C894)))</formula>
    </cfRule>
  </conditionalFormatting>
  <conditionalFormatting sqref="C894:D894">
    <cfRule type="containsText" dxfId="5992" priority="7685" operator="containsText" text="SI">
      <formula>NOT(ISERROR(SEARCH("SI",C894)))</formula>
    </cfRule>
    <cfRule type="containsText" dxfId="5991" priority="7686" operator="containsText" text="NO">
      <formula>NOT(ISERROR(SEARCH("NO",C894)))</formula>
    </cfRule>
  </conditionalFormatting>
  <conditionalFormatting sqref="E894">
    <cfRule type="containsText" dxfId="5990" priority="7684" operator="containsText" text="Sin información">
      <formula>NOT(ISERROR(SEARCH("Sin información",E894)))</formula>
    </cfRule>
  </conditionalFormatting>
  <conditionalFormatting sqref="C894:E894">
    <cfRule type="containsText" dxfId="5989" priority="7683" operator="containsText" text="NUEVO">
      <formula>NOT(ISERROR(SEARCH("NUEVO",C894)))</formula>
    </cfRule>
  </conditionalFormatting>
  <conditionalFormatting sqref="C895:D896">
    <cfRule type="containsText" dxfId="5988" priority="7682" operator="containsText" text="NO+$D$4:$D$10">
      <formula>NOT(ISERROR(SEARCH("NO+$D$4:$D$10",C895)))</formula>
    </cfRule>
  </conditionalFormatting>
  <conditionalFormatting sqref="C895:D896">
    <cfRule type="containsText" dxfId="5987" priority="7680" operator="containsText" text="SI">
      <formula>NOT(ISERROR(SEARCH("SI",C895)))</formula>
    </cfRule>
    <cfRule type="containsText" dxfId="5986" priority="7681" operator="containsText" text="NO">
      <formula>NOT(ISERROR(SEARCH("NO",C895)))</formula>
    </cfRule>
  </conditionalFormatting>
  <conditionalFormatting sqref="E895:E896">
    <cfRule type="containsText" dxfId="5985" priority="7679" operator="containsText" text="Sin información">
      <formula>NOT(ISERROR(SEARCH("Sin información",E895)))</formula>
    </cfRule>
  </conditionalFormatting>
  <conditionalFormatting sqref="C895:E896">
    <cfRule type="containsText" dxfId="5984" priority="7678" operator="containsText" text="NUEVO">
      <formula>NOT(ISERROR(SEARCH("NUEVO",C895)))</formula>
    </cfRule>
  </conditionalFormatting>
  <conditionalFormatting sqref="C897:D897">
    <cfRule type="containsText" dxfId="5983" priority="7677" operator="containsText" text="NO+$D$4:$D$10">
      <formula>NOT(ISERROR(SEARCH("NO+$D$4:$D$10",C897)))</formula>
    </cfRule>
  </conditionalFormatting>
  <conditionalFormatting sqref="C897:D897">
    <cfRule type="containsText" dxfId="5982" priority="7675" operator="containsText" text="SI">
      <formula>NOT(ISERROR(SEARCH("SI",C897)))</formula>
    </cfRule>
    <cfRule type="containsText" dxfId="5981" priority="7676" operator="containsText" text="NO">
      <formula>NOT(ISERROR(SEARCH("NO",C897)))</formula>
    </cfRule>
  </conditionalFormatting>
  <conditionalFormatting sqref="E897">
    <cfRule type="containsText" dxfId="5980" priority="7674" operator="containsText" text="Sin información">
      <formula>NOT(ISERROR(SEARCH("Sin información",E897)))</formula>
    </cfRule>
  </conditionalFormatting>
  <conditionalFormatting sqref="C897:E897">
    <cfRule type="containsText" dxfId="5979" priority="7673" operator="containsText" text="NUEVO">
      <formula>NOT(ISERROR(SEARCH("NUEVO",C897)))</formula>
    </cfRule>
  </conditionalFormatting>
  <conditionalFormatting sqref="C909:D909">
    <cfRule type="containsText" dxfId="5978" priority="7667" operator="containsText" text="NO+$D$4:$D$10">
      <formula>NOT(ISERROR(SEARCH("NO+$D$4:$D$10",C909)))</formula>
    </cfRule>
  </conditionalFormatting>
  <conditionalFormatting sqref="C909:D909">
    <cfRule type="containsText" dxfId="5977" priority="7665" operator="containsText" text="SI">
      <formula>NOT(ISERROR(SEARCH("SI",C909)))</formula>
    </cfRule>
    <cfRule type="containsText" dxfId="5976" priority="7666" operator="containsText" text="NO">
      <formula>NOT(ISERROR(SEARCH("NO",C909)))</formula>
    </cfRule>
  </conditionalFormatting>
  <conditionalFormatting sqref="E909">
    <cfRule type="containsText" dxfId="5975" priority="7664" operator="containsText" text="Sin información">
      <formula>NOT(ISERROR(SEARCH("Sin información",E909)))</formula>
    </cfRule>
  </conditionalFormatting>
  <conditionalFormatting sqref="C909:E909">
    <cfRule type="containsText" dxfId="5974" priority="7663" operator="containsText" text="NUEVO">
      <formula>NOT(ISERROR(SEARCH("NUEVO",C909)))</formula>
    </cfRule>
  </conditionalFormatting>
  <conditionalFormatting sqref="C910:D911">
    <cfRule type="containsText" dxfId="5973" priority="7656" operator="containsText" text="NO+$D$4:$D$10">
      <formula>NOT(ISERROR(SEARCH("NO+$D$4:$D$10",C910)))</formula>
    </cfRule>
  </conditionalFormatting>
  <conditionalFormatting sqref="C910:D911">
    <cfRule type="containsText" dxfId="5972" priority="7654" operator="containsText" text="SI">
      <formula>NOT(ISERROR(SEARCH("SI",C910)))</formula>
    </cfRule>
    <cfRule type="containsText" dxfId="5971" priority="7655" operator="containsText" text="NO">
      <formula>NOT(ISERROR(SEARCH("NO",C910)))</formula>
    </cfRule>
  </conditionalFormatting>
  <conditionalFormatting sqref="E910:E911">
    <cfRule type="containsText" dxfId="5970" priority="7653" operator="containsText" text="Sin información">
      <formula>NOT(ISERROR(SEARCH("Sin información",E910)))</formula>
    </cfRule>
  </conditionalFormatting>
  <conditionalFormatting sqref="C910:E911">
    <cfRule type="containsText" dxfId="5969" priority="7652" operator="containsText" text="NUEVO">
      <formula>NOT(ISERROR(SEARCH("NUEVO",C910)))</formula>
    </cfRule>
  </conditionalFormatting>
  <conditionalFormatting sqref="E914">
    <cfRule type="containsText" dxfId="5968" priority="7646" operator="containsText" text="Sin información">
      <formula>NOT(ISERROR(SEARCH("Sin información",E914)))</formula>
    </cfRule>
  </conditionalFormatting>
  <conditionalFormatting sqref="E914">
    <cfRule type="containsText" dxfId="5967" priority="7645" operator="containsText" text="NUEVO">
      <formula>NOT(ISERROR(SEARCH("NUEVO",E914)))</formula>
    </cfRule>
  </conditionalFormatting>
  <conditionalFormatting sqref="C915:D915">
    <cfRule type="containsText" dxfId="5966" priority="7644" operator="containsText" text="NO+$D$4:$D$10">
      <formula>NOT(ISERROR(SEARCH("NO+$D$4:$D$10",C915)))</formula>
    </cfRule>
  </conditionalFormatting>
  <conditionalFormatting sqref="C915:D915">
    <cfRule type="containsText" dxfId="5965" priority="7642" operator="containsText" text="SI">
      <formula>NOT(ISERROR(SEARCH("SI",C915)))</formula>
    </cfRule>
    <cfRule type="containsText" dxfId="5964" priority="7643" operator="containsText" text="NO">
      <formula>NOT(ISERROR(SEARCH("NO",C915)))</formula>
    </cfRule>
  </conditionalFormatting>
  <conditionalFormatting sqref="E915">
    <cfRule type="containsText" dxfId="5963" priority="7641" operator="containsText" text="Sin información">
      <formula>NOT(ISERROR(SEARCH("Sin información",E915)))</formula>
    </cfRule>
  </conditionalFormatting>
  <conditionalFormatting sqref="C915:E915">
    <cfRule type="containsText" dxfId="5962" priority="7640" operator="containsText" text="NUEVO">
      <formula>NOT(ISERROR(SEARCH("NUEVO",C915)))</formula>
    </cfRule>
  </conditionalFormatting>
  <conditionalFormatting sqref="C916:D918">
    <cfRule type="containsText" dxfId="5961" priority="7639" operator="containsText" text="NO+$D$4:$D$10">
      <formula>NOT(ISERROR(SEARCH("NO+$D$4:$D$10",C916)))</formula>
    </cfRule>
  </conditionalFormatting>
  <conditionalFormatting sqref="C916:D918">
    <cfRule type="containsText" dxfId="5960" priority="7637" operator="containsText" text="SI">
      <formula>NOT(ISERROR(SEARCH("SI",C916)))</formula>
    </cfRule>
    <cfRule type="containsText" dxfId="5959" priority="7638" operator="containsText" text="NO">
      <formula>NOT(ISERROR(SEARCH("NO",C916)))</formula>
    </cfRule>
  </conditionalFormatting>
  <conditionalFormatting sqref="E916:E918">
    <cfRule type="containsText" dxfId="5958" priority="7636" operator="containsText" text="Sin información">
      <formula>NOT(ISERROR(SEARCH("Sin información",E916)))</formula>
    </cfRule>
  </conditionalFormatting>
  <conditionalFormatting sqref="C916:E918">
    <cfRule type="containsText" dxfId="5957" priority="7635" operator="containsText" text="NUEVO">
      <formula>NOT(ISERROR(SEARCH("NUEVO",C916)))</formula>
    </cfRule>
  </conditionalFormatting>
  <conditionalFormatting sqref="C919:D919">
    <cfRule type="containsText" dxfId="5956" priority="7634" operator="containsText" text="NO+$D$4:$D$10">
      <formula>NOT(ISERROR(SEARCH("NO+$D$4:$D$10",C919)))</formula>
    </cfRule>
  </conditionalFormatting>
  <conditionalFormatting sqref="C919:D919">
    <cfRule type="containsText" dxfId="5955" priority="7632" operator="containsText" text="SI">
      <formula>NOT(ISERROR(SEARCH("SI",C919)))</formula>
    </cfRule>
    <cfRule type="containsText" dxfId="5954" priority="7633" operator="containsText" text="NO">
      <formula>NOT(ISERROR(SEARCH("NO",C919)))</formula>
    </cfRule>
  </conditionalFormatting>
  <conditionalFormatting sqref="E919">
    <cfRule type="containsText" dxfId="5953" priority="7631" operator="containsText" text="Sin información">
      <formula>NOT(ISERROR(SEARCH("Sin información",E919)))</formula>
    </cfRule>
  </conditionalFormatting>
  <conditionalFormatting sqref="C919:E919">
    <cfRule type="containsText" dxfId="5952" priority="7630" operator="containsText" text="NUEVO">
      <formula>NOT(ISERROR(SEARCH("NUEVO",C919)))</formula>
    </cfRule>
  </conditionalFormatting>
  <conditionalFormatting sqref="C920:D922">
    <cfRule type="containsText" dxfId="5951" priority="7629" operator="containsText" text="NO+$D$4:$D$10">
      <formula>NOT(ISERROR(SEARCH("NO+$D$4:$D$10",C920)))</formula>
    </cfRule>
  </conditionalFormatting>
  <conditionalFormatting sqref="C920:D922">
    <cfRule type="containsText" dxfId="5950" priority="7627" operator="containsText" text="SI">
      <formula>NOT(ISERROR(SEARCH("SI",C920)))</formula>
    </cfRule>
    <cfRule type="containsText" dxfId="5949" priority="7628" operator="containsText" text="NO">
      <formula>NOT(ISERROR(SEARCH("NO",C920)))</formula>
    </cfRule>
  </conditionalFormatting>
  <conditionalFormatting sqref="E920:E922">
    <cfRule type="containsText" dxfId="5948" priority="7626" operator="containsText" text="Sin información">
      <formula>NOT(ISERROR(SEARCH("Sin información",E920)))</formula>
    </cfRule>
  </conditionalFormatting>
  <conditionalFormatting sqref="C920:E922">
    <cfRule type="containsText" dxfId="5947" priority="7625" operator="containsText" text="NUEVO">
      <formula>NOT(ISERROR(SEARCH("NUEVO",C920)))</formula>
    </cfRule>
  </conditionalFormatting>
  <conditionalFormatting sqref="C923:D923">
    <cfRule type="containsText" dxfId="5946" priority="7624" operator="containsText" text="NO+$D$4:$D$10">
      <formula>NOT(ISERROR(SEARCH("NO+$D$4:$D$10",C923)))</formula>
    </cfRule>
  </conditionalFormatting>
  <conditionalFormatting sqref="C923:D923">
    <cfRule type="containsText" dxfId="5945" priority="7622" operator="containsText" text="SI">
      <formula>NOT(ISERROR(SEARCH("SI",C923)))</formula>
    </cfRule>
    <cfRule type="containsText" dxfId="5944" priority="7623" operator="containsText" text="NO">
      <formula>NOT(ISERROR(SEARCH("NO",C923)))</formula>
    </cfRule>
  </conditionalFormatting>
  <conditionalFormatting sqref="E923">
    <cfRule type="containsText" dxfId="5943" priority="7621" operator="containsText" text="Sin información">
      <formula>NOT(ISERROR(SEARCH("Sin información",E923)))</formula>
    </cfRule>
  </conditionalFormatting>
  <conditionalFormatting sqref="C923:E923">
    <cfRule type="containsText" dxfId="5942" priority="7620" operator="containsText" text="NUEVO">
      <formula>NOT(ISERROR(SEARCH("NUEVO",C923)))</formula>
    </cfRule>
  </conditionalFormatting>
  <conditionalFormatting sqref="C924:D924">
    <cfRule type="containsText" dxfId="5941" priority="7619" operator="containsText" text="NO+$D$4:$D$10">
      <formula>NOT(ISERROR(SEARCH("NO+$D$4:$D$10",C924)))</formula>
    </cfRule>
  </conditionalFormatting>
  <conditionalFormatting sqref="C924:D924">
    <cfRule type="containsText" dxfId="5940" priority="7617" operator="containsText" text="SI">
      <formula>NOT(ISERROR(SEARCH("SI",C924)))</formula>
    </cfRule>
    <cfRule type="containsText" dxfId="5939" priority="7618" operator="containsText" text="NO">
      <formula>NOT(ISERROR(SEARCH("NO",C924)))</formula>
    </cfRule>
  </conditionalFormatting>
  <conditionalFormatting sqref="C924:D924">
    <cfRule type="containsText" dxfId="5938" priority="7616" operator="containsText" text="NUEVO">
      <formula>NOT(ISERROR(SEARCH("NUEVO",C924)))</formula>
    </cfRule>
  </conditionalFormatting>
  <conditionalFormatting sqref="E924">
    <cfRule type="containsText" dxfId="5937" priority="7615" operator="containsText" text="Sin información">
      <formula>NOT(ISERROR(SEARCH("Sin información",E924)))</formula>
    </cfRule>
  </conditionalFormatting>
  <conditionalFormatting sqref="E924">
    <cfRule type="containsText" dxfId="5936" priority="7614" operator="containsText" text="NUEVO">
      <formula>NOT(ISERROR(SEARCH("NUEVO",E924)))</formula>
    </cfRule>
  </conditionalFormatting>
  <conditionalFormatting sqref="C925:D925">
    <cfRule type="containsText" dxfId="5935" priority="7613" operator="containsText" text="NO+$D$4:$D$10">
      <formula>NOT(ISERROR(SEARCH("NO+$D$4:$D$10",C925)))</formula>
    </cfRule>
  </conditionalFormatting>
  <conditionalFormatting sqref="C925:D925">
    <cfRule type="containsText" dxfId="5934" priority="7611" operator="containsText" text="SI">
      <formula>NOT(ISERROR(SEARCH("SI",C925)))</formula>
    </cfRule>
    <cfRule type="containsText" dxfId="5933" priority="7612" operator="containsText" text="NO">
      <formula>NOT(ISERROR(SEARCH("NO",C925)))</formula>
    </cfRule>
  </conditionalFormatting>
  <conditionalFormatting sqref="E925">
    <cfRule type="containsText" dxfId="5932" priority="7610" operator="containsText" text="Sin información">
      <formula>NOT(ISERROR(SEARCH("Sin información",E925)))</formula>
    </cfRule>
  </conditionalFormatting>
  <conditionalFormatting sqref="C925:E925">
    <cfRule type="containsText" dxfId="5931" priority="7609" operator="containsText" text="NUEVO">
      <formula>NOT(ISERROR(SEARCH("NUEVO",C925)))</formula>
    </cfRule>
  </conditionalFormatting>
  <conditionalFormatting sqref="C926:D927">
    <cfRule type="containsText" dxfId="5930" priority="7608" operator="containsText" text="NO+$D$4:$D$10">
      <formula>NOT(ISERROR(SEARCH("NO+$D$4:$D$10",C926)))</formula>
    </cfRule>
  </conditionalFormatting>
  <conditionalFormatting sqref="C926:D927">
    <cfRule type="containsText" dxfId="5929" priority="7606" operator="containsText" text="SI">
      <formula>NOT(ISERROR(SEARCH("SI",C926)))</formula>
    </cfRule>
    <cfRule type="containsText" dxfId="5928" priority="7607" operator="containsText" text="NO">
      <formula>NOT(ISERROR(SEARCH("NO",C926)))</formula>
    </cfRule>
  </conditionalFormatting>
  <conditionalFormatting sqref="C926:D927">
    <cfRule type="containsText" dxfId="5927" priority="7605" operator="containsText" text="NUEVO">
      <formula>NOT(ISERROR(SEARCH("NUEVO",C926)))</formula>
    </cfRule>
  </conditionalFormatting>
  <conditionalFormatting sqref="E926:E927">
    <cfRule type="containsText" dxfId="5926" priority="7604" operator="containsText" text="Sin información">
      <formula>NOT(ISERROR(SEARCH("Sin información",E926)))</formula>
    </cfRule>
  </conditionalFormatting>
  <conditionalFormatting sqref="E926:E927">
    <cfRule type="containsText" dxfId="5925" priority="7603" operator="containsText" text="NUEVO">
      <formula>NOT(ISERROR(SEARCH("NUEVO",E926)))</formula>
    </cfRule>
  </conditionalFormatting>
  <conditionalFormatting sqref="E930">
    <cfRule type="containsText" dxfId="5924" priority="7602" operator="containsText" text="Sin información">
      <formula>NOT(ISERROR(SEARCH("Sin información",E930)))</formula>
    </cfRule>
  </conditionalFormatting>
  <conditionalFormatting sqref="E930">
    <cfRule type="containsText" dxfId="5923" priority="7601" operator="containsText" text="NUEVO">
      <formula>NOT(ISERROR(SEARCH("NUEVO",E930)))</formula>
    </cfRule>
  </conditionalFormatting>
  <conditionalFormatting sqref="C931:D931">
    <cfRule type="containsText" dxfId="5922" priority="7600" operator="containsText" text="NO+$D$4:$D$10">
      <formula>NOT(ISERROR(SEARCH("NO+$D$4:$D$10",C931)))</formula>
    </cfRule>
  </conditionalFormatting>
  <conditionalFormatting sqref="C931:D931">
    <cfRule type="containsText" dxfId="5921" priority="7598" operator="containsText" text="SI">
      <formula>NOT(ISERROR(SEARCH("SI",C931)))</formula>
    </cfRule>
    <cfRule type="containsText" dxfId="5920" priority="7599" operator="containsText" text="NO">
      <formula>NOT(ISERROR(SEARCH("NO",C931)))</formula>
    </cfRule>
  </conditionalFormatting>
  <conditionalFormatting sqref="C931:D931">
    <cfRule type="containsText" dxfId="5919" priority="7597" operator="containsText" text="NUEVO">
      <formula>NOT(ISERROR(SEARCH("NUEVO",C931)))</formula>
    </cfRule>
  </conditionalFormatting>
  <conditionalFormatting sqref="E931">
    <cfRule type="containsText" dxfId="5918" priority="7596" operator="containsText" text="Sin información">
      <formula>NOT(ISERROR(SEARCH("Sin información",E931)))</formula>
    </cfRule>
  </conditionalFormatting>
  <conditionalFormatting sqref="E931">
    <cfRule type="containsText" dxfId="5917" priority="7595" operator="containsText" text="NUEVO">
      <formula>NOT(ISERROR(SEARCH("NUEVO",E931)))</formula>
    </cfRule>
  </conditionalFormatting>
  <conditionalFormatting sqref="C932:D935">
    <cfRule type="containsText" dxfId="5916" priority="7594" operator="containsText" text="NO+$D$4:$D$10">
      <formula>NOT(ISERROR(SEARCH("NO+$D$4:$D$10",C932)))</formula>
    </cfRule>
  </conditionalFormatting>
  <conditionalFormatting sqref="C932:D935">
    <cfRule type="containsText" dxfId="5915" priority="7592" operator="containsText" text="SI">
      <formula>NOT(ISERROR(SEARCH("SI",C932)))</formula>
    </cfRule>
    <cfRule type="containsText" dxfId="5914" priority="7593" operator="containsText" text="NO">
      <formula>NOT(ISERROR(SEARCH("NO",C932)))</formula>
    </cfRule>
  </conditionalFormatting>
  <conditionalFormatting sqref="C932:D935">
    <cfRule type="containsText" dxfId="5913" priority="7591" operator="containsText" text="NUEVO">
      <formula>NOT(ISERROR(SEARCH("NUEVO",C932)))</formula>
    </cfRule>
  </conditionalFormatting>
  <conditionalFormatting sqref="E932:E935">
    <cfRule type="containsText" dxfId="5912" priority="7590" operator="containsText" text="Sin información">
      <formula>NOT(ISERROR(SEARCH("Sin información",E932)))</formula>
    </cfRule>
  </conditionalFormatting>
  <conditionalFormatting sqref="E932:E935">
    <cfRule type="containsText" dxfId="5911" priority="7589" operator="containsText" text="NUEVO">
      <formula>NOT(ISERROR(SEARCH("NUEVO",E932)))</formula>
    </cfRule>
  </conditionalFormatting>
  <conditionalFormatting sqref="C936:D944">
    <cfRule type="containsText" dxfId="5910" priority="7588" operator="containsText" text="NO+$D$4:$D$10">
      <formula>NOT(ISERROR(SEARCH("NO+$D$4:$D$10",C936)))</formula>
    </cfRule>
  </conditionalFormatting>
  <conditionalFormatting sqref="C936:D944">
    <cfRule type="containsText" dxfId="5909" priority="7586" operator="containsText" text="SI">
      <formula>NOT(ISERROR(SEARCH("SI",C936)))</formula>
    </cfRule>
    <cfRule type="containsText" dxfId="5908" priority="7587" operator="containsText" text="NO">
      <formula>NOT(ISERROR(SEARCH("NO",C936)))</formula>
    </cfRule>
  </conditionalFormatting>
  <conditionalFormatting sqref="E936:E944">
    <cfRule type="containsText" dxfId="5907" priority="7585" operator="containsText" text="Sin información">
      <formula>NOT(ISERROR(SEARCH("Sin información",E936)))</formula>
    </cfRule>
  </conditionalFormatting>
  <conditionalFormatting sqref="C936:E944">
    <cfRule type="containsText" dxfId="5906" priority="7584" operator="containsText" text="NUEVO">
      <formula>NOT(ISERROR(SEARCH("NUEVO",C936)))</formula>
    </cfRule>
  </conditionalFormatting>
  <conditionalFormatting sqref="C945:D945">
    <cfRule type="containsText" dxfId="5905" priority="7583" operator="containsText" text="NO+$D$4:$D$10">
      <formula>NOT(ISERROR(SEARCH("NO+$D$4:$D$10",C945)))</formula>
    </cfRule>
  </conditionalFormatting>
  <conditionalFormatting sqref="C945:D945">
    <cfRule type="containsText" dxfId="5904" priority="7581" operator="containsText" text="SI">
      <formula>NOT(ISERROR(SEARCH("SI",C945)))</formula>
    </cfRule>
    <cfRule type="containsText" dxfId="5903" priority="7582" operator="containsText" text="NO">
      <formula>NOT(ISERROR(SEARCH("NO",C945)))</formula>
    </cfRule>
  </conditionalFormatting>
  <conditionalFormatting sqref="E945">
    <cfRule type="containsText" dxfId="5902" priority="7580" operator="containsText" text="Sin información">
      <formula>NOT(ISERROR(SEARCH("Sin información",E945)))</formula>
    </cfRule>
  </conditionalFormatting>
  <conditionalFormatting sqref="C945:E945">
    <cfRule type="containsText" dxfId="5901" priority="7579" operator="containsText" text="NUEVO">
      <formula>NOT(ISERROR(SEARCH("NUEVO",C945)))</formula>
    </cfRule>
  </conditionalFormatting>
  <conditionalFormatting sqref="C946:D946">
    <cfRule type="containsText" dxfId="5900" priority="7578" operator="containsText" text="NO+$D$4:$D$10">
      <formula>NOT(ISERROR(SEARCH("NO+$D$4:$D$10",C946)))</formula>
    </cfRule>
  </conditionalFormatting>
  <conditionalFormatting sqref="C946:D946">
    <cfRule type="containsText" dxfId="5899" priority="7576" operator="containsText" text="SI">
      <formula>NOT(ISERROR(SEARCH("SI",C946)))</formula>
    </cfRule>
    <cfRule type="containsText" dxfId="5898" priority="7577" operator="containsText" text="NO">
      <formula>NOT(ISERROR(SEARCH("NO",C946)))</formula>
    </cfRule>
  </conditionalFormatting>
  <conditionalFormatting sqref="E946">
    <cfRule type="containsText" dxfId="5897" priority="7575" operator="containsText" text="Sin información">
      <formula>NOT(ISERROR(SEARCH("Sin información",E946)))</formula>
    </cfRule>
  </conditionalFormatting>
  <conditionalFormatting sqref="C946:E946">
    <cfRule type="containsText" dxfId="5896" priority="7574" operator="containsText" text="NUEVO">
      <formula>NOT(ISERROR(SEARCH("NUEVO",C946)))</formula>
    </cfRule>
  </conditionalFormatting>
  <conditionalFormatting sqref="C947:D947">
    <cfRule type="containsText" dxfId="5895" priority="7567" operator="containsText" text="NO+$D$4:$D$10">
      <formula>NOT(ISERROR(SEARCH("NO+$D$4:$D$10",C947)))</formula>
    </cfRule>
  </conditionalFormatting>
  <conditionalFormatting sqref="C947:D947">
    <cfRule type="containsText" dxfId="5894" priority="7565" operator="containsText" text="SI">
      <formula>NOT(ISERROR(SEARCH("SI",C947)))</formula>
    </cfRule>
    <cfRule type="containsText" dxfId="5893" priority="7566" operator="containsText" text="NO">
      <formula>NOT(ISERROR(SEARCH("NO",C947)))</formula>
    </cfRule>
  </conditionalFormatting>
  <conditionalFormatting sqref="E947">
    <cfRule type="containsText" dxfId="5892" priority="7564" operator="containsText" text="Sin información">
      <formula>NOT(ISERROR(SEARCH("Sin información",E947)))</formula>
    </cfRule>
  </conditionalFormatting>
  <conditionalFormatting sqref="C947:E947">
    <cfRule type="containsText" dxfId="5891" priority="7563" operator="containsText" text="NUEVO">
      <formula>NOT(ISERROR(SEARCH("NUEVO",C947)))</formula>
    </cfRule>
  </conditionalFormatting>
  <conditionalFormatting sqref="F947">
    <cfRule type="containsText" dxfId="5890" priority="7562" operator="containsText" text="NO+$D$4:$D$10">
      <formula>NOT(ISERROR(SEARCH("NO+$D$4:$D$10",F947)))</formula>
    </cfRule>
  </conditionalFormatting>
  <conditionalFormatting sqref="F947">
    <cfRule type="containsText" dxfId="5889" priority="7560" operator="containsText" text="SI">
      <formula>NOT(ISERROR(SEARCH("SI",F947)))</formula>
    </cfRule>
    <cfRule type="containsText" dxfId="5888" priority="7561" operator="containsText" text="NO">
      <formula>NOT(ISERROR(SEARCH("NO",F947)))</formula>
    </cfRule>
  </conditionalFormatting>
  <conditionalFormatting sqref="F947">
    <cfRule type="containsText" dxfId="5887" priority="7559" operator="containsText" text="NUEVO">
      <formula>NOT(ISERROR(SEARCH("NUEVO",F947)))</formula>
    </cfRule>
  </conditionalFormatting>
  <conditionalFormatting sqref="C948:D948">
    <cfRule type="containsText" dxfId="5886" priority="7558" operator="containsText" text="NO+$D$4:$D$10">
      <formula>NOT(ISERROR(SEARCH("NO+$D$4:$D$10",C948)))</formula>
    </cfRule>
  </conditionalFormatting>
  <conditionalFormatting sqref="C948:D948">
    <cfRule type="containsText" dxfId="5885" priority="7556" operator="containsText" text="SI">
      <formula>NOT(ISERROR(SEARCH("SI",C948)))</formula>
    </cfRule>
    <cfRule type="containsText" dxfId="5884" priority="7557" operator="containsText" text="NO">
      <formula>NOT(ISERROR(SEARCH("NO",C948)))</formula>
    </cfRule>
  </conditionalFormatting>
  <conditionalFormatting sqref="E948">
    <cfRule type="containsText" dxfId="5883" priority="7555" operator="containsText" text="Sin información">
      <formula>NOT(ISERROR(SEARCH("Sin información",E948)))</formula>
    </cfRule>
  </conditionalFormatting>
  <conditionalFormatting sqref="C948:E948">
    <cfRule type="containsText" dxfId="5882" priority="7554" operator="containsText" text="NUEVO">
      <formula>NOT(ISERROR(SEARCH("NUEVO",C948)))</formula>
    </cfRule>
  </conditionalFormatting>
  <conditionalFormatting sqref="F948">
    <cfRule type="containsText" dxfId="5881" priority="7553" operator="containsText" text="NO+$D$4:$D$10">
      <formula>NOT(ISERROR(SEARCH("NO+$D$4:$D$10",F948)))</formula>
    </cfRule>
  </conditionalFormatting>
  <conditionalFormatting sqref="F948">
    <cfRule type="containsText" dxfId="5880" priority="7551" operator="containsText" text="SI">
      <formula>NOT(ISERROR(SEARCH("SI",F948)))</formula>
    </cfRule>
    <cfRule type="containsText" dxfId="5879" priority="7552" operator="containsText" text="NO">
      <formula>NOT(ISERROR(SEARCH("NO",F948)))</formula>
    </cfRule>
  </conditionalFormatting>
  <conditionalFormatting sqref="F948">
    <cfRule type="containsText" dxfId="5878" priority="7550" operator="containsText" text="NUEVO">
      <formula>NOT(ISERROR(SEARCH("NUEVO",F948)))</formula>
    </cfRule>
  </conditionalFormatting>
  <conditionalFormatting sqref="C949:D949">
    <cfRule type="containsText" dxfId="5877" priority="7549" operator="containsText" text="NO+$D$4:$D$10">
      <formula>NOT(ISERROR(SEARCH("NO+$D$4:$D$10",C949)))</formula>
    </cfRule>
  </conditionalFormatting>
  <conditionalFormatting sqref="C949:D949">
    <cfRule type="containsText" dxfId="5876" priority="7547" operator="containsText" text="SI">
      <formula>NOT(ISERROR(SEARCH("SI",C949)))</formula>
    </cfRule>
    <cfRule type="containsText" dxfId="5875" priority="7548" operator="containsText" text="NO">
      <formula>NOT(ISERROR(SEARCH("NO",C949)))</formula>
    </cfRule>
  </conditionalFormatting>
  <conditionalFormatting sqref="E949">
    <cfRule type="containsText" dxfId="5874" priority="7546" operator="containsText" text="Sin información">
      <formula>NOT(ISERROR(SEARCH("Sin información",E949)))</formula>
    </cfRule>
  </conditionalFormatting>
  <conditionalFormatting sqref="C949:E949">
    <cfRule type="containsText" dxfId="5873" priority="7545" operator="containsText" text="NUEVO">
      <formula>NOT(ISERROR(SEARCH("NUEVO",C949)))</formula>
    </cfRule>
  </conditionalFormatting>
  <conditionalFormatting sqref="F949">
    <cfRule type="containsText" dxfId="5872" priority="7544" operator="containsText" text="NO+$D$4:$D$10">
      <formula>NOT(ISERROR(SEARCH("NO+$D$4:$D$10",F949)))</formula>
    </cfRule>
  </conditionalFormatting>
  <conditionalFormatting sqref="F949">
    <cfRule type="containsText" dxfId="5871" priority="7542" operator="containsText" text="SI">
      <formula>NOT(ISERROR(SEARCH("SI",F949)))</formula>
    </cfRule>
    <cfRule type="containsText" dxfId="5870" priority="7543" operator="containsText" text="NO">
      <formula>NOT(ISERROR(SEARCH("NO",F949)))</formula>
    </cfRule>
  </conditionalFormatting>
  <conditionalFormatting sqref="F949">
    <cfRule type="containsText" dxfId="5869" priority="7541" operator="containsText" text="NUEVO">
      <formula>NOT(ISERROR(SEARCH("NUEVO",F949)))</formula>
    </cfRule>
  </conditionalFormatting>
  <conditionalFormatting sqref="C950:D950">
    <cfRule type="containsText" dxfId="5868" priority="7540" operator="containsText" text="NO+$D$4:$D$10">
      <formula>NOT(ISERROR(SEARCH("NO+$D$4:$D$10",C950)))</formula>
    </cfRule>
  </conditionalFormatting>
  <conditionalFormatting sqref="C950:D950">
    <cfRule type="containsText" dxfId="5867" priority="7538" operator="containsText" text="SI">
      <formula>NOT(ISERROR(SEARCH("SI",C950)))</formula>
    </cfRule>
    <cfRule type="containsText" dxfId="5866" priority="7539" operator="containsText" text="NO">
      <formula>NOT(ISERROR(SEARCH("NO",C950)))</formula>
    </cfRule>
  </conditionalFormatting>
  <conditionalFormatting sqref="E950">
    <cfRule type="containsText" dxfId="5865" priority="7537" operator="containsText" text="Sin información">
      <formula>NOT(ISERROR(SEARCH("Sin información",E950)))</formula>
    </cfRule>
  </conditionalFormatting>
  <conditionalFormatting sqref="C950:E950">
    <cfRule type="containsText" dxfId="5864" priority="7536" operator="containsText" text="NUEVO">
      <formula>NOT(ISERROR(SEARCH("NUEVO",C950)))</formula>
    </cfRule>
  </conditionalFormatting>
  <conditionalFormatting sqref="F950">
    <cfRule type="containsText" dxfId="5863" priority="7535" operator="containsText" text="NO+$D$4:$D$10">
      <formula>NOT(ISERROR(SEARCH("NO+$D$4:$D$10",F950)))</formula>
    </cfRule>
  </conditionalFormatting>
  <conditionalFormatting sqref="F950">
    <cfRule type="containsText" dxfId="5862" priority="7533" operator="containsText" text="SI">
      <formula>NOT(ISERROR(SEARCH("SI",F950)))</formula>
    </cfRule>
    <cfRule type="containsText" dxfId="5861" priority="7534" operator="containsText" text="NO">
      <formula>NOT(ISERROR(SEARCH("NO",F950)))</formula>
    </cfRule>
  </conditionalFormatting>
  <conditionalFormatting sqref="F950">
    <cfRule type="containsText" dxfId="5860" priority="7532" operator="containsText" text="NUEVO">
      <formula>NOT(ISERROR(SEARCH("NUEVO",F950)))</formula>
    </cfRule>
  </conditionalFormatting>
  <conditionalFormatting sqref="F951 C951:D951">
    <cfRule type="containsText" dxfId="5859" priority="7531" operator="containsText" text="NO+$D$4:$D$10">
      <formula>NOT(ISERROR(SEARCH("NO+$D$4:$D$10",C951)))</formula>
    </cfRule>
  </conditionalFormatting>
  <conditionalFormatting sqref="F951 C951:D951">
    <cfRule type="containsText" dxfId="5858" priority="7529" operator="containsText" text="SI">
      <formula>NOT(ISERROR(SEARCH("SI",C951)))</formula>
    </cfRule>
    <cfRule type="containsText" dxfId="5857" priority="7530" operator="containsText" text="NO">
      <formula>NOT(ISERROR(SEARCH("NO",C951)))</formula>
    </cfRule>
  </conditionalFormatting>
  <conditionalFormatting sqref="E951">
    <cfRule type="containsText" dxfId="5856" priority="7528" operator="containsText" text="Sin información">
      <formula>NOT(ISERROR(SEARCH("Sin información",E951)))</formula>
    </cfRule>
  </conditionalFormatting>
  <conditionalFormatting sqref="C951:F951">
    <cfRule type="containsText" dxfId="5855" priority="7527" operator="containsText" text="NUEVO">
      <formula>NOT(ISERROR(SEARCH("NUEVO",C951)))</formula>
    </cfRule>
  </conditionalFormatting>
  <conditionalFormatting sqref="C952:D952">
    <cfRule type="containsText" dxfId="5854" priority="7526" operator="containsText" text="NO+$D$4:$D$10">
      <formula>NOT(ISERROR(SEARCH("NO+$D$4:$D$10",C952)))</formula>
    </cfRule>
  </conditionalFormatting>
  <conditionalFormatting sqref="C952:D952">
    <cfRule type="containsText" dxfId="5853" priority="7524" operator="containsText" text="SI">
      <formula>NOT(ISERROR(SEARCH("SI",C952)))</formula>
    </cfRule>
    <cfRule type="containsText" dxfId="5852" priority="7525" operator="containsText" text="NO">
      <formula>NOT(ISERROR(SEARCH("NO",C952)))</formula>
    </cfRule>
  </conditionalFormatting>
  <conditionalFormatting sqref="E952">
    <cfRule type="containsText" dxfId="5851" priority="7523" operator="containsText" text="Sin información">
      <formula>NOT(ISERROR(SEARCH("Sin información",E952)))</formula>
    </cfRule>
  </conditionalFormatting>
  <conditionalFormatting sqref="C952:E952">
    <cfRule type="containsText" dxfId="5850" priority="7522" operator="containsText" text="NUEVO">
      <formula>NOT(ISERROR(SEARCH("NUEVO",C952)))</formula>
    </cfRule>
  </conditionalFormatting>
  <conditionalFormatting sqref="F952">
    <cfRule type="containsText" dxfId="5849" priority="7521" operator="containsText" text="NO+$D$4:$D$10">
      <formula>NOT(ISERROR(SEARCH("NO+$D$4:$D$10",F952)))</formula>
    </cfRule>
  </conditionalFormatting>
  <conditionalFormatting sqref="F952">
    <cfRule type="containsText" dxfId="5848" priority="7519" operator="containsText" text="SI">
      <formula>NOT(ISERROR(SEARCH("SI",F952)))</formula>
    </cfRule>
    <cfRule type="containsText" dxfId="5847" priority="7520" operator="containsText" text="NO">
      <formula>NOT(ISERROR(SEARCH("NO",F952)))</formula>
    </cfRule>
  </conditionalFormatting>
  <conditionalFormatting sqref="F952">
    <cfRule type="containsText" dxfId="5846" priority="7518" operator="containsText" text="NUEVO">
      <formula>NOT(ISERROR(SEARCH("NUEVO",F952)))</formula>
    </cfRule>
  </conditionalFormatting>
  <conditionalFormatting sqref="C953:D953">
    <cfRule type="containsText" dxfId="5845" priority="7517" operator="containsText" text="NO+$D$4:$D$10">
      <formula>NOT(ISERROR(SEARCH("NO+$D$4:$D$10",C953)))</formula>
    </cfRule>
  </conditionalFormatting>
  <conditionalFormatting sqref="C953:D953">
    <cfRule type="containsText" dxfId="5844" priority="7515" operator="containsText" text="SI">
      <formula>NOT(ISERROR(SEARCH("SI",C953)))</formula>
    </cfRule>
    <cfRule type="containsText" dxfId="5843" priority="7516" operator="containsText" text="NO">
      <formula>NOT(ISERROR(SEARCH("NO",C953)))</formula>
    </cfRule>
  </conditionalFormatting>
  <conditionalFormatting sqref="E953">
    <cfRule type="containsText" dxfId="5842" priority="7514" operator="containsText" text="Sin información">
      <formula>NOT(ISERROR(SEARCH("Sin información",E953)))</formula>
    </cfRule>
  </conditionalFormatting>
  <conditionalFormatting sqref="C953:E953">
    <cfRule type="containsText" dxfId="5841" priority="7513" operator="containsText" text="NUEVO">
      <formula>NOT(ISERROR(SEARCH("NUEVO",C953)))</formula>
    </cfRule>
  </conditionalFormatting>
  <conditionalFormatting sqref="F953">
    <cfRule type="containsText" dxfId="5840" priority="7512" operator="containsText" text="NO+$D$4:$D$10">
      <formula>NOT(ISERROR(SEARCH("NO+$D$4:$D$10",F953)))</formula>
    </cfRule>
  </conditionalFormatting>
  <conditionalFormatting sqref="F953">
    <cfRule type="containsText" dxfId="5839" priority="7510" operator="containsText" text="SI">
      <formula>NOT(ISERROR(SEARCH("SI",F953)))</formula>
    </cfRule>
    <cfRule type="containsText" dxfId="5838" priority="7511" operator="containsText" text="NO">
      <formula>NOT(ISERROR(SEARCH("NO",F953)))</formula>
    </cfRule>
  </conditionalFormatting>
  <conditionalFormatting sqref="F953">
    <cfRule type="containsText" dxfId="5837" priority="7509" operator="containsText" text="NUEVO">
      <formula>NOT(ISERROR(SEARCH("NUEVO",F953)))</formula>
    </cfRule>
  </conditionalFormatting>
  <conditionalFormatting sqref="C954:D954">
    <cfRule type="containsText" dxfId="5836" priority="7508" operator="containsText" text="NO+$D$4:$D$10">
      <formula>NOT(ISERROR(SEARCH("NO+$D$4:$D$10",C954)))</formula>
    </cfRule>
  </conditionalFormatting>
  <conditionalFormatting sqref="C954:D954">
    <cfRule type="containsText" dxfId="5835" priority="7506" operator="containsText" text="SI">
      <formula>NOT(ISERROR(SEARCH("SI",C954)))</formula>
    </cfRule>
    <cfRule type="containsText" dxfId="5834" priority="7507" operator="containsText" text="NO">
      <formula>NOT(ISERROR(SEARCH("NO",C954)))</formula>
    </cfRule>
  </conditionalFormatting>
  <conditionalFormatting sqref="C954:D954">
    <cfRule type="containsText" dxfId="5833" priority="7505" operator="containsText" text="NUEVO">
      <formula>NOT(ISERROR(SEARCH("NUEVO",C954)))</formula>
    </cfRule>
  </conditionalFormatting>
  <conditionalFormatting sqref="E954">
    <cfRule type="containsText" dxfId="5832" priority="7504" operator="containsText" text="Sin información">
      <formula>NOT(ISERROR(SEARCH("Sin información",E954)))</formula>
    </cfRule>
  </conditionalFormatting>
  <conditionalFormatting sqref="E954">
    <cfRule type="containsText" dxfId="5831" priority="7503" operator="containsText" text="NUEVO">
      <formula>NOT(ISERROR(SEARCH("NUEVO",E954)))</formula>
    </cfRule>
  </conditionalFormatting>
  <conditionalFormatting sqref="F954">
    <cfRule type="containsText" dxfId="5830" priority="7502" operator="containsText" text="NO+$D$4:$D$10">
      <formula>NOT(ISERROR(SEARCH("NO+$D$4:$D$10",F954)))</formula>
    </cfRule>
  </conditionalFormatting>
  <conditionalFormatting sqref="F954">
    <cfRule type="containsText" dxfId="5829" priority="7500" operator="containsText" text="SI">
      <formula>NOT(ISERROR(SEARCH("SI",F954)))</formula>
    </cfRule>
    <cfRule type="containsText" dxfId="5828" priority="7501" operator="containsText" text="NO">
      <formula>NOT(ISERROR(SEARCH("NO",F954)))</formula>
    </cfRule>
  </conditionalFormatting>
  <conditionalFormatting sqref="F954">
    <cfRule type="containsText" dxfId="5827" priority="7499" operator="containsText" text="NUEVO">
      <formula>NOT(ISERROR(SEARCH("NUEVO",F954)))</formula>
    </cfRule>
  </conditionalFormatting>
  <conditionalFormatting sqref="C955:D955">
    <cfRule type="containsText" dxfId="5826" priority="7498" operator="containsText" text="NO+$D$4:$D$10">
      <formula>NOT(ISERROR(SEARCH("NO+$D$4:$D$10",C955)))</formula>
    </cfRule>
  </conditionalFormatting>
  <conditionalFormatting sqref="C955:D955">
    <cfRule type="containsText" dxfId="5825" priority="7496" operator="containsText" text="SI">
      <formula>NOT(ISERROR(SEARCH("SI",C955)))</formula>
    </cfRule>
    <cfRule type="containsText" dxfId="5824" priority="7497" operator="containsText" text="NO">
      <formula>NOT(ISERROR(SEARCH("NO",C955)))</formula>
    </cfRule>
  </conditionalFormatting>
  <conditionalFormatting sqref="E955">
    <cfRule type="containsText" dxfId="5823" priority="7495" operator="containsText" text="Sin información">
      <formula>NOT(ISERROR(SEARCH("Sin información",E955)))</formula>
    </cfRule>
  </conditionalFormatting>
  <conditionalFormatting sqref="C955:E955">
    <cfRule type="containsText" dxfId="5822" priority="7494" operator="containsText" text="NUEVO">
      <formula>NOT(ISERROR(SEARCH("NUEVO",C955)))</formula>
    </cfRule>
  </conditionalFormatting>
  <conditionalFormatting sqref="C956:D956">
    <cfRule type="containsText" dxfId="5821" priority="7493" operator="containsText" text="NO+$D$4:$D$10">
      <formula>NOT(ISERROR(SEARCH("NO+$D$4:$D$10",C956)))</formula>
    </cfRule>
  </conditionalFormatting>
  <conditionalFormatting sqref="C956:D956">
    <cfRule type="containsText" dxfId="5820" priority="7491" operator="containsText" text="SI">
      <formula>NOT(ISERROR(SEARCH("SI",C956)))</formula>
    </cfRule>
    <cfRule type="containsText" dxfId="5819" priority="7492" operator="containsText" text="NO">
      <formula>NOT(ISERROR(SEARCH("NO",C956)))</formula>
    </cfRule>
  </conditionalFormatting>
  <conditionalFormatting sqref="E956">
    <cfRule type="containsText" dxfId="5818" priority="7490" operator="containsText" text="Sin información">
      <formula>NOT(ISERROR(SEARCH("Sin información",E956)))</formula>
    </cfRule>
  </conditionalFormatting>
  <conditionalFormatting sqref="C956:E956">
    <cfRule type="containsText" dxfId="5817" priority="7489" operator="containsText" text="NUEVO">
      <formula>NOT(ISERROR(SEARCH("NUEVO",C956)))</formula>
    </cfRule>
  </conditionalFormatting>
  <conditionalFormatting sqref="C957:D957">
    <cfRule type="containsText" dxfId="5816" priority="7488" operator="containsText" text="NO+$D$4:$D$10">
      <formula>NOT(ISERROR(SEARCH("NO+$D$4:$D$10",C957)))</formula>
    </cfRule>
  </conditionalFormatting>
  <conditionalFormatting sqref="C957:D957">
    <cfRule type="containsText" dxfId="5815" priority="7486" operator="containsText" text="SI">
      <formula>NOT(ISERROR(SEARCH("SI",C957)))</formula>
    </cfRule>
    <cfRule type="containsText" dxfId="5814" priority="7487" operator="containsText" text="NO">
      <formula>NOT(ISERROR(SEARCH("NO",C957)))</formula>
    </cfRule>
  </conditionalFormatting>
  <conditionalFormatting sqref="E957">
    <cfRule type="containsText" dxfId="5813" priority="7485" operator="containsText" text="Sin información">
      <formula>NOT(ISERROR(SEARCH("Sin información",E957)))</formula>
    </cfRule>
  </conditionalFormatting>
  <conditionalFormatting sqref="C957:E957">
    <cfRule type="containsText" dxfId="5812" priority="7484" operator="containsText" text="NUEVO">
      <formula>NOT(ISERROR(SEARCH("NUEVO",C957)))</formula>
    </cfRule>
  </conditionalFormatting>
  <conditionalFormatting sqref="C958:D958">
    <cfRule type="containsText" dxfId="5811" priority="7483" operator="containsText" text="NO+$D$4:$D$10">
      <formula>NOT(ISERROR(SEARCH("NO+$D$4:$D$10",C958)))</formula>
    </cfRule>
  </conditionalFormatting>
  <conditionalFormatting sqref="C958:D958">
    <cfRule type="containsText" dxfId="5810" priority="7481" operator="containsText" text="SI">
      <formula>NOT(ISERROR(SEARCH("SI",C958)))</formula>
    </cfRule>
    <cfRule type="containsText" dxfId="5809" priority="7482" operator="containsText" text="NO">
      <formula>NOT(ISERROR(SEARCH("NO",C958)))</formula>
    </cfRule>
  </conditionalFormatting>
  <conditionalFormatting sqref="E958">
    <cfRule type="containsText" dxfId="5808" priority="7480" operator="containsText" text="Sin información">
      <formula>NOT(ISERROR(SEARCH("Sin información",E958)))</formula>
    </cfRule>
  </conditionalFormatting>
  <conditionalFormatting sqref="C958:E958">
    <cfRule type="containsText" dxfId="5807" priority="7479" operator="containsText" text="NUEVO">
      <formula>NOT(ISERROR(SEARCH("NUEVO",C958)))</formula>
    </cfRule>
  </conditionalFormatting>
  <conditionalFormatting sqref="C959:D959">
    <cfRule type="containsText" dxfId="5806" priority="7478" operator="containsText" text="NO+$D$4:$D$10">
      <formula>NOT(ISERROR(SEARCH("NO+$D$4:$D$10",C959)))</formula>
    </cfRule>
  </conditionalFormatting>
  <conditionalFormatting sqref="C959:D959">
    <cfRule type="containsText" dxfId="5805" priority="7476" operator="containsText" text="SI">
      <formula>NOT(ISERROR(SEARCH("SI",C959)))</formula>
    </cfRule>
    <cfRule type="containsText" dxfId="5804" priority="7477" operator="containsText" text="NO">
      <formula>NOT(ISERROR(SEARCH("NO",C959)))</formula>
    </cfRule>
  </conditionalFormatting>
  <conditionalFormatting sqref="E959">
    <cfRule type="containsText" dxfId="5803" priority="7475" operator="containsText" text="Sin información">
      <formula>NOT(ISERROR(SEARCH("Sin información",E959)))</formula>
    </cfRule>
  </conditionalFormatting>
  <conditionalFormatting sqref="C959:E959">
    <cfRule type="containsText" dxfId="5802" priority="7474" operator="containsText" text="NUEVO">
      <formula>NOT(ISERROR(SEARCH("NUEVO",C959)))</formula>
    </cfRule>
  </conditionalFormatting>
  <conditionalFormatting sqref="C960:D960">
    <cfRule type="containsText" dxfId="5801" priority="7473" operator="containsText" text="NO+$D$4:$D$10">
      <formula>NOT(ISERROR(SEARCH("NO+$D$4:$D$10",C960)))</formula>
    </cfRule>
  </conditionalFormatting>
  <conditionalFormatting sqref="C960:D960">
    <cfRule type="containsText" dxfId="5800" priority="7471" operator="containsText" text="SI">
      <formula>NOT(ISERROR(SEARCH("SI",C960)))</formula>
    </cfRule>
    <cfRule type="containsText" dxfId="5799" priority="7472" operator="containsText" text="NO">
      <formula>NOT(ISERROR(SEARCH("NO",C960)))</formula>
    </cfRule>
  </conditionalFormatting>
  <conditionalFormatting sqref="E960">
    <cfRule type="containsText" dxfId="5798" priority="7470" operator="containsText" text="Sin información">
      <formula>NOT(ISERROR(SEARCH("Sin información",E960)))</formula>
    </cfRule>
  </conditionalFormatting>
  <conditionalFormatting sqref="C960:E960">
    <cfRule type="containsText" dxfId="5797" priority="7469" operator="containsText" text="NUEVO">
      <formula>NOT(ISERROR(SEARCH("NUEVO",C960)))</formula>
    </cfRule>
  </conditionalFormatting>
  <conditionalFormatting sqref="C961:D961">
    <cfRule type="containsText" dxfId="5796" priority="7468" operator="containsText" text="NO+$D$4:$D$10">
      <formula>NOT(ISERROR(SEARCH("NO+$D$4:$D$10",C961)))</formula>
    </cfRule>
  </conditionalFormatting>
  <conditionalFormatting sqref="C961:D961">
    <cfRule type="containsText" dxfId="5795" priority="7466" operator="containsText" text="SI">
      <formula>NOT(ISERROR(SEARCH("SI",C961)))</formula>
    </cfRule>
    <cfRule type="containsText" dxfId="5794" priority="7467" operator="containsText" text="NO">
      <formula>NOT(ISERROR(SEARCH("NO",C961)))</formula>
    </cfRule>
  </conditionalFormatting>
  <conditionalFormatting sqref="C961:D961">
    <cfRule type="containsText" dxfId="5793" priority="7465" operator="containsText" text="NUEVO">
      <formula>NOT(ISERROR(SEARCH("NUEVO",C961)))</formula>
    </cfRule>
  </conditionalFormatting>
  <conditionalFormatting sqref="E961">
    <cfRule type="containsText" dxfId="5792" priority="7464" operator="containsText" text="Sin información">
      <formula>NOT(ISERROR(SEARCH("Sin información",E961)))</formula>
    </cfRule>
  </conditionalFormatting>
  <conditionalFormatting sqref="E961">
    <cfRule type="containsText" dxfId="5791" priority="7463" operator="containsText" text="NUEVO">
      <formula>NOT(ISERROR(SEARCH("NUEVO",E961)))</formula>
    </cfRule>
  </conditionalFormatting>
  <conditionalFormatting sqref="C962:D962">
    <cfRule type="containsText" dxfId="5790" priority="7462" operator="containsText" text="NO+$D$4:$D$10">
      <formula>NOT(ISERROR(SEARCH("NO+$D$4:$D$10",C962)))</formula>
    </cfRule>
  </conditionalFormatting>
  <conditionalFormatting sqref="C962:D962">
    <cfRule type="containsText" dxfId="5789" priority="7460" operator="containsText" text="SI">
      <formula>NOT(ISERROR(SEARCH("SI",C962)))</formula>
    </cfRule>
    <cfRule type="containsText" dxfId="5788" priority="7461" operator="containsText" text="NO">
      <formula>NOT(ISERROR(SEARCH("NO",C962)))</formula>
    </cfRule>
  </conditionalFormatting>
  <conditionalFormatting sqref="E962">
    <cfRule type="containsText" dxfId="5787" priority="7459" operator="containsText" text="Sin información">
      <formula>NOT(ISERROR(SEARCH("Sin información",E962)))</formula>
    </cfRule>
  </conditionalFormatting>
  <conditionalFormatting sqref="C962:E962">
    <cfRule type="containsText" dxfId="5786" priority="7458" operator="containsText" text="NUEVO">
      <formula>NOT(ISERROR(SEARCH("NUEVO",C962)))</formula>
    </cfRule>
  </conditionalFormatting>
  <conditionalFormatting sqref="C963:D963">
    <cfRule type="containsText" dxfId="5785" priority="7457" operator="containsText" text="NO+$D$4:$D$10">
      <formula>NOT(ISERROR(SEARCH("NO+$D$4:$D$10",C963)))</formula>
    </cfRule>
  </conditionalFormatting>
  <conditionalFormatting sqref="C963:D963">
    <cfRule type="containsText" dxfId="5784" priority="7455" operator="containsText" text="SI">
      <formula>NOT(ISERROR(SEARCH("SI",C963)))</formula>
    </cfRule>
    <cfRule type="containsText" dxfId="5783" priority="7456" operator="containsText" text="NO">
      <formula>NOT(ISERROR(SEARCH("NO",C963)))</formula>
    </cfRule>
  </conditionalFormatting>
  <conditionalFormatting sqref="E963">
    <cfRule type="containsText" dxfId="5782" priority="7454" operator="containsText" text="Sin información">
      <formula>NOT(ISERROR(SEARCH("Sin información",E963)))</formula>
    </cfRule>
  </conditionalFormatting>
  <conditionalFormatting sqref="C963:E963">
    <cfRule type="containsText" dxfId="5781" priority="7453" operator="containsText" text="NUEVO">
      <formula>NOT(ISERROR(SEARCH("NUEVO",C963)))</formula>
    </cfRule>
  </conditionalFormatting>
  <conditionalFormatting sqref="C964:D964">
    <cfRule type="containsText" dxfId="5780" priority="7452" operator="containsText" text="NO+$D$4:$D$10">
      <formula>NOT(ISERROR(SEARCH("NO+$D$4:$D$10",C964)))</formula>
    </cfRule>
  </conditionalFormatting>
  <conditionalFormatting sqref="C964:D964">
    <cfRule type="containsText" dxfId="5779" priority="7450" operator="containsText" text="SI">
      <formula>NOT(ISERROR(SEARCH("SI",C964)))</formula>
    </cfRule>
    <cfRule type="containsText" dxfId="5778" priority="7451" operator="containsText" text="NO">
      <formula>NOT(ISERROR(SEARCH("NO",C964)))</formula>
    </cfRule>
  </conditionalFormatting>
  <conditionalFormatting sqref="E964">
    <cfRule type="containsText" dxfId="5777" priority="7449" operator="containsText" text="Sin información">
      <formula>NOT(ISERROR(SEARCH("Sin información",E964)))</formula>
    </cfRule>
  </conditionalFormatting>
  <conditionalFormatting sqref="C964:E964">
    <cfRule type="containsText" dxfId="5776" priority="7448" operator="containsText" text="NUEVO">
      <formula>NOT(ISERROR(SEARCH("NUEVO",C964)))</formula>
    </cfRule>
  </conditionalFormatting>
  <conditionalFormatting sqref="C965:D965">
    <cfRule type="containsText" dxfId="5775" priority="7447" operator="containsText" text="NO+$D$4:$D$10">
      <formula>NOT(ISERROR(SEARCH("NO+$D$4:$D$10",C965)))</formula>
    </cfRule>
  </conditionalFormatting>
  <conditionalFormatting sqref="C965:D965">
    <cfRule type="containsText" dxfId="5774" priority="7445" operator="containsText" text="SI">
      <formula>NOT(ISERROR(SEARCH("SI",C965)))</formula>
    </cfRule>
    <cfRule type="containsText" dxfId="5773" priority="7446" operator="containsText" text="NO">
      <formula>NOT(ISERROR(SEARCH("NO",C965)))</formula>
    </cfRule>
  </conditionalFormatting>
  <conditionalFormatting sqref="E965">
    <cfRule type="containsText" dxfId="5772" priority="7444" operator="containsText" text="Sin información">
      <formula>NOT(ISERROR(SEARCH("Sin información",E965)))</formula>
    </cfRule>
  </conditionalFormatting>
  <conditionalFormatting sqref="C965:E965">
    <cfRule type="containsText" dxfId="5771" priority="7443" operator="containsText" text="NUEVO">
      <formula>NOT(ISERROR(SEARCH("NUEVO",C965)))</formula>
    </cfRule>
  </conditionalFormatting>
  <conditionalFormatting sqref="C966:D966">
    <cfRule type="containsText" dxfId="5770" priority="7442" operator="containsText" text="NO+$D$4:$D$10">
      <formula>NOT(ISERROR(SEARCH("NO+$D$4:$D$10",C966)))</formula>
    </cfRule>
  </conditionalFormatting>
  <conditionalFormatting sqref="C966:D966">
    <cfRule type="containsText" dxfId="5769" priority="7440" operator="containsText" text="SI">
      <formula>NOT(ISERROR(SEARCH("SI",C966)))</formula>
    </cfRule>
    <cfRule type="containsText" dxfId="5768" priority="7441" operator="containsText" text="NO">
      <formula>NOT(ISERROR(SEARCH("NO",C966)))</formula>
    </cfRule>
  </conditionalFormatting>
  <conditionalFormatting sqref="E966">
    <cfRule type="containsText" dxfId="5767" priority="7439" operator="containsText" text="Sin información">
      <formula>NOT(ISERROR(SEARCH("Sin información",E966)))</formula>
    </cfRule>
  </conditionalFormatting>
  <conditionalFormatting sqref="C966:E966">
    <cfRule type="containsText" dxfId="5766" priority="7438" operator="containsText" text="NUEVO">
      <formula>NOT(ISERROR(SEARCH("NUEVO",C966)))</formula>
    </cfRule>
  </conditionalFormatting>
  <conditionalFormatting sqref="C967:D967">
    <cfRule type="containsText" dxfId="5765" priority="7437" operator="containsText" text="NO+$D$4:$D$10">
      <formula>NOT(ISERROR(SEARCH("NO+$D$4:$D$10",C967)))</formula>
    </cfRule>
  </conditionalFormatting>
  <conditionalFormatting sqref="C967:D967">
    <cfRule type="containsText" dxfId="5764" priority="7435" operator="containsText" text="SI">
      <formula>NOT(ISERROR(SEARCH("SI",C967)))</formula>
    </cfRule>
    <cfRule type="containsText" dxfId="5763" priority="7436" operator="containsText" text="NO">
      <formula>NOT(ISERROR(SEARCH("NO",C967)))</formula>
    </cfRule>
  </conditionalFormatting>
  <conditionalFormatting sqref="C967:D967">
    <cfRule type="containsText" dxfId="5762" priority="7434" operator="containsText" text="NUEVO">
      <formula>NOT(ISERROR(SEARCH("NUEVO",C967)))</formula>
    </cfRule>
  </conditionalFormatting>
  <conditionalFormatting sqref="E967">
    <cfRule type="containsText" dxfId="5761" priority="7433" operator="containsText" text="Sin información">
      <formula>NOT(ISERROR(SEARCH("Sin información",E967)))</formula>
    </cfRule>
  </conditionalFormatting>
  <conditionalFormatting sqref="E967">
    <cfRule type="containsText" dxfId="5760" priority="7432" operator="containsText" text="NUEVO">
      <formula>NOT(ISERROR(SEARCH("NUEVO",E967)))</formula>
    </cfRule>
  </conditionalFormatting>
  <conditionalFormatting sqref="C968:D968">
    <cfRule type="containsText" dxfId="5759" priority="7431" operator="containsText" text="NO+$D$4:$D$10">
      <formula>NOT(ISERROR(SEARCH("NO+$D$4:$D$10",C968)))</formula>
    </cfRule>
  </conditionalFormatting>
  <conditionalFormatting sqref="C968:D968">
    <cfRule type="containsText" dxfId="5758" priority="7429" operator="containsText" text="SI">
      <formula>NOT(ISERROR(SEARCH("SI",C968)))</formula>
    </cfRule>
    <cfRule type="containsText" dxfId="5757" priority="7430" operator="containsText" text="NO">
      <formula>NOT(ISERROR(SEARCH("NO",C968)))</formula>
    </cfRule>
  </conditionalFormatting>
  <conditionalFormatting sqref="E968">
    <cfRule type="containsText" dxfId="5756" priority="7428" operator="containsText" text="Sin información">
      <formula>NOT(ISERROR(SEARCH("Sin información",E968)))</formula>
    </cfRule>
  </conditionalFormatting>
  <conditionalFormatting sqref="C968:E968">
    <cfRule type="containsText" dxfId="5755" priority="7427" operator="containsText" text="NUEVO">
      <formula>NOT(ISERROR(SEARCH("NUEVO",C968)))</formula>
    </cfRule>
  </conditionalFormatting>
  <conditionalFormatting sqref="C969:D969">
    <cfRule type="containsText" dxfId="5754" priority="7426" operator="containsText" text="NO+$D$4:$D$10">
      <formula>NOT(ISERROR(SEARCH("NO+$D$4:$D$10",C969)))</formula>
    </cfRule>
  </conditionalFormatting>
  <conditionalFormatting sqref="C969:D969">
    <cfRule type="containsText" dxfId="5753" priority="7424" operator="containsText" text="SI">
      <formula>NOT(ISERROR(SEARCH("SI",C969)))</formula>
    </cfRule>
    <cfRule type="containsText" dxfId="5752" priority="7425" operator="containsText" text="NO">
      <formula>NOT(ISERROR(SEARCH("NO",C969)))</formula>
    </cfRule>
  </conditionalFormatting>
  <conditionalFormatting sqref="E969">
    <cfRule type="containsText" dxfId="5751" priority="7423" operator="containsText" text="Sin información">
      <formula>NOT(ISERROR(SEARCH("Sin información",E969)))</formula>
    </cfRule>
  </conditionalFormatting>
  <conditionalFormatting sqref="C969:E969">
    <cfRule type="containsText" dxfId="5750" priority="7422" operator="containsText" text="NUEVO">
      <formula>NOT(ISERROR(SEARCH("NUEVO",C969)))</formula>
    </cfRule>
  </conditionalFormatting>
  <conditionalFormatting sqref="C970:D970">
    <cfRule type="containsText" dxfId="5749" priority="7421" operator="containsText" text="NO+$D$4:$D$10">
      <formula>NOT(ISERROR(SEARCH("NO+$D$4:$D$10",C970)))</formula>
    </cfRule>
  </conditionalFormatting>
  <conditionalFormatting sqref="C970:D970">
    <cfRule type="containsText" dxfId="5748" priority="7419" operator="containsText" text="SI">
      <formula>NOT(ISERROR(SEARCH("SI",C970)))</formula>
    </cfRule>
    <cfRule type="containsText" dxfId="5747" priority="7420" operator="containsText" text="NO">
      <formula>NOT(ISERROR(SEARCH("NO",C970)))</formula>
    </cfRule>
  </conditionalFormatting>
  <conditionalFormatting sqref="E970">
    <cfRule type="containsText" dxfId="5746" priority="7418" operator="containsText" text="Sin información">
      <formula>NOT(ISERROR(SEARCH("Sin información",E970)))</formula>
    </cfRule>
  </conditionalFormatting>
  <conditionalFormatting sqref="C970:E970">
    <cfRule type="containsText" dxfId="5745" priority="7417" operator="containsText" text="NUEVO">
      <formula>NOT(ISERROR(SEARCH("NUEVO",C970)))</formula>
    </cfRule>
  </conditionalFormatting>
  <conditionalFormatting sqref="C978:D978">
    <cfRule type="containsText" dxfId="5744" priority="7406" operator="containsText" text="NO+$D$4:$D$10">
      <formula>NOT(ISERROR(SEARCH("NO+$D$4:$D$10",C978)))</formula>
    </cfRule>
  </conditionalFormatting>
  <conditionalFormatting sqref="C978:D978">
    <cfRule type="containsText" dxfId="5743" priority="7404" operator="containsText" text="SI">
      <formula>NOT(ISERROR(SEARCH("SI",C978)))</formula>
    </cfRule>
    <cfRule type="containsText" dxfId="5742" priority="7405" operator="containsText" text="NO">
      <formula>NOT(ISERROR(SEARCH("NO",C978)))</formula>
    </cfRule>
  </conditionalFormatting>
  <conditionalFormatting sqref="E978">
    <cfRule type="containsText" dxfId="5741" priority="7403" operator="containsText" text="Sin información">
      <formula>NOT(ISERROR(SEARCH("Sin información",E978)))</formula>
    </cfRule>
  </conditionalFormatting>
  <conditionalFormatting sqref="C978:E978">
    <cfRule type="containsText" dxfId="5740" priority="7402" operator="containsText" text="NUEVO">
      <formula>NOT(ISERROR(SEARCH("NUEVO",C978)))</formula>
    </cfRule>
  </conditionalFormatting>
  <conditionalFormatting sqref="C979:D979">
    <cfRule type="containsText" dxfId="5739" priority="7401" operator="containsText" text="NO+$D$4:$D$10">
      <formula>NOT(ISERROR(SEARCH("NO+$D$4:$D$10",C979)))</formula>
    </cfRule>
  </conditionalFormatting>
  <conditionalFormatting sqref="C979:D979">
    <cfRule type="containsText" dxfId="5738" priority="7399" operator="containsText" text="SI">
      <formula>NOT(ISERROR(SEARCH("SI",C979)))</formula>
    </cfRule>
    <cfRule type="containsText" dxfId="5737" priority="7400" operator="containsText" text="NO">
      <formula>NOT(ISERROR(SEARCH("NO",C979)))</formula>
    </cfRule>
  </conditionalFormatting>
  <conditionalFormatting sqref="E979">
    <cfRule type="containsText" dxfId="5736" priority="7398" operator="containsText" text="Sin información">
      <formula>NOT(ISERROR(SEARCH("Sin información",E979)))</formula>
    </cfRule>
  </conditionalFormatting>
  <conditionalFormatting sqref="C979:E979">
    <cfRule type="containsText" dxfId="5735" priority="7397" operator="containsText" text="NUEVO">
      <formula>NOT(ISERROR(SEARCH("NUEVO",C979)))</formula>
    </cfRule>
  </conditionalFormatting>
  <conditionalFormatting sqref="C980:D980">
    <cfRule type="containsText" dxfId="5734" priority="7396" operator="containsText" text="NO+$D$4:$D$10">
      <formula>NOT(ISERROR(SEARCH("NO+$D$4:$D$10",C980)))</formula>
    </cfRule>
  </conditionalFormatting>
  <conditionalFormatting sqref="C980:D980">
    <cfRule type="containsText" dxfId="5733" priority="7394" operator="containsText" text="SI">
      <formula>NOT(ISERROR(SEARCH("SI",C980)))</formula>
    </cfRule>
    <cfRule type="containsText" dxfId="5732" priority="7395" operator="containsText" text="NO">
      <formula>NOT(ISERROR(SEARCH("NO",C980)))</formula>
    </cfRule>
  </conditionalFormatting>
  <conditionalFormatting sqref="E980">
    <cfRule type="containsText" dxfId="5731" priority="7393" operator="containsText" text="Sin información">
      <formula>NOT(ISERROR(SEARCH("Sin información",E980)))</formula>
    </cfRule>
  </conditionalFormatting>
  <conditionalFormatting sqref="C980:E980">
    <cfRule type="containsText" dxfId="5730" priority="7392" operator="containsText" text="NUEVO">
      <formula>NOT(ISERROR(SEARCH("NUEVO",C980)))</formula>
    </cfRule>
  </conditionalFormatting>
  <conditionalFormatting sqref="C981:D981">
    <cfRule type="containsText" dxfId="5729" priority="7391" operator="containsText" text="NO+$D$4:$D$10">
      <formula>NOT(ISERROR(SEARCH("NO+$D$4:$D$10",C981)))</formula>
    </cfRule>
  </conditionalFormatting>
  <conditionalFormatting sqref="C981:D981">
    <cfRule type="containsText" dxfId="5728" priority="7389" operator="containsText" text="SI">
      <formula>NOT(ISERROR(SEARCH("SI",C981)))</formula>
    </cfRule>
    <cfRule type="containsText" dxfId="5727" priority="7390" operator="containsText" text="NO">
      <formula>NOT(ISERROR(SEARCH("NO",C981)))</formula>
    </cfRule>
  </conditionalFormatting>
  <conditionalFormatting sqref="E981">
    <cfRule type="containsText" dxfId="5726" priority="7388" operator="containsText" text="Sin información">
      <formula>NOT(ISERROR(SEARCH("Sin información",E981)))</formula>
    </cfRule>
  </conditionalFormatting>
  <conditionalFormatting sqref="C981:E981">
    <cfRule type="containsText" dxfId="5725" priority="7387" operator="containsText" text="NUEVO">
      <formula>NOT(ISERROR(SEARCH("NUEVO",C981)))</formula>
    </cfRule>
  </conditionalFormatting>
  <conditionalFormatting sqref="C982:D982">
    <cfRule type="containsText" dxfId="5724" priority="7386" operator="containsText" text="NO+$D$4:$D$10">
      <formula>NOT(ISERROR(SEARCH("NO+$D$4:$D$10",C982)))</formula>
    </cfRule>
  </conditionalFormatting>
  <conditionalFormatting sqref="C982:D982">
    <cfRule type="containsText" dxfId="5723" priority="7384" operator="containsText" text="SI">
      <formula>NOT(ISERROR(SEARCH("SI",C982)))</formula>
    </cfRule>
    <cfRule type="containsText" dxfId="5722" priority="7385" operator="containsText" text="NO">
      <formula>NOT(ISERROR(SEARCH("NO",C982)))</formula>
    </cfRule>
  </conditionalFormatting>
  <conditionalFormatting sqref="E982">
    <cfRule type="containsText" dxfId="5721" priority="7383" operator="containsText" text="Sin información">
      <formula>NOT(ISERROR(SEARCH("Sin información",E982)))</formula>
    </cfRule>
  </conditionalFormatting>
  <conditionalFormatting sqref="C982:E982">
    <cfRule type="containsText" dxfId="5720" priority="7382" operator="containsText" text="NUEVO">
      <formula>NOT(ISERROR(SEARCH("NUEVO",C982)))</formula>
    </cfRule>
  </conditionalFormatting>
  <conditionalFormatting sqref="C983:D983">
    <cfRule type="containsText" dxfId="5719" priority="7376" operator="containsText" text="NO+$D$4:$D$10">
      <formula>NOT(ISERROR(SEARCH("NO+$D$4:$D$10",C983)))</formula>
    </cfRule>
  </conditionalFormatting>
  <conditionalFormatting sqref="C983:D983">
    <cfRule type="containsText" dxfId="5718" priority="7374" operator="containsText" text="SI">
      <formula>NOT(ISERROR(SEARCH("SI",C983)))</formula>
    </cfRule>
    <cfRule type="containsText" dxfId="5717" priority="7375" operator="containsText" text="NO">
      <formula>NOT(ISERROR(SEARCH("NO",C983)))</formula>
    </cfRule>
  </conditionalFormatting>
  <conditionalFormatting sqref="E983">
    <cfRule type="containsText" dxfId="5716" priority="7373" operator="containsText" text="Sin información">
      <formula>NOT(ISERROR(SEARCH("Sin información",E983)))</formula>
    </cfRule>
  </conditionalFormatting>
  <conditionalFormatting sqref="C983:E983">
    <cfRule type="containsText" dxfId="5715" priority="7372" operator="containsText" text="NUEVO">
      <formula>NOT(ISERROR(SEARCH("NUEVO",C983)))</formula>
    </cfRule>
  </conditionalFormatting>
  <conditionalFormatting sqref="C984:D984">
    <cfRule type="containsText" dxfId="5714" priority="7371" operator="containsText" text="NO+$D$4:$D$10">
      <formula>NOT(ISERROR(SEARCH("NO+$D$4:$D$10",C984)))</formula>
    </cfRule>
  </conditionalFormatting>
  <conditionalFormatting sqref="C984:D984">
    <cfRule type="containsText" dxfId="5713" priority="7369" operator="containsText" text="SI">
      <formula>NOT(ISERROR(SEARCH("SI",C984)))</formula>
    </cfRule>
    <cfRule type="containsText" dxfId="5712" priority="7370" operator="containsText" text="NO">
      <formula>NOT(ISERROR(SEARCH("NO",C984)))</formula>
    </cfRule>
  </conditionalFormatting>
  <conditionalFormatting sqref="E984">
    <cfRule type="containsText" dxfId="5711" priority="7368" operator="containsText" text="Sin información">
      <formula>NOT(ISERROR(SEARCH("Sin información",E984)))</formula>
    </cfRule>
  </conditionalFormatting>
  <conditionalFormatting sqref="C984:E984">
    <cfRule type="containsText" dxfId="5710" priority="7367" operator="containsText" text="NUEVO">
      <formula>NOT(ISERROR(SEARCH("NUEVO",C984)))</formula>
    </cfRule>
  </conditionalFormatting>
  <conditionalFormatting sqref="C985:D985">
    <cfRule type="containsText" dxfId="5709" priority="7360" operator="containsText" text="NO+$D$4:$D$10">
      <formula>NOT(ISERROR(SEARCH("NO+$D$4:$D$10",C985)))</formula>
    </cfRule>
  </conditionalFormatting>
  <conditionalFormatting sqref="C985:D985">
    <cfRule type="containsText" dxfId="5708" priority="7358" operator="containsText" text="SI">
      <formula>NOT(ISERROR(SEARCH("SI",C985)))</formula>
    </cfRule>
    <cfRule type="containsText" dxfId="5707" priority="7359" operator="containsText" text="NO">
      <formula>NOT(ISERROR(SEARCH("NO",C985)))</formula>
    </cfRule>
  </conditionalFormatting>
  <conditionalFormatting sqref="C985:D985">
    <cfRule type="containsText" dxfId="5706" priority="7357" operator="containsText" text="NUEVO">
      <formula>NOT(ISERROR(SEARCH("NUEVO",C985)))</formula>
    </cfRule>
  </conditionalFormatting>
  <conditionalFormatting sqref="E985">
    <cfRule type="containsText" dxfId="5705" priority="7356" operator="containsText" text="Sin información">
      <formula>NOT(ISERROR(SEARCH("Sin información",E985)))</formula>
    </cfRule>
  </conditionalFormatting>
  <conditionalFormatting sqref="E985">
    <cfRule type="containsText" dxfId="5704" priority="7355" operator="containsText" text="NUEVO">
      <formula>NOT(ISERROR(SEARCH("NUEVO",E985)))</formula>
    </cfRule>
  </conditionalFormatting>
  <conditionalFormatting sqref="C986:D986">
    <cfRule type="containsText" dxfId="5703" priority="7354" operator="containsText" text="NO+$D$4:$D$10">
      <formula>NOT(ISERROR(SEARCH("NO+$D$4:$D$10",C986)))</formula>
    </cfRule>
  </conditionalFormatting>
  <conditionalFormatting sqref="C986:D986">
    <cfRule type="containsText" dxfId="5702" priority="7352" operator="containsText" text="SI">
      <formula>NOT(ISERROR(SEARCH("SI",C986)))</formula>
    </cfRule>
    <cfRule type="containsText" dxfId="5701" priority="7353" operator="containsText" text="NO">
      <formula>NOT(ISERROR(SEARCH("NO",C986)))</formula>
    </cfRule>
  </conditionalFormatting>
  <conditionalFormatting sqref="E986">
    <cfRule type="containsText" dxfId="5700" priority="7351" operator="containsText" text="Sin información">
      <formula>NOT(ISERROR(SEARCH("Sin información",E986)))</formula>
    </cfRule>
  </conditionalFormatting>
  <conditionalFormatting sqref="C986:E986">
    <cfRule type="containsText" dxfId="5699" priority="7350" operator="containsText" text="NUEVO">
      <formula>NOT(ISERROR(SEARCH("NUEVO",C986)))</formula>
    </cfRule>
  </conditionalFormatting>
  <conditionalFormatting sqref="C987:D987">
    <cfRule type="containsText" dxfId="5698" priority="7349" operator="containsText" text="NO+$D$4:$D$10">
      <formula>NOT(ISERROR(SEARCH("NO+$D$4:$D$10",C987)))</formula>
    </cfRule>
  </conditionalFormatting>
  <conditionalFormatting sqref="C987:D987">
    <cfRule type="containsText" dxfId="5697" priority="7347" operator="containsText" text="SI">
      <formula>NOT(ISERROR(SEARCH("SI",C987)))</formula>
    </cfRule>
    <cfRule type="containsText" dxfId="5696" priority="7348" operator="containsText" text="NO">
      <formula>NOT(ISERROR(SEARCH("NO",C987)))</formula>
    </cfRule>
  </conditionalFormatting>
  <conditionalFormatting sqref="E987">
    <cfRule type="containsText" dxfId="5695" priority="7346" operator="containsText" text="Sin información">
      <formula>NOT(ISERROR(SEARCH("Sin información",E987)))</formula>
    </cfRule>
  </conditionalFormatting>
  <conditionalFormatting sqref="C987:E987">
    <cfRule type="containsText" dxfId="5694" priority="7345" operator="containsText" text="NUEVO">
      <formula>NOT(ISERROR(SEARCH("NUEVO",C987)))</formula>
    </cfRule>
  </conditionalFormatting>
  <conditionalFormatting sqref="C988:D988">
    <cfRule type="containsText" dxfId="5693" priority="7344" operator="containsText" text="NO+$D$4:$D$10">
      <formula>NOT(ISERROR(SEARCH("NO+$D$4:$D$10",C988)))</formula>
    </cfRule>
  </conditionalFormatting>
  <conditionalFormatting sqref="C988:D988">
    <cfRule type="containsText" dxfId="5692" priority="7342" operator="containsText" text="SI">
      <formula>NOT(ISERROR(SEARCH("SI",C988)))</formula>
    </cfRule>
    <cfRule type="containsText" dxfId="5691" priority="7343" operator="containsText" text="NO">
      <formula>NOT(ISERROR(SEARCH("NO",C988)))</formula>
    </cfRule>
  </conditionalFormatting>
  <conditionalFormatting sqref="E988">
    <cfRule type="containsText" dxfId="5690" priority="7341" operator="containsText" text="Sin información">
      <formula>NOT(ISERROR(SEARCH("Sin información",E988)))</formula>
    </cfRule>
  </conditionalFormatting>
  <conditionalFormatting sqref="C988:E988">
    <cfRule type="containsText" dxfId="5689" priority="7340" operator="containsText" text="NUEVO">
      <formula>NOT(ISERROR(SEARCH("NUEVO",C988)))</formula>
    </cfRule>
  </conditionalFormatting>
  <conditionalFormatting sqref="C989:D989">
    <cfRule type="containsText" dxfId="5688" priority="7339" operator="containsText" text="NO+$D$4:$D$10">
      <formula>NOT(ISERROR(SEARCH("NO+$D$4:$D$10",C989)))</formula>
    </cfRule>
  </conditionalFormatting>
  <conditionalFormatting sqref="C989:D989">
    <cfRule type="containsText" dxfId="5687" priority="7337" operator="containsText" text="SI">
      <formula>NOT(ISERROR(SEARCH("SI",C989)))</formula>
    </cfRule>
    <cfRule type="containsText" dxfId="5686" priority="7338" operator="containsText" text="NO">
      <formula>NOT(ISERROR(SEARCH("NO",C989)))</formula>
    </cfRule>
  </conditionalFormatting>
  <conditionalFormatting sqref="C989:D989">
    <cfRule type="containsText" dxfId="5685" priority="7336" operator="containsText" text="NUEVO">
      <formula>NOT(ISERROR(SEARCH("NUEVO",C989)))</formula>
    </cfRule>
  </conditionalFormatting>
  <conditionalFormatting sqref="E989">
    <cfRule type="containsText" dxfId="5684" priority="7335" operator="containsText" text="Sin información">
      <formula>NOT(ISERROR(SEARCH("Sin información",E989)))</formula>
    </cfRule>
  </conditionalFormatting>
  <conditionalFormatting sqref="E989">
    <cfRule type="containsText" dxfId="5683" priority="7334" operator="containsText" text="NUEVO">
      <formula>NOT(ISERROR(SEARCH("NUEVO",E989)))</formula>
    </cfRule>
  </conditionalFormatting>
  <conditionalFormatting sqref="C990:D990">
    <cfRule type="containsText" dxfId="5682" priority="7333" operator="containsText" text="NO+$D$4:$D$10">
      <formula>NOT(ISERROR(SEARCH("NO+$D$4:$D$10",C990)))</formula>
    </cfRule>
  </conditionalFormatting>
  <conditionalFormatting sqref="C990:D990">
    <cfRule type="containsText" dxfId="5681" priority="7331" operator="containsText" text="SI">
      <formula>NOT(ISERROR(SEARCH("SI",C990)))</formula>
    </cfRule>
    <cfRule type="containsText" dxfId="5680" priority="7332" operator="containsText" text="NO">
      <formula>NOT(ISERROR(SEARCH("NO",C990)))</formula>
    </cfRule>
  </conditionalFormatting>
  <conditionalFormatting sqref="E990">
    <cfRule type="containsText" dxfId="5679" priority="7330" operator="containsText" text="Sin información">
      <formula>NOT(ISERROR(SEARCH("Sin información",E990)))</formula>
    </cfRule>
  </conditionalFormatting>
  <conditionalFormatting sqref="C990:E990">
    <cfRule type="containsText" dxfId="5678" priority="7329" operator="containsText" text="NUEVO">
      <formula>NOT(ISERROR(SEARCH("NUEVO",C990)))</formula>
    </cfRule>
  </conditionalFormatting>
  <conditionalFormatting sqref="C991:D991">
    <cfRule type="containsText" dxfId="5677" priority="7328" operator="containsText" text="NO+$D$4:$D$10">
      <formula>NOT(ISERROR(SEARCH("NO+$D$4:$D$10",C991)))</formula>
    </cfRule>
  </conditionalFormatting>
  <conditionalFormatting sqref="C991:D991">
    <cfRule type="containsText" dxfId="5676" priority="7326" operator="containsText" text="SI">
      <formula>NOT(ISERROR(SEARCH("SI",C991)))</formula>
    </cfRule>
    <cfRule type="containsText" dxfId="5675" priority="7327" operator="containsText" text="NO">
      <formula>NOT(ISERROR(SEARCH("NO",C991)))</formula>
    </cfRule>
  </conditionalFormatting>
  <conditionalFormatting sqref="E991">
    <cfRule type="containsText" dxfId="5674" priority="7325" operator="containsText" text="Sin información">
      <formula>NOT(ISERROR(SEARCH("Sin información",E991)))</formula>
    </cfRule>
  </conditionalFormatting>
  <conditionalFormatting sqref="C991:E991">
    <cfRule type="containsText" dxfId="5673" priority="7324" operator="containsText" text="NUEVO">
      <formula>NOT(ISERROR(SEARCH("NUEVO",C991)))</formula>
    </cfRule>
  </conditionalFormatting>
  <conditionalFormatting sqref="C992:D992">
    <cfRule type="containsText" dxfId="5672" priority="7323" operator="containsText" text="NO+$D$4:$D$10">
      <formula>NOT(ISERROR(SEARCH("NO+$D$4:$D$10",C992)))</formula>
    </cfRule>
  </conditionalFormatting>
  <conditionalFormatting sqref="C992:D992">
    <cfRule type="containsText" dxfId="5671" priority="7321" operator="containsText" text="SI">
      <formula>NOT(ISERROR(SEARCH("SI",C992)))</formula>
    </cfRule>
    <cfRule type="containsText" dxfId="5670" priority="7322" operator="containsText" text="NO">
      <formula>NOT(ISERROR(SEARCH("NO",C992)))</formula>
    </cfRule>
  </conditionalFormatting>
  <conditionalFormatting sqref="C992:D992">
    <cfRule type="containsText" dxfId="5669" priority="7320" operator="containsText" text="NUEVO">
      <formula>NOT(ISERROR(SEARCH("NUEVO",C992)))</formula>
    </cfRule>
  </conditionalFormatting>
  <conditionalFormatting sqref="E992">
    <cfRule type="containsText" dxfId="5668" priority="7319" operator="containsText" text="Sin información">
      <formula>NOT(ISERROR(SEARCH("Sin información",E992)))</formula>
    </cfRule>
  </conditionalFormatting>
  <conditionalFormatting sqref="E992">
    <cfRule type="containsText" dxfId="5667" priority="7318" operator="containsText" text="NUEVO">
      <formula>NOT(ISERROR(SEARCH("NUEVO",E992)))</formula>
    </cfRule>
  </conditionalFormatting>
  <conditionalFormatting sqref="C993:D993">
    <cfRule type="containsText" dxfId="5666" priority="7317" operator="containsText" text="NO+$D$4:$D$10">
      <formula>NOT(ISERROR(SEARCH("NO+$D$4:$D$10",C993)))</formula>
    </cfRule>
  </conditionalFormatting>
  <conditionalFormatting sqref="C993:D993">
    <cfRule type="containsText" dxfId="5665" priority="7315" operator="containsText" text="SI">
      <formula>NOT(ISERROR(SEARCH("SI",C993)))</formula>
    </cfRule>
    <cfRule type="containsText" dxfId="5664" priority="7316" operator="containsText" text="NO">
      <formula>NOT(ISERROR(SEARCH("NO",C993)))</formula>
    </cfRule>
  </conditionalFormatting>
  <conditionalFormatting sqref="C993:D993">
    <cfRule type="containsText" dxfId="5663" priority="7314" operator="containsText" text="NUEVO">
      <formula>NOT(ISERROR(SEARCH("NUEVO",C993)))</formula>
    </cfRule>
  </conditionalFormatting>
  <conditionalFormatting sqref="E993">
    <cfRule type="containsText" dxfId="5662" priority="7313" operator="containsText" text="Sin información">
      <formula>NOT(ISERROR(SEARCH("Sin información",E993)))</formula>
    </cfRule>
  </conditionalFormatting>
  <conditionalFormatting sqref="E993">
    <cfRule type="containsText" dxfId="5661" priority="7312" operator="containsText" text="NUEVO">
      <formula>NOT(ISERROR(SEARCH("NUEVO",E993)))</formula>
    </cfRule>
  </conditionalFormatting>
  <conditionalFormatting sqref="C994:D994">
    <cfRule type="containsText" dxfId="5660" priority="7311" operator="containsText" text="NO+$D$4:$D$10">
      <formula>NOT(ISERROR(SEARCH("NO+$D$4:$D$10",C994)))</formula>
    </cfRule>
  </conditionalFormatting>
  <conditionalFormatting sqref="C994:D994">
    <cfRule type="containsText" dxfId="5659" priority="7309" operator="containsText" text="SI">
      <formula>NOT(ISERROR(SEARCH("SI",C994)))</formula>
    </cfRule>
    <cfRule type="containsText" dxfId="5658" priority="7310" operator="containsText" text="NO">
      <formula>NOT(ISERROR(SEARCH("NO",C994)))</formula>
    </cfRule>
  </conditionalFormatting>
  <conditionalFormatting sqref="C994:D994">
    <cfRule type="containsText" dxfId="5657" priority="7308" operator="containsText" text="NUEVO">
      <formula>NOT(ISERROR(SEARCH("NUEVO",C994)))</formula>
    </cfRule>
  </conditionalFormatting>
  <conditionalFormatting sqref="E994">
    <cfRule type="containsText" dxfId="5656" priority="7307" operator="containsText" text="Sin información">
      <formula>NOT(ISERROR(SEARCH("Sin información",E994)))</formula>
    </cfRule>
  </conditionalFormatting>
  <conditionalFormatting sqref="E994">
    <cfRule type="containsText" dxfId="5655" priority="7306" operator="containsText" text="NUEVO">
      <formula>NOT(ISERROR(SEARCH("NUEVO",E994)))</formula>
    </cfRule>
  </conditionalFormatting>
  <conditionalFormatting sqref="C995:D995">
    <cfRule type="containsText" dxfId="5654" priority="7305" operator="containsText" text="NO+$D$4:$D$10">
      <formula>NOT(ISERROR(SEARCH("NO+$D$4:$D$10",C995)))</formula>
    </cfRule>
  </conditionalFormatting>
  <conditionalFormatting sqref="C995:D995">
    <cfRule type="containsText" dxfId="5653" priority="7303" operator="containsText" text="SI">
      <formula>NOT(ISERROR(SEARCH("SI",C995)))</formula>
    </cfRule>
    <cfRule type="containsText" dxfId="5652" priority="7304" operator="containsText" text="NO">
      <formula>NOT(ISERROR(SEARCH("NO",C995)))</formula>
    </cfRule>
  </conditionalFormatting>
  <conditionalFormatting sqref="C995:D995">
    <cfRule type="containsText" dxfId="5651" priority="7302" operator="containsText" text="NUEVO">
      <formula>NOT(ISERROR(SEARCH("NUEVO",C995)))</formula>
    </cfRule>
  </conditionalFormatting>
  <conditionalFormatting sqref="E995">
    <cfRule type="containsText" dxfId="5650" priority="7301" operator="containsText" text="Sin información">
      <formula>NOT(ISERROR(SEARCH("Sin información",E995)))</formula>
    </cfRule>
  </conditionalFormatting>
  <conditionalFormatting sqref="E995">
    <cfRule type="containsText" dxfId="5649" priority="7300" operator="containsText" text="NUEVO">
      <formula>NOT(ISERROR(SEARCH("NUEVO",E995)))</formula>
    </cfRule>
  </conditionalFormatting>
  <conditionalFormatting sqref="C996:D996">
    <cfRule type="containsText" dxfId="5648" priority="7299" operator="containsText" text="NO+$D$4:$D$10">
      <formula>NOT(ISERROR(SEARCH("NO+$D$4:$D$10",C996)))</formula>
    </cfRule>
  </conditionalFormatting>
  <conditionalFormatting sqref="C996:D996">
    <cfRule type="containsText" dxfId="5647" priority="7297" operator="containsText" text="SI">
      <formula>NOT(ISERROR(SEARCH("SI",C996)))</formula>
    </cfRule>
    <cfRule type="containsText" dxfId="5646" priority="7298" operator="containsText" text="NO">
      <formula>NOT(ISERROR(SEARCH("NO",C996)))</formula>
    </cfRule>
  </conditionalFormatting>
  <conditionalFormatting sqref="E996">
    <cfRule type="containsText" dxfId="5645" priority="7296" operator="containsText" text="Sin información">
      <formula>NOT(ISERROR(SEARCH("Sin información",E996)))</formula>
    </cfRule>
  </conditionalFormatting>
  <conditionalFormatting sqref="C996:E996">
    <cfRule type="containsText" dxfId="5644" priority="7295" operator="containsText" text="NUEVO">
      <formula>NOT(ISERROR(SEARCH("NUEVO",C996)))</formula>
    </cfRule>
  </conditionalFormatting>
  <conditionalFormatting sqref="C997:D997">
    <cfRule type="containsText" dxfId="5643" priority="7294" operator="containsText" text="NO+$D$4:$D$10">
      <formula>NOT(ISERROR(SEARCH("NO+$D$4:$D$10",C997)))</formula>
    </cfRule>
  </conditionalFormatting>
  <conditionalFormatting sqref="C997:D997">
    <cfRule type="containsText" dxfId="5642" priority="7292" operator="containsText" text="SI">
      <formula>NOT(ISERROR(SEARCH("SI",C997)))</formula>
    </cfRule>
    <cfRule type="containsText" dxfId="5641" priority="7293" operator="containsText" text="NO">
      <formula>NOT(ISERROR(SEARCH("NO",C997)))</formula>
    </cfRule>
  </conditionalFormatting>
  <conditionalFormatting sqref="E997">
    <cfRule type="containsText" dxfId="5640" priority="7291" operator="containsText" text="Sin información">
      <formula>NOT(ISERROR(SEARCH("Sin información",E997)))</formula>
    </cfRule>
  </conditionalFormatting>
  <conditionalFormatting sqref="C997:E997">
    <cfRule type="containsText" dxfId="5639" priority="7290" operator="containsText" text="NUEVO">
      <formula>NOT(ISERROR(SEARCH("NUEVO",C997)))</formula>
    </cfRule>
  </conditionalFormatting>
  <conditionalFormatting sqref="C998:D998">
    <cfRule type="containsText" dxfId="5638" priority="7289" operator="containsText" text="NO+$D$4:$D$10">
      <formula>NOT(ISERROR(SEARCH("NO+$D$4:$D$10",C998)))</formula>
    </cfRule>
  </conditionalFormatting>
  <conditionalFormatting sqref="C998:D998">
    <cfRule type="containsText" dxfId="5637" priority="7287" operator="containsText" text="SI">
      <formula>NOT(ISERROR(SEARCH("SI",C998)))</formula>
    </cfRule>
    <cfRule type="containsText" dxfId="5636" priority="7288" operator="containsText" text="NO">
      <formula>NOT(ISERROR(SEARCH("NO",C998)))</formula>
    </cfRule>
  </conditionalFormatting>
  <conditionalFormatting sqref="E998">
    <cfRule type="containsText" dxfId="5635" priority="7286" operator="containsText" text="Sin información">
      <formula>NOT(ISERROR(SEARCH("Sin información",E998)))</formula>
    </cfRule>
  </conditionalFormatting>
  <conditionalFormatting sqref="C998:E998">
    <cfRule type="containsText" dxfId="5634" priority="7285" operator="containsText" text="NUEVO">
      <formula>NOT(ISERROR(SEARCH("NUEVO",C998)))</formula>
    </cfRule>
  </conditionalFormatting>
  <conditionalFormatting sqref="C999:D999">
    <cfRule type="containsText" dxfId="5633" priority="7284" operator="containsText" text="NO+$D$4:$D$10">
      <formula>NOT(ISERROR(SEARCH("NO+$D$4:$D$10",C999)))</formula>
    </cfRule>
  </conditionalFormatting>
  <conditionalFormatting sqref="C999:D999">
    <cfRule type="containsText" dxfId="5632" priority="7282" operator="containsText" text="SI">
      <formula>NOT(ISERROR(SEARCH("SI",C999)))</formula>
    </cfRule>
    <cfRule type="containsText" dxfId="5631" priority="7283" operator="containsText" text="NO">
      <formula>NOT(ISERROR(SEARCH("NO",C999)))</formula>
    </cfRule>
  </conditionalFormatting>
  <conditionalFormatting sqref="C999:D999">
    <cfRule type="containsText" dxfId="5630" priority="7281" operator="containsText" text="NUEVO">
      <formula>NOT(ISERROR(SEARCH("NUEVO",C999)))</formula>
    </cfRule>
  </conditionalFormatting>
  <conditionalFormatting sqref="E999">
    <cfRule type="containsText" dxfId="5629" priority="7280" operator="containsText" text="Sin información">
      <formula>NOT(ISERROR(SEARCH("Sin información",E999)))</formula>
    </cfRule>
  </conditionalFormatting>
  <conditionalFormatting sqref="E999">
    <cfRule type="containsText" dxfId="5628" priority="7279" operator="containsText" text="NUEVO">
      <formula>NOT(ISERROR(SEARCH("NUEVO",E999)))</formula>
    </cfRule>
  </conditionalFormatting>
  <conditionalFormatting sqref="C1000:D1000">
    <cfRule type="containsText" dxfId="5627" priority="7278" operator="containsText" text="NO+$D$4:$D$10">
      <formula>NOT(ISERROR(SEARCH("NO+$D$4:$D$10",C1000)))</formula>
    </cfRule>
  </conditionalFormatting>
  <conditionalFormatting sqref="C1000:D1000">
    <cfRule type="containsText" dxfId="5626" priority="7276" operator="containsText" text="SI">
      <formula>NOT(ISERROR(SEARCH("SI",C1000)))</formula>
    </cfRule>
    <cfRule type="containsText" dxfId="5625" priority="7277" operator="containsText" text="NO">
      <formula>NOT(ISERROR(SEARCH("NO",C1000)))</formula>
    </cfRule>
  </conditionalFormatting>
  <conditionalFormatting sqref="E1000">
    <cfRule type="containsText" dxfId="5624" priority="7275" operator="containsText" text="Sin información">
      <formula>NOT(ISERROR(SEARCH("Sin información",E1000)))</formula>
    </cfRule>
  </conditionalFormatting>
  <conditionalFormatting sqref="C1000:E1000">
    <cfRule type="containsText" dxfId="5623" priority="7274" operator="containsText" text="NUEVO">
      <formula>NOT(ISERROR(SEARCH("NUEVO",C1000)))</formula>
    </cfRule>
  </conditionalFormatting>
  <conditionalFormatting sqref="C1001:D1001">
    <cfRule type="containsText" dxfId="5622" priority="7273" operator="containsText" text="NO+$D$4:$D$10">
      <formula>NOT(ISERROR(SEARCH("NO+$D$4:$D$10",C1001)))</formula>
    </cfRule>
  </conditionalFormatting>
  <conditionalFormatting sqref="C1001:D1001">
    <cfRule type="containsText" dxfId="5621" priority="7271" operator="containsText" text="SI">
      <formula>NOT(ISERROR(SEARCH("SI",C1001)))</formula>
    </cfRule>
    <cfRule type="containsText" dxfId="5620" priority="7272" operator="containsText" text="NO">
      <formula>NOT(ISERROR(SEARCH("NO",C1001)))</formula>
    </cfRule>
  </conditionalFormatting>
  <conditionalFormatting sqref="E1001">
    <cfRule type="containsText" dxfId="5619" priority="7270" operator="containsText" text="Sin información">
      <formula>NOT(ISERROR(SEARCH("Sin información",E1001)))</formula>
    </cfRule>
  </conditionalFormatting>
  <conditionalFormatting sqref="C1001:E1001">
    <cfRule type="containsText" dxfId="5618" priority="7269" operator="containsText" text="NUEVO">
      <formula>NOT(ISERROR(SEARCH("NUEVO",C1001)))</formula>
    </cfRule>
  </conditionalFormatting>
  <conditionalFormatting sqref="C1002:D1002">
    <cfRule type="containsText" dxfId="5617" priority="7263" operator="containsText" text="NO+$D$4:$D$10">
      <formula>NOT(ISERROR(SEARCH("NO+$D$4:$D$10",C1002)))</formula>
    </cfRule>
  </conditionalFormatting>
  <conditionalFormatting sqref="C1002:D1002">
    <cfRule type="containsText" dxfId="5616" priority="7261" operator="containsText" text="SI">
      <formula>NOT(ISERROR(SEARCH("SI",C1002)))</formula>
    </cfRule>
    <cfRule type="containsText" dxfId="5615" priority="7262" operator="containsText" text="NO">
      <formula>NOT(ISERROR(SEARCH("NO",C1002)))</formula>
    </cfRule>
  </conditionalFormatting>
  <conditionalFormatting sqref="E1002">
    <cfRule type="containsText" dxfId="5614" priority="7260" operator="containsText" text="Sin información">
      <formula>NOT(ISERROR(SEARCH("Sin información",E1002)))</formula>
    </cfRule>
  </conditionalFormatting>
  <conditionalFormatting sqref="C1002:E1002">
    <cfRule type="containsText" dxfId="5613" priority="7259" operator="containsText" text="NUEVO">
      <formula>NOT(ISERROR(SEARCH("NUEVO",C1002)))</formula>
    </cfRule>
  </conditionalFormatting>
  <conditionalFormatting sqref="C1003:D1003">
    <cfRule type="containsText" dxfId="5612" priority="7258" operator="containsText" text="NO+$D$4:$D$10">
      <formula>NOT(ISERROR(SEARCH("NO+$D$4:$D$10",C1003)))</formula>
    </cfRule>
  </conditionalFormatting>
  <conditionalFormatting sqref="C1003:D1003">
    <cfRule type="containsText" dxfId="5611" priority="7256" operator="containsText" text="SI">
      <formula>NOT(ISERROR(SEARCH("SI",C1003)))</formula>
    </cfRule>
    <cfRule type="containsText" dxfId="5610" priority="7257" operator="containsText" text="NO">
      <formula>NOT(ISERROR(SEARCH("NO",C1003)))</formula>
    </cfRule>
  </conditionalFormatting>
  <conditionalFormatting sqref="C1003:D1003">
    <cfRule type="containsText" dxfId="5609" priority="7255" operator="containsText" text="NUEVO">
      <formula>NOT(ISERROR(SEARCH("NUEVO",C1003)))</formula>
    </cfRule>
  </conditionalFormatting>
  <conditionalFormatting sqref="E1003">
    <cfRule type="containsText" dxfId="5608" priority="7253" operator="containsText" text="NUEVO">
      <formula>NOT(ISERROR(SEARCH("NUEVO",E1003)))</formula>
    </cfRule>
  </conditionalFormatting>
  <conditionalFormatting sqref="E1003">
    <cfRule type="containsText" dxfId="5607" priority="7254" operator="containsText" text="Sin información">
      <formula>NOT(ISERROR(SEARCH("Sin información",E1003)))</formula>
    </cfRule>
  </conditionalFormatting>
  <conditionalFormatting sqref="C1004:D1004">
    <cfRule type="containsText" dxfId="5606" priority="7252" operator="containsText" text="NO+$D$4:$D$10">
      <formula>NOT(ISERROR(SEARCH("NO+$D$4:$D$10",C1004)))</formula>
    </cfRule>
  </conditionalFormatting>
  <conditionalFormatting sqref="C1004:D1004">
    <cfRule type="containsText" dxfId="5605" priority="7250" operator="containsText" text="SI">
      <formula>NOT(ISERROR(SEARCH("SI",C1004)))</formula>
    </cfRule>
    <cfRule type="containsText" dxfId="5604" priority="7251" operator="containsText" text="NO">
      <formula>NOT(ISERROR(SEARCH("NO",C1004)))</formula>
    </cfRule>
  </conditionalFormatting>
  <conditionalFormatting sqref="E1004">
    <cfRule type="containsText" dxfId="5603" priority="7249" operator="containsText" text="Sin información">
      <formula>NOT(ISERROR(SEARCH("Sin información",E1004)))</formula>
    </cfRule>
  </conditionalFormatting>
  <conditionalFormatting sqref="C1004:E1004">
    <cfRule type="containsText" dxfId="5602" priority="7248" operator="containsText" text="NUEVO">
      <formula>NOT(ISERROR(SEARCH("NUEVO",C1004)))</formula>
    </cfRule>
  </conditionalFormatting>
  <conditionalFormatting sqref="C1005:D1005">
    <cfRule type="containsText" dxfId="5601" priority="7247" operator="containsText" text="NO+$D$4:$D$10">
      <formula>NOT(ISERROR(SEARCH("NO+$D$4:$D$10",C1005)))</formula>
    </cfRule>
  </conditionalFormatting>
  <conditionalFormatting sqref="C1005:D1005">
    <cfRule type="containsText" dxfId="5600" priority="7245" operator="containsText" text="SI">
      <formula>NOT(ISERROR(SEARCH("SI",C1005)))</formula>
    </cfRule>
    <cfRule type="containsText" dxfId="5599" priority="7246" operator="containsText" text="NO">
      <formula>NOT(ISERROR(SEARCH("NO",C1005)))</formula>
    </cfRule>
  </conditionalFormatting>
  <conditionalFormatting sqref="E1005">
    <cfRule type="containsText" dxfId="5598" priority="7244" operator="containsText" text="Sin información">
      <formula>NOT(ISERROR(SEARCH("Sin información",E1005)))</formula>
    </cfRule>
  </conditionalFormatting>
  <conditionalFormatting sqref="C1005:E1005">
    <cfRule type="containsText" dxfId="5597" priority="7243" operator="containsText" text="NUEVO">
      <formula>NOT(ISERROR(SEARCH("NUEVO",C1005)))</formula>
    </cfRule>
  </conditionalFormatting>
  <conditionalFormatting sqref="C1006:D1007">
    <cfRule type="containsText" dxfId="5596" priority="7242" operator="containsText" text="NO+$D$4:$D$10">
      <formula>NOT(ISERROR(SEARCH("NO+$D$4:$D$10",C1006)))</formula>
    </cfRule>
  </conditionalFormatting>
  <conditionalFormatting sqref="C1006:D1007">
    <cfRule type="containsText" dxfId="5595" priority="7240" operator="containsText" text="SI">
      <formula>NOT(ISERROR(SEARCH("SI",C1006)))</formula>
    </cfRule>
    <cfRule type="containsText" dxfId="5594" priority="7241" operator="containsText" text="NO">
      <formula>NOT(ISERROR(SEARCH("NO",C1006)))</formula>
    </cfRule>
  </conditionalFormatting>
  <conditionalFormatting sqref="C1006:D1007">
    <cfRule type="containsText" dxfId="5593" priority="7239" operator="containsText" text="NUEVO">
      <formula>NOT(ISERROR(SEARCH("NUEVO",C1006)))</formula>
    </cfRule>
  </conditionalFormatting>
  <conditionalFormatting sqref="E1006:E1007">
    <cfRule type="containsText" dxfId="5592" priority="7238" operator="containsText" text="Sin información">
      <formula>NOT(ISERROR(SEARCH("Sin información",E1006)))</formula>
    </cfRule>
  </conditionalFormatting>
  <conditionalFormatting sqref="E1006:E1007">
    <cfRule type="containsText" dxfId="5591" priority="7237" operator="containsText" text="NUEVO">
      <formula>NOT(ISERROR(SEARCH("NUEVO",E1006)))</formula>
    </cfRule>
  </conditionalFormatting>
  <conditionalFormatting sqref="C1008:D1013">
    <cfRule type="containsText" dxfId="5590" priority="7236" operator="containsText" text="NO+$D$4:$D$10">
      <formula>NOT(ISERROR(SEARCH("NO+$D$4:$D$10",C1008)))</formula>
    </cfRule>
  </conditionalFormatting>
  <conditionalFormatting sqref="C1008:D1013">
    <cfRule type="containsText" dxfId="5589" priority="7234" operator="containsText" text="SI">
      <formula>NOT(ISERROR(SEARCH("SI",C1008)))</formula>
    </cfRule>
    <cfRule type="containsText" dxfId="5588" priority="7235" operator="containsText" text="NO">
      <formula>NOT(ISERROR(SEARCH("NO",C1008)))</formula>
    </cfRule>
  </conditionalFormatting>
  <conditionalFormatting sqref="C1008:D1013">
    <cfRule type="containsText" dxfId="5587" priority="7233" operator="containsText" text="NUEVO">
      <formula>NOT(ISERROR(SEARCH("NUEVO",C1008)))</formula>
    </cfRule>
  </conditionalFormatting>
  <conditionalFormatting sqref="E1008:E1013">
    <cfRule type="containsText" dxfId="5586" priority="7231" operator="containsText" text="NUEVO">
      <formula>NOT(ISERROR(SEARCH("NUEVO",E1008)))</formula>
    </cfRule>
  </conditionalFormatting>
  <conditionalFormatting sqref="E1008:E1013">
    <cfRule type="containsText" dxfId="5585" priority="7232" operator="containsText" text="Sin información">
      <formula>NOT(ISERROR(SEARCH("Sin información",E1008)))</formula>
    </cfRule>
  </conditionalFormatting>
  <conditionalFormatting sqref="C1014:D1016">
    <cfRule type="containsText" dxfId="5584" priority="7230" operator="containsText" text="NO+$D$4:$D$10">
      <formula>NOT(ISERROR(SEARCH("NO+$D$4:$D$10",C1014)))</formula>
    </cfRule>
  </conditionalFormatting>
  <conditionalFormatting sqref="C1014:D1016">
    <cfRule type="containsText" dxfId="5583" priority="7228" operator="containsText" text="SI">
      <formula>NOT(ISERROR(SEARCH("SI",C1014)))</formula>
    </cfRule>
    <cfRule type="containsText" dxfId="5582" priority="7229" operator="containsText" text="NO">
      <formula>NOT(ISERROR(SEARCH("NO",C1014)))</formula>
    </cfRule>
  </conditionalFormatting>
  <conditionalFormatting sqref="C1014:D1016">
    <cfRule type="containsText" dxfId="5581" priority="7227" operator="containsText" text="NUEVO">
      <formula>NOT(ISERROR(SEARCH("NUEVO",C1014)))</formula>
    </cfRule>
  </conditionalFormatting>
  <conditionalFormatting sqref="E1014">
    <cfRule type="containsText" dxfId="5580" priority="7225" operator="containsText" text="NUEVO">
      <formula>NOT(ISERROR(SEARCH("NUEVO",E1014)))</formula>
    </cfRule>
  </conditionalFormatting>
  <conditionalFormatting sqref="E1014">
    <cfRule type="containsText" dxfId="5579" priority="7226" operator="containsText" text="Sin información">
      <formula>NOT(ISERROR(SEARCH("Sin información",E1014)))</formula>
    </cfRule>
  </conditionalFormatting>
  <conditionalFormatting sqref="E1015">
    <cfRule type="containsText" dxfId="5578" priority="7223" operator="containsText" text="NUEVO">
      <formula>NOT(ISERROR(SEARCH("NUEVO",E1015)))</formula>
    </cfRule>
  </conditionalFormatting>
  <conditionalFormatting sqref="E1015">
    <cfRule type="containsText" dxfId="5577" priority="7224" operator="containsText" text="Sin información">
      <formula>NOT(ISERROR(SEARCH("Sin información",E1015)))</formula>
    </cfRule>
  </conditionalFormatting>
  <conditionalFormatting sqref="E1016">
    <cfRule type="containsText" dxfId="5576" priority="7221" operator="containsText" text="NUEVO">
      <formula>NOT(ISERROR(SEARCH("NUEVO",E1016)))</formula>
    </cfRule>
  </conditionalFormatting>
  <conditionalFormatting sqref="E1016">
    <cfRule type="containsText" dxfId="5575" priority="7222" operator="containsText" text="Sin información">
      <formula>NOT(ISERROR(SEARCH("Sin información",E1016)))</formula>
    </cfRule>
  </conditionalFormatting>
  <conditionalFormatting sqref="E1017">
    <cfRule type="containsText" dxfId="5574" priority="7219" operator="containsText" text="NUEVO">
      <formula>NOT(ISERROR(SEARCH("NUEVO",E1017)))</formula>
    </cfRule>
  </conditionalFormatting>
  <conditionalFormatting sqref="E1017">
    <cfRule type="containsText" dxfId="5573" priority="7220" operator="containsText" text="Sin información">
      <formula>NOT(ISERROR(SEARCH("Sin información",E1017)))</formula>
    </cfRule>
  </conditionalFormatting>
  <conditionalFormatting sqref="F1018:F1019">
    <cfRule type="containsText" dxfId="5572" priority="7213" operator="containsText" text="NUEVO">
      <formula>NOT(ISERROR(SEARCH("NUEVO",F1018)))</formula>
    </cfRule>
  </conditionalFormatting>
  <conditionalFormatting sqref="F1018:F1019">
    <cfRule type="containsText" dxfId="5571" priority="7216" operator="containsText" text="NO+$D$4:$D$10">
      <formula>NOT(ISERROR(SEARCH("NO+$D$4:$D$10",F1018)))</formula>
    </cfRule>
  </conditionalFormatting>
  <conditionalFormatting sqref="F1018:F1019">
    <cfRule type="containsText" dxfId="5570" priority="7214" operator="containsText" text="SI">
      <formula>NOT(ISERROR(SEARCH("SI",F1018)))</formula>
    </cfRule>
    <cfRule type="containsText" dxfId="5569" priority="7215" operator="containsText" text="NO">
      <formula>NOT(ISERROR(SEARCH("NO",F1018)))</formula>
    </cfRule>
  </conditionalFormatting>
  <conditionalFormatting sqref="C1020:D1020">
    <cfRule type="containsText" dxfId="5568" priority="7212" operator="containsText" text="NO+$D$4:$D$10">
      <formula>NOT(ISERROR(SEARCH("NO+$D$4:$D$10",C1020)))</formula>
    </cfRule>
  </conditionalFormatting>
  <conditionalFormatting sqref="C1020:D1020">
    <cfRule type="containsText" dxfId="5567" priority="7210" operator="containsText" text="SI">
      <formula>NOT(ISERROR(SEARCH("SI",C1020)))</formula>
    </cfRule>
    <cfRule type="containsText" dxfId="5566" priority="7211" operator="containsText" text="NO">
      <formula>NOT(ISERROR(SEARCH("NO",C1020)))</formula>
    </cfRule>
  </conditionalFormatting>
  <conditionalFormatting sqref="E1020">
    <cfRule type="containsText" dxfId="5565" priority="7209" operator="containsText" text="Sin información">
      <formula>NOT(ISERROR(SEARCH("Sin información",E1020)))</formula>
    </cfRule>
  </conditionalFormatting>
  <conditionalFormatting sqref="C1020:E1020">
    <cfRule type="containsText" dxfId="5564" priority="7208" operator="containsText" text="NUEVO">
      <formula>NOT(ISERROR(SEARCH("NUEVO",C1020)))</formula>
    </cfRule>
  </conditionalFormatting>
  <conditionalFormatting sqref="C1021:E1021">
    <cfRule type="containsText" dxfId="5563" priority="7203" operator="containsText" text="NUEVO">
      <formula>NOT(ISERROR(SEARCH("NUEVO",C1021)))</formula>
    </cfRule>
  </conditionalFormatting>
  <conditionalFormatting sqref="C1021:D1021">
    <cfRule type="containsText" dxfId="5562" priority="7207" operator="containsText" text="NO+$D$4:$D$10">
      <formula>NOT(ISERROR(SEARCH("NO+$D$4:$D$10",C1021)))</formula>
    </cfRule>
  </conditionalFormatting>
  <conditionalFormatting sqref="C1021:D1021">
    <cfRule type="containsText" dxfId="5561" priority="7205" operator="containsText" text="SI">
      <formula>NOT(ISERROR(SEARCH("SI",C1021)))</formula>
    </cfRule>
    <cfRule type="containsText" dxfId="5560" priority="7206" operator="containsText" text="NO">
      <formula>NOT(ISERROR(SEARCH("NO",C1021)))</formula>
    </cfRule>
  </conditionalFormatting>
  <conditionalFormatting sqref="E1021">
    <cfRule type="containsText" dxfId="5559" priority="7204" operator="containsText" text="Sin información">
      <formula>NOT(ISERROR(SEARCH("Sin información",E1021)))</formula>
    </cfRule>
  </conditionalFormatting>
  <conditionalFormatting sqref="C1022:D1024">
    <cfRule type="containsText" dxfId="5558" priority="7197" operator="containsText" text="NO+$D$4:$D$10">
      <formula>NOT(ISERROR(SEARCH("NO+$D$4:$D$10",C1022)))</formula>
    </cfRule>
  </conditionalFormatting>
  <conditionalFormatting sqref="C1022:D1024">
    <cfRule type="containsText" dxfId="5557" priority="7195" operator="containsText" text="SI">
      <formula>NOT(ISERROR(SEARCH("SI",C1022)))</formula>
    </cfRule>
    <cfRule type="containsText" dxfId="5556" priority="7196" operator="containsText" text="NO">
      <formula>NOT(ISERROR(SEARCH("NO",C1022)))</formula>
    </cfRule>
  </conditionalFormatting>
  <conditionalFormatting sqref="E1022:E1023">
    <cfRule type="containsText" dxfId="5555" priority="7194" operator="containsText" text="Sin información">
      <formula>NOT(ISERROR(SEARCH("Sin información",E1022)))</formula>
    </cfRule>
  </conditionalFormatting>
  <conditionalFormatting sqref="C1022:D1024">
    <cfRule type="containsText" dxfId="5554" priority="7193" operator="containsText" text="NUEVO">
      <formula>NOT(ISERROR(SEARCH("NUEVO",C1022)))</formula>
    </cfRule>
  </conditionalFormatting>
  <conditionalFormatting sqref="E1022">
    <cfRule type="containsText" dxfId="5553" priority="7192" operator="containsText" text="Sin información">
      <formula>NOT(ISERROR(SEARCH("Sin información",E1022)))</formula>
    </cfRule>
  </conditionalFormatting>
  <conditionalFormatting sqref="E1024">
    <cfRule type="containsText" dxfId="5552" priority="7191" operator="containsText" text="Sin información">
      <formula>NOT(ISERROR(SEARCH("Sin información",E1024)))</formula>
    </cfRule>
  </conditionalFormatting>
  <conditionalFormatting sqref="C1025:D1025">
    <cfRule type="containsText" dxfId="5551" priority="7190" operator="containsText" text="NO+$D$4:$D$10">
      <formula>NOT(ISERROR(SEARCH("NO+$D$4:$D$10",C1025)))</formula>
    </cfRule>
  </conditionalFormatting>
  <conditionalFormatting sqref="C1025:D1025">
    <cfRule type="containsText" dxfId="5550" priority="7188" operator="containsText" text="SI">
      <formula>NOT(ISERROR(SEARCH("SI",C1025)))</formula>
    </cfRule>
    <cfRule type="containsText" dxfId="5549" priority="7189" operator="containsText" text="NO">
      <formula>NOT(ISERROR(SEARCH("NO",C1025)))</formula>
    </cfRule>
  </conditionalFormatting>
  <conditionalFormatting sqref="E1025">
    <cfRule type="containsText" dxfId="5548" priority="7187" operator="containsText" text="Sin información">
      <formula>NOT(ISERROR(SEARCH("Sin información",E1025)))</formula>
    </cfRule>
  </conditionalFormatting>
  <conditionalFormatting sqref="C1025:D1025">
    <cfRule type="containsText" dxfId="5547" priority="7186" operator="containsText" text="NUEVO">
      <formula>NOT(ISERROR(SEARCH("NUEVO",C1025)))</formula>
    </cfRule>
  </conditionalFormatting>
  <conditionalFormatting sqref="C1026:D1026">
    <cfRule type="containsText" dxfId="5546" priority="7185" operator="containsText" text="NO+$D$4:$D$10">
      <formula>NOT(ISERROR(SEARCH("NO+$D$4:$D$10",C1026)))</formula>
    </cfRule>
  </conditionalFormatting>
  <conditionalFormatting sqref="C1026:D1026">
    <cfRule type="containsText" dxfId="5545" priority="7183" operator="containsText" text="SI">
      <formula>NOT(ISERROR(SEARCH("SI",C1026)))</formula>
    </cfRule>
    <cfRule type="containsText" dxfId="5544" priority="7184" operator="containsText" text="NO">
      <formula>NOT(ISERROR(SEARCH("NO",C1026)))</formula>
    </cfRule>
  </conditionalFormatting>
  <conditionalFormatting sqref="C1026:D1026">
    <cfRule type="containsText" dxfId="5543" priority="7182" operator="containsText" text="NUEVO">
      <formula>NOT(ISERROR(SEARCH("NUEVO",C1026)))</formula>
    </cfRule>
  </conditionalFormatting>
  <conditionalFormatting sqref="E1026">
    <cfRule type="containsText" dxfId="5542" priority="7181" operator="containsText" text="Sin información">
      <formula>NOT(ISERROR(SEARCH("Sin información",E1026)))</formula>
    </cfRule>
  </conditionalFormatting>
  <conditionalFormatting sqref="E1026">
    <cfRule type="containsText" dxfId="5541" priority="7180" operator="containsText" text="NUEVO">
      <formula>NOT(ISERROR(SEARCH("NUEVO",E1026)))</formula>
    </cfRule>
  </conditionalFormatting>
  <conditionalFormatting sqref="C1027:D1028">
    <cfRule type="containsText" dxfId="5540" priority="7179" operator="containsText" text="NO+$D$4:$D$10">
      <formula>NOT(ISERROR(SEARCH("NO+$D$4:$D$10",C1027)))</formula>
    </cfRule>
  </conditionalFormatting>
  <conditionalFormatting sqref="C1027:D1028">
    <cfRule type="containsText" dxfId="5539" priority="7177" operator="containsText" text="SI">
      <formula>NOT(ISERROR(SEARCH("SI",C1027)))</formula>
    </cfRule>
    <cfRule type="containsText" dxfId="5538" priority="7178" operator="containsText" text="NO">
      <formula>NOT(ISERROR(SEARCH("NO",C1027)))</formula>
    </cfRule>
  </conditionalFormatting>
  <conditionalFormatting sqref="E1027">
    <cfRule type="containsText" dxfId="5537" priority="7176" operator="containsText" text="Sin información">
      <formula>NOT(ISERROR(SEARCH("Sin información",E1027)))</formula>
    </cfRule>
  </conditionalFormatting>
  <conditionalFormatting sqref="E1027 C1027:D1028">
    <cfRule type="containsText" dxfId="5536" priority="7175" operator="containsText" text="NUEVO">
      <formula>NOT(ISERROR(SEARCH("NUEVO",C1027)))</formula>
    </cfRule>
  </conditionalFormatting>
  <conditionalFormatting sqref="E1028">
    <cfRule type="containsText" dxfId="5535" priority="7174" operator="containsText" text="Sin información">
      <formula>NOT(ISERROR(SEARCH("Sin información",E1028)))</formula>
    </cfRule>
  </conditionalFormatting>
  <conditionalFormatting sqref="E1028">
    <cfRule type="containsText" dxfId="5534" priority="7173" operator="containsText" text="NUEVO">
      <formula>NOT(ISERROR(SEARCH("NUEVO",E1028)))</formula>
    </cfRule>
  </conditionalFormatting>
  <conditionalFormatting sqref="C1029:D1031">
    <cfRule type="containsText" dxfId="5533" priority="7172" operator="containsText" text="NO+$D$4:$D$10">
      <formula>NOT(ISERROR(SEARCH("NO+$D$4:$D$10",C1029)))</formula>
    </cfRule>
  </conditionalFormatting>
  <conditionalFormatting sqref="C1029:D1031">
    <cfRule type="containsText" dxfId="5532" priority="7170" operator="containsText" text="SI">
      <formula>NOT(ISERROR(SEARCH("SI",C1029)))</formula>
    </cfRule>
    <cfRule type="containsText" dxfId="5531" priority="7171" operator="containsText" text="NO">
      <formula>NOT(ISERROR(SEARCH("NO",C1029)))</formula>
    </cfRule>
  </conditionalFormatting>
  <conditionalFormatting sqref="E1029">
    <cfRule type="containsText" dxfId="5530" priority="7169" operator="containsText" text="Sin información">
      <formula>NOT(ISERROR(SEARCH("Sin información",E1029)))</formula>
    </cfRule>
  </conditionalFormatting>
  <conditionalFormatting sqref="E1029 C1029:D1031">
    <cfRule type="containsText" dxfId="5529" priority="7168" operator="containsText" text="NUEVO">
      <formula>NOT(ISERROR(SEARCH("NUEVO",C1029)))</formula>
    </cfRule>
  </conditionalFormatting>
  <conditionalFormatting sqref="E1030:E1031">
    <cfRule type="containsText" dxfId="5528" priority="7167" operator="containsText" text="Sin información">
      <formula>NOT(ISERROR(SEARCH("Sin información",E1030)))</formula>
    </cfRule>
  </conditionalFormatting>
  <conditionalFormatting sqref="E1030:E1031">
    <cfRule type="containsText" dxfId="5527" priority="7166" operator="containsText" text="NUEVO">
      <formula>NOT(ISERROR(SEARCH("NUEVO",E1030)))</formula>
    </cfRule>
  </conditionalFormatting>
  <conditionalFormatting sqref="F1031 F1029">
    <cfRule type="containsText" dxfId="5526" priority="7162" operator="containsText" text="NUEVO">
      <formula>NOT(ISERROR(SEARCH("NUEVO",F1029)))</formula>
    </cfRule>
  </conditionalFormatting>
  <conditionalFormatting sqref="F1031 F1029">
    <cfRule type="containsText" dxfId="5525" priority="7165" operator="containsText" text="NO+$D$4:$D$10">
      <formula>NOT(ISERROR(SEARCH("NO+$D$4:$D$10",F1029)))</formula>
    </cfRule>
  </conditionalFormatting>
  <conditionalFormatting sqref="F1031 F1029">
    <cfRule type="containsText" dxfId="5524" priority="7163" operator="containsText" text="SI">
      <formula>NOT(ISERROR(SEARCH("SI",F1029)))</formula>
    </cfRule>
    <cfRule type="containsText" dxfId="5523" priority="7164" operator="containsText" text="NO">
      <formula>NOT(ISERROR(SEARCH("NO",F1029)))</formula>
    </cfRule>
  </conditionalFormatting>
  <conditionalFormatting sqref="C1032:D1033">
    <cfRule type="containsText" dxfId="5522" priority="7161" operator="containsText" text="NO+$D$4:$D$10">
      <formula>NOT(ISERROR(SEARCH("NO+$D$4:$D$10",C1032)))</formula>
    </cfRule>
  </conditionalFormatting>
  <conditionalFormatting sqref="C1032:D1033">
    <cfRule type="containsText" dxfId="5521" priority="7159" operator="containsText" text="SI">
      <formula>NOT(ISERROR(SEARCH("SI",C1032)))</formula>
    </cfRule>
    <cfRule type="containsText" dxfId="5520" priority="7160" operator="containsText" text="NO">
      <formula>NOT(ISERROR(SEARCH("NO",C1032)))</formula>
    </cfRule>
  </conditionalFormatting>
  <conditionalFormatting sqref="C1032:D1033">
    <cfRule type="containsText" dxfId="5519" priority="7158" operator="containsText" text="NUEVO">
      <formula>NOT(ISERROR(SEARCH("NUEVO",C1032)))</formula>
    </cfRule>
  </conditionalFormatting>
  <conditionalFormatting sqref="E1032:E1033">
    <cfRule type="containsText" dxfId="5518" priority="7157" operator="containsText" text="Sin información">
      <formula>NOT(ISERROR(SEARCH("Sin información",E1032)))</formula>
    </cfRule>
  </conditionalFormatting>
  <conditionalFormatting sqref="E1032:E1033">
    <cfRule type="containsText" dxfId="5517" priority="7156" operator="containsText" text="NUEVO">
      <formula>NOT(ISERROR(SEARCH("NUEVO",E1032)))</formula>
    </cfRule>
  </conditionalFormatting>
  <conditionalFormatting sqref="F1032">
    <cfRule type="containsText" dxfId="5516" priority="7150" operator="containsText" text="NUEVO">
      <formula>NOT(ISERROR(SEARCH("NUEVO",F1032)))</formula>
    </cfRule>
  </conditionalFormatting>
  <conditionalFormatting sqref="F1032">
    <cfRule type="containsText" dxfId="5515" priority="7153" operator="containsText" text="NO+$D$4:$D$10">
      <formula>NOT(ISERROR(SEARCH("NO+$D$4:$D$10",F1032)))</formula>
    </cfRule>
  </conditionalFormatting>
  <conditionalFormatting sqref="F1032">
    <cfRule type="containsText" dxfId="5514" priority="7151" operator="containsText" text="SI">
      <formula>NOT(ISERROR(SEARCH("SI",F1032)))</formula>
    </cfRule>
    <cfRule type="containsText" dxfId="5513" priority="7152" operator="containsText" text="NO">
      <formula>NOT(ISERROR(SEARCH("NO",F1032)))</formula>
    </cfRule>
  </conditionalFormatting>
  <conditionalFormatting sqref="C1034:D1044">
    <cfRule type="containsText" dxfId="5512" priority="7149" operator="containsText" text="NO+$D$4:$D$10">
      <formula>NOT(ISERROR(SEARCH("NO+$D$4:$D$10",C1034)))</formula>
    </cfRule>
  </conditionalFormatting>
  <conditionalFormatting sqref="C1034:D1044">
    <cfRule type="containsText" dxfId="5511" priority="7147" operator="containsText" text="SI">
      <formula>NOT(ISERROR(SEARCH("SI",C1034)))</formula>
    </cfRule>
    <cfRule type="containsText" dxfId="5510" priority="7148" operator="containsText" text="NO">
      <formula>NOT(ISERROR(SEARCH("NO",C1034)))</formula>
    </cfRule>
  </conditionalFormatting>
  <conditionalFormatting sqref="C1034:D1044">
    <cfRule type="containsText" dxfId="5509" priority="7146" operator="containsText" text="NUEVO">
      <formula>NOT(ISERROR(SEARCH("NUEVO",C1034)))</formula>
    </cfRule>
  </conditionalFormatting>
  <conditionalFormatting sqref="E1034">
    <cfRule type="containsText" dxfId="5508" priority="7144" operator="containsText" text="NUEVO">
      <formula>NOT(ISERROR(SEARCH("NUEVO",E1034)))</formula>
    </cfRule>
  </conditionalFormatting>
  <conditionalFormatting sqref="E1034">
    <cfRule type="containsText" dxfId="5507" priority="7145" operator="containsText" text="Sin información">
      <formula>NOT(ISERROR(SEARCH("Sin información",E1034)))</formula>
    </cfRule>
  </conditionalFormatting>
  <conditionalFormatting sqref="E1035:E1039">
    <cfRule type="containsText" dxfId="5506" priority="7142" operator="containsText" text="NUEVO">
      <formula>NOT(ISERROR(SEARCH("NUEVO",E1035)))</formula>
    </cfRule>
  </conditionalFormatting>
  <conditionalFormatting sqref="E1035:E1039">
    <cfRule type="containsText" dxfId="5505" priority="7143" operator="containsText" text="Sin información">
      <formula>NOT(ISERROR(SEARCH("Sin información",E1035)))</formula>
    </cfRule>
  </conditionalFormatting>
  <conditionalFormatting sqref="E1040">
    <cfRule type="containsText" dxfId="5504" priority="7140" operator="containsText" text="NUEVO">
      <formula>NOT(ISERROR(SEARCH("NUEVO",E1040)))</formula>
    </cfRule>
  </conditionalFormatting>
  <conditionalFormatting sqref="E1040">
    <cfRule type="containsText" dxfId="5503" priority="7141" operator="containsText" text="Sin información">
      <formula>NOT(ISERROR(SEARCH("Sin información",E1040)))</formula>
    </cfRule>
  </conditionalFormatting>
  <conditionalFormatting sqref="E1041:E1043">
    <cfRule type="containsText" dxfId="5502" priority="7138" operator="containsText" text="NUEVO">
      <formula>NOT(ISERROR(SEARCH("NUEVO",E1041)))</formula>
    </cfRule>
  </conditionalFormatting>
  <conditionalFormatting sqref="E1041:E1043">
    <cfRule type="containsText" dxfId="5501" priority="7139" operator="containsText" text="Sin información">
      <formula>NOT(ISERROR(SEARCH("Sin información",E1041)))</formula>
    </cfRule>
  </conditionalFormatting>
  <conditionalFormatting sqref="E1044">
    <cfRule type="containsText" dxfId="5500" priority="7136" operator="containsText" text="NUEVO">
      <formula>NOT(ISERROR(SEARCH("NUEVO",E1044)))</formula>
    </cfRule>
  </conditionalFormatting>
  <conditionalFormatting sqref="E1044">
    <cfRule type="containsText" dxfId="5499" priority="7137" operator="containsText" text="Sin información">
      <formula>NOT(ISERROR(SEARCH("Sin información",E1044)))</formula>
    </cfRule>
  </conditionalFormatting>
  <conditionalFormatting sqref="F1041:F1044">
    <cfRule type="containsText" dxfId="5498" priority="7132" operator="containsText" text="NUEVO">
      <formula>NOT(ISERROR(SEARCH("NUEVO",F1041)))</formula>
    </cfRule>
  </conditionalFormatting>
  <conditionalFormatting sqref="F1041:F1044">
    <cfRule type="containsText" dxfId="5497" priority="7135" operator="containsText" text="NO+$D$4:$D$10">
      <formula>NOT(ISERROR(SEARCH("NO+$D$4:$D$10",F1041)))</formula>
    </cfRule>
  </conditionalFormatting>
  <conditionalFormatting sqref="F1041:F1044">
    <cfRule type="containsText" dxfId="5496" priority="7133" operator="containsText" text="SI">
      <formula>NOT(ISERROR(SEARCH("SI",F1041)))</formula>
    </cfRule>
    <cfRule type="containsText" dxfId="5495" priority="7134" operator="containsText" text="NO">
      <formula>NOT(ISERROR(SEARCH("NO",F1041)))</formula>
    </cfRule>
  </conditionalFormatting>
  <conditionalFormatting sqref="C1045:D1050">
    <cfRule type="containsText" dxfId="5494" priority="7131" operator="containsText" text="NO+$D$4:$D$10">
      <formula>NOT(ISERROR(SEARCH("NO+$D$4:$D$10",C1045)))</formula>
    </cfRule>
  </conditionalFormatting>
  <conditionalFormatting sqref="C1045:D1050">
    <cfRule type="containsText" dxfId="5493" priority="7129" operator="containsText" text="SI">
      <formula>NOT(ISERROR(SEARCH("SI",C1045)))</formula>
    </cfRule>
    <cfRule type="containsText" dxfId="5492" priority="7130" operator="containsText" text="NO">
      <formula>NOT(ISERROR(SEARCH("NO",C1045)))</formula>
    </cfRule>
  </conditionalFormatting>
  <conditionalFormatting sqref="C1045:D1050">
    <cfRule type="containsText" dxfId="5491" priority="7128" operator="containsText" text="NUEVO">
      <formula>NOT(ISERROR(SEARCH("NUEVO",C1045)))</formula>
    </cfRule>
  </conditionalFormatting>
  <conditionalFormatting sqref="E1045:E1047">
    <cfRule type="containsText" dxfId="5490" priority="7126" operator="containsText" text="NUEVO">
      <formula>NOT(ISERROR(SEARCH("NUEVO",E1045)))</formula>
    </cfRule>
  </conditionalFormatting>
  <conditionalFormatting sqref="E1045:E1047">
    <cfRule type="containsText" dxfId="5489" priority="7127" operator="containsText" text="Sin información">
      <formula>NOT(ISERROR(SEARCH("Sin información",E1045)))</formula>
    </cfRule>
  </conditionalFormatting>
  <conditionalFormatting sqref="E1048">
    <cfRule type="containsText" dxfId="5488" priority="7124" operator="containsText" text="NUEVO">
      <formula>NOT(ISERROR(SEARCH("NUEVO",E1048)))</formula>
    </cfRule>
  </conditionalFormatting>
  <conditionalFormatting sqref="E1049">
    <cfRule type="containsText" dxfId="5487" priority="7122" operator="containsText" text="NUEVO">
      <formula>NOT(ISERROR(SEARCH("NUEVO",E1049)))</formula>
    </cfRule>
  </conditionalFormatting>
  <conditionalFormatting sqref="E1048">
    <cfRule type="containsText" dxfId="5486" priority="7125" operator="containsText" text="Sin información">
      <formula>NOT(ISERROR(SEARCH("Sin información",E1048)))</formula>
    </cfRule>
  </conditionalFormatting>
  <conditionalFormatting sqref="E1049">
    <cfRule type="containsText" dxfId="5485" priority="7123" operator="containsText" text="Sin información">
      <formula>NOT(ISERROR(SEARCH("Sin información",E1049)))</formula>
    </cfRule>
  </conditionalFormatting>
  <conditionalFormatting sqref="E1050">
    <cfRule type="containsText" dxfId="5484" priority="7120" operator="containsText" text="NUEVO">
      <formula>NOT(ISERROR(SEARCH("NUEVO",E1050)))</formula>
    </cfRule>
  </conditionalFormatting>
  <conditionalFormatting sqref="E1050">
    <cfRule type="containsText" dxfId="5483" priority="7121" operator="containsText" text="Sin información">
      <formula>NOT(ISERROR(SEARCH("Sin información",E1050)))</formula>
    </cfRule>
  </conditionalFormatting>
  <conditionalFormatting sqref="C1051:D1051">
    <cfRule type="containsText" dxfId="5482" priority="7112" operator="containsText" text="NO+$D$4:$D$10">
      <formula>NOT(ISERROR(SEARCH("NO+$D$4:$D$10",C1051)))</formula>
    </cfRule>
  </conditionalFormatting>
  <conditionalFormatting sqref="C1051:D1051">
    <cfRule type="containsText" dxfId="5481" priority="7110" operator="containsText" text="SI">
      <formula>NOT(ISERROR(SEARCH("SI",C1051)))</formula>
    </cfRule>
    <cfRule type="containsText" dxfId="5480" priority="7111" operator="containsText" text="NO">
      <formula>NOT(ISERROR(SEARCH("NO",C1051)))</formula>
    </cfRule>
  </conditionalFormatting>
  <conditionalFormatting sqref="E1051">
    <cfRule type="containsText" dxfId="5479" priority="7109" operator="containsText" text="Sin información">
      <formula>NOT(ISERROR(SEARCH("Sin información",E1051)))</formula>
    </cfRule>
  </conditionalFormatting>
  <conditionalFormatting sqref="C1051:E1051">
    <cfRule type="containsText" dxfId="5478" priority="7108" operator="containsText" text="NUEVO">
      <formula>NOT(ISERROR(SEARCH("NUEVO",C1051)))</formula>
    </cfRule>
  </conditionalFormatting>
  <conditionalFormatting sqref="C1053:D1053">
    <cfRule type="containsText" dxfId="5477" priority="7107" operator="containsText" text="NO+$D$4:$D$10">
      <formula>NOT(ISERROR(SEARCH("NO+$D$4:$D$10",C1053)))</formula>
    </cfRule>
  </conditionalFormatting>
  <conditionalFormatting sqref="C1053:D1053">
    <cfRule type="containsText" dxfId="5476" priority="7105" operator="containsText" text="SI">
      <formula>NOT(ISERROR(SEARCH("SI",C1053)))</formula>
    </cfRule>
    <cfRule type="containsText" dxfId="5475" priority="7106" operator="containsText" text="NO">
      <formula>NOT(ISERROR(SEARCH("NO",C1053)))</formula>
    </cfRule>
  </conditionalFormatting>
  <conditionalFormatting sqref="E1053">
    <cfRule type="containsText" dxfId="5474" priority="7104" operator="containsText" text="Sin información">
      <formula>NOT(ISERROR(SEARCH("Sin información",E1053)))</formula>
    </cfRule>
  </conditionalFormatting>
  <conditionalFormatting sqref="C1053:E1053">
    <cfRule type="containsText" dxfId="5473" priority="7103" operator="containsText" text="NUEVO">
      <formula>NOT(ISERROR(SEARCH("NUEVO",C1053)))</formula>
    </cfRule>
  </conditionalFormatting>
  <conditionalFormatting sqref="C1054:D1054">
    <cfRule type="containsText" dxfId="5472" priority="7102" operator="containsText" text="NO+$D$4:$D$10">
      <formula>NOT(ISERROR(SEARCH("NO+$D$4:$D$10",C1054)))</formula>
    </cfRule>
  </conditionalFormatting>
  <conditionalFormatting sqref="C1054:D1054">
    <cfRule type="containsText" dxfId="5471" priority="7100" operator="containsText" text="SI">
      <formula>NOT(ISERROR(SEARCH("SI",C1054)))</formula>
    </cfRule>
    <cfRule type="containsText" dxfId="5470" priority="7101" operator="containsText" text="NO">
      <formula>NOT(ISERROR(SEARCH("NO",C1054)))</formula>
    </cfRule>
  </conditionalFormatting>
  <conditionalFormatting sqref="E1054">
    <cfRule type="containsText" dxfId="5469" priority="7099" operator="containsText" text="Sin información">
      <formula>NOT(ISERROR(SEARCH("Sin información",E1054)))</formula>
    </cfRule>
  </conditionalFormatting>
  <conditionalFormatting sqref="C1054:E1054">
    <cfRule type="containsText" dxfId="5468" priority="7098" operator="containsText" text="NUEVO">
      <formula>NOT(ISERROR(SEARCH("NUEVO",C1054)))</formula>
    </cfRule>
  </conditionalFormatting>
  <conditionalFormatting sqref="C1055:D1055">
    <cfRule type="containsText" dxfId="5467" priority="7097" operator="containsText" text="NO+$D$4:$D$10">
      <formula>NOT(ISERROR(SEARCH("NO+$D$4:$D$10",C1055)))</formula>
    </cfRule>
  </conditionalFormatting>
  <conditionalFormatting sqref="C1055:D1055">
    <cfRule type="containsText" dxfId="5466" priority="7095" operator="containsText" text="SI">
      <formula>NOT(ISERROR(SEARCH("SI",C1055)))</formula>
    </cfRule>
    <cfRule type="containsText" dxfId="5465" priority="7096" operator="containsText" text="NO">
      <formula>NOT(ISERROR(SEARCH("NO",C1055)))</formula>
    </cfRule>
  </conditionalFormatting>
  <conditionalFormatting sqref="C1055:E1055">
    <cfRule type="containsText" dxfId="5464" priority="7094" operator="containsText" text="NUEVO">
      <formula>NOT(ISERROR(SEARCH("NUEVO",C1055)))</formula>
    </cfRule>
  </conditionalFormatting>
  <conditionalFormatting sqref="E1055">
    <cfRule type="containsText" dxfId="5463" priority="7093" operator="containsText" text="Sin información">
      <formula>NOT(ISERROR(SEARCH("Sin información",E1055)))</formula>
    </cfRule>
  </conditionalFormatting>
  <conditionalFormatting sqref="C1056:D1056">
    <cfRule type="containsText" dxfId="5462" priority="7092" operator="containsText" text="NO+$D$4:$D$10">
      <formula>NOT(ISERROR(SEARCH("NO+$D$4:$D$10",C1056)))</formula>
    </cfRule>
  </conditionalFormatting>
  <conditionalFormatting sqref="C1056:D1056">
    <cfRule type="containsText" dxfId="5461" priority="7090" operator="containsText" text="SI">
      <formula>NOT(ISERROR(SEARCH("SI",C1056)))</formula>
    </cfRule>
    <cfRule type="containsText" dxfId="5460" priority="7091" operator="containsText" text="NO">
      <formula>NOT(ISERROR(SEARCH("NO",C1056)))</formula>
    </cfRule>
  </conditionalFormatting>
  <conditionalFormatting sqref="E1056">
    <cfRule type="containsText" dxfId="5459" priority="7089" operator="containsText" text="Sin información">
      <formula>NOT(ISERROR(SEARCH("Sin información",E1056)))</formula>
    </cfRule>
  </conditionalFormatting>
  <conditionalFormatting sqref="C1056:E1056">
    <cfRule type="containsText" dxfId="5458" priority="7088" operator="containsText" text="NUEVO">
      <formula>NOT(ISERROR(SEARCH("NUEVO",C1056)))</formula>
    </cfRule>
  </conditionalFormatting>
  <conditionalFormatting sqref="C1060:D1061">
    <cfRule type="containsText" dxfId="5457" priority="7079" operator="containsText" text="NO+$D$4:$D$10">
      <formula>NOT(ISERROR(SEARCH("NO+$D$4:$D$10",C1060)))</formula>
    </cfRule>
  </conditionalFormatting>
  <conditionalFormatting sqref="C1060:D1061">
    <cfRule type="containsText" dxfId="5456" priority="7077" operator="containsText" text="SI">
      <formula>NOT(ISERROR(SEARCH("SI",C1060)))</formula>
    </cfRule>
    <cfRule type="containsText" dxfId="5455" priority="7078" operator="containsText" text="NO">
      <formula>NOT(ISERROR(SEARCH("NO",C1060)))</formula>
    </cfRule>
  </conditionalFormatting>
  <conditionalFormatting sqref="C1060:D1061">
    <cfRule type="containsText" dxfId="5454" priority="7075" operator="containsText" text="NUEVO">
      <formula>NOT(ISERROR(SEARCH("NUEVO",C1060)))</formula>
    </cfRule>
  </conditionalFormatting>
  <conditionalFormatting sqref="E1058">
    <cfRule type="containsText" dxfId="5453" priority="7072" operator="containsText" text="Sin información">
      <formula>NOT(ISERROR(SEARCH("Sin información",E1058)))</formula>
    </cfRule>
  </conditionalFormatting>
  <conditionalFormatting sqref="E1058">
    <cfRule type="containsText" dxfId="5452" priority="7071" operator="containsText" text="NUEVO">
      <formula>NOT(ISERROR(SEARCH("NUEVO",E1058)))</formula>
    </cfRule>
  </conditionalFormatting>
  <conditionalFormatting sqref="E1060">
    <cfRule type="containsText" dxfId="5451" priority="7069" operator="containsText" text="NUEVO">
      <formula>NOT(ISERROR(SEARCH("NUEVO",E1060)))</formula>
    </cfRule>
  </conditionalFormatting>
  <conditionalFormatting sqref="E1060">
    <cfRule type="containsText" dxfId="5450" priority="7070" operator="containsText" text="Sin información">
      <formula>NOT(ISERROR(SEARCH("Sin información",E1060)))</formula>
    </cfRule>
  </conditionalFormatting>
  <conditionalFormatting sqref="E1061">
    <cfRule type="containsText" dxfId="5449" priority="7067" operator="containsText" text="NUEVO">
      <formula>NOT(ISERROR(SEARCH("NUEVO",E1061)))</formula>
    </cfRule>
  </conditionalFormatting>
  <conditionalFormatting sqref="E1061">
    <cfRule type="containsText" dxfId="5448" priority="7068" operator="containsText" text="Sin información">
      <formula>NOT(ISERROR(SEARCH("Sin información",E1061)))</formula>
    </cfRule>
  </conditionalFormatting>
  <conditionalFormatting sqref="C1062:D1062">
    <cfRule type="containsText" dxfId="5447" priority="7066" operator="containsText" text="NO+$D$4:$D$10">
      <formula>NOT(ISERROR(SEARCH("NO+$D$4:$D$10",C1062)))</formula>
    </cfRule>
  </conditionalFormatting>
  <conditionalFormatting sqref="C1062:D1062">
    <cfRule type="containsText" dxfId="5446" priority="7064" operator="containsText" text="SI">
      <formula>NOT(ISERROR(SEARCH("SI",C1062)))</formula>
    </cfRule>
    <cfRule type="containsText" dxfId="5445" priority="7065" operator="containsText" text="NO">
      <formula>NOT(ISERROR(SEARCH("NO",C1062)))</formula>
    </cfRule>
  </conditionalFormatting>
  <conditionalFormatting sqref="C1062:D1062">
    <cfRule type="containsText" dxfId="5444" priority="7063" operator="containsText" text="NUEVO">
      <formula>NOT(ISERROR(SEARCH("NUEVO",C1062)))</formula>
    </cfRule>
  </conditionalFormatting>
  <conditionalFormatting sqref="E1062">
    <cfRule type="containsText" dxfId="5443" priority="7061" operator="containsText" text="NUEVO">
      <formula>NOT(ISERROR(SEARCH("NUEVO",E1062)))</formula>
    </cfRule>
  </conditionalFormatting>
  <conditionalFormatting sqref="E1062">
    <cfRule type="containsText" dxfId="5442" priority="7062" operator="containsText" text="Sin información">
      <formula>NOT(ISERROR(SEARCH("Sin información",E1062)))</formula>
    </cfRule>
  </conditionalFormatting>
  <conditionalFormatting sqref="C1059:D1059">
    <cfRule type="containsText" dxfId="5441" priority="7060" operator="containsText" text="NO+$D$4:$D$10">
      <formula>NOT(ISERROR(SEARCH("NO+$D$4:$D$10",C1059)))</formula>
    </cfRule>
  </conditionalFormatting>
  <conditionalFormatting sqref="C1059:D1059">
    <cfRule type="containsText" dxfId="5440" priority="7058" operator="containsText" text="SI">
      <formula>NOT(ISERROR(SEARCH("SI",C1059)))</formula>
    </cfRule>
    <cfRule type="containsText" dxfId="5439" priority="7059" operator="containsText" text="NO">
      <formula>NOT(ISERROR(SEARCH("NO",C1059)))</formula>
    </cfRule>
  </conditionalFormatting>
  <conditionalFormatting sqref="C1059:D1059">
    <cfRule type="containsText" dxfId="5438" priority="7057" operator="containsText" text="NUEVO">
      <formula>NOT(ISERROR(SEARCH("NUEVO",C1059)))</formula>
    </cfRule>
  </conditionalFormatting>
  <conditionalFormatting sqref="E1059">
    <cfRule type="containsText" dxfId="5437" priority="7056" operator="containsText" text="Sin información">
      <formula>NOT(ISERROR(SEARCH("Sin información",E1059)))</formula>
    </cfRule>
  </conditionalFormatting>
  <conditionalFormatting sqref="E1059">
    <cfRule type="containsText" dxfId="5436" priority="7055" operator="containsText" text="NUEVO">
      <formula>NOT(ISERROR(SEARCH("NUEVO",E1059)))</formula>
    </cfRule>
  </conditionalFormatting>
  <conditionalFormatting sqref="C1057:D1057">
    <cfRule type="containsText" dxfId="5435" priority="7054" operator="containsText" text="NO+$D$4:$D$10">
      <formula>NOT(ISERROR(SEARCH("NO+$D$4:$D$10",C1057)))</formula>
    </cfRule>
  </conditionalFormatting>
  <conditionalFormatting sqref="C1057:D1057">
    <cfRule type="containsText" dxfId="5434" priority="7052" operator="containsText" text="SI">
      <formula>NOT(ISERROR(SEARCH("SI",C1057)))</formula>
    </cfRule>
    <cfRule type="containsText" dxfId="5433" priority="7053" operator="containsText" text="NO">
      <formula>NOT(ISERROR(SEARCH("NO",C1057)))</formula>
    </cfRule>
  </conditionalFormatting>
  <conditionalFormatting sqref="C1057:D1057">
    <cfRule type="containsText" dxfId="5432" priority="7051" operator="containsText" text="NUEVO">
      <formula>NOT(ISERROR(SEARCH("NUEVO",C1057)))</formula>
    </cfRule>
  </conditionalFormatting>
  <conditionalFormatting sqref="E1057">
    <cfRule type="containsText" dxfId="5431" priority="7049" operator="containsText" text="NUEVO">
      <formula>NOT(ISERROR(SEARCH("NUEVO",E1057)))</formula>
    </cfRule>
  </conditionalFormatting>
  <conditionalFormatting sqref="E1057">
    <cfRule type="containsText" dxfId="5430" priority="7050" operator="containsText" text="Sin información">
      <formula>NOT(ISERROR(SEARCH("Sin información",E1057)))</formula>
    </cfRule>
  </conditionalFormatting>
  <conditionalFormatting sqref="C1069:D1069">
    <cfRule type="containsText" dxfId="5429" priority="7048" operator="containsText" text="NO+$D$4:$D$10">
      <formula>NOT(ISERROR(SEARCH("NO+$D$4:$D$10",C1069)))</formula>
    </cfRule>
  </conditionalFormatting>
  <conditionalFormatting sqref="C1069:D1069">
    <cfRule type="containsText" dxfId="5428" priority="7046" operator="containsText" text="SI">
      <formula>NOT(ISERROR(SEARCH("SI",C1069)))</formula>
    </cfRule>
    <cfRule type="containsText" dxfId="5427" priority="7047" operator="containsText" text="NO">
      <formula>NOT(ISERROR(SEARCH("NO",C1069)))</formula>
    </cfRule>
  </conditionalFormatting>
  <conditionalFormatting sqref="E1069">
    <cfRule type="containsText" dxfId="5426" priority="7045" operator="containsText" text="Sin información">
      <formula>NOT(ISERROR(SEARCH("Sin información",E1069)))</formula>
    </cfRule>
  </conditionalFormatting>
  <conditionalFormatting sqref="C1069:E1069">
    <cfRule type="containsText" dxfId="5425" priority="7044" operator="containsText" text="NUEVO">
      <formula>NOT(ISERROR(SEARCH("NUEVO",C1069)))</formula>
    </cfRule>
  </conditionalFormatting>
  <conditionalFormatting sqref="E1069">
    <cfRule type="containsText" dxfId="5424" priority="7043" operator="containsText" text="Sin información">
      <formula>NOT(ISERROR(SEARCH("Sin información",E1069)))</formula>
    </cfRule>
  </conditionalFormatting>
  <conditionalFormatting sqref="C1070:D1070">
    <cfRule type="containsText" dxfId="5423" priority="7042" operator="containsText" text="NO+$D$4:$D$10">
      <formula>NOT(ISERROR(SEARCH("NO+$D$4:$D$10",C1070)))</formula>
    </cfRule>
  </conditionalFormatting>
  <conditionalFormatting sqref="C1070:D1070">
    <cfRule type="containsText" dxfId="5422" priority="7040" operator="containsText" text="SI">
      <formula>NOT(ISERROR(SEARCH("SI",C1070)))</formula>
    </cfRule>
    <cfRule type="containsText" dxfId="5421" priority="7041" operator="containsText" text="NO">
      <formula>NOT(ISERROR(SEARCH("NO",C1070)))</formula>
    </cfRule>
  </conditionalFormatting>
  <conditionalFormatting sqref="C1070:D1070">
    <cfRule type="containsText" dxfId="5420" priority="7039" operator="containsText" text="NUEVO">
      <formula>NOT(ISERROR(SEARCH("NUEVO",C1070)))</formula>
    </cfRule>
  </conditionalFormatting>
  <conditionalFormatting sqref="E1070">
    <cfRule type="containsText" dxfId="5419" priority="7037" operator="containsText" text="NUEVO">
      <formula>NOT(ISERROR(SEARCH("NUEVO",E1070)))</formula>
    </cfRule>
  </conditionalFormatting>
  <conditionalFormatting sqref="E1070">
    <cfRule type="containsText" dxfId="5418" priority="7038" operator="containsText" text="Sin información">
      <formula>NOT(ISERROR(SEARCH("Sin información",E1070)))</formula>
    </cfRule>
  </conditionalFormatting>
  <conditionalFormatting sqref="C1071:D1071">
    <cfRule type="containsText" dxfId="5417" priority="7036" operator="containsText" text="NO+$D$4:$D$10">
      <formula>NOT(ISERROR(SEARCH("NO+$D$4:$D$10",C1071)))</formula>
    </cfRule>
  </conditionalFormatting>
  <conditionalFormatting sqref="C1071:D1071">
    <cfRule type="containsText" dxfId="5416" priority="7034" operator="containsText" text="SI">
      <formula>NOT(ISERROR(SEARCH("SI",C1071)))</formula>
    </cfRule>
    <cfRule type="containsText" dxfId="5415" priority="7035" operator="containsText" text="NO">
      <formula>NOT(ISERROR(SEARCH("NO",C1071)))</formula>
    </cfRule>
  </conditionalFormatting>
  <conditionalFormatting sqref="E1071">
    <cfRule type="containsText" dxfId="5414" priority="7033" operator="containsText" text="Sin información">
      <formula>NOT(ISERROR(SEARCH("Sin información",E1071)))</formula>
    </cfRule>
  </conditionalFormatting>
  <conditionalFormatting sqref="C1071:E1071">
    <cfRule type="containsText" dxfId="5413" priority="7032" operator="containsText" text="NUEVO">
      <formula>NOT(ISERROR(SEARCH("NUEVO",C1071)))</formula>
    </cfRule>
  </conditionalFormatting>
  <conditionalFormatting sqref="E1071">
    <cfRule type="containsText" dxfId="5412" priority="7031" operator="containsText" text="Sin información">
      <formula>NOT(ISERROR(SEARCH("Sin información",E1071)))</formula>
    </cfRule>
  </conditionalFormatting>
  <conditionalFormatting sqref="C1072:D1073">
    <cfRule type="containsText" dxfId="5411" priority="7030" operator="containsText" text="NO+$D$4:$D$10">
      <formula>NOT(ISERROR(SEARCH("NO+$D$4:$D$10",C1072)))</formula>
    </cfRule>
  </conditionalFormatting>
  <conditionalFormatting sqref="C1072:D1073">
    <cfRule type="containsText" dxfId="5410" priority="7028" operator="containsText" text="SI">
      <formula>NOT(ISERROR(SEARCH("SI",C1072)))</formula>
    </cfRule>
    <cfRule type="containsText" dxfId="5409" priority="7029" operator="containsText" text="NO">
      <formula>NOT(ISERROR(SEARCH("NO",C1072)))</formula>
    </cfRule>
  </conditionalFormatting>
  <conditionalFormatting sqref="E1073">
    <cfRule type="containsText" dxfId="5408" priority="7027" operator="containsText" text="Sin información">
      <formula>NOT(ISERROR(SEARCH("Sin información",E1073)))</formula>
    </cfRule>
  </conditionalFormatting>
  <conditionalFormatting sqref="E1073 C1072:D1073">
    <cfRule type="containsText" dxfId="5407" priority="7026" operator="containsText" text="NUEVO">
      <formula>NOT(ISERROR(SEARCH("NUEVO",C1072)))</formula>
    </cfRule>
  </conditionalFormatting>
  <conditionalFormatting sqref="E1072">
    <cfRule type="containsText" dxfId="5406" priority="7024" operator="containsText" text="NUEVO">
      <formula>NOT(ISERROR(SEARCH("NUEVO",E1072)))</formula>
    </cfRule>
  </conditionalFormatting>
  <conditionalFormatting sqref="E1072">
    <cfRule type="containsText" dxfId="5405" priority="7025" operator="containsText" text="Sin información">
      <formula>NOT(ISERROR(SEARCH("Sin información",E1072)))</formula>
    </cfRule>
  </conditionalFormatting>
  <conditionalFormatting sqref="C1074:D1074">
    <cfRule type="containsText" dxfId="5404" priority="7023" operator="containsText" text="NO+$D$4:$D$10">
      <formula>NOT(ISERROR(SEARCH("NO+$D$4:$D$10",C1074)))</formula>
    </cfRule>
  </conditionalFormatting>
  <conditionalFormatting sqref="C1074:D1074">
    <cfRule type="containsText" dxfId="5403" priority="7021" operator="containsText" text="SI">
      <formula>NOT(ISERROR(SEARCH("SI",C1074)))</formula>
    </cfRule>
    <cfRule type="containsText" dxfId="5402" priority="7022" operator="containsText" text="NO">
      <formula>NOT(ISERROR(SEARCH("NO",C1074)))</formula>
    </cfRule>
  </conditionalFormatting>
  <conditionalFormatting sqref="C1074:D1074">
    <cfRule type="containsText" dxfId="5401" priority="7020" operator="containsText" text="NUEVO">
      <formula>NOT(ISERROR(SEARCH("NUEVO",C1074)))</formula>
    </cfRule>
  </conditionalFormatting>
  <conditionalFormatting sqref="E1074">
    <cfRule type="containsText" dxfId="5400" priority="7019" operator="containsText" text="Sin información">
      <formula>NOT(ISERROR(SEARCH("Sin información",E1074)))</formula>
    </cfRule>
  </conditionalFormatting>
  <conditionalFormatting sqref="E1074">
    <cfRule type="containsText" dxfId="5399" priority="7018" operator="containsText" text="NUEVO">
      <formula>NOT(ISERROR(SEARCH("NUEVO",E1074)))</formula>
    </cfRule>
  </conditionalFormatting>
  <conditionalFormatting sqref="C1075:D1075">
    <cfRule type="containsText" dxfId="5398" priority="7012" operator="containsText" text="NO+$D$4:$D$10">
      <formula>NOT(ISERROR(SEARCH("NO+$D$4:$D$10",C1075)))</formula>
    </cfRule>
  </conditionalFormatting>
  <conditionalFormatting sqref="C1075:D1075">
    <cfRule type="containsText" dxfId="5397" priority="7010" operator="containsText" text="SI">
      <formula>NOT(ISERROR(SEARCH("SI",C1075)))</formula>
    </cfRule>
    <cfRule type="containsText" dxfId="5396" priority="7011" operator="containsText" text="NO">
      <formula>NOT(ISERROR(SEARCH("NO",C1075)))</formula>
    </cfRule>
  </conditionalFormatting>
  <conditionalFormatting sqref="C1075:D1075">
    <cfRule type="containsText" dxfId="5395" priority="7009" operator="containsText" text="NUEVO">
      <formula>NOT(ISERROR(SEARCH("NUEVO",C1075)))</formula>
    </cfRule>
  </conditionalFormatting>
  <conditionalFormatting sqref="E1075">
    <cfRule type="containsText" dxfId="5394" priority="7007" operator="containsText" text="NUEVO">
      <formula>NOT(ISERROR(SEARCH("NUEVO",E1075)))</formula>
    </cfRule>
  </conditionalFormatting>
  <conditionalFormatting sqref="E1075">
    <cfRule type="containsText" dxfId="5393" priority="7006" operator="containsText" text="Sin Información">
      <formula>NOT(ISERROR(SEARCH("Sin Información",E1075)))</formula>
    </cfRule>
  </conditionalFormatting>
  <conditionalFormatting sqref="E1075">
    <cfRule type="containsText" dxfId="5392" priority="7008" operator="containsText" text="Sin información">
      <formula>NOT(ISERROR(SEARCH("Sin información",E1075)))</formula>
    </cfRule>
  </conditionalFormatting>
  <conditionalFormatting sqref="C1076:D1076">
    <cfRule type="containsText" dxfId="5391" priority="7005" operator="containsText" text="NO+$D$4:$D$10">
      <formula>NOT(ISERROR(SEARCH("NO+$D$4:$D$10",C1076)))</formula>
    </cfRule>
  </conditionalFormatting>
  <conditionalFormatting sqref="C1076:D1076">
    <cfRule type="containsText" dxfId="5390" priority="7003" operator="containsText" text="SI">
      <formula>NOT(ISERROR(SEARCH("SI",C1076)))</formula>
    </cfRule>
    <cfRule type="containsText" dxfId="5389" priority="7004" operator="containsText" text="NO">
      <formula>NOT(ISERROR(SEARCH("NO",C1076)))</formula>
    </cfRule>
  </conditionalFormatting>
  <conditionalFormatting sqref="E1076">
    <cfRule type="containsText" dxfId="5388" priority="7002" operator="containsText" text="Sin información">
      <formula>NOT(ISERROR(SEARCH("Sin información",E1076)))</formula>
    </cfRule>
  </conditionalFormatting>
  <conditionalFormatting sqref="C1076:E1076">
    <cfRule type="containsText" dxfId="5387" priority="7001" operator="containsText" text="NUEVO">
      <formula>NOT(ISERROR(SEARCH("NUEVO",C1076)))</formula>
    </cfRule>
  </conditionalFormatting>
  <conditionalFormatting sqref="C1077:D1077">
    <cfRule type="containsText" dxfId="5386" priority="7000" operator="containsText" text="NO+$D$4:$D$10">
      <formula>NOT(ISERROR(SEARCH("NO+$D$4:$D$10",C1077)))</formula>
    </cfRule>
  </conditionalFormatting>
  <conditionalFormatting sqref="C1077:D1077">
    <cfRule type="containsText" dxfId="5385" priority="6998" operator="containsText" text="SI">
      <formula>NOT(ISERROR(SEARCH("SI",C1077)))</formula>
    </cfRule>
    <cfRule type="containsText" dxfId="5384" priority="6999" operator="containsText" text="NO">
      <formula>NOT(ISERROR(SEARCH("NO",C1077)))</formula>
    </cfRule>
  </conditionalFormatting>
  <conditionalFormatting sqref="E1077">
    <cfRule type="containsText" dxfId="5383" priority="6997" operator="containsText" text="Sin información">
      <formula>NOT(ISERROR(SEARCH("Sin información",E1077)))</formula>
    </cfRule>
  </conditionalFormatting>
  <conditionalFormatting sqref="C1077:E1077">
    <cfRule type="containsText" dxfId="5382" priority="6996" operator="containsText" text="NUEVO">
      <formula>NOT(ISERROR(SEARCH("NUEVO",C1077)))</formula>
    </cfRule>
  </conditionalFormatting>
  <conditionalFormatting sqref="E1077">
    <cfRule type="containsText" dxfId="5381" priority="6995" operator="containsText" text="Sin Información">
      <formula>NOT(ISERROR(SEARCH("Sin Información",E1077)))</formula>
    </cfRule>
  </conditionalFormatting>
  <conditionalFormatting sqref="C1078:D1079">
    <cfRule type="containsText" dxfId="5380" priority="6994" operator="containsText" text="NO+$D$4:$D$10">
      <formula>NOT(ISERROR(SEARCH("NO+$D$4:$D$10",C1078)))</formula>
    </cfRule>
  </conditionalFormatting>
  <conditionalFormatting sqref="C1078:D1079">
    <cfRule type="containsText" dxfId="5379" priority="6992" operator="containsText" text="SI">
      <formula>NOT(ISERROR(SEARCH("SI",C1078)))</formula>
    </cfRule>
    <cfRule type="containsText" dxfId="5378" priority="6993" operator="containsText" text="NO">
      <formula>NOT(ISERROR(SEARCH("NO",C1078)))</formula>
    </cfRule>
  </conditionalFormatting>
  <conditionalFormatting sqref="E1079">
    <cfRule type="containsText" dxfId="5377" priority="6991" operator="containsText" text="Sin información">
      <formula>NOT(ISERROR(SEARCH("Sin información",E1079)))</formula>
    </cfRule>
  </conditionalFormatting>
  <conditionalFormatting sqref="E1079 C1078:D1079">
    <cfRule type="containsText" dxfId="5376" priority="6990" operator="containsText" text="NUEVO">
      <formula>NOT(ISERROR(SEARCH("NUEVO",C1078)))</formula>
    </cfRule>
  </conditionalFormatting>
  <conditionalFormatting sqref="E1078">
    <cfRule type="containsText" dxfId="5375" priority="6989" operator="containsText" text="Sin información">
      <formula>NOT(ISERROR(SEARCH("Sin información",E1078)))</formula>
    </cfRule>
  </conditionalFormatting>
  <conditionalFormatting sqref="E1078">
    <cfRule type="containsText" dxfId="5374" priority="6988" operator="containsText" text="NUEVO">
      <formula>NOT(ISERROR(SEARCH("NUEVO",E1078)))</formula>
    </cfRule>
  </conditionalFormatting>
  <conditionalFormatting sqref="C1080:D1080">
    <cfRule type="containsText" dxfId="5373" priority="6987" operator="containsText" text="NO+$D$4:$D$10">
      <formula>NOT(ISERROR(SEARCH("NO+$D$4:$D$10",C1080)))</formula>
    </cfRule>
  </conditionalFormatting>
  <conditionalFormatting sqref="C1080:D1080">
    <cfRule type="containsText" dxfId="5372" priority="6985" operator="containsText" text="SI">
      <formula>NOT(ISERROR(SEARCH("SI",C1080)))</formula>
    </cfRule>
    <cfRule type="containsText" dxfId="5371" priority="6986" operator="containsText" text="NO">
      <formula>NOT(ISERROR(SEARCH("NO",C1080)))</formula>
    </cfRule>
  </conditionalFormatting>
  <conditionalFormatting sqref="E1080">
    <cfRule type="containsText" dxfId="5370" priority="6984" operator="containsText" text="Sin información">
      <formula>NOT(ISERROR(SEARCH("Sin información",E1080)))</formula>
    </cfRule>
  </conditionalFormatting>
  <conditionalFormatting sqref="C1080:E1080">
    <cfRule type="containsText" dxfId="5369" priority="6983" operator="containsText" text="NUEVO">
      <formula>NOT(ISERROR(SEARCH("NUEVO",C1080)))</formula>
    </cfRule>
  </conditionalFormatting>
  <conditionalFormatting sqref="C1081:D1081">
    <cfRule type="containsText" dxfId="5368" priority="6982" operator="containsText" text="NO+$D$4:$D$10">
      <formula>NOT(ISERROR(SEARCH("NO+$D$4:$D$10",C1081)))</formula>
    </cfRule>
  </conditionalFormatting>
  <conditionalFormatting sqref="C1081:D1081">
    <cfRule type="containsText" dxfId="5367" priority="6980" operator="containsText" text="SI">
      <formula>NOT(ISERROR(SEARCH("SI",C1081)))</formula>
    </cfRule>
    <cfRule type="containsText" dxfId="5366" priority="6981" operator="containsText" text="NO">
      <formula>NOT(ISERROR(SEARCH("NO",C1081)))</formula>
    </cfRule>
  </conditionalFormatting>
  <conditionalFormatting sqref="C1081:D1081">
    <cfRule type="containsText" dxfId="5365" priority="6979" operator="containsText" text="NUEVO">
      <formula>NOT(ISERROR(SEARCH("NUEVO",C1081)))</formula>
    </cfRule>
  </conditionalFormatting>
  <conditionalFormatting sqref="E1081">
    <cfRule type="containsText" dxfId="5364" priority="6977" operator="containsText" text="NUEVO">
      <formula>NOT(ISERROR(SEARCH("NUEVO",E1081)))</formula>
    </cfRule>
  </conditionalFormatting>
  <conditionalFormatting sqref="E1081">
    <cfRule type="containsText" dxfId="5363" priority="6978" operator="containsText" text="Sin información">
      <formula>NOT(ISERROR(SEARCH("Sin información",E1081)))</formula>
    </cfRule>
  </conditionalFormatting>
  <conditionalFormatting sqref="C1082:D1082">
    <cfRule type="containsText" dxfId="5362" priority="6976" operator="containsText" text="NO+$D$4:$D$10">
      <formula>NOT(ISERROR(SEARCH("NO+$D$4:$D$10",C1082)))</formula>
    </cfRule>
  </conditionalFormatting>
  <conditionalFormatting sqref="C1082:D1082">
    <cfRule type="containsText" dxfId="5361" priority="6974" operator="containsText" text="SI">
      <formula>NOT(ISERROR(SEARCH("SI",C1082)))</formula>
    </cfRule>
    <cfRule type="containsText" dxfId="5360" priority="6975" operator="containsText" text="NO">
      <formula>NOT(ISERROR(SEARCH("NO",C1082)))</formula>
    </cfRule>
  </conditionalFormatting>
  <conditionalFormatting sqref="C1082:D1082">
    <cfRule type="containsText" dxfId="5359" priority="6973" operator="containsText" text="NUEVO">
      <formula>NOT(ISERROR(SEARCH("NUEVO",C1082)))</formula>
    </cfRule>
  </conditionalFormatting>
  <conditionalFormatting sqref="E1082">
    <cfRule type="containsText" dxfId="5358" priority="6972" operator="containsText" text="Sin información">
      <formula>NOT(ISERROR(SEARCH("Sin información",E1082)))</formula>
    </cfRule>
  </conditionalFormatting>
  <conditionalFormatting sqref="E1082">
    <cfRule type="containsText" dxfId="5357" priority="6971" operator="containsText" text="NUEVO">
      <formula>NOT(ISERROR(SEARCH("NUEVO",E1082)))</formula>
    </cfRule>
  </conditionalFormatting>
  <conditionalFormatting sqref="C1083:D1083">
    <cfRule type="containsText" dxfId="5356" priority="6970" operator="containsText" text="NO+$D$4:$D$10">
      <formula>NOT(ISERROR(SEARCH("NO+$D$4:$D$10",C1083)))</formula>
    </cfRule>
  </conditionalFormatting>
  <conditionalFormatting sqref="C1083:D1083">
    <cfRule type="containsText" dxfId="5355" priority="6968" operator="containsText" text="SI">
      <formula>NOT(ISERROR(SEARCH("SI",C1083)))</formula>
    </cfRule>
    <cfRule type="containsText" dxfId="5354" priority="6969" operator="containsText" text="NO">
      <formula>NOT(ISERROR(SEARCH("NO",C1083)))</formula>
    </cfRule>
  </conditionalFormatting>
  <conditionalFormatting sqref="C1083:D1083">
    <cfRule type="containsText" dxfId="5353" priority="6967" operator="containsText" text="NUEVO">
      <formula>NOT(ISERROR(SEARCH("NUEVO",C1083)))</formula>
    </cfRule>
  </conditionalFormatting>
  <conditionalFormatting sqref="E1083">
    <cfRule type="containsText" dxfId="5352" priority="6966" operator="containsText" text="Sin información">
      <formula>NOT(ISERROR(SEARCH("Sin información",E1083)))</formula>
    </cfRule>
  </conditionalFormatting>
  <conditionalFormatting sqref="E1083">
    <cfRule type="containsText" dxfId="5351" priority="6965" operator="containsText" text="NUEVO">
      <formula>NOT(ISERROR(SEARCH("NUEVO",E1083)))</formula>
    </cfRule>
  </conditionalFormatting>
  <conditionalFormatting sqref="C1084:D1084">
    <cfRule type="containsText" dxfId="5350" priority="6964" operator="containsText" text="NO+$D$4:$D$10">
      <formula>NOT(ISERROR(SEARCH("NO+$D$4:$D$10",C1084)))</formula>
    </cfRule>
  </conditionalFormatting>
  <conditionalFormatting sqref="C1084:D1084">
    <cfRule type="containsText" dxfId="5349" priority="6962" operator="containsText" text="SI">
      <formula>NOT(ISERROR(SEARCH("SI",C1084)))</formula>
    </cfRule>
    <cfRule type="containsText" dxfId="5348" priority="6963" operator="containsText" text="NO">
      <formula>NOT(ISERROR(SEARCH("NO",C1084)))</formula>
    </cfRule>
  </conditionalFormatting>
  <conditionalFormatting sqref="C1084:D1084">
    <cfRule type="containsText" dxfId="5347" priority="6961" operator="containsText" text="NUEVO">
      <formula>NOT(ISERROR(SEARCH("NUEVO",C1084)))</formula>
    </cfRule>
  </conditionalFormatting>
  <conditionalFormatting sqref="E1084">
    <cfRule type="containsText" dxfId="5346" priority="6959" operator="containsText" text="NUEVO">
      <formula>NOT(ISERROR(SEARCH("NUEVO",E1084)))</formula>
    </cfRule>
  </conditionalFormatting>
  <conditionalFormatting sqref="E1084">
    <cfRule type="containsText" dxfId="5345" priority="6960" operator="containsText" text="Sin información">
      <formula>NOT(ISERROR(SEARCH("Sin información",E1084)))</formula>
    </cfRule>
  </conditionalFormatting>
  <conditionalFormatting sqref="E1085 E1087:E1088">
    <cfRule type="containsText" dxfId="5344" priority="6954" operator="containsText" text="Sin información">
      <formula>NOT(ISERROR(SEARCH("Sin información",E1085)))</formula>
    </cfRule>
  </conditionalFormatting>
  <conditionalFormatting sqref="E1085 E1087:E1088">
    <cfRule type="containsText" dxfId="5343" priority="6953" operator="containsText" text="NUEVO">
      <formula>NOT(ISERROR(SEARCH("NUEVO",E1085)))</formula>
    </cfRule>
  </conditionalFormatting>
  <conditionalFormatting sqref="E1086">
    <cfRule type="containsText" dxfId="5342" priority="6949" operator="containsText" text="NUEVO">
      <formula>NOT(ISERROR(SEARCH("NUEVO",E1086)))</formula>
    </cfRule>
  </conditionalFormatting>
  <conditionalFormatting sqref="E1086">
    <cfRule type="containsText" dxfId="5341" priority="6950" operator="containsText" text="Sin información">
      <formula>NOT(ISERROR(SEARCH("Sin información",E1086)))</formula>
    </cfRule>
  </conditionalFormatting>
  <conditionalFormatting sqref="C1090:D1090">
    <cfRule type="containsText" dxfId="5340" priority="6946" operator="containsText" text="NO+$D$4:$D$10">
      <formula>NOT(ISERROR(SEARCH("NO+$D$4:$D$10",C1090)))</formula>
    </cfRule>
  </conditionalFormatting>
  <conditionalFormatting sqref="C1090:D1090">
    <cfRule type="containsText" dxfId="5339" priority="6944" operator="containsText" text="SI">
      <formula>NOT(ISERROR(SEARCH("SI",C1090)))</formula>
    </cfRule>
    <cfRule type="containsText" dxfId="5338" priority="6945" operator="containsText" text="NO">
      <formula>NOT(ISERROR(SEARCH("NO",C1090)))</formula>
    </cfRule>
  </conditionalFormatting>
  <conditionalFormatting sqref="C1090:D1090">
    <cfRule type="containsText" dxfId="5337" priority="6943" operator="containsText" text="NUEVO">
      <formula>NOT(ISERROR(SEARCH("NUEVO",C1090)))</formula>
    </cfRule>
  </conditionalFormatting>
  <conditionalFormatting sqref="E1090">
    <cfRule type="containsText" dxfId="5336" priority="6941" operator="containsText" text="NUEVO">
      <formula>NOT(ISERROR(SEARCH("NUEVO",E1090)))</formula>
    </cfRule>
  </conditionalFormatting>
  <conditionalFormatting sqref="E1090">
    <cfRule type="containsText" dxfId="5335" priority="6942" operator="containsText" text="Sin información">
      <formula>NOT(ISERROR(SEARCH("Sin información",E1090)))</formula>
    </cfRule>
  </conditionalFormatting>
  <conditionalFormatting sqref="C1091:D1091">
    <cfRule type="containsText" dxfId="5334" priority="6923" operator="containsText" text="NO+$D$4:$D$10">
      <formula>NOT(ISERROR(SEARCH("NO+$D$4:$D$10",C1091)))</formula>
    </cfRule>
  </conditionalFormatting>
  <conditionalFormatting sqref="C1091:D1091">
    <cfRule type="containsText" dxfId="5333" priority="6921" operator="containsText" text="SI">
      <formula>NOT(ISERROR(SEARCH("SI",C1091)))</formula>
    </cfRule>
    <cfRule type="containsText" dxfId="5332" priority="6922" operator="containsText" text="NO">
      <formula>NOT(ISERROR(SEARCH("NO",C1091)))</formula>
    </cfRule>
  </conditionalFormatting>
  <conditionalFormatting sqref="C1091:D1091">
    <cfRule type="containsText" dxfId="5331" priority="6920" operator="containsText" text="NUEVO">
      <formula>NOT(ISERROR(SEARCH("NUEVO",C1091)))</formula>
    </cfRule>
  </conditionalFormatting>
  <conditionalFormatting sqref="E1091">
    <cfRule type="containsText" dxfId="5330" priority="6919" operator="containsText" text="Sin información">
      <formula>NOT(ISERROR(SEARCH("Sin información",E1091)))</formula>
    </cfRule>
  </conditionalFormatting>
  <conditionalFormatting sqref="E1091">
    <cfRule type="containsText" dxfId="5329" priority="6918" operator="containsText" text="NUEVO">
      <formula>NOT(ISERROR(SEARCH("NUEVO",E1091)))</formula>
    </cfRule>
  </conditionalFormatting>
  <conditionalFormatting sqref="C1092:D1092">
    <cfRule type="containsText" dxfId="5328" priority="6917" operator="containsText" text="NO+$D$4:$D$10">
      <formula>NOT(ISERROR(SEARCH("NO+$D$4:$D$10",C1092)))</formula>
    </cfRule>
  </conditionalFormatting>
  <conditionalFormatting sqref="C1092:D1092">
    <cfRule type="containsText" dxfId="5327" priority="6915" operator="containsText" text="SI">
      <formula>NOT(ISERROR(SEARCH("SI",C1092)))</formula>
    </cfRule>
    <cfRule type="containsText" dxfId="5326" priority="6916" operator="containsText" text="NO">
      <formula>NOT(ISERROR(SEARCH("NO",C1092)))</formula>
    </cfRule>
  </conditionalFormatting>
  <conditionalFormatting sqref="C1092:D1092">
    <cfRule type="containsText" dxfId="5325" priority="6914" operator="containsText" text="NUEVO">
      <formula>NOT(ISERROR(SEARCH("NUEVO",C1092)))</formula>
    </cfRule>
  </conditionalFormatting>
  <conditionalFormatting sqref="E1092">
    <cfRule type="containsText" dxfId="5324" priority="6912" operator="containsText" text="NUEVO">
      <formula>NOT(ISERROR(SEARCH("NUEVO",E1092)))</formula>
    </cfRule>
  </conditionalFormatting>
  <conditionalFormatting sqref="E1092">
    <cfRule type="containsText" dxfId="5323" priority="6913" operator="containsText" text="Sin información">
      <formula>NOT(ISERROR(SEARCH("Sin información",E1092)))</formula>
    </cfRule>
  </conditionalFormatting>
  <conditionalFormatting sqref="C1093:D1093">
    <cfRule type="containsText" dxfId="5322" priority="6911" operator="containsText" text="NO+$D$4:$D$10">
      <formula>NOT(ISERROR(SEARCH("NO+$D$4:$D$10",C1093)))</formula>
    </cfRule>
  </conditionalFormatting>
  <conditionalFormatting sqref="C1093:D1093">
    <cfRule type="containsText" dxfId="5321" priority="6909" operator="containsText" text="SI">
      <formula>NOT(ISERROR(SEARCH("SI",C1093)))</formula>
    </cfRule>
    <cfRule type="containsText" dxfId="5320" priority="6910" operator="containsText" text="NO">
      <formula>NOT(ISERROR(SEARCH("NO",C1093)))</formula>
    </cfRule>
  </conditionalFormatting>
  <conditionalFormatting sqref="C1093:D1093">
    <cfRule type="containsText" dxfId="5319" priority="6908" operator="containsText" text="NUEVO">
      <formula>NOT(ISERROR(SEARCH("NUEVO",C1093)))</formula>
    </cfRule>
  </conditionalFormatting>
  <conditionalFormatting sqref="E1093">
    <cfRule type="containsText" dxfId="5318" priority="6907" operator="containsText" text="Sin información">
      <formula>NOT(ISERROR(SEARCH("Sin información",E1093)))</formula>
    </cfRule>
  </conditionalFormatting>
  <conditionalFormatting sqref="E1093">
    <cfRule type="containsText" dxfId="5317" priority="6906" operator="containsText" text="NUEVO">
      <formula>NOT(ISERROR(SEARCH("NUEVO",E1093)))</formula>
    </cfRule>
  </conditionalFormatting>
  <conditionalFormatting sqref="C1094:D1094">
    <cfRule type="containsText" dxfId="5316" priority="6899" operator="containsText" text="NO+$D$4:$D$10">
      <formula>NOT(ISERROR(SEARCH("NO+$D$4:$D$10",C1094)))</formula>
    </cfRule>
  </conditionalFormatting>
  <conditionalFormatting sqref="C1094:D1094">
    <cfRule type="containsText" dxfId="5315" priority="6897" operator="containsText" text="SI">
      <formula>NOT(ISERROR(SEARCH("SI",C1094)))</formula>
    </cfRule>
    <cfRule type="containsText" dxfId="5314" priority="6898" operator="containsText" text="NO">
      <formula>NOT(ISERROR(SEARCH("NO",C1094)))</formula>
    </cfRule>
  </conditionalFormatting>
  <conditionalFormatting sqref="C1094:D1094">
    <cfRule type="containsText" dxfId="5313" priority="6896" operator="containsText" text="NUEVO">
      <formula>NOT(ISERROR(SEARCH("NUEVO",C1094)))</formula>
    </cfRule>
  </conditionalFormatting>
  <conditionalFormatting sqref="E1094">
    <cfRule type="containsText" dxfId="5312" priority="6894" operator="containsText" text="NUEVO">
      <formula>NOT(ISERROR(SEARCH("NUEVO",E1094)))</formula>
    </cfRule>
  </conditionalFormatting>
  <conditionalFormatting sqref="E1094">
    <cfRule type="containsText" dxfId="5311" priority="6895" operator="containsText" text="Sin información">
      <formula>NOT(ISERROR(SEARCH("Sin información",E1094)))</formula>
    </cfRule>
  </conditionalFormatting>
  <conditionalFormatting sqref="F1094">
    <cfRule type="containsText" dxfId="5310" priority="6893" operator="containsText" text="NO+$D$4:$D$10">
      <formula>NOT(ISERROR(SEARCH("NO+$D$4:$D$10",F1094)))</formula>
    </cfRule>
  </conditionalFormatting>
  <conditionalFormatting sqref="F1094">
    <cfRule type="containsText" dxfId="5309" priority="6891" operator="containsText" text="SI">
      <formula>NOT(ISERROR(SEARCH("SI",F1094)))</formula>
    </cfRule>
    <cfRule type="containsText" dxfId="5308" priority="6892" operator="containsText" text="NO">
      <formula>NOT(ISERROR(SEARCH("NO",F1094)))</formula>
    </cfRule>
  </conditionalFormatting>
  <conditionalFormatting sqref="F1094">
    <cfRule type="containsText" dxfId="5307" priority="6890" operator="containsText" text="NUEVO">
      <formula>NOT(ISERROR(SEARCH("NUEVO",F1094)))</formula>
    </cfRule>
  </conditionalFormatting>
  <conditionalFormatting sqref="C1095:D1095">
    <cfRule type="containsText" dxfId="5306" priority="6883" operator="containsText" text="NO+$D$4:$D$10">
      <formula>NOT(ISERROR(SEARCH("NO+$D$4:$D$10",C1095)))</formula>
    </cfRule>
  </conditionalFormatting>
  <conditionalFormatting sqref="C1095:D1095">
    <cfRule type="containsText" dxfId="5305" priority="6881" operator="containsText" text="SI">
      <formula>NOT(ISERROR(SEARCH("SI",C1095)))</formula>
    </cfRule>
    <cfRule type="containsText" dxfId="5304" priority="6882" operator="containsText" text="NO">
      <formula>NOT(ISERROR(SEARCH("NO",C1095)))</formula>
    </cfRule>
  </conditionalFormatting>
  <conditionalFormatting sqref="C1095:D1095">
    <cfRule type="containsText" dxfId="5303" priority="6880" operator="containsText" text="NUEVO">
      <formula>NOT(ISERROR(SEARCH("NUEVO",C1095)))</formula>
    </cfRule>
  </conditionalFormatting>
  <conditionalFormatting sqref="E1095">
    <cfRule type="containsText" dxfId="5302" priority="6879" operator="containsText" text="Sin información">
      <formula>NOT(ISERROR(SEARCH("Sin información",E1095)))</formula>
    </cfRule>
  </conditionalFormatting>
  <conditionalFormatting sqref="E1095">
    <cfRule type="containsText" dxfId="5301" priority="6878" operator="containsText" text="NUEVO">
      <formula>NOT(ISERROR(SEARCH("NUEVO",E1095)))</formula>
    </cfRule>
  </conditionalFormatting>
  <conditionalFormatting sqref="C1096:D1096">
    <cfRule type="containsText" dxfId="5300" priority="6862" operator="containsText" text="NO+$D$4:$D$10">
      <formula>NOT(ISERROR(SEARCH("NO+$D$4:$D$10",C1096)))</formula>
    </cfRule>
  </conditionalFormatting>
  <conditionalFormatting sqref="C1096:D1096">
    <cfRule type="containsText" dxfId="5299" priority="6860" operator="containsText" text="SI">
      <formula>NOT(ISERROR(SEARCH("SI",C1096)))</formula>
    </cfRule>
    <cfRule type="containsText" dxfId="5298" priority="6861" operator="containsText" text="NO">
      <formula>NOT(ISERROR(SEARCH("NO",C1096)))</formula>
    </cfRule>
  </conditionalFormatting>
  <conditionalFormatting sqref="C1096:D1096">
    <cfRule type="containsText" dxfId="5297" priority="6859" operator="containsText" text="NUEVO">
      <formula>NOT(ISERROR(SEARCH("NUEVO",C1096)))</formula>
    </cfRule>
  </conditionalFormatting>
  <conditionalFormatting sqref="E1096">
    <cfRule type="containsText" dxfId="5296" priority="6857" operator="containsText" text="NUEVO">
      <formula>NOT(ISERROR(SEARCH("NUEVO",E1096)))</formula>
    </cfRule>
  </conditionalFormatting>
  <conditionalFormatting sqref="E1096">
    <cfRule type="containsText" dxfId="5295" priority="6858" operator="containsText" text="Sin información">
      <formula>NOT(ISERROR(SEARCH("Sin información",E1096)))</formula>
    </cfRule>
  </conditionalFormatting>
  <conditionalFormatting sqref="C1097:D1097">
    <cfRule type="containsText" dxfId="5294" priority="6856" operator="containsText" text="NO+$D$4:$D$10">
      <formula>NOT(ISERROR(SEARCH("NO+$D$4:$D$10",C1097)))</formula>
    </cfRule>
  </conditionalFormatting>
  <conditionalFormatting sqref="C1097:D1097">
    <cfRule type="containsText" dxfId="5293" priority="6854" operator="containsText" text="SI">
      <formula>NOT(ISERROR(SEARCH("SI",C1097)))</formula>
    </cfRule>
    <cfRule type="containsText" dxfId="5292" priority="6855" operator="containsText" text="NO">
      <formula>NOT(ISERROR(SEARCH("NO",C1097)))</formula>
    </cfRule>
  </conditionalFormatting>
  <conditionalFormatting sqref="E1097">
    <cfRule type="containsText" dxfId="5291" priority="6853" operator="containsText" text="Sin información">
      <formula>NOT(ISERROR(SEARCH("Sin información",E1097)))</formula>
    </cfRule>
  </conditionalFormatting>
  <conditionalFormatting sqref="C1097:E1097">
    <cfRule type="containsText" dxfId="5290" priority="6852" operator="containsText" text="NUEVO">
      <formula>NOT(ISERROR(SEARCH("NUEVO",C1097)))</formula>
    </cfRule>
  </conditionalFormatting>
  <conditionalFormatting sqref="C1098:D1098">
    <cfRule type="containsText" dxfId="5289" priority="6851" operator="containsText" text="NO+$D$4:$D$10">
      <formula>NOT(ISERROR(SEARCH("NO+$D$4:$D$10",C1098)))</formula>
    </cfRule>
  </conditionalFormatting>
  <conditionalFormatting sqref="C1098:D1098">
    <cfRule type="containsText" dxfId="5288" priority="6849" operator="containsText" text="SI">
      <formula>NOT(ISERROR(SEARCH("SI",C1098)))</formula>
    </cfRule>
    <cfRule type="containsText" dxfId="5287" priority="6850" operator="containsText" text="NO">
      <formula>NOT(ISERROR(SEARCH("NO",C1098)))</formula>
    </cfRule>
  </conditionalFormatting>
  <conditionalFormatting sqref="C1098:D1098">
    <cfRule type="containsText" dxfId="5286" priority="6848" operator="containsText" text="NUEVO">
      <formula>NOT(ISERROR(SEARCH("NUEVO",C1098)))</formula>
    </cfRule>
  </conditionalFormatting>
  <conditionalFormatting sqref="E1098">
    <cfRule type="containsText" dxfId="5285" priority="6846" operator="containsText" text="NUEVO">
      <formula>NOT(ISERROR(SEARCH("NUEVO",E1098)))</formula>
    </cfRule>
  </conditionalFormatting>
  <conditionalFormatting sqref="E1098">
    <cfRule type="containsText" dxfId="5284" priority="6847" operator="containsText" text="Sin información">
      <formula>NOT(ISERROR(SEARCH("Sin información",E1098)))</formula>
    </cfRule>
  </conditionalFormatting>
  <conditionalFormatting sqref="F1098">
    <cfRule type="containsText" dxfId="5283" priority="6845" operator="containsText" text="NO+$D$4:$D$10">
      <formula>NOT(ISERROR(SEARCH("NO+$D$4:$D$10",F1098)))</formula>
    </cfRule>
  </conditionalFormatting>
  <conditionalFormatting sqref="F1098">
    <cfRule type="containsText" dxfId="5282" priority="6843" operator="containsText" text="SI">
      <formula>NOT(ISERROR(SEARCH("SI",F1098)))</formula>
    </cfRule>
    <cfRule type="containsText" dxfId="5281" priority="6844" operator="containsText" text="NO">
      <formula>NOT(ISERROR(SEARCH("NO",F1098)))</formula>
    </cfRule>
  </conditionalFormatting>
  <conditionalFormatting sqref="F1098">
    <cfRule type="containsText" dxfId="5280" priority="6842" operator="containsText" text="NUEVO">
      <formula>NOT(ISERROR(SEARCH("NUEVO",F1098)))</formula>
    </cfRule>
  </conditionalFormatting>
  <conditionalFormatting sqref="C1099:D1099">
    <cfRule type="containsText" dxfId="5279" priority="6841" operator="containsText" text="NO+$D$4:$D$10">
      <formula>NOT(ISERROR(SEARCH("NO+$D$4:$D$10",C1099)))</formula>
    </cfRule>
  </conditionalFormatting>
  <conditionalFormatting sqref="C1099:D1099">
    <cfRule type="containsText" dxfId="5278" priority="6839" operator="containsText" text="SI">
      <formula>NOT(ISERROR(SEARCH("SI",C1099)))</formula>
    </cfRule>
    <cfRule type="containsText" dxfId="5277" priority="6840" operator="containsText" text="NO">
      <formula>NOT(ISERROR(SEARCH("NO",C1099)))</formula>
    </cfRule>
  </conditionalFormatting>
  <conditionalFormatting sqref="E1099">
    <cfRule type="containsText" dxfId="5276" priority="6838" operator="containsText" text="Sin información">
      <formula>NOT(ISERROR(SEARCH("Sin información",E1099)))</formula>
    </cfRule>
  </conditionalFormatting>
  <conditionalFormatting sqref="C1099:E1099">
    <cfRule type="containsText" dxfId="5275" priority="6837" operator="containsText" text="NUEVO">
      <formula>NOT(ISERROR(SEARCH("NUEVO",C1099)))</formula>
    </cfRule>
  </conditionalFormatting>
  <conditionalFormatting sqref="F1099">
    <cfRule type="containsText" dxfId="5274" priority="6836" operator="containsText" text="NO+$D$4:$D$10">
      <formula>NOT(ISERROR(SEARCH("NO+$D$4:$D$10",F1099)))</formula>
    </cfRule>
  </conditionalFormatting>
  <conditionalFormatting sqref="F1099">
    <cfRule type="containsText" dxfId="5273" priority="6834" operator="containsText" text="SI">
      <formula>NOT(ISERROR(SEARCH("SI",F1099)))</formula>
    </cfRule>
    <cfRule type="containsText" dxfId="5272" priority="6835" operator="containsText" text="NO">
      <formula>NOT(ISERROR(SEARCH("NO",F1099)))</formula>
    </cfRule>
  </conditionalFormatting>
  <conditionalFormatting sqref="F1099">
    <cfRule type="containsText" dxfId="5271" priority="6833" operator="containsText" text="NUEVO">
      <formula>NOT(ISERROR(SEARCH("NUEVO",F1099)))</formula>
    </cfRule>
  </conditionalFormatting>
  <conditionalFormatting sqref="C1100:D1100">
    <cfRule type="containsText" dxfId="5270" priority="6827" operator="containsText" text="NO+$D$4:$D$10">
      <formula>NOT(ISERROR(SEARCH("NO+$D$4:$D$10",C1100)))</formula>
    </cfRule>
  </conditionalFormatting>
  <conditionalFormatting sqref="C1100:D1100">
    <cfRule type="containsText" dxfId="5269" priority="6825" operator="containsText" text="SI">
      <formula>NOT(ISERROR(SEARCH("SI",C1100)))</formula>
    </cfRule>
    <cfRule type="containsText" dxfId="5268" priority="6826" operator="containsText" text="NO">
      <formula>NOT(ISERROR(SEARCH("NO",C1100)))</formula>
    </cfRule>
  </conditionalFormatting>
  <conditionalFormatting sqref="E1100">
    <cfRule type="containsText" dxfId="5267" priority="6824" operator="containsText" text="Sin información">
      <formula>NOT(ISERROR(SEARCH("Sin información",E1100)))</formula>
    </cfRule>
  </conditionalFormatting>
  <conditionalFormatting sqref="C1100:E1100">
    <cfRule type="containsText" dxfId="5266" priority="6823" operator="containsText" text="NUEVO">
      <formula>NOT(ISERROR(SEARCH("NUEVO",C1100)))</formula>
    </cfRule>
  </conditionalFormatting>
  <conditionalFormatting sqref="C1101:D1102">
    <cfRule type="containsText" dxfId="5265" priority="6816" operator="containsText" text="NO+$D$4:$D$10">
      <formula>NOT(ISERROR(SEARCH("NO+$D$4:$D$10",C1101)))</formula>
    </cfRule>
  </conditionalFormatting>
  <conditionalFormatting sqref="C1101:D1102">
    <cfRule type="containsText" dxfId="5264" priority="6814" operator="containsText" text="SI">
      <formula>NOT(ISERROR(SEARCH("SI",C1101)))</formula>
    </cfRule>
    <cfRule type="containsText" dxfId="5263" priority="6815" operator="containsText" text="NO">
      <formula>NOT(ISERROR(SEARCH("NO",C1101)))</formula>
    </cfRule>
  </conditionalFormatting>
  <conditionalFormatting sqref="C1101:D1102">
    <cfRule type="containsText" dxfId="5262" priority="6813" operator="containsText" text="NUEVO">
      <formula>NOT(ISERROR(SEARCH("NUEVO",C1101)))</formula>
    </cfRule>
  </conditionalFormatting>
  <conditionalFormatting sqref="E1101:E1102">
    <cfRule type="containsText" dxfId="5261" priority="6812" operator="containsText" text="NUEVO">
      <formula>NOT(ISERROR(SEARCH("NUEVO",E1101)))</formula>
    </cfRule>
  </conditionalFormatting>
  <conditionalFormatting sqref="E1101:E1102">
    <cfRule type="containsText" dxfId="5260" priority="6811" operator="containsText" text="Sin información">
      <formula>NOT(ISERROR(SEARCH("Sin información",E1101)))</formula>
    </cfRule>
  </conditionalFormatting>
  <conditionalFormatting sqref="C1103:D1103">
    <cfRule type="containsText" dxfId="5259" priority="6810" operator="containsText" text="NO+$D$4:$D$10">
      <formula>NOT(ISERROR(SEARCH("NO+$D$4:$D$10",C1103)))</formula>
    </cfRule>
  </conditionalFormatting>
  <conditionalFormatting sqref="C1103:D1103">
    <cfRule type="containsText" dxfId="5258" priority="6808" operator="containsText" text="SI">
      <formula>NOT(ISERROR(SEARCH("SI",C1103)))</formula>
    </cfRule>
    <cfRule type="containsText" dxfId="5257" priority="6809" operator="containsText" text="NO">
      <formula>NOT(ISERROR(SEARCH("NO",C1103)))</formula>
    </cfRule>
  </conditionalFormatting>
  <conditionalFormatting sqref="E1103">
    <cfRule type="containsText" dxfId="5256" priority="6807" operator="containsText" text="Sin información">
      <formula>NOT(ISERROR(SEARCH("Sin información",E1103)))</formula>
    </cfRule>
  </conditionalFormatting>
  <conditionalFormatting sqref="C1103:E1103">
    <cfRule type="containsText" dxfId="5255" priority="6806" operator="containsText" text="NUEVO">
      <formula>NOT(ISERROR(SEARCH("NUEVO",C1103)))</formula>
    </cfRule>
  </conditionalFormatting>
  <conditionalFormatting sqref="F1103">
    <cfRule type="containsText" dxfId="5254" priority="6805" operator="containsText" text="NO+$D$4:$D$10">
      <formula>NOT(ISERROR(SEARCH("NO+$D$4:$D$10",F1103)))</formula>
    </cfRule>
  </conditionalFormatting>
  <conditionalFormatting sqref="F1103">
    <cfRule type="containsText" dxfId="5253" priority="6803" operator="containsText" text="SI">
      <formula>NOT(ISERROR(SEARCH("SI",F1103)))</formula>
    </cfRule>
    <cfRule type="containsText" dxfId="5252" priority="6804" operator="containsText" text="NO">
      <formula>NOT(ISERROR(SEARCH("NO",F1103)))</formula>
    </cfRule>
  </conditionalFormatting>
  <conditionalFormatting sqref="F1103">
    <cfRule type="containsText" dxfId="5251" priority="6802" operator="containsText" text="NUEVO">
      <formula>NOT(ISERROR(SEARCH("NUEVO",F1103)))</formula>
    </cfRule>
  </conditionalFormatting>
  <conditionalFormatting sqref="C1104:D1104">
    <cfRule type="containsText" dxfId="5250" priority="6801" operator="containsText" text="NO+$D$4:$D$10">
      <formula>NOT(ISERROR(SEARCH("NO+$D$4:$D$10",C1104)))</formula>
    </cfRule>
  </conditionalFormatting>
  <conditionalFormatting sqref="C1104:D1104">
    <cfRule type="containsText" dxfId="5249" priority="6799" operator="containsText" text="SI">
      <formula>NOT(ISERROR(SEARCH("SI",C1104)))</formula>
    </cfRule>
    <cfRule type="containsText" dxfId="5248" priority="6800" operator="containsText" text="NO">
      <formula>NOT(ISERROR(SEARCH("NO",C1104)))</formula>
    </cfRule>
  </conditionalFormatting>
  <conditionalFormatting sqref="C1104:D1104">
    <cfRule type="containsText" dxfId="5247" priority="6798" operator="containsText" text="NUEVO">
      <formula>NOT(ISERROR(SEARCH("NUEVO",C1104)))</formula>
    </cfRule>
  </conditionalFormatting>
  <conditionalFormatting sqref="E1104">
    <cfRule type="containsText" dxfId="5246" priority="6797" operator="containsText" text="Sin información">
      <formula>NOT(ISERROR(SEARCH("Sin información",E1104)))</formula>
    </cfRule>
  </conditionalFormatting>
  <conditionalFormatting sqref="E1104">
    <cfRule type="containsText" dxfId="5245" priority="6796" operator="containsText" text="NUEVO">
      <formula>NOT(ISERROR(SEARCH("NUEVO",E1104)))</formula>
    </cfRule>
  </conditionalFormatting>
  <conditionalFormatting sqref="F1104">
    <cfRule type="containsText" dxfId="5244" priority="6795" operator="containsText" text="NO+$D$4:$D$10">
      <formula>NOT(ISERROR(SEARCH("NO+$D$4:$D$10",F1104)))</formula>
    </cfRule>
  </conditionalFormatting>
  <conditionalFormatting sqref="F1104">
    <cfRule type="containsText" dxfId="5243" priority="6793" operator="containsText" text="SI">
      <formula>NOT(ISERROR(SEARCH("SI",F1104)))</formula>
    </cfRule>
    <cfRule type="containsText" dxfId="5242" priority="6794" operator="containsText" text="NO">
      <formula>NOT(ISERROR(SEARCH("NO",F1104)))</formula>
    </cfRule>
  </conditionalFormatting>
  <conditionalFormatting sqref="F1104">
    <cfRule type="containsText" dxfId="5241" priority="6792" operator="containsText" text="NUEVO">
      <formula>NOT(ISERROR(SEARCH("NUEVO",F1104)))</formula>
    </cfRule>
  </conditionalFormatting>
  <conditionalFormatting sqref="C1105:D1105">
    <cfRule type="containsText" dxfId="5240" priority="6791" operator="containsText" text="NO+$D$4:$D$10">
      <formula>NOT(ISERROR(SEARCH("NO+$D$4:$D$10",C1105)))</formula>
    </cfRule>
  </conditionalFormatting>
  <conditionalFormatting sqref="C1105:D1105">
    <cfRule type="containsText" dxfId="5239" priority="6789" operator="containsText" text="SI">
      <formula>NOT(ISERROR(SEARCH("SI",C1105)))</formula>
    </cfRule>
    <cfRule type="containsText" dxfId="5238" priority="6790" operator="containsText" text="NO">
      <formula>NOT(ISERROR(SEARCH("NO",C1105)))</formula>
    </cfRule>
  </conditionalFormatting>
  <conditionalFormatting sqref="C1105:D1105">
    <cfRule type="containsText" dxfId="5237" priority="6788" operator="containsText" text="NUEVO">
      <formula>NOT(ISERROR(SEARCH("NUEVO",C1105)))</formula>
    </cfRule>
  </conditionalFormatting>
  <conditionalFormatting sqref="E1105">
    <cfRule type="containsText" dxfId="5236" priority="6787" operator="containsText" text="Sin información">
      <formula>NOT(ISERROR(SEARCH("Sin información",E1105)))</formula>
    </cfRule>
  </conditionalFormatting>
  <conditionalFormatting sqref="E1105">
    <cfRule type="containsText" dxfId="5235" priority="6786" operator="containsText" text="NUEVO">
      <formula>NOT(ISERROR(SEARCH("NUEVO",E1105)))</formula>
    </cfRule>
  </conditionalFormatting>
  <conditionalFormatting sqref="C1106:D1106">
    <cfRule type="containsText" dxfId="5234" priority="6785" operator="containsText" text="NO+$D$4:$D$10">
      <formula>NOT(ISERROR(SEARCH("NO+$D$4:$D$10",C1106)))</formula>
    </cfRule>
  </conditionalFormatting>
  <conditionalFormatting sqref="C1106:D1106">
    <cfRule type="containsText" dxfId="5233" priority="6783" operator="containsText" text="SI">
      <formula>NOT(ISERROR(SEARCH("SI",C1106)))</formula>
    </cfRule>
    <cfRule type="containsText" dxfId="5232" priority="6784" operator="containsText" text="NO">
      <formula>NOT(ISERROR(SEARCH("NO",C1106)))</formula>
    </cfRule>
  </conditionalFormatting>
  <conditionalFormatting sqref="E1106">
    <cfRule type="containsText" dxfId="5231" priority="6782" operator="containsText" text="Sin información">
      <formula>NOT(ISERROR(SEARCH("Sin información",E1106)))</formula>
    </cfRule>
  </conditionalFormatting>
  <conditionalFormatting sqref="C1106:E1106">
    <cfRule type="containsText" dxfId="5230" priority="6781" operator="containsText" text="NUEVO">
      <formula>NOT(ISERROR(SEARCH("NUEVO",C1106)))</formula>
    </cfRule>
  </conditionalFormatting>
  <conditionalFormatting sqref="E1106">
    <cfRule type="containsText" dxfId="5229" priority="6780" operator="containsText" text="Sin información">
      <formula>NOT(ISERROR(SEARCH("Sin información",E1106)))</formula>
    </cfRule>
  </conditionalFormatting>
  <conditionalFormatting sqref="E1106">
    <cfRule type="containsText" dxfId="5228" priority="6779" operator="containsText" text="NUEVO">
      <formula>NOT(ISERROR(SEARCH("NUEVO",E1106)))</formula>
    </cfRule>
  </conditionalFormatting>
  <conditionalFormatting sqref="C1107:D1107">
    <cfRule type="containsText" dxfId="5227" priority="6778" operator="containsText" text="NO+$D$4:$D$10">
      <formula>NOT(ISERROR(SEARCH("NO+$D$4:$D$10",C1107)))</formula>
    </cfRule>
  </conditionalFormatting>
  <conditionalFormatting sqref="C1107:D1107">
    <cfRule type="containsText" dxfId="5226" priority="6776" operator="containsText" text="SI">
      <formula>NOT(ISERROR(SEARCH("SI",C1107)))</formula>
    </cfRule>
    <cfRule type="containsText" dxfId="5225" priority="6777" operator="containsText" text="NO">
      <formula>NOT(ISERROR(SEARCH("NO",C1107)))</formula>
    </cfRule>
  </conditionalFormatting>
  <conditionalFormatting sqref="E1107">
    <cfRule type="containsText" dxfId="5224" priority="6775" operator="containsText" text="Sin información">
      <formula>NOT(ISERROR(SEARCH("Sin información",E1107)))</formula>
    </cfRule>
  </conditionalFormatting>
  <conditionalFormatting sqref="C1107:E1107">
    <cfRule type="containsText" dxfId="5223" priority="6774" operator="containsText" text="NUEVO">
      <formula>NOT(ISERROR(SEARCH("NUEVO",C1107)))</formula>
    </cfRule>
  </conditionalFormatting>
  <conditionalFormatting sqref="E1107">
    <cfRule type="containsText" dxfId="5222" priority="6773" operator="containsText" text="Sin información">
      <formula>NOT(ISERROR(SEARCH("Sin información",E1107)))</formula>
    </cfRule>
  </conditionalFormatting>
  <conditionalFormatting sqref="E1107">
    <cfRule type="containsText" dxfId="5221" priority="6772" operator="containsText" text="NUEVO">
      <formula>NOT(ISERROR(SEARCH("NUEVO",E1107)))</formula>
    </cfRule>
  </conditionalFormatting>
  <conditionalFormatting sqref="C1108:D1108">
    <cfRule type="containsText" dxfId="5220" priority="6771" operator="containsText" text="NO+$D$4:$D$10">
      <formula>NOT(ISERROR(SEARCH("NO+$D$4:$D$10",C1108)))</formula>
    </cfRule>
  </conditionalFormatting>
  <conditionalFormatting sqref="C1108:D1108">
    <cfRule type="containsText" dxfId="5219" priority="6769" operator="containsText" text="SI">
      <formula>NOT(ISERROR(SEARCH("SI",C1108)))</formula>
    </cfRule>
    <cfRule type="containsText" dxfId="5218" priority="6770" operator="containsText" text="NO">
      <formula>NOT(ISERROR(SEARCH("NO",C1108)))</formula>
    </cfRule>
  </conditionalFormatting>
  <conditionalFormatting sqref="E1108">
    <cfRule type="containsText" dxfId="5217" priority="6768" operator="containsText" text="Sin información">
      <formula>NOT(ISERROR(SEARCH("Sin información",E1108)))</formula>
    </cfRule>
  </conditionalFormatting>
  <conditionalFormatting sqref="C1108:E1108">
    <cfRule type="containsText" dxfId="5216" priority="6767" operator="containsText" text="NUEVO">
      <formula>NOT(ISERROR(SEARCH("NUEVO",C1108)))</formula>
    </cfRule>
  </conditionalFormatting>
  <conditionalFormatting sqref="E1108">
    <cfRule type="containsText" dxfId="5215" priority="6766" operator="containsText" text="Sin información">
      <formula>NOT(ISERROR(SEARCH("Sin información",E1108)))</formula>
    </cfRule>
  </conditionalFormatting>
  <conditionalFormatting sqref="E1108">
    <cfRule type="containsText" dxfId="5214" priority="6765" operator="containsText" text="NUEVO">
      <formula>NOT(ISERROR(SEARCH("NUEVO",E1108)))</formula>
    </cfRule>
  </conditionalFormatting>
  <conditionalFormatting sqref="F1108">
    <cfRule type="containsText" dxfId="5213" priority="6764" operator="containsText" text="NO+$D$4:$D$10">
      <formula>NOT(ISERROR(SEARCH("NO+$D$4:$D$10",F1108)))</formula>
    </cfRule>
  </conditionalFormatting>
  <conditionalFormatting sqref="F1108">
    <cfRule type="containsText" dxfId="5212" priority="6762" operator="containsText" text="SI">
      <formula>NOT(ISERROR(SEARCH("SI",F1108)))</formula>
    </cfRule>
    <cfRule type="containsText" dxfId="5211" priority="6763" operator="containsText" text="NO">
      <formula>NOT(ISERROR(SEARCH("NO",F1108)))</formula>
    </cfRule>
  </conditionalFormatting>
  <conditionalFormatting sqref="F1108">
    <cfRule type="containsText" dxfId="5210" priority="6761" operator="containsText" text="NUEVO">
      <formula>NOT(ISERROR(SEARCH("NUEVO",F1108)))</formula>
    </cfRule>
  </conditionalFormatting>
  <conditionalFormatting sqref="C1109:D1113">
    <cfRule type="containsText" dxfId="5209" priority="6760" operator="containsText" text="NO+$D$4:$D$10">
      <formula>NOT(ISERROR(SEARCH("NO+$D$4:$D$10",C1109)))</formula>
    </cfRule>
  </conditionalFormatting>
  <conditionalFormatting sqref="C1109:D1113">
    <cfRule type="containsText" dxfId="5208" priority="6758" operator="containsText" text="SI">
      <formula>NOT(ISERROR(SEARCH("SI",C1109)))</formula>
    </cfRule>
    <cfRule type="containsText" dxfId="5207" priority="6759" operator="containsText" text="NO">
      <formula>NOT(ISERROR(SEARCH("NO",C1109)))</formula>
    </cfRule>
  </conditionalFormatting>
  <conditionalFormatting sqref="C1109:D1113">
    <cfRule type="containsText" dxfId="5206" priority="6757" operator="containsText" text="NUEVO">
      <formula>NOT(ISERROR(SEARCH("NUEVO",C1109)))</formula>
    </cfRule>
  </conditionalFormatting>
  <conditionalFormatting sqref="E1109">
    <cfRule type="containsText" dxfId="5205" priority="6756" operator="containsText" text="Sin información">
      <formula>NOT(ISERROR(SEARCH("Sin información",E1109)))</formula>
    </cfRule>
  </conditionalFormatting>
  <conditionalFormatting sqref="E1109">
    <cfRule type="containsText" dxfId="5204" priority="6755" operator="containsText" text="NUEVO">
      <formula>NOT(ISERROR(SEARCH("NUEVO",E1109)))</formula>
    </cfRule>
  </conditionalFormatting>
  <conditionalFormatting sqref="E1110:E1111">
    <cfRule type="containsText" dxfId="5203" priority="6753" operator="containsText" text="NUEVO">
      <formula>NOT(ISERROR(SEARCH("NUEVO",E1110)))</formula>
    </cfRule>
  </conditionalFormatting>
  <conditionalFormatting sqref="E1110:E1111">
    <cfRule type="containsText" dxfId="5202" priority="6754" operator="containsText" text="Sin información">
      <formula>NOT(ISERROR(SEARCH("Sin información",E1110)))</formula>
    </cfRule>
  </conditionalFormatting>
  <conditionalFormatting sqref="E1112">
    <cfRule type="containsText" dxfId="5201" priority="6751" operator="containsText" text="NUEVO">
      <formula>NOT(ISERROR(SEARCH("NUEVO",E1112)))</formula>
    </cfRule>
  </conditionalFormatting>
  <conditionalFormatting sqref="E1112">
    <cfRule type="containsText" dxfId="5200" priority="6752" operator="containsText" text="Sin información">
      <formula>NOT(ISERROR(SEARCH("Sin información",E1112)))</formula>
    </cfRule>
  </conditionalFormatting>
  <conditionalFormatting sqref="F1112 F1110">
    <cfRule type="containsText" dxfId="5199" priority="6748" operator="containsText" text="NO+$D$4:$D$10">
      <formula>NOT(ISERROR(SEARCH("NO+$D$4:$D$10",F1110)))</formula>
    </cfRule>
  </conditionalFormatting>
  <conditionalFormatting sqref="F1112 F1110">
    <cfRule type="containsText" dxfId="5198" priority="6746" operator="containsText" text="SI">
      <formula>NOT(ISERROR(SEARCH("SI",F1110)))</formula>
    </cfRule>
    <cfRule type="containsText" dxfId="5197" priority="6747" operator="containsText" text="NO">
      <formula>NOT(ISERROR(SEARCH("NO",F1110)))</formula>
    </cfRule>
  </conditionalFormatting>
  <conditionalFormatting sqref="F1112 F1110">
    <cfRule type="containsText" dxfId="5196" priority="6745" operator="containsText" text="NUEVO">
      <formula>NOT(ISERROR(SEARCH("NUEVO",F1110)))</formula>
    </cfRule>
  </conditionalFormatting>
  <conditionalFormatting sqref="E1113">
    <cfRule type="containsText" dxfId="5195" priority="6744" operator="containsText" text="Sin información">
      <formula>NOT(ISERROR(SEARCH("Sin información",E1113)))</formula>
    </cfRule>
  </conditionalFormatting>
  <conditionalFormatting sqref="E1113">
    <cfRule type="containsText" dxfId="5194" priority="6743" operator="containsText" text="NUEVO">
      <formula>NOT(ISERROR(SEARCH("NUEVO",E1113)))</formula>
    </cfRule>
  </conditionalFormatting>
  <conditionalFormatting sqref="C1114:D1115">
    <cfRule type="containsText" dxfId="5193" priority="6742" operator="containsText" text="NO+$D$4:$D$10">
      <formula>NOT(ISERROR(SEARCH("NO+$D$4:$D$10",C1114)))</formula>
    </cfRule>
  </conditionalFormatting>
  <conditionalFormatting sqref="C1114:D1115">
    <cfRule type="containsText" dxfId="5192" priority="6740" operator="containsText" text="SI">
      <formula>NOT(ISERROR(SEARCH("SI",C1114)))</formula>
    </cfRule>
    <cfRule type="containsText" dxfId="5191" priority="6741" operator="containsText" text="NO">
      <formula>NOT(ISERROR(SEARCH("NO",C1114)))</formula>
    </cfRule>
  </conditionalFormatting>
  <conditionalFormatting sqref="C1114:D1115">
    <cfRule type="containsText" dxfId="5190" priority="6739" operator="containsText" text="NUEVO">
      <formula>NOT(ISERROR(SEARCH("NUEVO",C1114)))</formula>
    </cfRule>
  </conditionalFormatting>
  <conditionalFormatting sqref="E1114">
    <cfRule type="containsText" dxfId="5189" priority="6738" operator="containsText" text="Sin información">
      <formula>NOT(ISERROR(SEARCH("Sin información",E1114)))</formula>
    </cfRule>
  </conditionalFormatting>
  <conditionalFormatting sqref="E1114">
    <cfRule type="containsText" dxfId="5188" priority="6737" operator="containsText" text="NUEVO">
      <formula>NOT(ISERROR(SEARCH("NUEVO",E1114)))</formula>
    </cfRule>
  </conditionalFormatting>
  <conditionalFormatting sqref="E1115">
    <cfRule type="containsText" dxfId="5187" priority="6736" operator="containsText" text="Sin información">
      <formula>NOT(ISERROR(SEARCH("Sin información",E1115)))</formula>
    </cfRule>
  </conditionalFormatting>
  <conditionalFormatting sqref="E1115">
    <cfRule type="containsText" dxfId="5186" priority="6735" operator="containsText" text="NUEVO">
      <formula>NOT(ISERROR(SEARCH("NUEVO",E1115)))</formula>
    </cfRule>
  </conditionalFormatting>
  <conditionalFormatting sqref="C1116:D1116">
    <cfRule type="containsText" dxfId="5185" priority="6730" operator="containsText" text="NO+$D$4:$D$10">
      <formula>NOT(ISERROR(SEARCH("NO+$D$4:$D$10",C1116)))</formula>
    </cfRule>
  </conditionalFormatting>
  <conditionalFormatting sqref="C1116:D1116">
    <cfRule type="containsText" dxfId="5184" priority="6728" operator="containsText" text="SI">
      <formula>NOT(ISERROR(SEARCH("SI",C1116)))</formula>
    </cfRule>
    <cfRule type="containsText" dxfId="5183" priority="6729" operator="containsText" text="NO">
      <formula>NOT(ISERROR(SEARCH("NO",C1116)))</formula>
    </cfRule>
  </conditionalFormatting>
  <conditionalFormatting sqref="E1116">
    <cfRule type="containsText" dxfId="5182" priority="6727" operator="containsText" text="Sin información">
      <formula>NOT(ISERROR(SEARCH("Sin información",E1116)))</formula>
    </cfRule>
  </conditionalFormatting>
  <conditionalFormatting sqref="C1116:E1116">
    <cfRule type="containsText" dxfId="5181" priority="6726" operator="containsText" text="NUEVO">
      <formula>NOT(ISERROR(SEARCH("NUEVO",C1116)))</formula>
    </cfRule>
  </conditionalFormatting>
  <conditionalFormatting sqref="C1118:D1118 C1120:D1120">
    <cfRule type="containsText" dxfId="5180" priority="6719" operator="containsText" text="NO+$D$4:$D$10">
      <formula>NOT(ISERROR(SEARCH("NO+$D$4:$D$10",C1118)))</formula>
    </cfRule>
  </conditionalFormatting>
  <conditionalFormatting sqref="C1118:D1118 C1120:D1120">
    <cfRule type="containsText" dxfId="5179" priority="6717" operator="containsText" text="SI">
      <formula>NOT(ISERROR(SEARCH("SI",C1118)))</formula>
    </cfRule>
    <cfRule type="containsText" dxfId="5178" priority="6718" operator="containsText" text="NO">
      <formula>NOT(ISERROR(SEARCH("NO",C1118)))</formula>
    </cfRule>
  </conditionalFormatting>
  <conditionalFormatting sqref="C1118:D1118 C1120:D1120">
    <cfRule type="containsText" dxfId="5177" priority="6716" operator="containsText" text="NUEVO">
      <formula>NOT(ISERROR(SEARCH("NUEVO",C1118)))</formula>
    </cfRule>
  </conditionalFormatting>
  <conditionalFormatting sqref="E1118">
    <cfRule type="containsText" dxfId="5176" priority="6715" operator="containsText" text="Sin información">
      <formula>NOT(ISERROR(SEARCH("Sin información",E1118)))</formula>
    </cfRule>
  </conditionalFormatting>
  <conditionalFormatting sqref="E1118">
    <cfRule type="containsText" dxfId="5175" priority="6714" operator="containsText" text="NUEVO">
      <formula>NOT(ISERROR(SEARCH("NUEVO",E1118)))</formula>
    </cfRule>
  </conditionalFormatting>
  <conditionalFormatting sqref="E1120">
    <cfRule type="containsText" dxfId="5174" priority="6713" operator="containsText" text="Sin información">
      <formula>NOT(ISERROR(SEARCH("Sin información",E1120)))</formula>
    </cfRule>
  </conditionalFormatting>
  <conditionalFormatting sqref="E1120">
    <cfRule type="containsText" dxfId="5173" priority="6712" operator="containsText" text="NUEVO">
      <formula>NOT(ISERROR(SEARCH("NUEVO",E1120)))</formula>
    </cfRule>
  </conditionalFormatting>
  <conditionalFormatting sqref="C1052:D1052">
    <cfRule type="containsText" dxfId="5172" priority="6707" operator="containsText" text="NO+$D$4:$D$10">
      <formula>NOT(ISERROR(SEARCH("NO+$D$4:$D$10",C1052)))</formula>
    </cfRule>
  </conditionalFormatting>
  <conditionalFormatting sqref="C1052:D1052">
    <cfRule type="containsText" dxfId="5171" priority="6705" operator="containsText" text="SI">
      <formula>NOT(ISERROR(SEARCH("SI",C1052)))</formula>
    </cfRule>
    <cfRule type="containsText" dxfId="5170" priority="6706" operator="containsText" text="NO">
      <formula>NOT(ISERROR(SEARCH("NO",C1052)))</formula>
    </cfRule>
  </conditionalFormatting>
  <conditionalFormatting sqref="C1052:D1052">
    <cfRule type="containsText" dxfId="5169" priority="6704" operator="containsText" text="NUEVO">
      <formula>NOT(ISERROR(SEARCH("NUEVO",C1052)))</formula>
    </cfRule>
  </conditionalFormatting>
  <conditionalFormatting sqref="E1052">
    <cfRule type="containsText" dxfId="5168" priority="6703" operator="containsText" text="NUEVO">
      <formula>NOT(ISERROR(SEARCH("NUEVO",E1052)))</formula>
    </cfRule>
  </conditionalFormatting>
  <conditionalFormatting sqref="E1052">
    <cfRule type="containsText" dxfId="5167" priority="6702" operator="containsText" text="Sin Información">
      <formula>NOT(ISERROR(SEARCH("Sin Información",E1052)))</formula>
    </cfRule>
  </conditionalFormatting>
  <conditionalFormatting sqref="F1052">
    <cfRule type="containsText" dxfId="5166" priority="6701" operator="containsText" text="NO+$D$4:$D$10">
      <formula>NOT(ISERROR(SEARCH("NO+$D$4:$D$10",F1052)))</formula>
    </cfRule>
  </conditionalFormatting>
  <conditionalFormatting sqref="F1052">
    <cfRule type="containsText" dxfId="5165" priority="6699" operator="containsText" text="SI">
      <formula>NOT(ISERROR(SEARCH("SI",F1052)))</formula>
    </cfRule>
    <cfRule type="containsText" dxfId="5164" priority="6700" operator="containsText" text="NO">
      <formula>NOT(ISERROR(SEARCH("NO",F1052)))</formula>
    </cfRule>
  </conditionalFormatting>
  <conditionalFormatting sqref="F1052">
    <cfRule type="containsText" dxfId="5163" priority="6698" operator="containsText" text="NUEVO">
      <formula>NOT(ISERROR(SEARCH("NUEVO",F1052)))</formula>
    </cfRule>
  </conditionalFormatting>
  <conditionalFormatting sqref="C1063:D1063">
    <cfRule type="containsText" dxfId="5162" priority="6697" operator="containsText" text="NO+$D$4:$D$10">
      <formula>NOT(ISERROR(SEARCH("NO+$D$4:$D$10",C1063)))</formula>
    </cfRule>
  </conditionalFormatting>
  <conditionalFormatting sqref="C1063:D1063">
    <cfRule type="containsText" dxfId="5161" priority="6695" operator="containsText" text="SI">
      <formula>NOT(ISERROR(SEARCH("SI",C1063)))</formula>
    </cfRule>
    <cfRule type="containsText" dxfId="5160" priority="6696" operator="containsText" text="NO">
      <formula>NOT(ISERROR(SEARCH("NO",C1063)))</formula>
    </cfRule>
  </conditionalFormatting>
  <conditionalFormatting sqref="E1063">
    <cfRule type="containsText" dxfId="5159" priority="6694" operator="containsText" text="Sin información">
      <formula>NOT(ISERROR(SEARCH("Sin información",E1063)))</formula>
    </cfRule>
  </conditionalFormatting>
  <conditionalFormatting sqref="C1063:E1063">
    <cfRule type="containsText" dxfId="5158" priority="6693" operator="containsText" text="NUEVO">
      <formula>NOT(ISERROR(SEARCH("NUEVO",C1063)))</formula>
    </cfRule>
  </conditionalFormatting>
  <conditionalFormatting sqref="E1063">
    <cfRule type="containsText" dxfId="5157" priority="6692" operator="containsText" text="Sin Información">
      <formula>NOT(ISERROR(SEARCH("Sin Información",E1063)))</formula>
    </cfRule>
  </conditionalFormatting>
  <conditionalFormatting sqref="F1063">
    <cfRule type="containsText" dxfId="5156" priority="6691" operator="containsText" text="NO+$D$4:$D$10">
      <formula>NOT(ISERROR(SEARCH("NO+$D$4:$D$10",F1063)))</formula>
    </cfRule>
  </conditionalFormatting>
  <conditionalFormatting sqref="F1063">
    <cfRule type="containsText" dxfId="5155" priority="6689" operator="containsText" text="SI">
      <formula>NOT(ISERROR(SEARCH("SI",F1063)))</formula>
    </cfRule>
    <cfRule type="containsText" dxfId="5154" priority="6690" operator="containsText" text="NO">
      <formula>NOT(ISERROR(SEARCH("NO",F1063)))</formula>
    </cfRule>
  </conditionalFormatting>
  <conditionalFormatting sqref="F1063">
    <cfRule type="containsText" dxfId="5153" priority="6688" operator="containsText" text="NUEVO">
      <formula>NOT(ISERROR(SEARCH("NUEVO",F1063)))</formula>
    </cfRule>
  </conditionalFormatting>
  <conditionalFormatting sqref="C1117:D1117">
    <cfRule type="containsText" dxfId="5152" priority="6687" operator="containsText" text="NO+$D$4:$D$10">
      <formula>NOT(ISERROR(SEARCH("NO+$D$4:$D$10",C1117)))</formula>
    </cfRule>
  </conditionalFormatting>
  <conditionalFormatting sqref="C1117:D1117">
    <cfRule type="containsText" dxfId="5151" priority="6685" operator="containsText" text="SI">
      <formula>NOT(ISERROR(SEARCH("SI",C1117)))</formula>
    </cfRule>
    <cfRule type="containsText" dxfId="5150" priority="6686" operator="containsText" text="NO">
      <formula>NOT(ISERROR(SEARCH("NO",C1117)))</formula>
    </cfRule>
  </conditionalFormatting>
  <conditionalFormatting sqref="E1117">
    <cfRule type="containsText" dxfId="5149" priority="6684" operator="containsText" text="Sin información">
      <formula>NOT(ISERROR(SEARCH("Sin información",E1117)))</formula>
    </cfRule>
  </conditionalFormatting>
  <conditionalFormatting sqref="C1117:E1117">
    <cfRule type="containsText" dxfId="5148" priority="6683" operator="containsText" text="NUEVO">
      <formula>NOT(ISERROR(SEARCH("NUEVO",C1117)))</formula>
    </cfRule>
  </conditionalFormatting>
  <conditionalFormatting sqref="F1117">
    <cfRule type="containsText" dxfId="5147" priority="6682" operator="containsText" text="NO+$D$4:$D$10">
      <formula>NOT(ISERROR(SEARCH("NO+$D$4:$D$10",F1117)))</formula>
    </cfRule>
  </conditionalFormatting>
  <conditionalFormatting sqref="F1117">
    <cfRule type="containsText" dxfId="5146" priority="6680" operator="containsText" text="SI">
      <formula>NOT(ISERROR(SEARCH("SI",F1117)))</formula>
    </cfRule>
    <cfRule type="containsText" dxfId="5145" priority="6681" operator="containsText" text="NO">
      <formula>NOT(ISERROR(SEARCH("NO",F1117)))</formula>
    </cfRule>
  </conditionalFormatting>
  <conditionalFormatting sqref="F1117">
    <cfRule type="containsText" dxfId="5144" priority="6679" operator="containsText" text="NUEVO">
      <formula>NOT(ISERROR(SEARCH("NUEVO",F1117)))</formula>
    </cfRule>
  </conditionalFormatting>
  <conditionalFormatting sqref="C1119:D1119">
    <cfRule type="containsText" dxfId="5143" priority="6678" operator="containsText" text="NO+$D$4:$D$10">
      <formula>NOT(ISERROR(SEARCH("NO+$D$4:$D$10",C1119)))</formula>
    </cfRule>
  </conditionalFormatting>
  <conditionalFormatting sqref="C1119:D1119">
    <cfRule type="containsText" dxfId="5142" priority="6676" operator="containsText" text="SI">
      <formula>NOT(ISERROR(SEARCH("SI",C1119)))</formula>
    </cfRule>
    <cfRule type="containsText" dxfId="5141" priority="6677" operator="containsText" text="NO">
      <formula>NOT(ISERROR(SEARCH("NO",C1119)))</formula>
    </cfRule>
  </conditionalFormatting>
  <conditionalFormatting sqref="C1119:D1119">
    <cfRule type="containsText" dxfId="5140" priority="6675" operator="containsText" text="NUEVO">
      <formula>NOT(ISERROR(SEARCH("NUEVO",C1119)))</formula>
    </cfRule>
  </conditionalFormatting>
  <conditionalFormatting sqref="E1119">
    <cfRule type="containsText" dxfId="5139" priority="6674" operator="containsText" text="Sin información">
      <formula>NOT(ISERROR(SEARCH("Sin información",E1119)))</formula>
    </cfRule>
  </conditionalFormatting>
  <conditionalFormatting sqref="E1119">
    <cfRule type="containsText" dxfId="5138" priority="6673" operator="containsText" text="NUEVO">
      <formula>NOT(ISERROR(SEARCH("NUEVO",E1119)))</formula>
    </cfRule>
  </conditionalFormatting>
  <conditionalFormatting sqref="F1119">
    <cfRule type="containsText" dxfId="5137" priority="6672" operator="containsText" text="NO+$D$4:$D$10">
      <formula>NOT(ISERROR(SEARCH("NO+$D$4:$D$10",F1119)))</formula>
    </cfRule>
  </conditionalFormatting>
  <conditionalFormatting sqref="F1119">
    <cfRule type="containsText" dxfId="5136" priority="6670" operator="containsText" text="SI">
      <formula>NOT(ISERROR(SEARCH("SI",F1119)))</formula>
    </cfRule>
    <cfRule type="containsText" dxfId="5135" priority="6671" operator="containsText" text="NO">
      <formula>NOT(ISERROR(SEARCH("NO",F1119)))</formula>
    </cfRule>
  </conditionalFormatting>
  <conditionalFormatting sqref="F1119">
    <cfRule type="containsText" dxfId="5134" priority="6669" operator="containsText" text="NUEVO">
      <formula>NOT(ISERROR(SEARCH("NUEVO",F1119)))</formula>
    </cfRule>
  </conditionalFormatting>
  <conditionalFormatting sqref="C1121:D1123">
    <cfRule type="containsText" dxfId="5133" priority="6668" operator="containsText" text="NO+$D$4:$D$10">
      <formula>NOT(ISERROR(SEARCH("NO+$D$4:$D$10",C1121)))</formula>
    </cfRule>
  </conditionalFormatting>
  <conditionalFormatting sqref="C1121:D1123">
    <cfRule type="containsText" dxfId="5132" priority="6666" operator="containsText" text="SI">
      <formula>NOT(ISERROR(SEARCH("SI",C1121)))</formula>
    </cfRule>
    <cfRule type="containsText" dxfId="5131" priority="6667" operator="containsText" text="NO">
      <formula>NOT(ISERROR(SEARCH("NO",C1121)))</formula>
    </cfRule>
  </conditionalFormatting>
  <conditionalFormatting sqref="C1121:D1123">
    <cfRule type="containsText" dxfId="5130" priority="6665" operator="containsText" text="NUEVO">
      <formula>NOT(ISERROR(SEARCH("NUEVO",C1121)))</formula>
    </cfRule>
  </conditionalFormatting>
  <conditionalFormatting sqref="E1121">
    <cfRule type="containsText" dxfId="5129" priority="6663" operator="containsText" text="NUEVO">
      <formula>NOT(ISERROR(SEARCH("NUEVO",E1121)))</formula>
    </cfRule>
  </conditionalFormatting>
  <conditionalFormatting sqref="E1121">
    <cfRule type="containsText" dxfId="5128" priority="6664" operator="containsText" text="Sin información">
      <formula>NOT(ISERROR(SEARCH("Sin información",E1121)))</formula>
    </cfRule>
  </conditionalFormatting>
  <conditionalFormatting sqref="E1122">
    <cfRule type="containsText" dxfId="5127" priority="6661" operator="containsText" text="NUEVO">
      <formula>NOT(ISERROR(SEARCH("NUEVO",E1122)))</formula>
    </cfRule>
  </conditionalFormatting>
  <conditionalFormatting sqref="E1122">
    <cfRule type="containsText" dxfId="5126" priority="6662" operator="containsText" text="Sin información">
      <formula>NOT(ISERROR(SEARCH("Sin información",E1122)))</formula>
    </cfRule>
  </conditionalFormatting>
  <conditionalFormatting sqref="E1123">
    <cfRule type="containsText" dxfId="5125" priority="6659" operator="containsText" text="NUEVO">
      <formula>NOT(ISERROR(SEARCH("NUEVO",E1123)))</formula>
    </cfRule>
  </conditionalFormatting>
  <conditionalFormatting sqref="E1123">
    <cfRule type="containsText" dxfId="5124" priority="6660" operator="containsText" text="Sin información">
      <formula>NOT(ISERROR(SEARCH("Sin información",E1123)))</formula>
    </cfRule>
  </conditionalFormatting>
  <conditionalFormatting sqref="F1121:F1123">
    <cfRule type="containsText" dxfId="5123" priority="6658" operator="containsText" text="NO+$D$4:$D$10">
      <formula>NOT(ISERROR(SEARCH("NO+$D$4:$D$10",F1121)))</formula>
    </cfRule>
  </conditionalFormatting>
  <conditionalFormatting sqref="F1121:F1123">
    <cfRule type="containsText" dxfId="5122" priority="6656" operator="containsText" text="SI">
      <formula>NOT(ISERROR(SEARCH("SI",F1121)))</formula>
    </cfRule>
    <cfRule type="containsText" dxfId="5121" priority="6657" operator="containsText" text="NO">
      <formula>NOT(ISERROR(SEARCH("NO",F1121)))</formula>
    </cfRule>
  </conditionalFormatting>
  <conditionalFormatting sqref="F1121:F1123">
    <cfRule type="containsText" dxfId="5120" priority="6655" operator="containsText" text="NUEVO">
      <formula>NOT(ISERROR(SEARCH("NUEVO",F1121)))</formula>
    </cfRule>
  </conditionalFormatting>
  <conditionalFormatting sqref="C1211:D1211">
    <cfRule type="containsText" dxfId="5119" priority="6654" operator="containsText" text="NO+$D$4:$D$10">
      <formula>NOT(ISERROR(SEARCH("NO+$D$4:$D$10",C1211)))</formula>
    </cfRule>
  </conditionalFormatting>
  <conditionalFormatting sqref="C1211:D1211">
    <cfRule type="containsText" dxfId="5118" priority="6652" operator="containsText" text="SI">
      <formula>NOT(ISERROR(SEARCH("SI",C1211)))</formula>
    </cfRule>
    <cfRule type="containsText" dxfId="5117" priority="6653" operator="containsText" text="NO">
      <formula>NOT(ISERROR(SEARCH("NO",C1211)))</formula>
    </cfRule>
  </conditionalFormatting>
  <conditionalFormatting sqref="E1211">
    <cfRule type="containsText" dxfId="5116" priority="6651" operator="containsText" text="Sin información">
      <formula>NOT(ISERROR(SEARCH("Sin información",E1211)))</formula>
    </cfRule>
  </conditionalFormatting>
  <conditionalFormatting sqref="C1211:E1211">
    <cfRule type="containsText" dxfId="5115" priority="6650" operator="containsText" text="NUEVO">
      <formula>NOT(ISERROR(SEARCH("NUEVO",C1211)))</formula>
    </cfRule>
  </conditionalFormatting>
  <conditionalFormatting sqref="E1211">
    <cfRule type="containsText" dxfId="5114" priority="6649" operator="containsText" text="Sin Información">
      <formula>NOT(ISERROR(SEARCH("Sin Información",E1211)))</formula>
    </cfRule>
  </conditionalFormatting>
  <conditionalFormatting sqref="E1211">
    <cfRule type="containsText" dxfId="5113" priority="6648" operator="containsText" text="Sin información">
      <formula>NOT(ISERROR(SEARCH("Sin información",E1211)))</formula>
    </cfRule>
  </conditionalFormatting>
  <conditionalFormatting sqref="C1212:D1212">
    <cfRule type="containsText" dxfId="5112" priority="6647" operator="containsText" text="NO+$D$4:$D$10">
      <formula>NOT(ISERROR(SEARCH("NO+$D$4:$D$10",C1212)))</formula>
    </cfRule>
  </conditionalFormatting>
  <conditionalFormatting sqref="C1212:D1212">
    <cfRule type="containsText" dxfId="5111" priority="6645" operator="containsText" text="SI">
      <formula>NOT(ISERROR(SEARCH("SI",C1212)))</formula>
    </cfRule>
    <cfRule type="containsText" dxfId="5110" priority="6646" operator="containsText" text="NO">
      <formula>NOT(ISERROR(SEARCH("NO",C1212)))</formula>
    </cfRule>
  </conditionalFormatting>
  <conditionalFormatting sqref="C1212:D1212">
    <cfRule type="containsText" dxfId="5109" priority="6644" operator="containsText" text="NUEVO">
      <formula>NOT(ISERROR(SEARCH("NUEVO",C1212)))</formula>
    </cfRule>
  </conditionalFormatting>
  <conditionalFormatting sqref="E1212">
    <cfRule type="containsText" dxfId="5108" priority="6643" operator="containsText" text="Sin información">
      <formula>NOT(ISERROR(SEARCH("Sin información",E1212)))</formula>
    </cfRule>
  </conditionalFormatting>
  <conditionalFormatting sqref="E1212">
    <cfRule type="containsText" dxfId="5107" priority="6642" operator="containsText" text="NUEVO">
      <formula>NOT(ISERROR(SEARCH("NUEVO",E1212)))</formula>
    </cfRule>
  </conditionalFormatting>
  <conditionalFormatting sqref="C1213:D1213">
    <cfRule type="containsText" dxfId="5106" priority="6641" operator="containsText" text="NO+$D$4:$D$10">
      <formula>NOT(ISERROR(SEARCH("NO+$D$4:$D$10",C1213)))</formula>
    </cfRule>
  </conditionalFormatting>
  <conditionalFormatting sqref="C1213:D1213">
    <cfRule type="containsText" dxfId="5105" priority="6639" operator="containsText" text="SI">
      <formula>NOT(ISERROR(SEARCH("SI",C1213)))</formula>
    </cfRule>
    <cfRule type="containsText" dxfId="5104" priority="6640" operator="containsText" text="NO">
      <formula>NOT(ISERROR(SEARCH("NO",C1213)))</formula>
    </cfRule>
  </conditionalFormatting>
  <conditionalFormatting sqref="C1213:D1213">
    <cfRule type="containsText" dxfId="5103" priority="6638" operator="containsText" text="NUEVO">
      <formula>NOT(ISERROR(SEARCH("NUEVO",C1213)))</formula>
    </cfRule>
  </conditionalFormatting>
  <conditionalFormatting sqref="E1213">
    <cfRule type="containsText" dxfId="5102" priority="6637" operator="containsText" text="Sin información">
      <formula>NOT(ISERROR(SEARCH("Sin información",E1213)))</formula>
    </cfRule>
  </conditionalFormatting>
  <conditionalFormatting sqref="E1213">
    <cfRule type="containsText" dxfId="5101" priority="6636" operator="containsText" text="Sin información">
      <formula>NOT(ISERROR(SEARCH("Sin información",E1213)))</formula>
    </cfRule>
  </conditionalFormatting>
  <conditionalFormatting sqref="E1213">
    <cfRule type="containsText" dxfId="5100" priority="6635" operator="containsText" text="NUEVO">
      <formula>NOT(ISERROR(SEARCH("NUEVO",E1213)))</formula>
    </cfRule>
  </conditionalFormatting>
  <conditionalFormatting sqref="C1214:D1214">
    <cfRule type="containsText" dxfId="5099" priority="6628" operator="containsText" text="NO+$D$4:$D$10">
      <formula>NOT(ISERROR(SEARCH("NO+$D$4:$D$10",C1214)))</formula>
    </cfRule>
  </conditionalFormatting>
  <conditionalFormatting sqref="C1214:D1214">
    <cfRule type="containsText" dxfId="5098" priority="6626" operator="containsText" text="SI">
      <formula>NOT(ISERROR(SEARCH("SI",C1214)))</formula>
    </cfRule>
    <cfRule type="containsText" dxfId="5097" priority="6627" operator="containsText" text="NO">
      <formula>NOT(ISERROR(SEARCH("NO",C1214)))</formula>
    </cfRule>
  </conditionalFormatting>
  <conditionalFormatting sqref="C1214:D1214">
    <cfRule type="containsText" dxfId="5096" priority="6625" operator="containsText" text="NUEVO">
      <formula>NOT(ISERROR(SEARCH("NUEVO",C1214)))</formula>
    </cfRule>
  </conditionalFormatting>
  <conditionalFormatting sqref="E1214">
    <cfRule type="containsText" dxfId="5095" priority="6623" operator="containsText" text="NUEVO">
      <formula>NOT(ISERROR(SEARCH("NUEVO",E1214)))</formula>
    </cfRule>
  </conditionalFormatting>
  <conditionalFormatting sqref="E1214">
    <cfRule type="containsText" dxfId="5094" priority="6624" operator="containsText" text="Sin información">
      <formula>NOT(ISERROR(SEARCH("Sin información",E1214)))</formula>
    </cfRule>
  </conditionalFormatting>
  <conditionalFormatting sqref="C1215:D1215">
    <cfRule type="containsText" dxfId="5093" priority="6622" operator="containsText" text="NO+$D$4:$D$10">
      <formula>NOT(ISERROR(SEARCH("NO+$D$4:$D$10",C1215)))</formula>
    </cfRule>
  </conditionalFormatting>
  <conditionalFormatting sqref="C1215:D1215">
    <cfRule type="containsText" dxfId="5092" priority="6620" operator="containsText" text="SI">
      <formula>NOT(ISERROR(SEARCH("SI",C1215)))</formula>
    </cfRule>
    <cfRule type="containsText" dxfId="5091" priority="6621" operator="containsText" text="NO">
      <formula>NOT(ISERROR(SEARCH("NO",C1215)))</formula>
    </cfRule>
  </conditionalFormatting>
  <conditionalFormatting sqref="C1215:D1215">
    <cfRule type="containsText" dxfId="5090" priority="6619" operator="containsText" text="NUEVO">
      <formula>NOT(ISERROR(SEARCH("NUEVO",C1215)))</formula>
    </cfRule>
  </conditionalFormatting>
  <conditionalFormatting sqref="E1215">
    <cfRule type="containsText" dxfId="5089" priority="6618" operator="containsText" text="Sin información">
      <formula>NOT(ISERROR(SEARCH("Sin información",E1215)))</formula>
    </cfRule>
  </conditionalFormatting>
  <conditionalFormatting sqref="E1215">
    <cfRule type="containsText" dxfId="5088" priority="6617" operator="containsText" text="Sin información">
      <formula>NOT(ISERROR(SEARCH("Sin información",E1215)))</formula>
    </cfRule>
  </conditionalFormatting>
  <conditionalFormatting sqref="E1215">
    <cfRule type="containsText" dxfId="5087" priority="6616" operator="containsText" text="NUEVO">
      <formula>NOT(ISERROR(SEARCH("NUEVO",E1215)))</formula>
    </cfRule>
  </conditionalFormatting>
  <conditionalFormatting sqref="C1216:D1216">
    <cfRule type="containsText" dxfId="5086" priority="6615" operator="containsText" text="NO+$D$4:$D$10">
      <formula>NOT(ISERROR(SEARCH("NO+$D$4:$D$10",C1216)))</formula>
    </cfRule>
  </conditionalFormatting>
  <conditionalFormatting sqref="C1216:D1216">
    <cfRule type="containsText" dxfId="5085" priority="6613" operator="containsText" text="SI">
      <formula>NOT(ISERROR(SEARCH("SI",C1216)))</formula>
    </cfRule>
    <cfRule type="containsText" dxfId="5084" priority="6614" operator="containsText" text="NO">
      <formula>NOT(ISERROR(SEARCH("NO",C1216)))</formula>
    </cfRule>
  </conditionalFormatting>
  <conditionalFormatting sqref="C1216:D1216">
    <cfRule type="containsText" dxfId="5083" priority="6612" operator="containsText" text="NUEVO">
      <formula>NOT(ISERROR(SEARCH("NUEVO",C1216)))</formula>
    </cfRule>
  </conditionalFormatting>
  <conditionalFormatting sqref="E1216">
    <cfRule type="containsText" dxfId="5082" priority="6611" operator="containsText" text="NUEVO">
      <formula>NOT(ISERROR(SEARCH("NUEVO",E1216)))</formula>
    </cfRule>
  </conditionalFormatting>
  <conditionalFormatting sqref="E1216">
    <cfRule type="containsText" dxfId="5081" priority="6610" operator="containsText" text="Sin Información">
      <formula>NOT(ISERROR(SEARCH("Sin Información",E1216)))</formula>
    </cfRule>
  </conditionalFormatting>
  <conditionalFormatting sqref="C1217:D1217">
    <cfRule type="containsText" dxfId="5080" priority="6590" operator="containsText" text="NO+$D$4:$D$10">
      <formula>NOT(ISERROR(SEARCH("NO+$D$4:$D$10",C1217)))</formula>
    </cfRule>
  </conditionalFormatting>
  <conditionalFormatting sqref="C1217:D1217">
    <cfRule type="containsText" dxfId="5079" priority="6588" operator="containsText" text="SI">
      <formula>NOT(ISERROR(SEARCH("SI",C1217)))</formula>
    </cfRule>
    <cfRule type="containsText" dxfId="5078" priority="6589" operator="containsText" text="NO">
      <formula>NOT(ISERROR(SEARCH("NO",C1217)))</formula>
    </cfRule>
  </conditionalFormatting>
  <conditionalFormatting sqref="C1217:D1217">
    <cfRule type="containsText" dxfId="5077" priority="6587" operator="containsText" text="NUEVO">
      <formula>NOT(ISERROR(SEARCH("NUEVO",C1217)))</formula>
    </cfRule>
  </conditionalFormatting>
  <conditionalFormatting sqref="E718">
    <cfRule type="containsText" dxfId="5076" priority="6591" operator="containsText" text="NUEVO">
      <formula>NOT(ISERROR(SEARCH("NUEVO",E1228)))</formula>
    </cfRule>
  </conditionalFormatting>
  <conditionalFormatting sqref="C1218:D1218">
    <cfRule type="containsText" dxfId="5075" priority="6560" operator="containsText" text="NO+$D$4:$D$10">
      <formula>NOT(ISERROR(SEARCH("NO+$D$4:$D$10",C1218)))</formula>
    </cfRule>
  </conditionalFormatting>
  <conditionalFormatting sqref="C1218:D1218">
    <cfRule type="containsText" dxfId="5074" priority="6558" operator="containsText" text="SI">
      <formula>NOT(ISERROR(SEARCH("SI",C1218)))</formula>
    </cfRule>
    <cfRule type="containsText" dxfId="5073" priority="6559" operator="containsText" text="NO">
      <formula>NOT(ISERROR(SEARCH("NO",C1218)))</formula>
    </cfRule>
  </conditionalFormatting>
  <conditionalFormatting sqref="C1218:D1218">
    <cfRule type="containsText" dxfId="5072" priority="6557" operator="containsText" text="NUEVO">
      <formula>NOT(ISERROR(SEARCH("NUEVO",C1218)))</formula>
    </cfRule>
  </conditionalFormatting>
  <conditionalFormatting sqref="E1218">
    <cfRule type="containsText" dxfId="5071" priority="6556" operator="containsText" text="Sin información">
      <formula>NOT(ISERROR(SEARCH("Sin información",E1218)))</formula>
    </cfRule>
  </conditionalFormatting>
  <conditionalFormatting sqref="E1218">
    <cfRule type="containsText" dxfId="5070" priority="6554" operator="containsText" text="NUEVO">
      <formula>NOT(ISERROR(SEARCH("NUEVO",E1218)))</formula>
    </cfRule>
  </conditionalFormatting>
  <conditionalFormatting sqref="E1218">
    <cfRule type="containsText" dxfId="5069" priority="6555" operator="containsText" text="Sin información">
      <formula>NOT(ISERROR(SEARCH("Sin información",E1218)))</formula>
    </cfRule>
  </conditionalFormatting>
  <conditionalFormatting sqref="C1219:D1219">
    <cfRule type="containsText" dxfId="5068" priority="6547" operator="containsText" text="NO+$D$4:$D$10">
      <formula>NOT(ISERROR(SEARCH("NO+$D$4:$D$10",C1219)))</formula>
    </cfRule>
  </conditionalFormatting>
  <conditionalFormatting sqref="C1219:D1219">
    <cfRule type="containsText" dxfId="5067" priority="6545" operator="containsText" text="SI">
      <formula>NOT(ISERROR(SEARCH("SI",C1219)))</formula>
    </cfRule>
    <cfRule type="containsText" dxfId="5066" priority="6546" operator="containsText" text="NO">
      <formula>NOT(ISERROR(SEARCH("NO",C1219)))</formula>
    </cfRule>
  </conditionalFormatting>
  <conditionalFormatting sqref="C1219:D1219">
    <cfRule type="containsText" dxfId="5065" priority="6544" operator="containsText" text="NUEVO">
      <formula>NOT(ISERROR(SEARCH("NUEVO",C1219)))</formula>
    </cfRule>
  </conditionalFormatting>
  <conditionalFormatting sqref="E1219">
    <cfRule type="containsText" dxfId="5064" priority="6543" operator="containsText" text="NUEVO">
      <formula>NOT(ISERROR(SEARCH("NUEVO",E1219)))</formula>
    </cfRule>
  </conditionalFormatting>
  <conditionalFormatting sqref="E1219">
    <cfRule type="containsText" dxfId="5063" priority="6542" operator="containsText" text="Sin Información">
      <formula>NOT(ISERROR(SEARCH("Sin Información",E1219)))</formula>
    </cfRule>
  </conditionalFormatting>
  <conditionalFormatting sqref="C1220:D1220">
    <cfRule type="containsText" dxfId="5062" priority="6541" operator="containsText" text="NO+$D$4:$D$10">
      <formula>NOT(ISERROR(SEARCH("NO+$D$4:$D$10",C1220)))</formula>
    </cfRule>
  </conditionalFormatting>
  <conditionalFormatting sqref="C1220:D1220">
    <cfRule type="containsText" dxfId="5061" priority="6539" operator="containsText" text="SI">
      <formula>NOT(ISERROR(SEARCH("SI",C1220)))</formula>
    </cfRule>
    <cfRule type="containsText" dxfId="5060" priority="6540" operator="containsText" text="NO">
      <formula>NOT(ISERROR(SEARCH("NO",C1220)))</formula>
    </cfRule>
  </conditionalFormatting>
  <conditionalFormatting sqref="C1220:D1220">
    <cfRule type="containsText" dxfId="5059" priority="6538" operator="containsText" text="NUEVO">
      <formula>NOT(ISERROR(SEARCH("NUEVO",C1220)))</formula>
    </cfRule>
  </conditionalFormatting>
  <conditionalFormatting sqref="E1220">
    <cfRule type="containsText" dxfId="5058" priority="6537" operator="containsText" text="NUEVO">
      <formula>NOT(ISERROR(SEARCH("NUEVO",E1220)))</formula>
    </cfRule>
  </conditionalFormatting>
  <conditionalFormatting sqref="E1220">
    <cfRule type="containsText" dxfId="5057" priority="6536" operator="containsText" text="Sin Información">
      <formula>NOT(ISERROR(SEARCH("Sin Información",E1220)))</formula>
    </cfRule>
  </conditionalFormatting>
  <conditionalFormatting sqref="C1234:D1234 C1221:D1221 C1280:D1290 C1258:D1259">
    <cfRule type="containsText" dxfId="5056" priority="6535" operator="containsText" text="NO+$D$4:$D$10">
      <formula>NOT(ISERROR(SEARCH("NO+$D$4:$D$10",C1221)))</formula>
    </cfRule>
  </conditionalFormatting>
  <conditionalFormatting sqref="C1234:D1234 C1221:D1221 C1280:D1290 C1258:D1259">
    <cfRule type="containsText" dxfId="5055" priority="6533" operator="containsText" text="SI">
      <formula>NOT(ISERROR(SEARCH("SI",C1221)))</formula>
    </cfRule>
    <cfRule type="containsText" dxfId="5054" priority="6534" operator="containsText" text="NO">
      <formula>NOT(ISERROR(SEARCH("NO",C1221)))</formula>
    </cfRule>
  </conditionalFormatting>
  <conditionalFormatting sqref="C1234:D1234 C1288:E1290 C1221:D1221 C1280:D1287 C1258:E1259">
    <cfRule type="containsText" dxfId="5053" priority="6532" operator="containsText" text="NUEVO">
      <formula>NOT(ISERROR(SEARCH("NUEVO",C1221)))</formula>
    </cfRule>
  </conditionalFormatting>
  <conditionalFormatting sqref="E1234 E1288:E1290 E1258:E1259">
    <cfRule type="containsText" dxfId="5052" priority="6531" operator="containsText" text="Sin información">
      <formula>NOT(ISERROR(SEARCH("Sin información",E1234)))</formula>
    </cfRule>
  </conditionalFormatting>
  <conditionalFormatting sqref="E1221">
    <cfRule type="containsText" dxfId="5051" priority="6530" operator="containsText" text="Sin información">
      <formula>NOT(ISERROR(SEARCH("Sin información",E1221)))</formula>
    </cfRule>
  </conditionalFormatting>
  <conditionalFormatting sqref="E1221">
    <cfRule type="containsText" dxfId="5050" priority="6529" operator="containsText" text="NUEVO">
      <formula>NOT(ISERROR(SEARCH("NUEVO",E1221)))</formula>
    </cfRule>
  </conditionalFormatting>
  <conditionalFormatting sqref="C1222:D1222">
    <cfRule type="containsText" dxfId="5049" priority="6528" operator="containsText" text="NO+$D$4:$D$10">
      <formula>NOT(ISERROR(SEARCH("NO+$D$4:$D$10",C1222)))</formula>
    </cfRule>
  </conditionalFormatting>
  <conditionalFormatting sqref="C1222:D1222">
    <cfRule type="containsText" dxfId="5048" priority="6526" operator="containsText" text="SI">
      <formula>NOT(ISERROR(SEARCH("SI",C1222)))</formula>
    </cfRule>
    <cfRule type="containsText" dxfId="5047" priority="6527" operator="containsText" text="NO">
      <formula>NOT(ISERROR(SEARCH("NO",C1222)))</formula>
    </cfRule>
  </conditionalFormatting>
  <conditionalFormatting sqref="C1222:E1222">
    <cfRule type="containsText" dxfId="5046" priority="6525" operator="containsText" text="NUEVO">
      <formula>NOT(ISERROR(SEARCH("NUEVO",C1222)))</formula>
    </cfRule>
  </conditionalFormatting>
  <conditionalFormatting sqref="E1222">
    <cfRule type="containsText" dxfId="5045" priority="6524" operator="containsText" text="Sin información">
      <formula>NOT(ISERROR(SEARCH("Sin información",E1222)))</formula>
    </cfRule>
  </conditionalFormatting>
  <conditionalFormatting sqref="C1223:D1223">
    <cfRule type="containsText" dxfId="5044" priority="6523" operator="containsText" text="NO+$D$4:$D$10">
      <formula>NOT(ISERROR(SEARCH("NO+$D$4:$D$10",C1223)))</formula>
    </cfRule>
  </conditionalFormatting>
  <conditionalFormatting sqref="C1223:D1223">
    <cfRule type="containsText" dxfId="5043" priority="6521" operator="containsText" text="SI">
      <formula>NOT(ISERROR(SEARCH("SI",C1223)))</formula>
    </cfRule>
    <cfRule type="containsText" dxfId="5042" priority="6522" operator="containsText" text="NO">
      <formula>NOT(ISERROR(SEARCH("NO",C1223)))</formula>
    </cfRule>
  </conditionalFormatting>
  <conditionalFormatting sqref="E1223">
    <cfRule type="containsText" dxfId="5041" priority="6520" operator="containsText" text="Sin información">
      <formula>NOT(ISERROR(SEARCH("Sin información",E1223)))</formula>
    </cfRule>
  </conditionalFormatting>
  <conditionalFormatting sqref="C1223:E1223">
    <cfRule type="containsText" dxfId="5040" priority="6519" operator="containsText" text="NUEVO">
      <formula>NOT(ISERROR(SEARCH("NUEVO",C1223)))</formula>
    </cfRule>
  </conditionalFormatting>
  <conditionalFormatting sqref="C1224:D1224">
    <cfRule type="containsText" dxfId="5039" priority="6518" operator="containsText" text="NO+$D$4:$D$10">
      <formula>NOT(ISERROR(SEARCH("NO+$D$4:$D$10",C1224)))</formula>
    </cfRule>
  </conditionalFormatting>
  <conditionalFormatting sqref="C1224:D1224">
    <cfRule type="containsText" dxfId="5038" priority="6516" operator="containsText" text="SI">
      <formula>NOT(ISERROR(SEARCH("SI",C1224)))</formula>
    </cfRule>
    <cfRule type="containsText" dxfId="5037" priority="6517" operator="containsText" text="NO">
      <formula>NOT(ISERROR(SEARCH("NO",C1224)))</formula>
    </cfRule>
  </conditionalFormatting>
  <conditionalFormatting sqref="C1224:D1224">
    <cfRule type="containsText" dxfId="5036" priority="6515" operator="containsText" text="NUEVO">
      <formula>NOT(ISERROR(SEARCH("NUEVO",C1224)))</formula>
    </cfRule>
  </conditionalFormatting>
  <conditionalFormatting sqref="E1224">
    <cfRule type="containsText" dxfId="5035" priority="6514" operator="containsText" text="Sin información">
      <formula>NOT(ISERROR(SEARCH("Sin información",E1224)))</formula>
    </cfRule>
  </conditionalFormatting>
  <conditionalFormatting sqref="E1224">
    <cfRule type="containsText" dxfId="5034" priority="6513" operator="containsText" text="NUEVO">
      <formula>NOT(ISERROR(SEARCH("NUEVO",E1224)))</formula>
    </cfRule>
  </conditionalFormatting>
  <conditionalFormatting sqref="C1225:D1225">
    <cfRule type="containsText" dxfId="5033" priority="6512" operator="containsText" text="NO+$D$4:$D$10">
      <formula>NOT(ISERROR(SEARCH("NO+$D$4:$D$10",C1225)))</formula>
    </cfRule>
  </conditionalFormatting>
  <conditionalFormatting sqref="C1225:D1225">
    <cfRule type="containsText" dxfId="5032" priority="6510" operator="containsText" text="SI">
      <formula>NOT(ISERROR(SEARCH("SI",C1225)))</formula>
    </cfRule>
    <cfRule type="containsText" dxfId="5031" priority="6511" operator="containsText" text="NO">
      <formula>NOT(ISERROR(SEARCH("NO",C1225)))</formula>
    </cfRule>
  </conditionalFormatting>
  <conditionalFormatting sqref="E1225">
    <cfRule type="containsText" dxfId="5030" priority="6509" operator="containsText" text="Sin información">
      <formula>NOT(ISERROR(SEARCH("Sin información",E1225)))</formula>
    </cfRule>
  </conditionalFormatting>
  <conditionalFormatting sqref="C1225:E1225">
    <cfRule type="containsText" dxfId="5029" priority="6508" operator="containsText" text="NUEVO">
      <formula>NOT(ISERROR(SEARCH("NUEVO",C1225)))</formula>
    </cfRule>
  </conditionalFormatting>
  <conditionalFormatting sqref="C1226:D1226">
    <cfRule type="containsText" dxfId="5028" priority="6507" operator="containsText" text="NO+$D$4:$D$10">
      <formula>NOT(ISERROR(SEARCH("NO+$D$4:$D$10",C1226)))</formula>
    </cfRule>
  </conditionalFormatting>
  <conditionalFormatting sqref="C1226:D1226">
    <cfRule type="containsText" dxfId="5027" priority="6505" operator="containsText" text="SI">
      <formula>NOT(ISERROR(SEARCH("SI",C1226)))</formula>
    </cfRule>
    <cfRule type="containsText" dxfId="5026" priority="6506" operator="containsText" text="NO">
      <formula>NOT(ISERROR(SEARCH("NO",C1226)))</formula>
    </cfRule>
  </conditionalFormatting>
  <conditionalFormatting sqref="E1226">
    <cfRule type="containsText" dxfId="5025" priority="6504" operator="containsText" text="Sin información">
      <formula>NOT(ISERROR(SEARCH("Sin información",E1226)))</formula>
    </cfRule>
  </conditionalFormatting>
  <conditionalFormatting sqref="C1226:E1226">
    <cfRule type="containsText" dxfId="5024" priority="6503" operator="containsText" text="NUEVO">
      <formula>NOT(ISERROR(SEARCH("NUEVO",C1226)))</formula>
    </cfRule>
  </conditionalFormatting>
  <conditionalFormatting sqref="C1227:D1227">
    <cfRule type="containsText" dxfId="5023" priority="6502" operator="containsText" text="NO+$D$4:$D$10">
      <formula>NOT(ISERROR(SEARCH("NO+$D$4:$D$10",C1227)))</formula>
    </cfRule>
  </conditionalFormatting>
  <conditionalFormatting sqref="C1227:D1227">
    <cfRule type="containsText" dxfId="5022" priority="6500" operator="containsText" text="SI">
      <formula>NOT(ISERROR(SEARCH("SI",C1227)))</formula>
    </cfRule>
    <cfRule type="containsText" dxfId="5021" priority="6501" operator="containsText" text="NO">
      <formula>NOT(ISERROR(SEARCH("NO",C1227)))</formula>
    </cfRule>
  </conditionalFormatting>
  <conditionalFormatting sqref="E1227">
    <cfRule type="containsText" dxfId="5020" priority="6499" operator="containsText" text="Sin información">
      <formula>NOT(ISERROR(SEARCH("Sin información",E1227)))</formula>
    </cfRule>
  </conditionalFormatting>
  <conditionalFormatting sqref="C1227:E1227">
    <cfRule type="containsText" dxfId="5019" priority="6498" operator="containsText" text="NUEVO">
      <formula>NOT(ISERROR(SEARCH("NUEVO",C1227)))</formula>
    </cfRule>
  </conditionalFormatting>
  <conditionalFormatting sqref="C1228:D1228">
    <cfRule type="containsText" dxfId="5018" priority="6497" operator="containsText" text="NO+$D$4:$D$10">
      <formula>NOT(ISERROR(SEARCH("NO+$D$4:$D$10",C1228)))</formula>
    </cfRule>
  </conditionalFormatting>
  <conditionalFormatting sqref="C1228:D1228">
    <cfRule type="containsText" dxfId="5017" priority="6495" operator="containsText" text="SI">
      <formula>NOT(ISERROR(SEARCH("SI",C1228)))</formula>
    </cfRule>
    <cfRule type="containsText" dxfId="5016" priority="6496" operator="containsText" text="NO">
      <formula>NOT(ISERROR(SEARCH("NO",C1228)))</formula>
    </cfRule>
  </conditionalFormatting>
  <conditionalFormatting sqref="E1228">
    <cfRule type="containsText" dxfId="5015" priority="6494" operator="containsText" text="Sin información">
      <formula>NOT(ISERROR(SEARCH("Sin información",E1228)))</formula>
    </cfRule>
  </conditionalFormatting>
  <conditionalFormatting sqref="C1228:E1228">
    <cfRule type="containsText" dxfId="5014" priority="6493" operator="containsText" text="NUEVO">
      <formula>NOT(ISERROR(SEARCH("NUEVO",C1228)))</formula>
    </cfRule>
  </conditionalFormatting>
  <conditionalFormatting sqref="C1229:D1229">
    <cfRule type="containsText" dxfId="5013" priority="6492" operator="containsText" text="NO+$D$4:$D$10">
      <formula>NOT(ISERROR(SEARCH("NO+$D$4:$D$10",C1229)))</formula>
    </cfRule>
  </conditionalFormatting>
  <conditionalFormatting sqref="C1229:D1229">
    <cfRule type="containsText" dxfId="5012" priority="6490" operator="containsText" text="SI">
      <formula>NOT(ISERROR(SEARCH("SI",C1229)))</formula>
    </cfRule>
    <cfRule type="containsText" dxfId="5011" priority="6491" operator="containsText" text="NO">
      <formula>NOT(ISERROR(SEARCH("NO",C1229)))</formula>
    </cfRule>
  </conditionalFormatting>
  <conditionalFormatting sqref="C1229:E1229">
    <cfRule type="containsText" dxfId="5010" priority="6489" operator="containsText" text="NUEVO">
      <formula>NOT(ISERROR(SEARCH("NUEVO",C1229)))</formula>
    </cfRule>
  </conditionalFormatting>
  <conditionalFormatting sqref="E1229">
    <cfRule type="containsText" dxfId="5009" priority="6488" operator="containsText" text="Sin información">
      <formula>NOT(ISERROR(SEARCH("Sin información",E1229)))</formula>
    </cfRule>
  </conditionalFormatting>
  <conditionalFormatting sqref="C1230:D1230">
    <cfRule type="containsText" dxfId="5008" priority="6487" operator="containsText" text="NO+$D$4:$D$10">
      <formula>NOT(ISERROR(SEARCH("NO+$D$4:$D$10",C1230)))</formula>
    </cfRule>
  </conditionalFormatting>
  <conditionalFormatting sqref="C1230:D1230">
    <cfRule type="containsText" dxfId="5007" priority="6485" operator="containsText" text="SI">
      <formula>NOT(ISERROR(SEARCH("SI",C1230)))</formula>
    </cfRule>
    <cfRule type="containsText" dxfId="5006" priority="6486" operator="containsText" text="NO">
      <formula>NOT(ISERROR(SEARCH("NO",C1230)))</formula>
    </cfRule>
  </conditionalFormatting>
  <conditionalFormatting sqref="E1230">
    <cfRule type="containsText" dxfId="5005" priority="6484" operator="containsText" text="Sin información">
      <formula>NOT(ISERROR(SEARCH("Sin información",E1230)))</formula>
    </cfRule>
  </conditionalFormatting>
  <conditionalFormatting sqref="C1230:E1230">
    <cfRule type="containsText" dxfId="5004" priority="6483" operator="containsText" text="NUEVO">
      <formula>NOT(ISERROR(SEARCH("NUEVO",C1230)))</formula>
    </cfRule>
  </conditionalFormatting>
  <conditionalFormatting sqref="C1231:D1231">
    <cfRule type="containsText" dxfId="5003" priority="6476" operator="containsText" text="NO+$D$4:$D$10">
      <formula>NOT(ISERROR(SEARCH("NO+$D$4:$D$10",C1231)))</formula>
    </cfRule>
  </conditionalFormatting>
  <conditionalFormatting sqref="C1231:D1231">
    <cfRule type="containsText" dxfId="5002" priority="6474" operator="containsText" text="SI">
      <formula>NOT(ISERROR(SEARCH("SI",C1231)))</formula>
    </cfRule>
    <cfRule type="containsText" dxfId="5001" priority="6475" operator="containsText" text="NO">
      <formula>NOT(ISERROR(SEARCH("NO",C1231)))</formula>
    </cfRule>
  </conditionalFormatting>
  <conditionalFormatting sqref="C1231:D1231">
    <cfRule type="containsText" dxfId="5000" priority="6473" operator="containsText" text="NUEVO">
      <formula>NOT(ISERROR(SEARCH("NUEVO",C1231)))</formula>
    </cfRule>
  </conditionalFormatting>
  <conditionalFormatting sqref="E1231">
    <cfRule type="containsText" dxfId="4999" priority="6472" operator="containsText" text="Sin información">
      <formula>NOT(ISERROR(SEARCH("Sin información",E1231)))</formula>
    </cfRule>
  </conditionalFormatting>
  <conditionalFormatting sqref="E1231">
    <cfRule type="containsText" dxfId="4998" priority="6471" operator="containsText" text="NUEVO">
      <formula>NOT(ISERROR(SEARCH("NUEVO",E1231)))</formula>
    </cfRule>
  </conditionalFormatting>
  <conditionalFormatting sqref="C1232:D1232">
    <cfRule type="containsText" dxfId="4997" priority="6470" operator="containsText" text="NO+$D$4:$D$10">
      <formula>NOT(ISERROR(SEARCH("NO+$D$4:$D$10",C1232)))</formula>
    </cfRule>
  </conditionalFormatting>
  <conditionalFormatting sqref="C1232:D1232">
    <cfRule type="containsText" dxfId="4996" priority="6468" operator="containsText" text="SI">
      <formula>NOT(ISERROR(SEARCH("SI",C1232)))</formula>
    </cfRule>
    <cfRule type="containsText" dxfId="4995" priority="6469" operator="containsText" text="NO">
      <formula>NOT(ISERROR(SEARCH("NO",C1232)))</formula>
    </cfRule>
  </conditionalFormatting>
  <conditionalFormatting sqref="E1232">
    <cfRule type="containsText" dxfId="4994" priority="6467" operator="containsText" text="Sin información">
      <formula>NOT(ISERROR(SEARCH("Sin información",E1232)))</formula>
    </cfRule>
  </conditionalFormatting>
  <conditionalFormatting sqref="C1232:E1232">
    <cfRule type="containsText" dxfId="4993" priority="6466" operator="containsText" text="NUEVO">
      <formula>NOT(ISERROR(SEARCH("NUEVO",C1232)))</formula>
    </cfRule>
  </conditionalFormatting>
  <conditionalFormatting sqref="C1233:D1233">
    <cfRule type="containsText" dxfId="4992" priority="6465" operator="containsText" text="NO+$D$4:$D$10">
      <formula>NOT(ISERROR(SEARCH("NO+$D$4:$D$10",C1233)))</formula>
    </cfRule>
  </conditionalFormatting>
  <conditionalFormatting sqref="C1233:D1233">
    <cfRule type="containsText" dxfId="4991" priority="6463" operator="containsText" text="SI">
      <formula>NOT(ISERROR(SEARCH("SI",C1233)))</formula>
    </cfRule>
    <cfRule type="containsText" dxfId="4990" priority="6464" operator="containsText" text="NO">
      <formula>NOT(ISERROR(SEARCH("NO",C1233)))</formula>
    </cfRule>
  </conditionalFormatting>
  <conditionalFormatting sqref="E1233">
    <cfRule type="containsText" dxfId="4989" priority="6462" operator="containsText" text="Sin información">
      <formula>NOT(ISERROR(SEARCH("Sin información",E1233)))</formula>
    </cfRule>
  </conditionalFormatting>
  <conditionalFormatting sqref="C1233:E1233">
    <cfRule type="containsText" dxfId="4988" priority="6461" operator="containsText" text="NUEVO">
      <formula>NOT(ISERROR(SEARCH("NUEVO",C1233)))</formula>
    </cfRule>
  </conditionalFormatting>
  <conditionalFormatting sqref="E1234">
    <cfRule type="containsText" dxfId="4987" priority="6460" operator="containsText" text="Sin información">
      <formula>NOT(ISERROR(SEARCH("Sin información",E1234)))</formula>
    </cfRule>
  </conditionalFormatting>
  <conditionalFormatting sqref="C1235:D1235">
    <cfRule type="containsText" dxfId="4986" priority="6459" operator="containsText" text="NO+$D$4:$D$10">
      <formula>NOT(ISERROR(SEARCH("NO+$D$4:$D$10",C1235)))</formula>
    </cfRule>
  </conditionalFormatting>
  <conditionalFormatting sqref="C1235:D1235">
    <cfRule type="containsText" dxfId="4985" priority="6457" operator="containsText" text="SI">
      <formula>NOT(ISERROR(SEARCH("SI",C1235)))</formula>
    </cfRule>
    <cfRule type="containsText" dxfId="4984" priority="6458" operator="containsText" text="NO">
      <formula>NOT(ISERROR(SEARCH("NO",C1235)))</formula>
    </cfRule>
  </conditionalFormatting>
  <conditionalFormatting sqref="E1235">
    <cfRule type="containsText" dxfId="4983" priority="6456" operator="containsText" text="Sin información">
      <formula>NOT(ISERROR(SEARCH("Sin información",E1235)))</formula>
    </cfRule>
  </conditionalFormatting>
  <conditionalFormatting sqref="C1235:E1235">
    <cfRule type="containsText" dxfId="4982" priority="6455" operator="containsText" text="NUEVO">
      <formula>NOT(ISERROR(SEARCH("NUEVO",C1235)))</formula>
    </cfRule>
  </conditionalFormatting>
  <conditionalFormatting sqref="E1235">
    <cfRule type="containsText" dxfId="4981" priority="6454" operator="containsText" text="Sin Información">
      <formula>NOT(ISERROR(SEARCH("Sin Información",E1235)))</formula>
    </cfRule>
  </conditionalFormatting>
  <conditionalFormatting sqref="C1236:D1236">
    <cfRule type="containsText" dxfId="4980" priority="6453" operator="containsText" text="NO+$D$4:$D$10">
      <formula>NOT(ISERROR(SEARCH("NO+$D$4:$D$10",C1236)))</formula>
    </cfRule>
  </conditionalFormatting>
  <conditionalFormatting sqref="C1236:D1236">
    <cfRule type="containsText" dxfId="4979" priority="6451" operator="containsText" text="SI">
      <formula>NOT(ISERROR(SEARCH("SI",C1236)))</formula>
    </cfRule>
    <cfRule type="containsText" dxfId="4978" priority="6452" operator="containsText" text="NO">
      <formula>NOT(ISERROR(SEARCH("NO",C1236)))</formula>
    </cfRule>
  </conditionalFormatting>
  <conditionalFormatting sqref="E1236">
    <cfRule type="containsText" dxfId="4977" priority="6450" operator="containsText" text="Sin información">
      <formula>NOT(ISERROR(SEARCH("Sin información",E1236)))</formula>
    </cfRule>
  </conditionalFormatting>
  <conditionalFormatting sqref="C1236:E1236">
    <cfRule type="containsText" dxfId="4976" priority="6449" operator="containsText" text="NUEVO">
      <formula>NOT(ISERROR(SEARCH("NUEVO",C1236)))</formula>
    </cfRule>
  </conditionalFormatting>
  <conditionalFormatting sqref="C1237:D1237">
    <cfRule type="containsText" dxfId="4975" priority="6448" operator="containsText" text="NO+$D$4:$D$10">
      <formula>NOT(ISERROR(SEARCH("NO+$D$4:$D$10",C1237)))</formula>
    </cfRule>
  </conditionalFormatting>
  <conditionalFormatting sqref="C1237:D1237">
    <cfRule type="containsText" dxfId="4974" priority="6446" operator="containsText" text="SI">
      <formula>NOT(ISERROR(SEARCH("SI",C1237)))</formula>
    </cfRule>
    <cfRule type="containsText" dxfId="4973" priority="6447" operator="containsText" text="NO">
      <formula>NOT(ISERROR(SEARCH("NO",C1237)))</formula>
    </cfRule>
  </conditionalFormatting>
  <conditionalFormatting sqref="E1237">
    <cfRule type="containsText" dxfId="4972" priority="6445" operator="containsText" text="Sin información">
      <formula>NOT(ISERROR(SEARCH("Sin información",E1237)))</formula>
    </cfRule>
  </conditionalFormatting>
  <conditionalFormatting sqref="C1237:E1237">
    <cfRule type="containsText" dxfId="4971" priority="6444" operator="containsText" text="NUEVO">
      <formula>NOT(ISERROR(SEARCH("NUEVO",C1237)))</formula>
    </cfRule>
  </conditionalFormatting>
  <conditionalFormatting sqref="C1238:D1238">
    <cfRule type="containsText" dxfId="4970" priority="6443" operator="containsText" text="NO+$D$4:$D$10">
      <formula>NOT(ISERROR(SEARCH("NO+$D$4:$D$10",C1238)))</formula>
    </cfRule>
  </conditionalFormatting>
  <conditionalFormatting sqref="C1238:D1238">
    <cfRule type="containsText" dxfId="4969" priority="6441" operator="containsText" text="SI">
      <formula>NOT(ISERROR(SEARCH("SI",C1238)))</formula>
    </cfRule>
    <cfRule type="containsText" dxfId="4968" priority="6442" operator="containsText" text="NO">
      <formula>NOT(ISERROR(SEARCH("NO",C1238)))</formula>
    </cfRule>
  </conditionalFormatting>
  <conditionalFormatting sqref="E1238">
    <cfRule type="containsText" dxfId="4967" priority="6440" operator="containsText" text="Sin información">
      <formula>NOT(ISERROR(SEARCH("Sin información",E1238)))</formula>
    </cfRule>
  </conditionalFormatting>
  <conditionalFormatting sqref="C1238:E1238">
    <cfRule type="containsText" dxfId="4966" priority="6439" operator="containsText" text="NUEVO">
      <formula>NOT(ISERROR(SEARCH("NUEVO",C1238)))</formula>
    </cfRule>
  </conditionalFormatting>
  <conditionalFormatting sqref="C1239:D1239">
    <cfRule type="containsText" dxfId="4965" priority="6438" operator="containsText" text="NO+$D$4:$D$10">
      <formula>NOT(ISERROR(SEARCH("NO+$D$4:$D$10",C1239)))</formula>
    </cfRule>
  </conditionalFormatting>
  <conditionalFormatting sqref="C1239:D1239">
    <cfRule type="containsText" dxfId="4964" priority="6436" operator="containsText" text="SI">
      <formula>NOT(ISERROR(SEARCH("SI",C1239)))</formula>
    </cfRule>
    <cfRule type="containsText" dxfId="4963" priority="6437" operator="containsText" text="NO">
      <formula>NOT(ISERROR(SEARCH("NO",C1239)))</formula>
    </cfRule>
  </conditionalFormatting>
  <conditionalFormatting sqref="E1239">
    <cfRule type="containsText" dxfId="4962" priority="6435" operator="containsText" text="Sin información">
      <formula>NOT(ISERROR(SEARCH("Sin información",E1239)))</formula>
    </cfRule>
  </conditionalFormatting>
  <conditionalFormatting sqref="C1239:E1239">
    <cfRule type="containsText" dxfId="4961" priority="6434" operator="containsText" text="NUEVO">
      <formula>NOT(ISERROR(SEARCH("NUEVO",C1239)))</formula>
    </cfRule>
  </conditionalFormatting>
  <conditionalFormatting sqref="C1240:D1240">
    <cfRule type="containsText" dxfId="4960" priority="6433" operator="containsText" text="NO+$D$4:$D$10">
      <formula>NOT(ISERROR(SEARCH("NO+$D$4:$D$10",C1240)))</formula>
    </cfRule>
  </conditionalFormatting>
  <conditionalFormatting sqref="C1240:D1240">
    <cfRule type="containsText" dxfId="4959" priority="6431" operator="containsText" text="SI">
      <formula>NOT(ISERROR(SEARCH("SI",C1240)))</formula>
    </cfRule>
    <cfRule type="containsText" dxfId="4958" priority="6432" operator="containsText" text="NO">
      <formula>NOT(ISERROR(SEARCH("NO",C1240)))</formula>
    </cfRule>
  </conditionalFormatting>
  <conditionalFormatting sqref="E1240">
    <cfRule type="containsText" dxfId="4957" priority="6430" operator="containsText" text="Sin información">
      <formula>NOT(ISERROR(SEARCH("Sin información",E1240)))</formula>
    </cfRule>
  </conditionalFormatting>
  <conditionalFormatting sqref="C1240:E1240">
    <cfRule type="containsText" dxfId="4956" priority="6429" operator="containsText" text="NUEVO">
      <formula>NOT(ISERROR(SEARCH("NUEVO",C1240)))</formula>
    </cfRule>
  </conditionalFormatting>
  <conditionalFormatting sqref="C1241:D1241">
    <cfRule type="containsText" dxfId="4955" priority="6428" operator="containsText" text="NO+$D$4:$D$10">
      <formula>NOT(ISERROR(SEARCH("NO+$D$4:$D$10",C1241)))</formula>
    </cfRule>
  </conditionalFormatting>
  <conditionalFormatting sqref="C1241:D1241">
    <cfRule type="containsText" dxfId="4954" priority="6426" operator="containsText" text="SI">
      <formula>NOT(ISERROR(SEARCH("SI",C1241)))</formula>
    </cfRule>
    <cfRule type="containsText" dxfId="4953" priority="6427" operator="containsText" text="NO">
      <formula>NOT(ISERROR(SEARCH("NO",C1241)))</formula>
    </cfRule>
  </conditionalFormatting>
  <conditionalFormatting sqref="E1241">
    <cfRule type="containsText" dxfId="4952" priority="6425" operator="containsText" text="Sin información">
      <formula>NOT(ISERROR(SEARCH("Sin información",E1241)))</formula>
    </cfRule>
  </conditionalFormatting>
  <conditionalFormatting sqref="C1241:E1241">
    <cfRule type="containsText" dxfId="4951" priority="6424" operator="containsText" text="NUEVO">
      <formula>NOT(ISERROR(SEARCH("NUEVO",C1241)))</formula>
    </cfRule>
  </conditionalFormatting>
  <conditionalFormatting sqref="E1241">
    <cfRule type="containsText" dxfId="4950" priority="6423" operator="containsText" text="Sin Información">
      <formula>NOT(ISERROR(SEARCH("Sin Información",E1241)))</formula>
    </cfRule>
  </conditionalFormatting>
  <conditionalFormatting sqref="C1242:D1242">
    <cfRule type="containsText" dxfId="4949" priority="6422" operator="containsText" text="NO+$D$4:$D$10">
      <formula>NOT(ISERROR(SEARCH("NO+$D$4:$D$10",C1242)))</formula>
    </cfRule>
  </conditionalFormatting>
  <conditionalFormatting sqref="C1242:D1242">
    <cfRule type="containsText" dxfId="4948" priority="6420" operator="containsText" text="SI">
      <formula>NOT(ISERROR(SEARCH("SI",C1242)))</formula>
    </cfRule>
    <cfRule type="containsText" dxfId="4947" priority="6421" operator="containsText" text="NO">
      <formula>NOT(ISERROR(SEARCH("NO",C1242)))</formula>
    </cfRule>
  </conditionalFormatting>
  <conditionalFormatting sqref="E1242">
    <cfRule type="containsText" dxfId="4946" priority="6419" operator="containsText" text="Sin información">
      <formula>NOT(ISERROR(SEARCH("Sin información",E1242)))</formula>
    </cfRule>
  </conditionalFormatting>
  <conditionalFormatting sqref="C1242:E1242">
    <cfRule type="containsText" dxfId="4945" priority="6418" operator="containsText" text="NUEVO">
      <formula>NOT(ISERROR(SEARCH("NUEVO",C1242)))</formula>
    </cfRule>
  </conditionalFormatting>
  <conditionalFormatting sqref="C1243:D1243">
    <cfRule type="containsText" dxfId="4944" priority="6417" operator="containsText" text="NO+$D$4:$D$10">
      <formula>NOT(ISERROR(SEARCH("NO+$D$4:$D$10",C1243)))</formula>
    </cfRule>
  </conditionalFormatting>
  <conditionalFormatting sqref="C1243:D1243">
    <cfRule type="containsText" dxfId="4943" priority="6415" operator="containsText" text="SI">
      <formula>NOT(ISERROR(SEARCH("SI",C1243)))</formula>
    </cfRule>
    <cfRule type="containsText" dxfId="4942" priority="6416" operator="containsText" text="NO">
      <formula>NOT(ISERROR(SEARCH("NO",C1243)))</formula>
    </cfRule>
  </conditionalFormatting>
  <conditionalFormatting sqref="E1243">
    <cfRule type="containsText" dxfId="4941" priority="6414" operator="containsText" text="Sin información">
      <formula>NOT(ISERROR(SEARCH("Sin información",E1243)))</formula>
    </cfRule>
  </conditionalFormatting>
  <conditionalFormatting sqref="C1243:E1243">
    <cfRule type="containsText" dxfId="4940" priority="6413" operator="containsText" text="NUEVO">
      <formula>NOT(ISERROR(SEARCH("NUEVO",C1243)))</formula>
    </cfRule>
  </conditionalFormatting>
  <conditionalFormatting sqref="C1244:D1244">
    <cfRule type="containsText" dxfId="4939" priority="6412" operator="containsText" text="NO+$D$4:$D$10">
      <formula>NOT(ISERROR(SEARCH("NO+$D$4:$D$10",C1244)))</formula>
    </cfRule>
  </conditionalFormatting>
  <conditionalFormatting sqref="C1244:D1244">
    <cfRule type="containsText" dxfId="4938" priority="6410" operator="containsText" text="SI">
      <formula>NOT(ISERROR(SEARCH("SI",C1244)))</formula>
    </cfRule>
    <cfRule type="containsText" dxfId="4937" priority="6411" operator="containsText" text="NO">
      <formula>NOT(ISERROR(SEARCH("NO",C1244)))</formula>
    </cfRule>
  </conditionalFormatting>
  <conditionalFormatting sqref="C1244:D1244">
    <cfRule type="containsText" dxfId="4936" priority="6409" operator="containsText" text="NUEVO">
      <formula>NOT(ISERROR(SEARCH("NUEVO",C1244)))</formula>
    </cfRule>
  </conditionalFormatting>
  <conditionalFormatting sqref="E1244">
    <cfRule type="containsText" dxfId="4935" priority="6408" operator="containsText" text="Sin información">
      <formula>NOT(ISERROR(SEARCH("Sin información",E1244)))</formula>
    </cfRule>
  </conditionalFormatting>
  <conditionalFormatting sqref="E1244">
    <cfRule type="containsText" dxfId="4934" priority="6407" operator="containsText" text="NUEVO">
      <formula>NOT(ISERROR(SEARCH("NUEVO",E1244)))</formula>
    </cfRule>
  </conditionalFormatting>
  <conditionalFormatting sqref="C1245:D1248">
    <cfRule type="containsText" dxfId="4933" priority="6396" operator="containsText" text="NO+$D$4:$D$10">
      <formula>NOT(ISERROR(SEARCH("NO+$D$4:$D$10",C1245)))</formula>
    </cfRule>
  </conditionalFormatting>
  <conditionalFormatting sqref="C1245:D1248">
    <cfRule type="containsText" dxfId="4932" priority="6394" operator="containsText" text="SI">
      <formula>NOT(ISERROR(SEARCH("SI",C1245)))</formula>
    </cfRule>
    <cfRule type="containsText" dxfId="4931" priority="6395" operator="containsText" text="NO">
      <formula>NOT(ISERROR(SEARCH("NO",C1245)))</formula>
    </cfRule>
  </conditionalFormatting>
  <conditionalFormatting sqref="E1247:E1248 E1245">
    <cfRule type="containsText" dxfId="4930" priority="6393" operator="containsText" text="Sin información">
      <formula>NOT(ISERROR(SEARCH("Sin información",E1245)))</formula>
    </cfRule>
  </conditionalFormatting>
  <conditionalFormatting sqref="E1247:E1248 E1245 C1245:D1248">
    <cfRule type="containsText" dxfId="4929" priority="6392" operator="containsText" text="NUEVO">
      <formula>NOT(ISERROR(SEARCH("NUEVO",C1245)))</formula>
    </cfRule>
  </conditionalFormatting>
  <conditionalFormatting sqref="E1246">
    <cfRule type="containsText" dxfId="4928" priority="6391" operator="containsText" text="Sin información">
      <formula>NOT(ISERROR(SEARCH("Sin información",E1246)))</formula>
    </cfRule>
  </conditionalFormatting>
  <conditionalFormatting sqref="E1246">
    <cfRule type="containsText" dxfId="4927" priority="6390" operator="containsText" text="NUEVO">
      <formula>NOT(ISERROR(SEARCH("NUEVO",E1246)))</formula>
    </cfRule>
  </conditionalFormatting>
  <conditionalFormatting sqref="C1249:D1249">
    <cfRule type="containsText" dxfId="4926" priority="6389" operator="containsText" text="NO+$D$4:$D$10">
      <formula>NOT(ISERROR(SEARCH("NO+$D$4:$D$10",C1249)))</formula>
    </cfRule>
  </conditionalFormatting>
  <conditionalFormatting sqref="C1249:D1249">
    <cfRule type="containsText" dxfId="4925" priority="6387" operator="containsText" text="SI">
      <formula>NOT(ISERROR(SEARCH("SI",C1249)))</formula>
    </cfRule>
    <cfRule type="containsText" dxfId="4924" priority="6388" operator="containsText" text="NO">
      <formula>NOT(ISERROR(SEARCH("NO",C1249)))</formula>
    </cfRule>
  </conditionalFormatting>
  <conditionalFormatting sqref="E1249">
    <cfRule type="containsText" dxfId="4923" priority="6386" operator="containsText" text="Sin información">
      <formula>NOT(ISERROR(SEARCH("Sin información",E1249)))</formula>
    </cfRule>
  </conditionalFormatting>
  <conditionalFormatting sqref="C1249:E1249">
    <cfRule type="containsText" dxfId="4922" priority="6385" operator="containsText" text="NUEVO">
      <formula>NOT(ISERROR(SEARCH("NUEVO",C1249)))</formula>
    </cfRule>
  </conditionalFormatting>
  <conditionalFormatting sqref="C1250:D1250">
    <cfRule type="containsText" dxfId="4921" priority="6384" operator="containsText" text="NO+$D$4:$D$10">
      <formula>NOT(ISERROR(SEARCH("NO+$D$4:$D$10",C1250)))</formula>
    </cfRule>
  </conditionalFormatting>
  <conditionalFormatting sqref="C1250:D1250">
    <cfRule type="containsText" dxfId="4920" priority="6382" operator="containsText" text="SI">
      <formula>NOT(ISERROR(SEARCH("SI",C1250)))</formula>
    </cfRule>
    <cfRule type="containsText" dxfId="4919" priority="6383" operator="containsText" text="NO">
      <formula>NOT(ISERROR(SEARCH("NO",C1250)))</formula>
    </cfRule>
  </conditionalFormatting>
  <conditionalFormatting sqref="C1250:D1250">
    <cfRule type="containsText" dxfId="4918" priority="6381" operator="containsText" text="NUEVO">
      <formula>NOT(ISERROR(SEARCH("NUEVO",C1250)))</formula>
    </cfRule>
  </conditionalFormatting>
  <conditionalFormatting sqref="E1250">
    <cfRule type="containsText" dxfId="4917" priority="6380" operator="containsText" text="Sin información">
      <formula>NOT(ISERROR(SEARCH("Sin información",E1250)))</formula>
    </cfRule>
  </conditionalFormatting>
  <conditionalFormatting sqref="E1250">
    <cfRule type="containsText" dxfId="4916" priority="6379" operator="containsText" text="NUEVO">
      <formula>NOT(ISERROR(SEARCH("NUEVO",E1250)))</formula>
    </cfRule>
  </conditionalFormatting>
  <conditionalFormatting sqref="C1251:D1251">
    <cfRule type="containsText" dxfId="4915" priority="6378" operator="containsText" text="NO+$D$4:$D$10">
      <formula>NOT(ISERROR(SEARCH("NO+$D$4:$D$10",C1251)))</formula>
    </cfRule>
  </conditionalFormatting>
  <conditionalFormatting sqref="C1251:D1251">
    <cfRule type="containsText" dxfId="4914" priority="6376" operator="containsText" text="SI">
      <formula>NOT(ISERROR(SEARCH("SI",C1251)))</formula>
    </cfRule>
    <cfRule type="containsText" dxfId="4913" priority="6377" operator="containsText" text="NO">
      <formula>NOT(ISERROR(SEARCH("NO",C1251)))</formula>
    </cfRule>
  </conditionalFormatting>
  <conditionalFormatting sqref="C1251:D1251">
    <cfRule type="containsText" dxfId="4912" priority="6375" operator="containsText" text="NUEVO">
      <formula>NOT(ISERROR(SEARCH("NUEVO",C1251)))</formula>
    </cfRule>
  </conditionalFormatting>
  <conditionalFormatting sqref="E1251">
    <cfRule type="containsText" dxfId="4911" priority="6374" operator="containsText" text="Sin información">
      <formula>NOT(ISERROR(SEARCH("Sin información",E1251)))</formula>
    </cfRule>
  </conditionalFormatting>
  <conditionalFormatting sqref="E1251">
    <cfRule type="containsText" dxfId="4910" priority="6373" operator="containsText" text="NUEVO">
      <formula>NOT(ISERROR(SEARCH("NUEVO",E1251)))</formula>
    </cfRule>
  </conditionalFormatting>
  <conditionalFormatting sqref="C1252:D1252">
    <cfRule type="containsText" dxfId="4909" priority="6372" operator="containsText" text="NO+$D$4:$D$10">
      <formula>NOT(ISERROR(SEARCH("NO+$D$4:$D$10",C1252)))</formula>
    </cfRule>
  </conditionalFormatting>
  <conditionalFormatting sqref="C1252:D1252">
    <cfRule type="containsText" dxfId="4908" priority="6370" operator="containsText" text="SI">
      <formula>NOT(ISERROR(SEARCH("SI",C1252)))</formula>
    </cfRule>
    <cfRule type="containsText" dxfId="4907" priority="6371" operator="containsText" text="NO">
      <formula>NOT(ISERROR(SEARCH("NO",C1252)))</formula>
    </cfRule>
  </conditionalFormatting>
  <conditionalFormatting sqref="E1252">
    <cfRule type="containsText" dxfId="4906" priority="6369" operator="containsText" text="Sin información">
      <formula>NOT(ISERROR(SEARCH("Sin información",E1252)))</formula>
    </cfRule>
  </conditionalFormatting>
  <conditionalFormatting sqref="C1252:E1252">
    <cfRule type="containsText" dxfId="4905" priority="6368" operator="containsText" text="NUEVO">
      <formula>NOT(ISERROR(SEARCH("NUEVO",C1252)))</formula>
    </cfRule>
  </conditionalFormatting>
  <conditionalFormatting sqref="C1253:D1253">
    <cfRule type="containsText" dxfId="4904" priority="6367" operator="containsText" text="NO+$D$4:$D$10">
      <formula>NOT(ISERROR(SEARCH("NO+$D$4:$D$10",C1253)))</formula>
    </cfRule>
  </conditionalFormatting>
  <conditionalFormatting sqref="C1253:D1253">
    <cfRule type="containsText" dxfId="4903" priority="6365" operator="containsText" text="SI">
      <formula>NOT(ISERROR(SEARCH("SI",C1253)))</formula>
    </cfRule>
    <cfRule type="containsText" dxfId="4902" priority="6366" operator="containsText" text="NO">
      <formula>NOT(ISERROR(SEARCH("NO",C1253)))</formula>
    </cfRule>
  </conditionalFormatting>
  <conditionalFormatting sqref="E1253">
    <cfRule type="containsText" dxfId="4901" priority="6364" operator="containsText" text="Sin información">
      <formula>NOT(ISERROR(SEARCH("Sin información",E1253)))</formula>
    </cfRule>
  </conditionalFormatting>
  <conditionalFormatting sqref="C1253:E1253">
    <cfRule type="containsText" dxfId="4900" priority="6363" operator="containsText" text="NUEVO">
      <formula>NOT(ISERROR(SEARCH("NUEVO",C1253)))</formula>
    </cfRule>
  </conditionalFormatting>
  <conditionalFormatting sqref="C1254:D1254">
    <cfRule type="containsText" dxfId="4899" priority="6362" operator="containsText" text="NO+$D$4:$D$10">
      <formula>NOT(ISERROR(SEARCH("NO+$D$4:$D$10",C1254)))</formula>
    </cfRule>
  </conditionalFormatting>
  <conditionalFormatting sqref="C1254:D1254">
    <cfRule type="containsText" dxfId="4898" priority="6360" operator="containsText" text="SI">
      <formula>NOT(ISERROR(SEARCH("SI",C1254)))</formula>
    </cfRule>
    <cfRule type="containsText" dxfId="4897" priority="6361" operator="containsText" text="NO">
      <formula>NOT(ISERROR(SEARCH("NO",C1254)))</formula>
    </cfRule>
  </conditionalFormatting>
  <conditionalFormatting sqref="E1254">
    <cfRule type="containsText" dxfId="4896" priority="6359" operator="containsText" text="Sin información">
      <formula>NOT(ISERROR(SEARCH("Sin información",E1254)))</formula>
    </cfRule>
  </conditionalFormatting>
  <conditionalFormatting sqref="C1254:E1254">
    <cfRule type="containsText" dxfId="4895" priority="6358" operator="containsText" text="NUEVO">
      <formula>NOT(ISERROR(SEARCH("NUEVO",C1254)))</formula>
    </cfRule>
  </conditionalFormatting>
  <conditionalFormatting sqref="C1255:D1255">
    <cfRule type="containsText" dxfId="4894" priority="6357" operator="containsText" text="NO+$D$4:$D$10">
      <formula>NOT(ISERROR(SEARCH("NO+$D$4:$D$10",C1255)))</formula>
    </cfRule>
  </conditionalFormatting>
  <conditionalFormatting sqref="C1255:D1255">
    <cfRule type="containsText" dxfId="4893" priority="6355" operator="containsText" text="SI">
      <formula>NOT(ISERROR(SEARCH("SI",C1255)))</formula>
    </cfRule>
    <cfRule type="containsText" dxfId="4892" priority="6356" operator="containsText" text="NO">
      <formula>NOT(ISERROR(SEARCH("NO",C1255)))</formula>
    </cfRule>
  </conditionalFormatting>
  <conditionalFormatting sqref="C1255:D1255">
    <cfRule type="containsText" dxfId="4891" priority="6354" operator="containsText" text="NUEVO">
      <formula>NOT(ISERROR(SEARCH("NUEVO",C1255)))</formula>
    </cfRule>
  </conditionalFormatting>
  <conditionalFormatting sqref="E1255">
    <cfRule type="containsText" dxfId="4890" priority="6353" operator="containsText" text="Sin información">
      <formula>NOT(ISERROR(SEARCH("Sin información",E1255)))</formula>
    </cfRule>
  </conditionalFormatting>
  <conditionalFormatting sqref="E1255">
    <cfRule type="containsText" dxfId="4889" priority="6352" operator="containsText" text="NUEVO">
      <formula>NOT(ISERROR(SEARCH("NUEVO",E1255)))</formula>
    </cfRule>
  </conditionalFormatting>
  <conditionalFormatting sqref="C1256:D1256">
    <cfRule type="containsText" dxfId="4888" priority="6351" operator="containsText" text="NO+$D$4:$D$10">
      <formula>NOT(ISERROR(SEARCH("NO+$D$4:$D$10",C1256)))</formula>
    </cfRule>
  </conditionalFormatting>
  <conditionalFormatting sqref="C1256:D1256">
    <cfRule type="containsText" dxfId="4887" priority="6349" operator="containsText" text="SI">
      <formula>NOT(ISERROR(SEARCH("SI",C1256)))</formula>
    </cfRule>
    <cfRule type="containsText" dxfId="4886" priority="6350" operator="containsText" text="NO">
      <formula>NOT(ISERROR(SEARCH("NO",C1256)))</formula>
    </cfRule>
  </conditionalFormatting>
  <conditionalFormatting sqref="E1256">
    <cfRule type="containsText" dxfId="4885" priority="6348" operator="containsText" text="Sin información">
      <formula>NOT(ISERROR(SEARCH("Sin información",E1256)))</formula>
    </cfRule>
  </conditionalFormatting>
  <conditionalFormatting sqref="C1256:E1256">
    <cfRule type="containsText" dxfId="4884" priority="6347" operator="containsText" text="NUEVO">
      <formula>NOT(ISERROR(SEARCH("NUEVO",C1256)))</formula>
    </cfRule>
  </conditionalFormatting>
  <conditionalFormatting sqref="C1257:D1257">
    <cfRule type="containsText" dxfId="4883" priority="6346" operator="containsText" text="NO+$D$4:$D$10">
      <formula>NOT(ISERROR(SEARCH("NO+$D$4:$D$10",C1257)))</formula>
    </cfRule>
  </conditionalFormatting>
  <conditionalFormatting sqref="C1257:D1257">
    <cfRule type="containsText" dxfId="4882" priority="6344" operator="containsText" text="SI">
      <formula>NOT(ISERROR(SEARCH("SI",C1257)))</formula>
    </cfRule>
    <cfRule type="containsText" dxfId="4881" priority="6345" operator="containsText" text="NO">
      <formula>NOT(ISERROR(SEARCH("NO",C1257)))</formula>
    </cfRule>
  </conditionalFormatting>
  <conditionalFormatting sqref="E1257">
    <cfRule type="containsText" dxfId="4880" priority="6343" operator="containsText" text="Sin información">
      <formula>NOT(ISERROR(SEARCH("Sin información",E1257)))</formula>
    </cfRule>
  </conditionalFormatting>
  <conditionalFormatting sqref="C1257:E1257">
    <cfRule type="containsText" dxfId="4879" priority="6342" operator="containsText" text="NUEVO">
      <formula>NOT(ISERROR(SEARCH("NUEVO",C1257)))</formula>
    </cfRule>
  </conditionalFormatting>
  <conditionalFormatting sqref="C1260:D1260">
    <cfRule type="containsText" dxfId="4878" priority="6341" operator="containsText" text="NO+$D$4:$D$10">
      <formula>NOT(ISERROR(SEARCH("NO+$D$4:$D$10",C1260)))</formula>
    </cfRule>
  </conditionalFormatting>
  <conditionalFormatting sqref="C1260:D1260">
    <cfRule type="containsText" dxfId="4877" priority="6339" operator="containsText" text="SI">
      <formula>NOT(ISERROR(SEARCH("SI",C1260)))</formula>
    </cfRule>
    <cfRule type="containsText" dxfId="4876" priority="6340" operator="containsText" text="NO">
      <formula>NOT(ISERROR(SEARCH("NO",C1260)))</formula>
    </cfRule>
  </conditionalFormatting>
  <conditionalFormatting sqref="C1260:D1260">
    <cfRule type="containsText" dxfId="4875" priority="6338" operator="containsText" text="NUEVO">
      <formula>NOT(ISERROR(SEARCH("NUEVO",C1260)))</formula>
    </cfRule>
  </conditionalFormatting>
  <conditionalFormatting sqref="E1260">
    <cfRule type="containsText" dxfId="4874" priority="6336" operator="containsText" text="NUEVO">
      <formula>NOT(ISERROR(SEARCH("NUEVO",E1260)))</formula>
    </cfRule>
  </conditionalFormatting>
  <conditionalFormatting sqref="E1260">
    <cfRule type="containsText" dxfId="4873" priority="6337" operator="containsText" text="Sin información">
      <formula>NOT(ISERROR(SEARCH("Sin información",E1260)))</formula>
    </cfRule>
  </conditionalFormatting>
  <conditionalFormatting sqref="C1261:D1261">
    <cfRule type="containsText" dxfId="4872" priority="6335" operator="containsText" text="NO+$D$4:$D$10">
      <formula>NOT(ISERROR(SEARCH("NO+$D$4:$D$10",C1261)))</formula>
    </cfRule>
  </conditionalFormatting>
  <conditionalFormatting sqref="C1261:D1261">
    <cfRule type="containsText" dxfId="4871" priority="6333" operator="containsText" text="SI">
      <formula>NOT(ISERROR(SEARCH("SI",C1261)))</formula>
    </cfRule>
    <cfRule type="containsText" dxfId="4870" priority="6334" operator="containsText" text="NO">
      <formula>NOT(ISERROR(SEARCH("NO",C1261)))</formula>
    </cfRule>
  </conditionalFormatting>
  <conditionalFormatting sqref="E1261">
    <cfRule type="containsText" dxfId="4869" priority="6332" operator="containsText" text="Sin información">
      <formula>NOT(ISERROR(SEARCH("Sin información",E1261)))</formula>
    </cfRule>
  </conditionalFormatting>
  <conditionalFormatting sqref="C1261:E1261">
    <cfRule type="containsText" dxfId="4868" priority="6331" operator="containsText" text="NUEVO">
      <formula>NOT(ISERROR(SEARCH("NUEVO",C1261)))</formula>
    </cfRule>
  </conditionalFormatting>
  <conditionalFormatting sqref="C1262:D1262">
    <cfRule type="containsText" dxfId="4867" priority="6330" operator="containsText" text="NO+$D$4:$D$10">
      <formula>NOT(ISERROR(SEARCH("NO+$D$4:$D$10",C1262)))</formula>
    </cfRule>
  </conditionalFormatting>
  <conditionalFormatting sqref="C1262:D1262">
    <cfRule type="containsText" dxfId="4866" priority="6328" operator="containsText" text="SI">
      <formula>NOT(ISERROR(SEARCH("SI",C1262)))</formula>
    </cfRule>
    <cfRule type="containsText" dxfId="4865" priority="6329" operator="containsText" text="NO">
      <formula>NOT(ISERROR(SEARCH("NO",C1262)))</formula>
    </cfRule>
  </conditionalFormatting>
  <conditionalFormatting sqref="E1262">
    <cfRule type="containsText" dxfId="4864" priority="6327" operator="containsText" text="Sin información">
      <formula>NOT(ISERROR(SEARCH("Sin información",E1262)))</formula>
    </cfRule>
  </conditionalFormatting>
  <conditionalFormatting sqref="C1262:E1262">
    <cfRule type="containsText" dxfId="4863" priority="6326" operator="containsText" text="NUEVO">
      <formula>NOT(ISERROR(SEARCH("NUEVO",C1262)))</formula>
    </cfRule>
  </conditionalFormatting>
  <conditionalFormatting sqref="C1263:D1263">
    <cfRule type="containsText" dxfId="4862" priority="6325" operator="containsText" text="NO+$D$4:$D$10">
      <formula>NOT(ISERROR(SEARCH("NO+$D$4:$D$10",C1263)))</formula>
    </cfRule>
  </conditionalFormatting>
  <conditionalFormatting sqref="C1263:D1263">
    <cfRule type="containsText" dxfId="4861" priority="6323" operator="containsText" text="SI">
      <formula>NOT(ISERROR(SEARCH("SI",C1263)))</formula>
    </cfRule>
    <cfRule type="containsText" dxfId="4860" priority="6324" operator="containsText" text="NO">
      <formula>NOT(ISERROR(SEARCH("NO",C1263)))</formula>
    </cfRule>
  </conditionalFormatting>
  <conditionalFormatting sqref="E1263">
    <cfRule type="containsText" dxfId="4859" priority="6322" operator="containsText" text="Sin información">
      <formula>NOT(ISERROR(SEARCH("Sin información",E1263)))</formula>
    </cfRule>
  </conditionalFormatting>
  <conditionalFormatting sqref="C1263:E1263">
    <cfRule type="containsText" dxfId="4858" priority="6321" operator="containsText" text="NUEVO">
      <formula>NOT(ISERROR(SEARCH("NUEVO",C1263)))</formula>
    </cfRule>
  </conditionalFormatting>
  <conditionalFormatting sqref="E1267">
    <cfRule type="containsText" dxfId="4857" priority="6318" operator="containsText" text="Sin información">
      <formula>NOT(ISERROR(SEARCH("Sin información",E1267)))</formula>
    </cfRule>
  </conditionalFormatting>
  <conditionalFormatting sqref="E1267">
    <cfRule type="containsText" dxfId="4856" priority="6317" operator="containsText" text="NUEVO">
      <formula>NOT(ISERROR(SEARCH("NUEVO",E1267)))</formula>
    </cfRule>
  </conditionalFormatting>
  <conditionalFormatting sqref="C1268:D1268">
    <cfRule type="containsText" dxfId="4855" priority="6316" operator="containsText" text="NO+$D$4:$D$10">
      <formula>NOT(ISERROR(SEARCH("NO+$D$4:$D$10",C1268)))</formula>
    </cfRule>
  </conditionalFormatting>
  <conditionalFormatting sqref="C1268:D1268">
    <cfRule type="containsText" dxfId="4854" priority="6314" operator="containsText" text="SI">
      <formula>NOT(ISERROR(SEARCH("SI",C1268)))</formula>
    </cfRule>
    <cfRule type="containsText" dxfId="4853" priority="6315" operator="containsText" text="NO">
      <formula>NOT(ISERROR(SEARCH("NO",C1268)))</formula>
    </cfRule>
  </conditionalFormatting>
  <conditionalFormatting sqref="E1268">
    <cfRule type="containsText" dxfId="4852" priority="6313" operator="containsText" text="Sin información">
      <formula>NOT(ISERROR(SEARCH("Sin información",E1268)))</formula>
    </cfRule>
  </conditionalFormatting>
  <conditionalFormatting sqref="C1268:E1268">
    <cfRule type="containsText" dxfId="4851" priority="6312" operator="containsText" text="NUEVO">
      <formula>NOT(ISERROR(SEARCH("NUEVO",C1268)))</formula>
    </cfRule>
  </conditionalFormatting>
  <conditionalFormatting sqref="C1269:D1269">
    <cfRule type="containsText" dxfId="4850" priority="6311" operator="containsText" text="NO+$D$4:$D$10">
      <formula>NOT(ISERROR(SEARCH("NO+$D$4:$D$10",C1269)))</formula>
    </cfRule>
  </conditionalFormatting>
  <conditionalFormatting sqref="C1269:D1269">
    <cfRule type="containsText" dxfId="4849" priority="6309" operator="containsText" text="SI">
      <formula>NOT(ISERROR(SEARCH("SI",C1269)))</formula>
    </cfRule>
    <cfRule type="containsText" dxfId="4848" priority="6310" operator="containsText" text="NO">
      <formula>NOT(ISERROR(SEARCH("NO",C1269)))</formula>
    </cfRule>
  </conditionalFormatting>
  <conditionalFormatting sqref="E1269">
    <cfRule type="containsText" dxfId="4847" priority="6308" operator="containsText" text="Sin información">
      <formula>NOT(ISERROR(SEARCH("Sin información",E1269)))</formula>
    </cfRule>
  </conditionalFormatting>
  <conditionalFormatting sqref="C1269:E1269">
    <cfRule type="containsText" dxfId="4846" priority="6307" operator="containsText" text="NUEVO">
      <formula>NOT(ISERROR(SEARCH("NUEVO",C1269)))</formula>
    </cfRule>
  </conditionalFormatting>
  <conditionalFormatting sqref="C1270:D1270">
    <cfRule type="containsText" dxfId="4845" priority="6306" operator="containsText" text="NO+$D$4:$D$10">
      <formula>NOT(ISERROR(SEARCH("NO+$D$4:$D$10",C1270)))</formula>
    </cfRule>
  </conditionalFormatting>
  <conditionalFormatting sqref="C1270:D1270">
    <cfRule type="containsText" dxfId="4844" priority="6304" operator="containsText" text="SI">
      <formula>NOT(ISERROR(SEARCH("SI",C1270)))</formula>
    </cfRule>
    <cfRule type="containsText" dxfId="4843" priority="6305" operator="containsText" text="NO">
      <formula>NOT(ISERROR(SEARCH("NO",C1270)))</formula>
    </cfRule>
  </conditionalFormatting>
  <conditionalFormatting sqref="E1270">
    <cfRule type="containsText" dxfId="4842" priority="6303" operator="containsText" text="Sin información">
      <formula>NOT(ISERROR(SEARCH("Sin información",E1270)))</formula>
    </cfRule>
  </conditionalFormatting>
  <conditionalFormatting sqref="C1270:E1270">
    <cfRule type="containsText" dxfId="4841" priority="6302" operator="containsText" text="NUEVO">
      <formula>NOT(ISERROR(SEARCH("NUEVO",C1270)))</formula>
    </cfRule>
  </conditionalFormatting>
  <conditionalFormatting sqref="E1270">
    <cfRule type="containsText" dxfId="4840" priority="6301" operator="containsText" text="Sin Información">
      <formula>NOT(ISERROR(SEARCH("Sin Información",E1270)))</formula>
    </cfRule>
  </conditionalFormatting>
  <conditionalFormatting sqref="C1271:D1271">
    <cfRule type="containsText" dxfId="4839" priority="6300" operator="containsText" text="NO+$D$4:$D$10">
      <formula>NOT(ISERROR(SEARCH("NO+$D$4:$D$10",C1271)))</formula>
    </cfRule>
  </conditionalFormatting>
  <conditionalFormatting sqref="C1271:D1271">
    <cfRule type="containsText" dxfId="4838" priority="6298" operator="containsText" text="SI">
      <formula>NOT(ISERROR(SEARCH("SI",C1271)))</formula>
    </cfRule>
    <cfRule type="containsText" dxfId="4837" priority="6299" operator="containsText" text="NO">
      <formula>NOT(ISERROR(SEARCH("NO",C1271)))</formula>
    </cfRule>
  </conditionalFormatting>
  <conditionalFormatting sqref="E1271">
    <cfRule type="containsText" dxfId="4836" priority="6297" operator="containsText" text="Sin información">
      <formula>NOT(ISERROR(SEARCH("Sin información",E1271)))</formula>
    </cfRule>
  </conditionalFormatting>
  <conditionalFormatting sqref="C1271:E1271">
    <cfRule type="containsText" dxfId="4835" priority="6296" operator="containsText" text="NUEVO">
      <formula>NOT(ISERROR(SEARCH("NUEVO",C1271)))</formula>
    </cfRule>
  </conditionalFormatting>
  <conditionalFormatting sqref="C1272:D1272">
    <cfRule type="containsText" dxfId="4834" priority="6295" operator="containsText" text="NO+$D$4:$D$10">
      <formula>NOT(ISERROR(SEARCH("NO+$D$4:$D$10",C1272)))</formula>
    </cfRule>
  </conditionalFormatting>
  <conditionalFormatting sqref="C1272:D1272">
    <cfRule type="containsText" dxfId="4833" priority="6293" operator="containsText" text="SI">
      <formula>NOT(ISERROR(SEARCH("SI",C1272)))</formula>
    </cfRule>
    <cfRule type="containsText" dxfId="4832" priority="6294" operator="containsText" text="NO">
      <formula>NOT(ISERROR(SEARCH("NO",C1272)))</formula>
    </cfRule>
  </conditionalFormatting>
  <conditionalFormatting sqref="E1272">
    <cfRule type="containsText" dxfId="4831" priority="6292" operator="containsText" text="Sin información">
      <formula>NOT(ISERROR(SEARCH("Sin información",E1272)))</formula>
    </cfRule>
  </conditionalFormatting>
  <conditionalFormatting sqref="C1272:E1272">
    <cfRule type="containsText" dxfId="4830" priority="6291" operator="containsText" text="NUEVO">
      <formula>NOT(ISERROR(SEARCH("NUEVO",C1272)))</formula>
    </cfRule>
  </conditionalFormatting>
  <conditionalFormatting sqref="C1273:D1276">
    <cfRule type="containsText" dxfId="4829" priority="6285" operator="containsText" text="NO+$D$4:$D$10">
      <formula>NOT(ISERROR(SEARCH("NO+$D$4:$D$10",C1273)))</formula>
    </cfRule>
  </conditionalFormatting>
  <conditionalFormatting sqref="C1273:D1276">
    <cfRule type="containsText" dxfId="4828" priority="6283" operator="containsText" text="SI">
      <formula>NOT(ISERROR(SEARCH("SI",C1273)))</formula>
    </cfRule>
    <cfRule type="containsText" dxfId="4827" priority="6284" operator="containsText" text="NO">
      <formula>NOT(ISERROR(SEARCH("NO",C1273)))</formula>
    </cfRule>
  </conditionalFormatting>
  <conditionalFormatting sqref="E1273:E1276">
    <cfRule type="containsText" dxfId="4826" priority="6282" operator="containsText" text="Sin información">
      <formula>NOT(ISERROR(SEARCH("Sin información",E1273)))</formula>
    </cfRule>
  </conditionalFormatting>
  <conditionalFormatting sqref="C1273:E1276">
    <cfRule type="containsText" dxfId="4825" priority="6281" operator="containsText" text="NUEVO">
      <formula>NOT(ISERROR(SEARCH("NUEVO",C1273)))</formula>
    </cfRule>
  </conditionalFormatting>
  <conditionalFormatting sqref="C1277:D1277">
    <cfRule type="containsText" dxfId="4824" priority="6280" operator="containsText" text="NO+$D$4:$D$10">
      <formula>NOT(ISERROR(SEARCH("NO+$D$4:$D$10",C1277)))</formula>
    </cfRule>
  </conditionalFormatting>
  <conditionalFormatting sqref="C1277:D1277">
    <cfRule type="containsText" dxfId="4823" priority="6278" operator="containsText" text="SI">
      <formula>NOT(ISERROR(SEARCH("SI",C1277)))</formula>
    </cfRule>
    <cfRule type="containsText" dxfId="4822" priority="6279" operator="containsText" text="NO">
      <formula>NOT(ISERROR(SEARCH("NO",C1277)))</formula>
    </cfRule>
  </conditionalFormatting>
  <conditionalFormatting sqref="C1277:D1277">
    <cfRule type="containsText" dxfId="4821" priority="6276" operator="containsText" text="NUEVO">
      <formula>NOT(ISERROR(SEARCH("NUEVO",C1277)))</formula>
    </cfRule>
  </conditionalFormatting>
  <conditionalFormatting sqref="E1277">
    <cfRule type="containsText" dxfId="4820" priority="6275" operator="containsText" text="Sin información">
      <formula>NOT(ISERROR(SEARCH("Sin información",E1277)))</formula>
    </cfRule>
  </conditionalFormatting>
  <conditionalFormatting sqref="E1277">
    <cfRule type="containsText" dxfId="4819" priority="6274" operator="containsText" text="NUEVO">
      <formula>NOT(ISERROR(SEARCH("NUEVO",E1277)))</formula>
    </cfRule>
  </conditionalFormatting>
  <conditionalFormatting sqref="C1278:D1278">
    <cfRule type="containsText" dxfId="4818" priority="6273" operator="containsText" text="NO+$D$4:$D$10">
      <formula>NOT(ISERROR(SEARCH("NO+$D$4:$D$10",C1278)))</formula>
    </cfRule>
  </conditionalFormatting>
  <conditionalFormatting sqref="C1278:D1278">
    <cfRule type="containsText" dxfId="4817" priority="6271" operator="containsText" text="SI">
      <formula>NOT(ISERROR(SEARCH("SI",C1278)))</formula>
    </cfRule>
    <cfRule type="containsText" dxfId="4816" priority="6272" operator="containsText" text="NO">
      <formula>NOT(ISERROR(SEARCH("NO",C1278)))</formula>
    </cfRule>
  </conditionalFormatting>
  <conditionalFormatting sqref="E1278">
    <cfRule type="containsText" dxfId="4815" priority="6270" operator="containsText" text="Sin información">
      <formula>NOT(ISERROR(SEARCH("Sin información",E1278)))</formula>
    </cfRule>
  </conditionalFormatting>
  <conditionalFormatting sqref="C1278:E1278">
    <cfRule type="containsText" dxfId="4814" priority="6269" operator="containsText" text="NUEVO">
      <formula>NOT(ISERROR(SEARCH("NUEVO",C1278)))</formula>
    </cfRule>
  </conditionalFormatting>
  <conditionalFormatting sqref="C1279:D1279">
    <cfRule type="containsText" dxfId="4813" priority="6268" operator="containsText" text="NO+$D$4:$D$10">
      <formula>NOT(ISERROR(SEARCH("NO+$D$4:$D$10",C1279)))</formula>
    </cfRule>
  </conditionalFormatting>
  <conditionalFormatting sqref="C1279:D1279">
    <cfRule type="containsText" dxfId="4812" priority="6266" operator="containsText" text="SI">
      <formula>NOT(ISERROR(SEARCH("SI",C1279)))</formula>
    </cfRule>
    <cfRule type="containsText" dxfId="4811" priority="6267" operator="containsText" text="NO">
      <formula>NOT(ISERROR(SEARCH("NO",C1279)))</formula>
    </cfRule>
  </conditionalFormatting>
  <conditionalFormatting sqref="E1279">
    <cfRule type="containsText" dxfId="4810" priority="6265" operator="containsText" text="Sin información">
      <formula>NOT(ISERROR(SEARCH("Sin información",E1279)))</formula>
    </cfRule>
  </conditionalFormatting>
  <conditionalFormatting sqref="C1279:E1279">
    <cfRule type="containsText" dxfId="4809" priority="6264" operator="containsText" text="NUEVO">
      <formula>NOT(ISERROR(SEARCH("NUEVO",C1279)))</formula>
    </cfRule>
  </conditionalFormatting>
  <conditionalFormatting sqref="E1279">
    <cfRule type="containsText" dxfId="4808" priority="6263" operator="containsText" text="Sin Información">
      <formula>NOT(ISERROR(SEARCH("Sin Información",E1279)))</formula>
    </cfRule>
  </conditionalFormatting>
  <conditionalFormatting sqref="E1280">
    <cfRule type="containsText" dxfId="4807" priority="6262" operator="containsText" text="Sin información">
      <formula>NOT(ISERROR(SEARCH("Sin información",E1280)))</formula>
    </cfRule>
  </conditionalFormatting>
  <conditionalFormatting sqref="E1280">
    <cfRule type="containsText" dxfId="4806" priority="6261" operator="containsText" text="NUEVO">
      <formula>NOT(ISERROR(SEARCH("NUEVO",E1280)))</formula>
    </cfRule>
  </conditionalFormatting>
  <conditionalFormatting sqref="E1280">
    <cfRule type="containsText" dxfId="4805" priority="6260" operator="containsText" text="Sin Información">
      <formula>NOT(ISERROR(SEARCH("Sin Información",E1280)))</formula>
    </cfRule>
  </conditionalFormatting>
  <conditionalFormatting sqref="E1281:E1287">
    <cfRule type="containsText" dxfId="4804" priority="6259" operator="containsText" text="Sin información">
      <formula>NOT(ISERROR(SEARCH("Sin información",E1281)))</formula>
    </cfRule>
  </conditionalFormatting>
  <conditionalFormatting sqref="E1281:E1287">
    <cfRule type="containsText" dxfId="4803" priority="6258" operator="containsText" text="NUEVO">
      <formula>NOT(ISERROR(SEARCH("NUEVO",E1281)))</formula>
    </cfRule>
  </conditionalFormatting>
  <conditionalFormatting sqref="C1291:D1291">
    <cfRule type="containsText" dxfId="4802" priority="6257" operator="containsText" text="NO+$D$4:$D$10">
      <formula>NOT(ISERROR(SEARCH("NO+$D$4:$D$10",C1291)))</formula>
    </cfRule>
  </conditionalFormatting>
  <conditionalFormatting sqref="C1291:D1291">
    <cfRule type="containsText" dxfId="4801" priority="6255" operator="containsText" text="SI">
      <formula>NOT(ISERROR(SEARCH("SI",C1291)))</formula>
    </cfRule>
    <cfRule type="containsText" dxfId="4800" priority="6256" operator="containsText" text="NO">
      <formula>NOT(ISERROR(SEARCH("NO",C1291)))</formula>
    </cfRule>
  </conditionalFormatting>
  <conditionalFormatting sqref="C1291:D1291">
    <cfRule type="containsText" dxfId="4799" priority="6254" operator="containsText" text="NUEVO">
      <formula>NOT(ISERROR(SEARCH("NUEVO",C1291)))</formula>
    </cfRule>
  </conditionalFormatting>
  <conditionalFormatting sqref="E1291">
    <cfRule type="containsText" dxfId="4798" priority="6253" operator="containsText" text="Sin información">
      <formula>NOT(ISERROR(SEARCH("Sin información",E1291)))</formula>
    </cfRule>
  </conditionalFormatting>
  <conditionalFormatting sqref="E1291">
    <cfRule type="containsText" dxfId="4797" priority="6252" operator="containsText" text="NUEVO">
      <formula>NOT(ISERROR(SEARCH("NUEVO",E1291)))</formula>
    </cfRule>
  </conditionalFormatting>
  <conditionalFormatting sqref="C1292:D1293">
    <cfRule type="containsText" dxfId="4796" priority="6251" operator="containsText" text="NO+$D$4:$D$10">
      <formula>NOT(ISERROR(SEARCH("NO+$D$4:$D$10",C1292)))</formula>
    </cfRule>
  </conditionalFormatting>
  <conditionalFormatting sqref="C1292:D1293">
    <cfRule type="containsText" dxfId="4795" priority="6249" operator="containsText" text="SI">
      <formula>NOT(ISERROR(SEARCH("SI",C1292)))</formula>
    </cfRule>
    <cfRule type="containsText" dxfId="4794" priority="6250" operator="containsText" text="NO">
      <formula>NOT(ISERROR(SEARCH("NO",C1292)))</formula>
    </cfRule>
  </conditionalFormatting>
  <conditionalFormatting sqref="E1292">
    <cfRule type="containsText" dxfId="4793" priority="6248" operator="containsText" text="Sin información">
      <formula>NOT(ISERROR(SEARCH("Sin información",E1292)))</formula>
    </cfRule>
  </conditionalFormatting>
  <conditionalFormatting sqref="E1292 C1292:D1293">
    <cfRule type="containsText" dxfId="4792" priority="6247" operator="containsText" text="NUEVO">
      <formula>NOT(ISERROR(SEARCH("NUEVO",C1292)))</formula>
    </cfRule>
  </conditionalFormatting>
  <conditionalFormatting sqref="E1292">
    <cfRule type="containsText" dxfId="4791" priority="6246" operator="containsText" text="Sin Información">
      <formula>NOT(ISERROR(SEARCH("Sin Información",E1292)))</formula>
    </cfRule>
  </conditionalFormatting>
  <conditionalFormatting sqref="E1293">
    <cfRule type="containsText" dxfId="4790" priority="6245" operator="containsText" text="Sin información">
      <formula>NOT(ISERROR(SEARCH("Sin información",E1293)))</formula>
    </cfRule>
  </conditionalFormatting>
  <conditionalFormatting sqref="E1293">
    <cfRule type="containsText" dxfId="4789" priority="6244" operator="containsText" text="NUEVO">
      <formula>NOT(ISERROR(SEARCH("NUEVO",E1293)))</formula>
    </cfRule>
  </conditionalFormatting>
  <conditionalFormatting sqref="E1293">
    <cfRule type="containsText" dxfId="4788" priority="6243" operator="containsText" text="Sin Información">
      <formula>NOT(ISERROR(SEARCH("Sin Información",E1293)))</formula>
    </cfRule>
  </conditionalFormatting>
  <conditionalFormatting sqref="C1294:D1294">
    <cfRule type="containsText" dxfId="4787" priority="6242" operator="containsText" text="NO+$D$4:$D$10">
      <formula>NOT(ISERROR(SEARCH("NO+$D$4:$D$10",C1294)))</formula>
    </cfRule>
  </conditionalFormatting>
  <conditionalFormatting sqref="C1294:D1294">
    <cfRule type="containsText" dxfId="4786" priority="6240" operator="containsText" text="SI">
      <formula>NOT(ISERROR(SEARCH("SI",C1294)))</formula>
    </cfRule>
    <cfRule type="containsText" dxfId="4785" priority="6241" operator="containsText" text="NO">
      <formula>NOT(ISERROR(SEARCH("NO",C1294)))</formula>
    </cfRule>
  </conditionalFormatting>
  <conditionalFormatting sqref="E1294">
    <cfRule type="containsText" dxfId="4784" priority="6239" operator="containsText" text="Sin información">
      <formula>NOT(ISERROR(SEARCH("Sin información",E1294)))</formula>
    </cfRule>
  </conditionalFormatting>
  <conditionalFormatting sqref="C1294:E1294">
    <cfRule type="containsText" dxfId="4783" priority="6238" operator="containsText" text="NUEVO">
      <formula>NOT(ISERROR(SEARCH("NUEVO",C1294)))</formula>
    </cfRule>
  </conditionalFormatting>
  <conditionalFormatting sqref="C1295:E1295">
    <cfRule type="containsText" dxfId="4782" priority="6233" operator="containsText" text="NUEVO">
      <formula>NOT(ISERROR(SEARCH("NUEVO",C1295)))</formula>
    </cfRule>
  </conditionalFormatting>
  <conditionalFormatting sqref="C1295:D1295">
    <cfRule type="containsText" dxfId="4781" priority="6237" operator="containsText" text="NO+$D$4:$D$10">
      <formula>NOT(ISERROR(SEARCH("NO+$D$4:$D$10",C1295)))</formula>
    </cfRule>
  </conditionalFormatting>
  <conditionalFormatting sqref="C1295:D1295">
    <cfRule type="containsText" dxfId="4780" priority="6235" operator="containsText" text="SI">
      <formula>NOT(ISERROR(SEARCH("SI",C1295)))</formula>
    </cfRule>
    <cfRule type="containsText" dxfId="4779" priority="6236" operator="containsText" text="NO">
      <formula>NOT(ISERROR(SEARCH("NO",C1295)))</formula>
    </cfRule>
  </conditionalFormatting>
  <conditionalFormatting sqref="E1295">
    <cfRule type="containsText" dxfId="4778" priority="6234" operator="containsText" text="Sin información">
      <formula>NOT(ISERROR(SEARCH("Sin información",E1295)))</formula>
    </cfRule>
  </conditionalFormatting>
  <conditionalFormatting sqref="C1296:D1296">
    <cfRule type="containsText" dxfId="4777" priority="6232" operator="containsText" text="NO+$D$4:$D$10">
      <formula>NOT(ISERROR(SEARCH("NO+$D$4:$D$10",C1296)))</formula>
    </cfRule>
  </conditionalFormatting>
  <conditionalFormatting sqref="C1296:D1296">
    <cfRule type="containsText" dxfId="4776" priority="6230" operator="containsText" text="SI">
      <formula>NOT(ISERROR(SEARCH("SI",C1296)))</formula>
    </cfRule>
    <cfRule type="containsText" dxfId="4775" priority="6231" operator="containsText" text="NO">
      <formula>NOT(ISERROR(SEARCH("NO",C1296)))</formula>
    </cfRule>
  </conditionalFormatting>
  <conditionalFormatting sqref="E1296">
    <cfRule type="containsText" dxfId="4774" priority="6229" operator="containsText" text="Sin información">
      <formula>NOT(ISERROR(SEARCH("Sin información",E1296)))</formula>
    </cfRule>
  </conditionalFormatting>
  <conditionalFormatting sqref="C1296:E1296">
    <cfRule type="containsText" dxfId="4773" priority="6228" operator="containsText" text="NUEVO">
      <formula>NOT(ISERROR(SEARCH("NUEVO",C1296)))</formula>
    </cfRule>
  </conditionalFormatting>
  <conditionalFormatting sqref="C1297:D1297">
    <cfRule type="containsText" dxfId="4772" priority="6221" operator="containsText" text="NO+$D$4:$D$10">
      <formula>NOT(ISERROR(SEARCH("NO+$D$4:$D$10",C1297)))</formula>
    </cfRule>
  </conditionalFormatting>
  <conditionalFormatting sqref="C1297:D1297">
    <cfRule type="containsText" dxfId="4771" priority="6219" operator="containsText" text="SI">
      <formula>NOT(ISERROR(SEARCH("SI",C1297)))</formula>
    </cfRule>
    <cfRule type="containsText" dxfId="4770" priority="6220" operator="containsText" text="NO">
      <formula>NOT(ISERROR(SEARCH("NO",C1297)))</formula>
    </cfRule>
  </conditionalFormatting>
  <conditionalFormatting sqref="C1297:D1297">
    <cfRule type="containsText" dxfId="4769" priority="6218" operator="containsText" text="NUEVO">
      <formula>NOT(ISERROR(SEARCH("NUEVO",C1297)))</formula>
    </cfRule>
  </conditionalFormatting>
  <conditionalFormatting sqref="E1297">
    <cfRule type="containsText" dxfId="4768" priority="6217" operator="containsText" text="Sin información">
      <formula>NOT(ISERROR(SEARCH("Sin información",E1297)))</formula>
    </cfRule>
  </conditionalFormatting>
  <conditionalFormatting sqref="E1297">
    <cfRule type="containsText" dxfId="4767" priority="6216" operator="containsText" text="NUEVO">
      <formula>NOT(ISERROR(SEARCH("NUEVO",E1297)))</formula>
    </cfRule>
  </conditionalFormatting>
  <conditionalFormatting sqref="C1298:D1298">
    <cfRule type="containsText" dxfId="4766" priority="6215" operator="containsText" text="NO+$D$4:$D$10">
      <formula>NOT(ISERROR(SEARCH("NO+$D$4:$D$10",C1298)))</formula>
    </cfRule>
  </conditionalFormatting>
  <conditionalFormatting sqref="C1298:D1298">
    <cfRule type="containsText" dxfId="4765" priority="6213" operator="containsText" text="SI">
      <formula>NOT(ISERROR(SEARCH("SI",C1298)))</formula>
    </cfRule>
    <cfRule type="containsText" dxfId="4764" priority="6214" operator="containsText" text="NO">
      <formula>NOT(ISERROR(SEARCH("NO",C1298)))</formula>
    </cfRule>
  </conditionalFormatting>
  <conditionalFormatting sqref="E1298">
    <cfRule type="containsText" dxfId="4763" priority="6212" operator="containsText" text="Sin información">
      <formula>NOT(ISERROR(SEARCH("Sin información",E1298)))</formula>
    </cfRule>
  </conditionalFormatting>
  <conditionalFormatting sqref="C1298:E1298">
    <cfRule type="containsText" dxfId="4762" priority="6211" operator="containsText" text="NUEVO">
      <formula>NOT(ISERROR(SEARCH("NUEVO",C1298)))</formula>
    </cfRule>
  </conditionalFormatting>
  <conditionalFormatting sqref="C1299:D1299">
    <cfRule type="containsText" dxfId="4761" priority="6210" operator="containsText" text="NO+$D$4:$D$10">
      <formula>NOT(ISERROR(SEARCH("NO+$D$4:$D$10",C1299)))</formula>
    </cfRule>
  </conditionalFormatting>
  <conditionalFormatting sqref="C1299:D1299">
    <cfRule type="containsText" dxfId="4760" priority="6208" operator="containsText" text="SI">
      <formula>NOT(ISERROR(SEARCH("SI",C1299)))</formula>
    </cfRule>
    <cfRule type="containsText" dxfId="4759" priority="6209" operator="containsText" text="NO">
      <formula>NOT(ISERROR(SEARCH("NO",C1299)))</formula>
    </cfRule>
  </conditionalFormatting>
  <conditionalFormatting sqref="E1299">
    <cfRule type="containsText" dxfId="4758" priority="6207" operator="containsText" text="Sin información">
      <formula>NOT(ISERROR(SEARCH("Sin información",E1299)))</formula>
    </cfRule>
  </conditionalFormatting>
  <conditionalFormatting sqref="C1299:E1299">
    <cfRule type="containsText" dxfId="4757" priority="6206" operator="containsText" text="NUEVO">
      <formula>NOT(ISERROR(SEARCH("NUEVO",C1299)))</formula>
    </cfRule>
  </conditionalFormatting>
  <conditionalFormatting sqref="C1300:D1300">
    <cfRule type="containsText" dxfId="4756" priority="6200" operator="containsText" text="NO+$D$4:$D$10">
      <formula>NOT(ISERROR(SEARCH("NO+$D$4:$D$10",C1300)))</formula>
    </cfRule>
  </conditionalFormatting>
  <conditionalFormatting sqref="C1300:D1300">
    <cfRule type="containsText" dxfId="4755" priority="6198" operator="containsText" text="SI">
      <formula>NOT(ISERROR(SEARCH("SI",C1300)))</formula>
    </cfRule>
    <cfRule type="containsText" dxfId="4754" priority="6199" operator="containsText" text="NO">
      <formula>NOT(ISERROR(SEARCH("NO",C1300)))</formula>
    </cfRule>
  </conditionalFormatting>
  <conditionalFormatting sqref="E1300">
    <cfRule type="containsText" dxfId="4753" priority="6197" operator="containsText" text="Sin información">
      <formula>NOT(ISERROR(SEARCH("Sin información",E1300)))</formula>
    </cfRule>
  </conditionalFormatting>
  <conditionalFormatting sqref="C1300:E1300">
    <cfRule type="containsText" dxfId="4752" priority="6196" operator="containsText" text="NUEVO">
      <formula>NOT(ISERROR(SEARCH("NUEVO",C1300)))</formula>
    </cfRule>
  </conditionalFormatting>
  <conditionalFormatting sqref="C1301:D1301">
    <cfRule type="containsText" dxfId="4751" priority="6195" operator="containsText" text="NO+$D$4:$D$10">
      <formula>NOT(ISERROR(SEARCH("NO+$D$4:$D$10",C1301)))</formula>
    </cfRule>
  </conditionalFormatting>
  <conditionalFormatting sqref="C1301:D1301">
    <cfRule type="containsText" dxfId="4750" priority="6193" operator="containsText" text="SI">
      <formula>NOT(ISERROR(SEARCH("SI",C1301)))</formula>
    </cfRule>
    <cfRule type="containsText" dxfId="4749" priority="6194" operator="containsText" text="NO">
      <formula>NOT(ISERROR(SEARCH("NO",C1301)))</formula>
    </cfRule>
  </conditionalFormatting>
  <conditionalFormatting sqref="E1301">
    <cfRule type="containsText" dxfId="4748" priority="6192" operator="containsText" text="Sin información">
      <formula>NOT(ISERROR(SEARCH("Sin información",E1301)))</formula>
    </cfRule>
  </conditionalFormatting>
  <conditionalFormatting sqref="C1301:E1301">
    <cfRule type="containsText" dxfId="4747" priority="6191" operator="containsText" text="NUEVO">
      <formula>NOT(ISERROR(SEARCH("NUEVO",C1301)))</formula>
    </cfRule>
  </conditionalFormatting>
  <conditionalFormatting sqref="C1302:D1302">
    <cfRule type="containsText" dxfId="4746" priority="6190" operator="containsText" text="NO+$D$4:$D$10">
      <formula>NOT(ISERROR(SEARCH("NO+$D$4:$D$10",C1302)))</formula>
    </cfRule>
  </conditionalFormatting>
  <conditionalFormatting sqref="C1302:D1302">
    <cfRule type="containsText" dxfId="4745" priority="6188" operator="containsText" text="SI">
      <formula>NOT(ISERROR(SEARCH("SI",C1302)))</formula>
    </cfRule>
    <cfRule type="containsText" dxfId="4744" priority="6189" operator="containsText" text="NO">
      <formula>NOT(ISERROR(SEARCH("NO",C1302)))</formula>
    </cfRule>
  </conditionalFormatting>
  <conditionalFormatting sqref="E1302">
    <cfRule type="containsText" dxfId="4743" priority="6187" operator="containsText" text="Sin información">
      <formula>NOT(ISERROR(SEARCH("Sin información",E1302)))</formula>
    </cfRule>
  </conditionalFormatting>
  <conditionalFormatting sqref="C1302:E1302">
    <cfRule type="containsText" dxfId="4742" priority="6186" operator="containsText" text="NUEVO">
      <formula>NOT(ISERROR(SEARCH("NUEVO",C1302)))</formula>
    </cfRule>
  </conditionalFormatting>
  <conditionalFormatting sqref="C1303:D1303">
    <cfRule type="containsText" dxfId="4741" priority="6185" operator="containsText" text="NO+$D$4:$D$10">
      <formula>NOT(ISERROR(SEARCH("NO+$D$4:$D$10",C1303)))</formula>
    </cfRule>
  </conditionalFormatting>
  <conditionalFormatting sqref="C1303:D1303">
    <cfRule type="containsText" dxfId="4740" priority="6183" operator="containsText" text="SI">
      <formula>NOT(ISERROR(SEARCH("SI",C1303)))</formula>
    </cfRule>
    <cfRule type="containsText" dxfId="4739" priority="6184" operator="containsText" text="NO">
      <formula>NOT(ISERROR(SEARCH("NO",C1303)))</formula>
    </cfRule>
  </conditionalFormatting>
  <conditionalFormatting sqref="E1303">
    <cfRule type="containsText" dxfId="4738" priority="6182" operator="containsText" text="Sin información">
      <formula>NOT(ISERROR(SEARCH("Sin información",E1303)))</formula>
    </cfRule>
  </conditionalFormatting>
  <conditionalFormatting sqref="C1303:E1303">
    <cfRule type="containsText" dxfId="4737" priority="6181" operator="containsText" text="NUEVO">
      <formula>NOT(ISERROR(SEARCH("NUEVO",C1303)))</formula>
    </cfRule>
  </conditionalFormatting>
  <conditionalFormatting sqref="C1304:D1304">
    <cfRule type="containsText" dxfId="4736" priority="6180" operator="containsText" text="NO+$D$4:$D$10">
      <formula>NOT(ISERROR(SEARCH("NO+$D$4:$D$10",C1304)))</formula>
    </cfRule>
  </conditionalFormatting>
  <conditionalFormatting sqref="C1304:D1304">
    <cfRule type="containsText" dxfId="4735" priority="6178" operator="containsText" text="SI">
      <formula>NOT(ISERROR(SEARCH("SI",C1304)))</formula>
    </cfRule>
    <cfRule type="containsText" dxfId="4734" priority="6179" operator="containsText" text="NO">
      <formula>NOT(ISERROR(SEARCH("NO",C1304)))</formula>
    </cfRule>
  </conditionalFormatting>
  <conditionalFormatting sqref="E1304">
    <cfRule type="containsText" dxfId="4733" priority="6177" operator="containsText" text="Sin información">
      <formula>NOT(ISERROR(SEARCH("Sin información",E1304)))</formula>
    </cfRule>
  </conditionalFormatting>
  <conditionalFormatting sqref="C1304:E1304">
    <cfRule type="containsText" dxfId="4732" priority="6176" operator="containsText" text="NUEVO">
      <formula>NOT(ISERROR(SEARCH("NUEVO",C1304)))</formula>
    </cfRule>
  </conditionalFormatting>
  <conditionalFormatting sqref="C1305:D1305">
    <cfRule type="containsText" dxfId="4731" priority="6175" operator="containsText" text="NO+$D$4:$D$10">
      <formula>NOT(ISERROR(SEARCH("NO+$D$4:$D$10",C1305)))</formula>
    </cfRule>
  </conditionalFormatting>
  <conditionalFormatting sqref="C1305:D1305">
    <cfRule type="containsText" dxfId="4730" priority="6173" operator="containsText" text="SI">
      <formula>NOT(ISERROR(SEARCH("SI",C1305)))</formula>
    </cfRule>
    <cfRule type="containsText" dxfId="4729" priority="6174" operator="containsText" text="NO">
      <formula>NOT(ISERROR(SEARCH("NO",C1305)))</formula>
    </cfRule>
  </conditionalFormatting>
  <conditionalFormatting sqref="E1305">
    <cfRule type="containsText" dxfId="4728" priority="6172" operator="containsText" text="Sin información">
      <formula>NOT(ISERROR(SEARCH("Sin información",E1305)))</formula>
    </cfRule>
  </conditionalFormatting>
  <conditionalFormatting sqref="C1305:E1305">
    <cfRule type="containsText" dxfId="4727" priority="6171" operator="containsText" text="NUEVO">
      <formula>NOT(ISERROR(SEARCH("NUEVO",C1305)))</formula>
    </cfRule>
  </conditionalFormatting>
  <conditionalFormatting sqref="C1306:D1306">
    <cfRule type="containsText" dxfId="4726" priority="6170" operator="containsText" text="NO+$D$4:$D$10">
      <formula>NOT(ISERROR(SEARCH("NO+$D$4:$D$10",C1306)))</formula>
    </cfRule>
  </conditionalFormatting>
  <conditionalFormatting sqref="C1306:D1306">
    <cfRule type="containsText" dxfId="4725" priority="6168" operator="containsText" text="SI">
      <formula>NOT(ISERROR(SEARCH("SI",C1306)))</formula>
    </cfRule>
    <cfRule type="containsText" dxfId="4724" priority="6169" operator="containsText" text="NO">
      <formula>NOT(ISERROR(SEARCH("NO",C1306)))</formula>
    </cfRule>
  </conditionalFormatting>
  <conditionalFormatting sqref="E1306">
    <cfRule type="containsText" dxfId="4723" priority="6167" operator="containsText" text="Sin información">
      <formula>NOT(ISERROR(SEARCH("Sin información",E1306)))</formula>
    </cfRule>
  </conditionalFormatting>
  <conditionalFormatting sqref="C1306:E1306">
    <cfRule type="containsText" dxfId="4722" priority="6166" operator="containsText" text="NUEVO">
      <formula>NOT(ISERROR(SEARCH("NUEVO",C1306)))</formula>
    </cfRule>
  </conditionalFormatting>
  <conditionalFormatting sqref="C1307:D1307">
    <cfRule type="containsText" dxfId="4721" priority="6165" operator="containsText" text="NO+$D$4:$D$10">
      <formula>NOT(ISERROR(SEARCH("NO+$D$4:$D$10",C1307)))</formula>
    </cfRule>
  </conditionalFormatting>
  <conditionalFormatting sqref="C1307:D1307">
    <cfRule type="containsText" dxfId="4720" priority="6163" operator="containsText" text="SI">
      <formula>NOT(ISERROR(SEARCH("SI",C1307)))</formula>
    </cfRule>
    <cfRule type="containsText" dxfId="4719" priority="6164" operator="containsText" text="NO">
      <formula>NOT(ISERROR(SEARCH("NO",C1307)))</formula>
    </cfRule>
  </conditionalFormatting>
  <conditionalFormatting sqref="E1307">
    <cfRule type="containsText" dxfId="4718" priority="6162" operator="containsText" text="Sin información">
      <formula>NOT(ISERROR(SEARCH("Sin información",E1307)))</formula>
    </cfRule>
  </conditionalFormatting>
  <conditionalFormatting sqref="C1307:E1307">
    <cfRule type="containsText" dxfId="4717" priority="6161" operator="containsText" text="NUEVO">
      <formula>NOT(ISERROR(SEARCH("NUEVO",C1307)))</formula>
    </cfRule>
  </conditionalFormatting>
  <conditionalFormatting sqref="C1308:D1308">
    <cfRule type="containsText" dxfId="4716" priority="6160" operator="containsText" text="NO+$D$4:$D$10">
      <formula>NOT(ISERROR(SEARCH("NO+$D$4:$D$10",C1308)))</formula>
    </cfRule>
  </conditionalFormatting>
  <conditionalFormatting sqref="C1308:D1308">
    <cfRule type="containsText" dxfId="4715" priority="6158" operator="containsText" text="SI">
      <formula>NOT(ISERROR(SEARCH("SI",C1308)))</formula>
    </cfRule>
    <cfRule type="containsText" dxfId="4714" priority="6159" operator="containsText" text="NO">
      <formula>NOT(ISERROR(SEARCH("NO",C1308)))</formula>
    </cfRule>
  </conditionalFormatting>
  <conditionalFormatting sqref="E1308">
    <cfRule type="containsText" dxfId="4713" priority="6157" operator="containsText" text="Sin información">
      <formula>NOT(ISERROR(SEARCH("Sin información",E1308)))</formula>
    </cfRule>
  </conditionalFormatting>
  <conditionalFormatting sqref="C1308:E1308">
    <cfRule type="containsText" dxfId="4712" priority="6156" operator="containsText" text="NUEVO">
      <formula>NOT(ISERROR(SEARCH("NUEVO",C1308)))</formula>
    </cfRule>
  </conditionalFormatting>
  <conditionalFormatting sqref="C1309:D1309">
    <cfRule type="containsText" dxfId="4711" priority="6155" operator="containsText" text="NO+$D$4:$D$10">
      <formula>NOT(ISERROR(SEARCH("NO+$D$4:$D$10",C1309)))</formula>
    </cfRule>
  </conditionalFormatting>
  <conditionalFormatting sqref="C1309:D1309">
    <cfRule type="containsText" dxfId="4710" priority="6153" operator="containsText" text="SI">
      <formula>NOT(ISERROR(SEARCH("SI",C1309)))</formula>
    </cfRule>
    <cfRule type="containsText" dxfId="4709" priority="6154" operator="containsText" text="NO">
      <formula>NOT(ISERROR(SEARCH("NO",C1309)))</formula>
    </cfRule>
  </conditionalFormatting>
  <conditionalFormatting sqref="E1309">
    <cfRule type="containsText" dxfId="4708" priority="6152" operator="containsText" text="Sin información">
      <formula>NOT(ISERROR(SEARCH("Sin información",E1309)))</formula>
    </cfRule>
  </conditionalFormatting>
  <conditionalFormatting sqref="C1309:E1309">
    <cfRule type="containsText" dxfId="4707" priority="6151" operator="containsText" text="NUEVO">
      <formula>NOT(ISERROR(SEARCH("NUEVO",C1309)))</formula>
    </cfRule>
  </conditionalFormatting>
  <conditionalFormatting sqref="C1310:D1310">
    <cfRule type="containsText" dxfId="4706" priority="6139" operator="containsText" text="NO+$D$4:$D$10">
      <formula>NOT(ISERROR(SEARCH("NO+$D$4:$D$10",C1310)))</formula>
    </cfRule>
  </conditionalFormatting>
  <conditionalFormatting sqref="C1310:D1310">
    <cfRule type="containsText" dxfId="4705" priority="6137" operator="containsText" text="SI">
      <formula>NOT(ISERROR(SEARCH("SI",C1310)))</formula>
    </cfRule>
    <cfRule type="containsText" dxfId="4704" priority="6138" operator="containsText" text="NO">
      <formula>NOT(ISERROR(SEARCH("NO",C1310)))</formula>
    </cfRule>
  </conditionalFormatting>
  <conditionalFormatting sqref="E1310">
    <cfRule type="containsText" dxfId="4703" priority="6136" operator="containsText" text="Sin información">
      <formula>NOT(ISERROR(SEARCH("Sin información",E1310)))</formula>
    </cfRule>
  </conditionalFormatting>
  <conditionalFormatting sqref="C1310:E1310">
    <cfRule type="containsText" dxfId="4702" priority="6135" operator="containsText" text="NUEVO">
      <formula>NOT(ISERROR(SEARCH("NUEVO",C1310)))</formula>
    </cfRule>
  </conditionalFormatting>
  <conditionalFormatting sqref="C1311:D1311">
    <cfRule type="containsText" dxfId="4701" priority="6134" operator="containsText" text="NO+$D$4:$D$10">
      <formula>NOT(ISERROR(SEARCH("NO+$D$4:$D$10",C1311)))</formula>
    </cfRule>
  </conditionalFormatting>
  <conditionalFormatting sqref="C1311:D1311">
    <cfRule type="containsText" dxfId="4700" priority="6132" operator="containsText" text="SI">
      <formula>NOT(ISERROR(SEARCH("SI",C1311)))</formula>
    </cfRule>
    <cfRule type="containsText" dxfId="4699" priority="6133" operator="containsText" text="NO">
      <formula>NOT(ISERROR(SEARCH("NO",C1311)))</formula>
    </cfRule>
  </conditionalFormatting>
  <conditionalFormatting sqref="E1311">
    <cfRule type="containsText" dxfId="4698" priority="6131" operator="containsText" text="Sin información">
      <formula>NOT(ISERROR(SEARCH("Sin información",E1311)))</formula>
    </cfRule>
  </conditionalFormatting>
  <conditionalFormatting sqref="C1311:E1311">
    <cfRule type="containsText" dxfId="4697" priority="6130" operator="containsText" text="NUEVO">
      <formula>NOT(ISERROR(SEARCH("NUEVO",C1311)))</formula>
    </cfRule>
  </conditionalFormatting>
  <conditionalFormatting sqref="C1312:D1312">
    <cfRule type="containsText" dxfId="4696" priority="6129" operator="containsText" text="NO+$D$4:$D$10">
      <formula>NOT(ISERROR(SEARCH("NO+$D$4:$D$10",C1312)))</formula>
    </cfRule>
  </conditionalFormatting>
  <conditionalFormatting sqref="C1312:D1312">
    <cfRule type="containsText" dxfId="4695" priority="6127" operator="containsText" text="SI">
      <formula>NOT(ISERROR(SEARCH("SI",C1312)))</formula>
    </cfRule>
    <cfRule type="containsText" dxfId="4694" priority="6128" operator="containsText" text="NO">
      <formula>NOT(ISERROR(SEARCH("NO",C1312)))</formula>
    </cfRule>
  </conditionalFormatting>
  <conditionalFormatting sqref="C1312:D1312">
    <cfRule type="containsText" dxfId="4693" priority="6126" operator="containsText" text="NUEVO">
      <formula>NOT(ISERROR(SEARCH("NUEVO",C1312)))</formula>
    </cfRule>
  </conditionalFormatting>
  <conditionalFormatting sqref="E1312">
    <cfRule type="containsText" dxfId="4692" priority="6125" operator="containsText" text="Sin información">
      <formula>NOT(ISERROR(SEARCH("Sin información",E1312)))</formula>
    </cfRule>
  </conditionalFormatting>
  <conditionalFormatting sqref="E1312">
    <cfRule type="containsText" dxfId="4691" priority="6124" operator="containsText" text="NUEVO">
      <formula>NOT(ISERROR(SEARCH("NUEVO",E1312)))</formula>
    </cfRule>
  </conditionalFormatting>
  <conditionalFormatting sqref="C1313:D1313">
    <cfRule type="containsText" dxfId="4690" priority="6123" operator="containsText" text="NO+$D$4:$D$10">
      <formula>NOT(ISERROR(SEARCH("NO+$D$4:$D$10",C1313)))</formula>
    </cfRule>
  </conditionalFormatting>
  <conditionalFormatting sqref="C1313:D1313">
    <cfRule type="containsText" dxfId="4689" priority="6121" operator="containsText" text="SI">
      <formula>NOT(ISERROR(SEARCH("SI",C1313)))</formula>
    </cfRule>
    <cfRule type="containsText" dxfId="4688" priority="6122" operator="containsText" text="NO">
      <formula>NOT(ISERROR(SEARCH("NO",C1313)))</formula>
    </cfRule>
  </conditionalFormatting>
  <conditionalFormatting sqref="C1313:D1313">
    <cfRule type="containsText" dxfId="4687" priority="6120" operator="containsText" text="NUEVO">
      <formula>NOT(ISERROR(SEARCH("NUEVO",C1313)))</formula>
    </cfRule>
  </conditionalFormatting>
  <conditionalFormatting sqref="E1313">
    <cfRule type="containsText" dxfId="4686" priority="6119" operator="containsText" text="Sin información">
      <formula>NOT(ISERROR(SEARCH("Sin información",E1313)))</formula>
    </cfRule>
  </conditionalFormatting>
  <conditionalFormatting sqref="E1313">
    <cfRule type="containsText" dxfId="4685" priority="6118" operator="containsText" text="NUEVO">
      <formula>NOT(ISERROR(SEARCH("NUEVO",E1313)))</formula>
    </cfRule>
  </conditionalFormatting>
  <conditionalFormatting sqref="C1314:D1314">
    <cfRule type="containsText" dxfId="4684" priority="6117" operator="containsText" text="NO+$D$4:$D$10">
      <formula>NOT(ISERROR(SEARCH("NO+$D$4:$D$10",C1314)))</formula>
    </cfRule>
  </conditionalFormatting>
  <conditionalFormatting sqref="C1314:D1314">
    <cfRule type="containsText" dxfId="4683" priority="6115" operator="containsText" text="SI">
      <formula>NOT(ISERROR(SEARCH("SI",C1314)))</formula>
    </cfRule>
    <cfRule type="containsText" dxfId="4682" priority="6116" operator="containsText" text="NO">
      <formula>NOT(ISERROR(SEARCH("NO",C1314)))</formula>
    </cfRule>
  </conditionalFormatting>
  <conditionalFormatting sqref="E1314">
    <cfRule type="containsText" dxfId="4681" priority="6114" operator="containsText" text="Sin información">
      <formula>NOT(ISERROR(SEARCH("Sin información",E1314)))</formula>
    </cfRule>
  </conditionalFormatting>
  <conditionalFormatting sqref="C1314:E1314">
    <cfRule type="containsText" dxfId="4680" priority="6113" operator="containsText" text="NUEVO">
      <formula>NOT(ISERROR(SEARCH("NUEVO",C1314)))</formula>
    </cfRule>
  </conditionalFormatting>
  <conditionalFormatting sqref="C1315:D1315">
    <cfRule type="containsText" dxfId="4679" priority="6112" operator="containsText" text="NO+$D$4:$D$10">
      <formula>NOT(ISERROR(SEARCH("NO+$D$4:$D$10",C1315)))</formula>
    </cfRule>
  </conditionalFormatting>
  <conditionalFormatting sqref="C1315:D1315">
    <cfRule type="containsText" dxfId="4678" priority="6110" operator="containsText" text="SI">
      <formula>NOT(ISERROR(SEARCH("SI",C1315)))</formula>
    </cfRule>
    <cfRule type="containsText" dxfId="4677" priority="6111" operator="containsText" text="NO">
      <formula>NOT(ISERROR(SEARCH("NO",C1315)))</formula>
    </cfRule>
  </conditionalFormatting>
  <conditionalFormatting sqref="E1315">
    <cfRule type="containsText" dxfId="4676" priority="6109" operator="containsText" text="Sin información">
      <formula>NOT(ISERROR(SEARCH("Sin información",E1315)))</formula>
    </cfRule>
  </conditionalFormatting>
  <conditionalFormatting sqref="C1315:E1315">
    <cfRule type="containsText" dxfId="4675" priority="6108" operator="containsText" text="NUEVO">
      <formula>NOT(ISERROR(SEARCH("NUEVO",C1315)))</formula>
    </cfRule>
  </conditionalFormatting>
  <conditionalFormatting sqref="C1316:D1316">
    <cfRule type="containsText" dxfId="4674" priority="6107" operator="containsText" text="NO+$D$4:$D$10">
      <formula>NOT(ISERROR(SEARCH("NO+$D$4:$D$10",C1316)))</formula>
    </cfRule>
  </conditionalFormatting>
  <conditionalFormatting sqref="C1316:D1316">
    <cfRule type="containsText" dxfId="4673" priority="6105" operator="containsText" text="SI">
      <formula>NOT(ISERROR(SEARCH("SI",C1316)))</formula>
    </cfRule>
    <cfRule type="containsText" dxfId="4672" priority="6106" operator="containsText" text="NO">
      <formula>NOT(ISERROR(SEARCH("NO",C1316)))</formula>
    </cfRule>
  </conditionalFormatting>
  <conditionalFormatting sqref="E1316">
    <cfRule type="containsText" dxfId="4671" priority="6104" operator="containsText" text="Sin información">
      <formula>NOT(ISERROR(SEARCH("Sin información",E1316)))</formula>
    </cfRule>
  </conditionalFormatting>
  <conditionalFormatting sqref="C1316:E1316">
    <cfRule type="containsText" dxfId="4670" priority="6103" operator="containsText" text="NUEVO">
      <formula>NOT(ISERROR(SEARCH("NUEVO",C1316)))</formula>
    </cfRule>
  </conditionalFormatting>
  <conditionalFormatting sqref="C1317:D1317">
    <cfRule type="containsText" dxfId="4669" priority="6102" operator="containsText" text="NO+$D$4:$D$10">
      <formula>NOT(ISERROR(SEARCH("NO+$D$4:$D$10",C1317)))</formula>
    </cfRule>
  </conditionalFormatting>
  <conditionalFormatting sqref="C1317:D1317">
    <cfRule type="containsText" dxfId="4668" priority="6100" operator="containsText" text="SI">
      <formula>NOT(ISERROR(SEARCH("SI",C1317)))</formula>
    </cfRule>
    <cfRule type="containsText" dxfId="4667" priority="6101" operator="containsText" text="NO">
      <formula>NOT(ISERROR(SEARCH("NO",C1317)))</formula>
    </cfRule>
  </conditionalFormatting>
  <conditionalFormatting sqref="E1317">
    <cfRule type="containsText" dxfId="4666" priority="6099" operator="containsText" text="Sin información">
      <formula>NOT(ISERROR(SEARCH("Sin información",E1317)))</formula>
    </cfRule>
  </conditionalFormatting>
  <conditionalFormatting sqref="C1317:E1317">
    <cfRule type="containsText" dxfId="4665" priority="6098" operator="containsText" text="NUEVO">
      <formula>NOT(ISERROR(SEARCH("NUEVO",C1317)))</formula>
    </cfRule>
  </conditionalFormatting>
  <conditionalFormatting sqref="C1318:D1318">
    <cfRule type="containsText" dxfId="4664" priority="6087" operator="containsText" text="NO+$D$4:$D$10">
      <formula>NOT(ISERROR(SEARCH("NO+$D$4:$D$10",C1318)))</formula>
    </cfRule>
  </conditionalFormatting>
  <conditionalFormatting sqref="C1318:D1318">
    <cfRule type="containsText" dxfId="4663" priority="6085" operator="containsText" text="SI">
      <formula>NOT(ISERROR(SEARCH("SI",C1318)))</formula>
    </cfRule>
    <cfRule type="containsText" dxfId="4662" priority="6086" operator="containsText" text="NO">
      <formula>NOT(ISERROR(SEARCH("NO",C1318)))</formula>
    </cfRule>
  </conditionalFormatting>
  <conditionalFormatting sqref="C1318:D1318">
    <cfRule type="containsText" dxfId="4661" priority="6084" operator="containsText" text="NUEVO">
      <formula>NOT(ISERROR(SEARCH("NUEVO",C1318)))</formula>
    </cfRule>
  </conditionalFormatting>
  <conditionalFormatting sqref="E1318">
    <cfRule type="containsText" dxfId="4660" priority="6083" operator="containsText" text="Sin información">
      <formula>NOT(ISERROR(SEARCH("Sin información",E1318)))</formula>
    </cfRule>
  </conditionalFormatting>
  <conditionalFormatting sqref="E1318">
    <cfRule type="containsText" dxfId="4659" priority="6082" operator="containsText" text="NUEVO">
      <formula>NOT(ISERROR(SEARCH("NUEVO",E1318)))</formula>
    </cfRule>
  </conditionalFormatting>
  <conditionalFormatting sqref="C1319:D1319">
    <cfRule type="containsText" dxfId="4658" priority="6081" operator="containsText" text="NO+$D$4:$D$10">
      <formula>NOT(ISERROR(SEARCH("NO+$D$4:$D$10",C1319)))</formula>
    </cfRule>
  </conditionalFormatting>
  <conditionalFormatting sqref="C1319:D1319">
    <cfRule type="containsText" dxfId="4657" priority="6079" operator="containsText" text="SI">
      <formula>NOT(ISERROR(SEARCH("SI",C1319)))</formula>
    </cfRule>
    <cfRule type="containsText" dxfId="4656" priority="6080" operator="containsText" text="NO">
      <formula>NOT(ISERROR(SEARCH("NO",C1319)))</formula>
    </cfRule>
  </conditionalFormatting>
  <conditionalFormatting sqref="C1319:D1319">
    <cfRule type="containsText" dxfId="4655" priority="6078" operator="containsText" text="NUEVO">
      <formula>NOT(ISERROR(SEARCH("NUEVO",C1319)))</formula>
    </cfRule>
  </conditionalFormatting>
  <conditionalFormatting sqref="E1319">
    <cfRule type="containsText" dxfId="4654" priority="6076" operator="containsText" text="NUEVO">
      <formula>NOT(ISERROR(SEARCH("NUEVO",E1319)))</formula>
    </cfRule>
  </conditionalFormatting>
  <conditionalFormatting sqref="E1319">
    <cfRule type="containsText" dxfId="4653" priority="6077" operator="containsText" text="Sin información">
      <formula>NOT(ISERROR(SEARCH("Sin información",E1319)))</formula>
    </cfRule>
  </conditionalFormatting>
  <conditionalFormatting sqref="C1320:D1320">
    <cfRule type="containsText" dxfId="4652" priority="6075" operator="containsText" text="NO+$D$4:$D$10">
      <formula>NOT(ISERROR(SEARCH("NO+$D$4:$D$10",C1320)))</formula>
    </cfRule>
  </conditionalFormatting>
  <conditionalFormatting sqref="C1320:D1320">
    <cfRule type="containsText" dxfId="4651" priority="6073" operator="containsText" text="SI">
      <formula>NOT(ISERROR(SEARCH("SI",C1320)))</formula>
    </cfRule>
    <cfRule type="containsText" dxfId="4650" priority="6074" operator="containsText" text="NO">
      <formula>NOT(ISERROR(SEARCH("NO",C1320)))</formula>
    </cfRule>
  </conditionalFormatting>
  <conditionalFormatting sqref="C1320:D1320">
    <cfRule type="containsText" dxfId="4649" priority="6072" operator="containsText" text="NUEVO">
      <formula>NOT(ISERROR(SEARCH("NUEVO",C1320)))</formula>
    </cfRule>
  </conditionalFormatting>
  <conditionalFormatting sqref="E1320">
    <cfRule type="containsText" dxfId="4648" priority="6071" operator="containsText" text="Sin información">
      <formula>NOT(ISERROR(SEARCH("Sin información",E1320)))</formula>
    </cfRule>
  </conditionalFormatting>
  <conditionalFormatting sqref="E1320">
    <cfRule type="containsText" dxfId="4647" priority="6070" operator="containsText" text="NUEVO">
      <formula>NOT(ISERROR(SEARCH("NUEVO",E1320)))</formula>
    </cfRule>
  </conditionalFormatting>
  <conditionalFormatting sqref="C1321:D1321">
    <cfRule type="containsText" dxfId="4646" priority="6069" operator="containsText" text="NO+$D$4:$D$10">
      <formula>NOT(ISERROR(SEARCH("NO+$D$4:$D$10",C1321)))</formula>
    </cfRule>
  </conditionalFormatting>
  <conditionalFormatting sqref="C1321:D1321">
    <cfRule type="containsText" dxfId="4645" priority="6067" operator="containsText" text="SI">
      <formula>NOT(ISERROR(SEARCH("SI",C1321)))</formula>
    </cfRule>
    <cfRule type="containsText" dxfId="4644" priority="6068" operator="containsText" text="NO">
      <formula>NOT(ISERROR(SEARCH("NO",C1321)))</formula>
    </cfRule>
  </conditionalFormatting>
  <conditionalFormatting sqref="C1321:D1321">
    <cfRule type="containsText" dxfId="4643" priority="6066" operator="containsText" text="NUEVO">
      <formula>NOT(ISERROR(SEARCH("NUEVO",C1321)))</formula>
    </cfRule>
  </conditionalFormatting>
  <conditionalFormatting sqref="E1321">
    <cfRule type="containsText" dxfId="4642" priority="6065" operator="containsText" text="Sin información">
      <formula>NOT(ISERROR(SEARCH("Sin información",E1321)))</formula>
    </cfRule>
  </conditionalFormatting>
  <conditionalFormatting sqref="E1321">
    <cfRule type="containsText" dxfId="4641" priority="6064" operator="containsText" text="NUEVO">
      <formula>NOT(ISERROR(SEARCH("NUEVO",E1321)))</formula>
    </cfRule>
  </conditionalFormatting>
  <conditionalFormatting sqref="C1322:D1322">
    <cfRule type="containsText" dxfId="4640" priority="6063" operator="containsText" text="NO+$D$4:$D$10">
      <formula>NOT(ISERROR(SEARCH("NO+$D$4:$D$10",C1322)))</formula>
    </cfRule>
  </conditionalFormatting>
  <conditionalFormatting sqref="C1322:D1322">
    <cfRule type="containsText" dxfId="4639" priority="6061" operator="containsText" text="SI">
      <formula>NOT(ISERROR(SEARCH("SI",C1322)))</formula>
    </cfRule>
    <cfRule type="containsText" dxfId="4638" priority="6062" operator="containsText" text="NO">
      <formula>NOT(ISERROR(SEARCH("NO",C1322)))</formula>
    </cfRule>
  </conditionalFormatting>
  <conditionalFormatting sqref="C1322:D1322">
    <cfRule type="containsText" dxfId="4637" priority="6060" operator="containsText" text="NUEVO">
      <formula>NOT(ISERROR(SEARCH("NUEVO",C1322)))</formula>
    </cfRule>
  </conditionalFormatting>
  <conditionalFormatting sqref="E1322">
    <cfRule type="containsText" dxfId="4636" priority="6058" operator="containsText" text="NUEVO">
      <formula>NOT(ISERROR(SEARCH("NUEVO",E1322)))</formula>
    </cfRule>
  </conditionalFormatting>
  <conditionalFormatting sqref="E1322">
    <cfRule type="containsText" dxfId="4635" priority="6059" operator="containsText" text="Sin información">
      <formula>NOT(ISERROR(SEARCH("Sin información",E1322)))</formula>
    </cfRule>
  </conditionalFormatting>
  <conditionalFormatting sqref="C1323:D1323">
    <cfRule type="containsText" dxfId="4634" priority="6057" operator="containsText" text="NO+$D$4:$D$10">
      <formula>NOT(ISERROR(SEARCH("NO+$D$4:$D$10",C1323)))</formula>
    </cfRule>
  </conditionalFormatting>
  <conditionalFormatting sqref="C1323:D1323">
    <cfRule type="containsText" dxfId="4633" priority="6055" operator="containsText" text="SI">
      <formula>NOT(ISERROR(SEARCH("SI",C1323)))</formula>
    </cfRule>
    <cfRule type="containsText" dxfId="4632" priority="6056" operator="containsText" text="NO">
      <formula>NOT(ISERROR(SEARCH("NO",C1323)))</formula>
    </cfRule>
  </conditionalFormatting>
  <conditionalFormatting sqref="C1323:D1323">
    <cfRule type="containsText" dxfId="4631" priority="6054" operator="containsText" text="NUEVO">
      <formula>NOT(ISERROR(SEARCH("NUEVO",C1323)))</formula>
    </cfRule>
  </conditionalFormatting>
  <conditionalFormatting sqref="E1323">
    <cfRule type="containsText" dxfId="4630" priority="6053" operator="containsText" text="Sin información">
      <formula>NOT(ISERROR(SEARCH("Sin información",E1323)))</formula>
    </cfRule>
  </conditionalFormatting>
  <conditionalFormatting sqref="E1323">
    <cfRule type="containsText" dxfId="4629" priority="6052" operator="containsText" text="NUEVO">
      <formula>NOT(ISERROR(SEARCH("NUEVO",E1323)))</formula>
    </cfRule>
  </conditionalFormatting>
  <conditionalFormatting sqref="C1324:D1324">
    <cfRule type="containsText" dxfId="4628" priority="6051" operator="containsText" text="NO+$D$4:$D$10">
      <formula>NOT(ISERROR(SEARCH("NO+$D$4:$D$10",C1324)))</formula>
    </cfRule>
  </conditionalFormatting>
  <conditionalFormatting sqref="C1324:D1324">
    <cfRule type="containsText" dxfId="4627" priority="6049" operator="containsText" text="SI">
      <formula>NOT(ISERROR(SEARCH("SI",C1324)))</formula>
    </cfRule>
    <cfRule type="containsText" dxfId="4626" priority="6050" operator="containsText" text="NO">
      <formula>NOT(ISERROR(SEARCH("NO",C1324)))</formula>
    </cfRule>
  </conditionalFormatting>
  <conditionalFormatting sqref="E1324">
    <cfRule type="containsText" dxfId="4625" priority="6048" operator="containsText" text="Sin información">
      <formula>NOT(ISERROR(SEARCH("Sin información",E1324)))</formula>
    </cfRule>
  </conditionalFormatting>
  <conditionalFormatting sqref="C1324:E1324">
    <cfRule type="containsText" dxfId="4624" priority="6047" operator="containsText" text="NUEVO">
      <formula>NOT(ISERROR(SEARCH("NUEVO",C1324)))</formula>
    </cfRule>
  </conditionalFormatting>
  <conditionalFormatting sqref="C1325:D1325">
    <cfRule type="containsText" dxfId="4623" priority="6046" operator="containsText" text="NO+$D$4:$D$10">
      <formula>NOT(ISERROR(SEARCH("NO+$D$4:$D$10",C1325)))</formula>
    </cfRule>
  </conditionalFormatting>
  <conditionalFormatting sqref="C1325:D1325">
    <cfRule type="containsText" dxfId="4622" priority="6044" operator="containsText" text="SI">
      <formula>NOT(ISERROR(SEARCH("SI",C1325)))</formula>
    </cfRule>
    <cfRule type="containsText" dxfId="4621" priority="6045" operator="containsText" text="NO">
      <formula>NOT(ISERROR(SEARCH("NO",C1325)))</formula>
    </cfRule>
  </conditionalFormatting>
  <conditionalFormatting sqref="E1325">
    <cfRule type="containsText" dxfId="4620" priority="6043" operator="containsText" text="Sin información">
      <formula>NOT(ISERROR(SEARCH("Sin información",E1325)))</formula>
    </cfRule>
  </conditionalFormatting>
  <conditionalFormatting sqref="C1325:E1325">
    <cfRule type="containsText" dxfId="4619" priority="6042" operator="containsText" text="NUEVO">
      <formula>NOT(ISERROR(SEARCH("NUEVO",C1325)))</formula>
    </cfRule>
  </conditionalFormatting>
  <conditionalFormatting sqref="C1326:D1326">
    <cfRule type="containsText" dxfId="4618" priority="6041" operator="containsText" text="NO+$D$4:$D$10">
      <formula>NOT(ISERROR(SEARCH("NO+$D$4:$D$10",C1326)))</formula>
    </cfRule>
  </conditionalFormatting>
  <conditionalFormatting sqref="C1326:D1326">
    <cfRule type="containsText" dxfId="4617" priority="6039" operator="containsText" text="SI">
      <formula>NOT(ISERROR(SEARCH("SI",C1326)))</formula>
    </cfRule>
    <cfRule type="containsText" dxfId="4616" priority="6040" operator="containsText" text="NO">
      <formula>NOT(ISERROR(SEARCH("NO",C1326)))</formula>
    </cfRule>
  </conditionalFormatting>
  <conditionalFormatting sqref="C1326:D1326">
    <cfRule type="containsText" dxfId="4615" priority="6038" operator="containsText" text="NUEVO">
      <formula>NOT(ISERROR(SEARCH("NUEVO",C1326)))</formula>
    </cfRule>
  </conditionalFormatting>
  <conditionalFormatting sqref="E1326">
    <cfRule type="containsText" dxfId="4614" priority="6037" operator="containsText" text="Sin información">
      <formula>NOT(ISERROR(SEARCH("Sin información",E1326)))</formula>
    </cfRule>
  </conditionalFormatting>
  <conditionalFormatting sqref="E1326">
    <cfRule type="containsText" dxfId="4613" priority="6036" operator="containsText" text="NUEVO">
      <formula>NOT(ISERROR(SEARCH("NUEVO",E1326)))</formula>
    </cfRule>
  </conditionalFormatting>
  <conditionalFormatting sqref="C1327:D1327">
    <cfRule type="containsText" dxfId="4612" priority="6035" operator="containsText" text="NO+$D$4:$D$10">
      <formula>NOT(ISERROR(SEARCH("NO+$D$4:$D$10",C1327)))</formula>
    </cfRule>
  </conditionalFormatting>
  <conditionalFormatting sqref="C1327:D1327">
    <cfRule type="containsText" dxfId="4611" priority="6033" operator="containsText" text="SI">
      <formula>NOT(ISERROR(SEARCH("SI",C1327)))</formula>
    </cfRule>
    <cfRule type="containsText" dxfId="4610" priority="6034" operator="containsText" text="NO">
      <formula>NOT(ISERROR(SEARCH("NO",C1327)))</formula>
    </cfRule>
  </conditionalFormatting>
  <conditionalFormatting sqref="C1327:D1327">
    <cfRule type="containsText" dxfId="4609" priority="6032" operator="containsText" text="NUEVO">
      <formula>NOT(ISERROR(SEARCH("NUEVO",C1327)))</formula>
    </cfRule>
  </conditionalFormatting>
  <conditionalFormatting sqref="E1327">
    <cfRule type="containsText" dxfId="4608" priority="6031" operator="containsText" text="Sin información">
      <formula>NOT(ISERROR(SEARCH("Sin información",E1327)))</formula>
    </cfRule>
  </conditionalFormatting>
  <conditionalFormatting sqref="E1327">
    <cfRule type="containsText" dxfId="4607" priority="6030" operator="containsText" text="NUEVO">
      <formula>NOT(ISERROR(SEARCH("NUEVO",E1327)))</formula>
    </cfRule>
  </conditionalFormatting>
  <conditionalFormatting sqref="C1328:D1328">
    <cfRule type="containsText" dxfId="4606" priority="6029" operator="containsText" text="NO+$D$4:$D$10">
      <formula>NOT(ISERROR(SEARCH("NO+$D$4:$D$10",C1328)))</formula>
    </cfRule>
  </conditionalFormatting>
  <conditionalFormatting sqref="C1328:D1328">
    <cfRule type="containsText" dxfId="4605" priority="6027" operator="containsText" text="SI">
      <formula>NOT(ISERROR(SEARCH("SI",C1328)))</formula>
    </cfRule>
    <cfRule type="containsText" dxfId="4604" priority="6028" operator="containsText" text="NO">
      <formula>NOT(ISERROR(SEARCH("NO",C1328)))</formula>
    </cfRule>
  </conditionalFormatting>
  <conditionalFormatting sqref="C1328:D1328">
    <cfRule type="containsText" dxfId="4603" priority="6026" operator="containsText" text="NUEVO">
      <formula>NOT(ISERROR(SEARCH("NUEVO",C1328)))</formula>
    </cfRule>
  </conditionalFormatting>
  <conditionalFormatting sqref="E1328">
    <cfRule type="containsText" dxfId="4602" priority="6025" operator="containsText" text="Sin información">
      <formula>NOT(ISERROR(SEARCH("Sin información",E1328)))</formula>
    </cfRule>
  </conditionalFormatting>
  <conditionalFormatting sqref="E1328">
    <cfRule type="containsText" dxfId="4601" priority="6024" operator="containsText" text="NUEVO">
      <formula>NOT(ISERROR(SEARCH("NUEVO",E1328)))</formula>
    </cfRule>
  </conditionalFormatting>
  <conditionalFormatting sqref="C1329:D1329">
    <cfRule type="containsText" dxfId="4600" priority="6017" operator="containsText" text="NO+$D$4:$D$10">
      <formula>NOT(ISERROR(SEARCH("NO+$D$4:$D$10",C1329)))</formula>
    </cfRule>
  </conditionalFormatting>
  <conditionalFormatting sqref="C1329:D1329">
    <cfRule type="containsText" dxfId="4599" priority="6015" operator="containsText" text="SI">
      <formula>NOT(ISERROR(SEARCH("SI",C1329)))</formula>
    </cfRule>
    <cfRule type="containsText" dxfId="4598" priority="6016" operator="containsText" text="NO">
      <formula>NOT(ISERROR(SEARCH("NO",C1329)))</formula>
    </cfRule>
  </conditionalFormatting>
  <conditionalFormatting sqref="E1329">
    <cfRule type="containsText" dxfId="4597" priority="6014" operator="containsText" text="Sin información">
      <formula>NOT(ISERROR(SEARCH("Sin información",E1329)))</formula>
    </cfRule>
  </conditionalFormatting>
  <conditionalFormatting sqref="C1329:E1329">
    <cfRule type="containsText" dxfId="4596" priority="6013" operator="containsText" text="NUEVO">
      <formula>NOT(ISERROR(SEARCH("NUEVO",C1329)))</formula>
    </cfRule>
  </conditionalFormatting>
  <conditionalFormatting sqref="C1330:D1330">
    <cfRule type="containsText" dxfId="4595" priority="6012" operator="containsText" text="NO+$D$4:$D$10">
      <formula>NOT(ISERROR(SEARCH("NO+$D$4:$D$10",C1330)))</formula>
    </cfRule>
  </conditionalFormatting>
  <conditionalFormatting sqref="C1330:D1330">
    <cfRule type="containsText" dxfId="4594" priority="6010" operator="containsText" text="SI">
      <formula>NOT(ISERROR(SEARCH("SI",C1330)))</formula>
    </cfRule>
    <cfRule type="containsText" dxfId="4593" priority="6011" operator="containsText" text="NO">
      <formula>NOT(ISERROR(SEARCH("NO",C1330)))</formula>
    </cfRule>
  </conditionalFormatting>
  <conditionalFormatting sqref="E1330">
    <cfRule type="containsText" dxfId="4592" priority="6009" operator="containsText" text="Sin información">
      <formula>NOT(ISERROR(SEARCH("Sin información",E1330)))</formula>
    </cfRule>
  </conditionalFormatting>
  <conditionalFormatting sqref="C1330:E1330">
    <cfRule type="containsText" dxfId="4591" priority="6008" operator="containsText" text="NUEVO">
      <formula>NOT(ISERROR(SEARCH("NUEVO",C1330)))</formula>
    </cfRule>
  </conditionalFormatting>
  <conditionalFormatting sqref="E1330">
    <cfRule type="containsText" dxfId="4590" priority="6007" operator="containsText" text="Sin Información">
      <formula>NOT(ISERROR(SEARCH("Sin Información",E1330)))</formula>
    </cfRule>
  </conditionalFormatting>
  <conditionalFormatting sqref="C1331:D1331">
    <cfRule type="containsText" dxfId="4589" priority="6006" operator="containsText" text="NO+$D$4:$D$10">
      <formula>NOT(ISERROR(SEARCH("NO+$D$4:$D$10",C1331)))</formula>
    </cfRule>
  </conditionalFormatting>
  <conditionalFormatting sqref="C1331:D1331">
    <cfRule type="containsText" dxfId="4588" priority="6004" operator="containsText" text="SI">
      <formula>NOT(ISERROR(SEARCH("SI",C1331)))</formula>
    </cfRule>
    <cfRule type="containsText" dxfId="4587" priority="6005" operator="containsText" text="NO">
      <formula>NOT(ISERROR(SEARCH("NO",C1331)))</formula>
    </cfRule>
  </conditionalFormatting>
  <conditionalFormatting sqref="E1331">
    <cfRule type="containsText" dxfId="4586" priority="6003" operator="containsText" text="Sin información">
      <formula>NOT(ISERROR(SEARCH("Sin información",E1331)))</formula>
    </cfRule>
  </conditionalFormatting>
  <conditionalFormatting sqref="C1331:E1331">
    <cfRule type="containsText" dxfId="4585" priority="6002" operator="containsText" text="NUEVO">
      <formula>NOT(ISERROR(SEARCH("NUEVO",C1331)))</formula>
    </cfRule>
  </conditionalFormatting>
  <conditionalFormatting sqref="E1331">
    <cfRule type="containsText" dxfId="4584" priority="6001" operator="containsText" text="Sin Información">
      <formula>NOT(ISERROR(SEARCH("Sin Información",E1331)))</formula>
    </cfRule>
  </conditionalFormatting>
  <conditionalFormatting sqref="C1332:D1332">
    <cfRule type="containsText" dxfId="4583" priority="6000" operator="containsText" text="NO+$D$4:$D$10">
      <formula>NOT(ISERROR(SEARCH("NO+$D$4:$D$10",C1332)))</formula>
    </cfRule>
  </conditionalFormatting>
  <conditionalFormatting sqref="C1332:D1332">
    <cfRule type="containsText" dxfId="4582" priority="5998" operator="containsText" text="SI">
      <formula>NOT(ISERROR(SEARCH("SI",C1332)))</formula>
    </cfRule>
    <cfRule type="containsText" dxfId="4581" priority="5999" operator="containsText" text="NO">
      <formula>NOT(ISERROR(SEARCH("NO",C1332)))</formula>
    </cfRule>
  </conditionalFormatting>
  <conditionalFormatting sqref="E1332">
    <cfRule type="containsText" dxfId="4580" priority="5997" operator="containsText" text="Sin información">
      <formula>NOT(ISERROR(SEARCH("Sin información",E1332)))</formula>
    </cfRule>
  </conditionalFormatting>
  <conditionalFormatting sqref="C1332:E1332">
    <cfRule type="containsText" dxfId="4579" priority="5996" operator="containsText" text="NUEVO">
      <formula>NOT(ISERROR(SEARCH("NUEVO",C1332)))</formula>
    </cfRule>
  </conditionalFormatting>
  <conditionalFormatting sqref="C1333:D1333">
    <cfRule type="containsText" dxfId="4578" priority="5995" operator="containsText" text="NO+$D$4:$D$10">
      <formula>NOT(ISERROR(SEARCH("NO+$D$4:$D$10",C1333)))</formula>
    </cfRule>
  </conditionalFormatting>
  <conditionalFormatting sqref="C1333:D1333">
    <cfRule type="containsText" dxfId="4577" priority="5993" operator="containsText" text="SI">
      <formula>NOT(ISERROR(SEARCH("SI",C1333)))</formula>
    </cfRule>
    <cfRule type="containsText" dxfId="4576" priority="5994" operator="containsText" text="NO">
      <formula>NOT(ISERROR(SEARCH("NO",C1333)))</formula>
    </cfRule>
  </conditionalFormatting>
  <conditionalFormatting sqref="C1333:D1333">
    <cfRule type="containsText" dxfId="4575" priority="5992" operator="containsText" text="NUEVO">
      <formula>NOT(ISERROR(SEARCH("NUEVO",C1333)))</formula>
    </cfRule>
  </conditionalFormatting>
  <conditionalFormatting sqref="E1333">
    <cfRule type="containsText" dxfId="4574" priority="5991" operator="containsText" text="Sin información">
      <formula>NOT(ISERROR(SEARCH("Sin información",E1333)))</formula>
    </cfRule>
  </conditionalFormatting>
  <conditionalFormatting sqref="E1333">
    <cfRule type="containsText" dxfId="4573" priority="5990" operator="containsText" text="NUEVO">
      <formula>NOT(ISERROR(SEARCH("NUEVO",E1333)))</formula>
    </cfRule>
  </conditionalFormatting>
  <conditionalFormatting sqref="C1334:D1334">
    <cfRule type="containsText" dxfId="4572" priority="5989" operator="containsText" text="NO+$D$4:$D$10">
      <formula>NOT(ISERROR(SEARCH("NO+$D$4:$D$10",C1334)))</formula>
    </cfRule>
  </conditionalFormatting>
  <conditionalFormatting sqref="C1334:D1334">
    <cfRule type="containsText" dxfId="4571" priority="5987" operator="containsText" text="SI">
      <formula>NOT(ISERROR(SEARCH("SI",C1334)))</formula>
    </cfRule>
    <cfRule type="containsText" dxfId="4570" priority="5988" operator="containsText" text="NO">
      <formula>NOT(ISERROR(SEARCH("NO",C1334)))</formula>
    </cfRule>
  </conditionalFormatting>
  <conditionalFormatting sqref="C1334:D1334">
    <cfRule type="containsText" dxfId="4569" priority="5986" operator="containsText" text="NUEVO">
      <formula>NOT(ISERROR(SEARCH("NUEVO",C1334)))</formula>
    </cfRule>
  </conditionalFormatting>
  <conditionalFormatting sqref="E1334">
    <cfRule type="containsText" dxfId="4568" priority="5984" operator="containsText" text="NUEVO">
      <formula>NOT(ISERROR(SEARCH("NUEVO",E1334)))</formula>
    </cfRule>
  </conditionalFormatting>
  <conditionalFormatting sqref="E1334">
    <cfRule type="containsText" dxfId="4567" priority="5985" operator="containsText" text="Sin información">
      <formula>NOT(ISERROR(SEARCH("Sin información",E1334)))</formula>
    </cfRule>
  </conditionalFormatting>
  <conditionalFormatting sqref="C1335:D1335">
    <cfRule type="containsText" dxfId="4566" priority="5983" operator="containsText" text="NO+$D$4:$D$10">
      <formula>NOT(ISERROR(SEARCH("NO+$D$4:$D$10",C1335)))</formula>
    </cfRule>
  </conditionalFormatting>
  <conditionalFormatting sqref="C1335:D1335">
    <cfRule type="containsText" dxfId="4565" priority="5981" operator="containsText" text="SI">
      <formula>NOT(ISERROR(SEARCH("SI",C1335)))</formula>
    </cfRule>
    <cfRule type="containsText" dxfId="4564" priority="5982" operator="containsText" text="NO">
      <formula>NOT(ISERROR(SEARCH("NO",C1335)))</formula>
    </cfRule>
  </conditionalFormatting>
  <conditionalFormatting sqref="C1335:D1335">
    <cfRule type="containsText" dxfId="4563" priority="5980" operator="containsText" text="NUEVO">
      <formula>NOT(ISERROR(SEARCH("NUEVO",C1335)))</formula>
    </cfRule>
  </conditionalFormatting>
  <conditionalFormatting sqref="E1335">
    <cfRule type="containsText" dxfId="4562" priority="5978" operator="containsText" text="NUEVO">
      <formula>NOT(ISERROR(SEARCH("NUEVO",E1335)))</formula>
    </cfRule>
  </conditionalFormatting>
  <conditionalFormatting sqref="E1335">
    <cfRule type="containsText" dxfId="4561" priority="5979" operator="containsText" text="Sin información">
      <formula>NOT(ISERROR(SEARCH("Sin información",E1335)))</formula>
    </cfRule>
  </conditionalFormatting>
  <conditionalFormatting sqref="C1336:D1336">
    <cfRule type="containsText" dxfId="4560" priority="5977" operator="containsText" text="NO+$D$4:$D$10">
      <formula>NOT(ISERROR(SEARCH("NO+$D$4:$D$10",C1336)))</formula>
    </cfRule>
  </conditionalFormatting>
  <conditionalFormatting sqref="C1336:D1336">
    <cfRule type="containsText" dxfId="4559" priority="5975" operator="containsText" text="SI">
      <formula>NOT(ISERROR(SEARCH("SI",C1336)))</formula>
    </cfRule>
    <cfRule type="containsText" dxfId="4558" priority="5976" operator="containsText" text="NO">
      <formula>NOT(ISERROR(SEARCH("NO",C1336)))</formula>
    </cfRule>
  </conditionalFormatting>
  <conditionalFormatting sqref="C1336:D1336">
    <cfRule type="containsText" dxfId="4557" priority="5974" operator="containsText" text="NUEVO">
      <formula>NOT(ISERROR(SEARCH("NUEVO",C1336)))</formula>
    </cfRule>
  </conditionalFormatting>
  <conditionalFormatting sqref="E1336">
    <cfRule type="containsText" dxfId="4556" priority="5972" operator="containsText" text="NUEVO">
      <formula>NOT(ISERROR(SEARCH("NUEVO",E1336)))</formula>
    </cfRule>
  </conditionalFormatting>
  <conditionalFormatting sqref="E1336">
    <cfRule type="containsText" dxfId="4555" priority="5973" operator="containsText" text="Sin información">
      <formula>NOT(ISERROR(SEARCH("Sin información",E1336)))</formula>
    </cfRule>
  </conditionalFormatting>
  <conditionalFormatting sqref="C1337:D1337">
    <cfRule type="containsText" dxfId="4554" priority="5971" operator="containsText" text="NO+$D$4:$D$10">
      <formula>NOT(ISERROR(SEARCH("NO+$D$4:$D$10",C1337)))</formula>
    </cfRule>
  </conditionalFormatting>
  <conditionalFormatting sqref="C1337:D1337">
    <cfRule type="containsText" dxfId="4553" priority="5969" operator="containsText" text="SI">
      <formula>NOT(ISERROR(SEARCH("SI",C1337)))</formula>
    </cfRule>
    <cfRule type="containsText" dxfId="4552" priority="5970" operator="containsText" text="NO">
      <formula>NOT(ISERROR(SEARCH("NO",C1337)))</formula>
    </cfRule>
  </conditionalFormatting>
  <conditionalFormatting sqref="C1337:D1337">
    <cfRule type="containsText" dxfId="4551" priority="5968" operator="containsText" text="NUEVO">
      <formula>NOT(ISERROR(SEARCH("NUEVO",C1337)))</formula>
    </cfRule>
  </conditionalFormatting>
  <conditionalFormatting sqref="E1337">
    <cfRule type="containsText" dxfId="4550" priority="5966" operator="containsText" text="NUEVO">
      <formula>NOT(ISERROR(SEARCH("NUEVO",E1337)))</formula>
    </cfRule>
  </conditionalFormatting>
  <conditionalFormatting sqref="E1337">
    <cfRule type="containsText" dxfId="4549" priority="5967" operator="containsText" text="Sin información">
      <formula>NOT(ISERROR(SEARCH("Sin información",E1337)))</formula>
    </cfRule>
  </conditionalFormatting>
  <conditionalFormatting sqref="C1338:D1338">
    <cfRule type="containsText" dxfId="4548" priority="5965" operator="containsText" text="NO+$D$4:$D$10">
      <formula>NOT(ISERROR(SEARCH("NO+$D$4:$D$10",C1338)))</formula>
    </cfRule>
  </conditionalFormatting>
  <conditionalFormatting sqref="C1338:D1338">
    <cfRule type="containsText" dxfId="4547" priority="5963" operator="containsText" text="SI">
      <formula>NOT(ISERROR(SEARCH("SI",C1338)))</formula>
    </cfRule>
    <cfRule type="containsText" dxfId="4546" priority="5964" operator="containsText" text="NO">
      <formula>NOT(ISERROR(SEARCH("NO",C1338)))</formula>
    </cfRule>
  </conditionalFormatting>
  <conditionalFormatting sqref="C1338:D1338">
    <cfRule type="containsText" dxfId="4545" priority="5962" operator="containsText" text="NUEVO">
      <formula>NOT(ISERROR(SEARCH("NUEVO",C1338)))</formula>
    </cfRule>
  </conditionalFormatting>
  <conditionalFormatting sqref="E1338">
    <cfRule type="containsText" dxfId="4544" priority="5960" operator="containsText" text="NUEVO">
      <formula>NOT(ISERROR(SEARCH("NUEVO",E1338)))</formula>
    </cfRule>
  </conditionalFormatting>
  <conditionalFormatting sqref="E1338">
    <cfRule type="containsText" dxfId="4543" priority="5961" operator="containsText" text="Sin información">
      <formula>NOT(ISERROR(SEARCH("Sin información",E1338)))</formula>
    </cfRule>
  </conditionalFormatting>
  <conditionalFormatting sqref="C1339:D1339">
    <cfRule type="containsText" dxfId="4542" priority="5959" operator="containsText" text="NO+$D$4:$D$10">
      <formula>NOT(ISERROR(SEARCH("NO+$D$4:$D$10",C1339)))</formula>
    </cfRule>
  </conditionalFormatting>
  <conditionalFormatting sqref="C1339:D1339">
    <cfRule type="containsText" dxfId="4541" priority="5957" operator="containsText" text="SI">
      <formula>NOT(ISERROR(SEARCH("SI",C1339)))</formula>
    </cfRule>
    <cfRule type="containsText" dxfId="4540" priority="5958" operator="containsText" text="NO">
      <formula>NOT(ISERROR(SEARCH("NO",C1339)))</formula>
    </cfRule>
  </conditionalFormatting>
  <conditionalFormatting sqref="E1339">
    <cfRule type="containsText" dxfId="4539" priority="5956" operator="containsText" text="Sin información">
      <formula>NOT(ISERROR(SEARCH("Sin información",E1339)))</formula>
    </cfRule>
  </conditionalFormatting>
  <conditionalFormatting sqref="C1339:E1339">
    <cfRule type="containsText" dxfId="4538" priority="5955" operator="containsText" text="NUEVO">
      <formula>NOT(ISERROR(SEARCH("NUEVO",C1339)))</formula>
    </cfRule>
  </conditionalFormatting>
  <conditionalFormatting sqref="E1342">
    <cfRule type="containsText" dxfId="4537" priority="5946" operator="containsText" text="Sin información">
      <formula>NOT(ISERROR(SEARCH("Sin información",E1342)))</formula>
    </cfRule>
  </conditionalFormatting>
  <conditionalFormatting sqref="C1340:D1341">
    <cfRule type="containsText" dxfId="4536" priority="5954" operator="containsText" text="NO+$D$4:$D$10">
      <formula>NOT(ISERROR(SEARCH("NO+$D$4:$D$10",C1340)))</formula>
    </cfRule>
  </conditionalFormatting>
  <conditionalFormatting sqref="C1340:D1341">
    <cfRule type="containsText" dxfId="4535" priority="5952" operator="containsText" text="SI">
      <formula>NOT(ISERROR(SEARCH("SI",C1340)))</formula>
    </cfRule>
    <cfRule type="containsText" dxfId="4534" priority="5953" operator="containsText" text="NO">
      <formula>NOT(ISERROR(SEARCH("NO",C1340)))</formula>
    </cfRule>
  </conditionalFormatting>
  <conditionalFormatting sqref="E1340:E1341">
    <cfRule type="containsText" dxfId="4533" priority="5951" operator="containsText" text="Sin información">
      <formula>NOT(ISERROR(SEARCH("Sin información",E1340)))</formula>
    </cfRule>
  </conditionalFormatting>
  <conditionalFormatting sqref="C1340:E1341">
    <cfRule type="containsText" dxfId="4532" priority="5950" operator="containsText" text="NUEVO">
      <formula>NOT(ISERROR(SEARCH("NUEVO",C1340)))</formula>
    </cfRule>
  </conditionalFormatting>
  <conditionalFormatting sqref="C1342:D1342">
    <cfRule type="containsText" dxfId="4531" priority="5949" operator="containsText" text="NO+$D$4:$D$10">
      <formula>NOT(ISERROR(SEARCH("NO+$D$4:$D$10",C1342)))</formula>
    </cfRule>
  </conditionalFormatting>
  <conditionalFormatting sqref="C1342:D1342">
    <cfRule type="containsText" dxfId="4530" priority="5947" operator="containsText" text="SI">
      <formula>NOT(ISERROR(SEARCH("SI",C1342)))</formula>
    </cfRule>
    <cfRule type="containsText" dxfId="4529" priority="5948" operator="containsText" text="NO">
      <formula>NOT(ISERROR(SEARCH("NO",C1342)))</formula>
    </cfRule>
  </conditionalFormatting>
  <conditionalFormatting sqref="C1342:E1342">
    <cfRule type="containsText" dxfId="4528" priority="5945" operator="containsText" text="NUEVO">
      <formula>NOT(ISERROR(SEARCH("NUEVO",C1342)))</formula>
    </cfRule>
  </conditionalFormatting>
  <conditionalFormatting sqref="C1343:D1343">
    <cfRule type="containsText" dxfId="4527" priority="5944" operator="containsText" text="NO+$D$4:$D$10">
      <formula>NOT(ISERROR(SEARCH("NO+$D$4:$D$10",C1343)))</formula>
    </cfRule>
  </conditionalFormatting>
  <conditionalFormatting sqref="C1343:D1343">
    <cfRule type="containsText" dxfId="4526" priority="5942" operator="containsText" text="SI">
      <formula>NOT(ISERROR(SEARCH("SI",C1343)))</formula>
    </cfRule>
    <cfRule type="containsText" dxfId="4525" priority="5943" operator="containsText" text="NO">
      <formula>NOT(ISERROR(SEARCH("NO",C1343)))</formula>
    </cfRule>
  </conditionalFormatting>
  <conditionalFormatting sqref="E1343">
    <cfRule type="containsText" dxfId="4524" priority="5941" operator="containsText" text="Sin información">
      <formula>NOT(ISERROR(SEARCH("Sin información",E1343)))</formula>
    </cfRule>
  </conditionalFormatting>
  <conditionalFormatting sqref="C1343:D1343">
    <cfRule type="containsText" dxfId="4523" priority="5940" operator="containsText" text="NUEVO">
      <formula>NOT(ISERROR(SEARCH("NUEVO",C1343)))</formula>
    </cfRule>
  </conditionalFormatting>
  <conditionalFormatting sqref="E1343">
    <cfRule type="containsText" dxfId="4522" priority="5939" operator="containsText" text="Sin información">
      <formula>NOT(ISERROR(SEARCH("Sin información",E1343)))</formula>
    </cfRule>
  </conditionalFormatting>
  <conditionalFormatting sqref="C1345:D1345">
    <cfRule type="containsText" dxfId="4521" priority="5938" operator="containsText" text="NO+$D$4:$D$10">
      <formula>NOT(ISERROR(SEARCH("NO+$D$4:$D$10",C1345)))</formula>
    </cfRule>
  </conditionalFormatting>
  <conditionalFormatting sqref="C1345:D1345">
    <cfRule type="containsText" dxfId="4520" priority="5936" operator="containsText" text="SI">
      <formula>NOT(ISERROR(SEARCH("SI",C1345)))</formula>
    </cfRule>
    <cfRule type="containsText" dxfId="4519" priority="5937" operator="containsText" text="NO">
      <formula>NOT(ISERROR(SEARCH("NO",C1345)))</formula>
    </cfRule>
  </conditionalFormatting>
  <conditionalFormatting sqref="E1345">
    <cfRule type="containsText" dxfId="4518" priority="5935" operator="containsText" text="Sin información">
      <formula>NOT(ISERROR(SEARCH("Sin información",E1345)))</formula>
    </cfRule>
  </conditionalFormatting>
  <conditionalFormatting sqref="C1345:E1345">
    <cfRule type="containsText" dxfId="4517" priority="5934" operator="containsText" text="NUEVO">
      <formula>NOT(ISERROR(SEARCH("NUEVO",C1345)))</formula>
    </cfRule>
  </conditionalFormatting>
  <conditionalFormatting sqref="C1346:D1346">
    <cfRule type="containsText" dxfId="4516" priority="5933" operator="containsText" text="NO+$D$4:$D$10">
      <formula>NOT(ISERROR(SEARCH("NO+$D$4:$D$10",C1346)))</formula>
    </cfRule>
  </conditionalFormatting>
  <conditionalFormatting sqref="C1346:D1346">
    <cfRule type="containsText" dxfId="4515" priority="5931" operator="containsText" text="SI">
      <formula>NOT(ISERROR(SEARCH("SI",C1346)))</formula>
    </cfRule>
    <cfRule type="containsText" dxfId="4514" priority="5932" operator="containsText" text="NO">
      <formula>NOT(ISERROR(SEARCH("NO",C1346)))</formula>
    </cfRule>
  </conditionalFormatting>
  <conditionalFormatting sqref="E1346">
    <cfRule type="containsText" dxfId="4513" priority="5930" operator="containsText" text="Sin información">
      <formula>NOT(ISERROR(SEARCH("Sin información",E1346)))</formula>
    </cfRule>
  </conditionalFormatting>
  <conditionalFormatting sqref="C1346:E1346">
    <cfRule type="containsText" dxfId="4512" priority="5929" operator="containsText" text="NUEVO">
      <formula>NOT(ISERROR(SEARCH("NUEVO",C1346)))</formula>
    </cfRule>
  </conditionalFormatting>
  <conditionalFormatting sqref="C1350:D1352">
    <cfRule type="containsText" dxfId="4511" priority="5928" operator="containsText" text="NO+$D$4:$D$10">
      <formula>NOT(ISERROR(SEARCH("NO+$D$4:$D$10",C1350)))</formula>
    </cfRule>
  </conditionalFormatting>
  <conditionalFormatting sqref="C1350:D1352">
    <cfRule type="containsText" dxfId="4510" priority="5926" operator="containsText" text="SI">
      <formula>NOT(ISERROR(SEARCH("SI",C1350)))</formula>
    </cfRule>
    <cfRule type="containsText" dxfId="4509" priority="5927" operator="containsText" text="NO">
      <formula>NOT(ISERROR(SEARCH("NO",C1350)))</formula>
    </cfRule>
  </conditionalFormatting>
  <conditionalFormatting sqref="C1350:D1352">
    <cfRule type="containsText" dxfId="4508" priority="5925" operator="containsText" text="NUEVO">
      <formula>NOT(ISERROR(SEARCH("NUEVO",C1350)))</formula>
    </cfRule>
  </conditionalFormatting>
  <conditionalFormatting sqref="E1350:E1352">
    <cfRule type="containsText" dxfId="4507" priority="5924" operator="containsText" text="Sin información">
      <formula>NOT(ISERROR(SEARCH("Sin información",E1350)))</formula>
    </cfRule>
  </conditionalFormatting>
  <conditionalFormatting sqref="E1350:E1352">
    <cfRule type="containsText" dxfId="4506" priority="5923" operator="containsText" text="NUEVO">
      <formula>NOT(ISERROR(SEARCH("NUEVO",E1350)))</formula>
    </cfRule>
  </conditionalFormatting>
  <conditionalFormatting sqref="E1362:E1363">
    <cfRule type="containsText" dxfId="4505" priority="5917" operator="containsText" text="Sin Información">
      <formula>NOT(ISERROR(SEARCH("Sin Información",E1362)))</formula>
    </cfRule>
  </conditionalFormatting>
  <conditionalFormatting sqref="E1362">
    <cfRule type="containsText" dxfId="4504" priority="5916" operator="containsText" text="Sin información">
      <formula>NOT(ISERROR(SEARCH("Sin información",E1362)))</formula>
    </cfRule>
  </conditionalFormatting>
  <conditionalFormatting sqref="C1364:D1364">
    <cfRule type="containsText" dxfId="4503" priority="5915" operator="containsText" text="NO+$D$4:$D$10">
      <formula>NOT(ISERROR(SEARCH("NO+$D$4:$D$10",C1364)))</formula>
    </cfRule>
  </conditionalFormatting>
  <conditionalFormatting sqref="C1364:D1364">
    <cfRule type="containsText" dxfId="4502" priority="5913" operator="containsText" text="SI">
      <formula>NOT(ISERROR(SEARCH("SI",C1364)))</formula>
    </cfRule>
    <cfRule type="containsText" dxfId="4501" priority="5914" operator="containsText" text="NO">
      <formula>NOT(ISERROR(SEARCH("NO",C1364)))</formula>
    </cfRule>
  </conditionalFormatting>
  <conditionalFormatting sqref="E1364">
    <cfRule type="containsText" dxfId="4500" priority="5912" operator="containsText" text="Sin información">
      <formula>NOT(ISERROR(SEARCH("Sin información",E1364)))</formula>
    </cfRule>
  </conditionalFormatting>
  <conditionalFormatting sqref="C1364:E1364">
    <cfRule type="containsText" dxfId="4499" priority="5911" operator="containsText" text="NUEVO">
      <formula>NOT(ISERROR(SEARCH("NUEVO",C1364)))</formula>
    </cfRule>
  </conditionalFormatting>
  <conditionalFormatting sqref="C1365:D1366">
    <cfRule type="containsText" dxfId="4498" priority="5910" operator="containsText" text="NO+$D$4:$D$10">
      <formula>NOT(ISERROR(SEARCH("NO+$D$4:$D$10",C1365)))</formula>
    </cfRule>
  </conditionalFormatting>
  <conditionalFormatting sqref="C1365:D1366">
    <cfRule type="containsText" dxfId="4497" priority="5908" operator="containsText" text="SI">
      <formula>NOT(ISERROR(SEARCH("SI",C1365)))</formula>
    </cfRule>
    <cfRule type="containsText" dxfId="4496" priority="5909" operator="containsText" text="NO">
      <formula>NOT(ISERROR(SEARCH("NO",C1365)))</formula>
    </cfRule>
  </conditionalFormatting>
  <conditionalFormatting sqref="E1365">
    <cfRule type="containsText" dxfId="4495" priority="5907" operator="containsText" text="Sin información">
      <formula>NOT(ISERROR(SEARCH("Sin información",E1365)))</formula>
    </cfRule>
  </conditionalFormatting>
  <conditionalFormatting sqref="C1365:D1366 E1365">
    <cfRule type="containsText" dxfId="4494" priority="5906" operator="containsText" text="NUEVO">
      <formula>NOT(ISERROR(SEARCH("NUEVO",C1365)))</formula>
    </cfRule>
  </conditionalFormatting>
  <conditionalFormatting sqref="E1366">
    <cfRule type="containsText" dxfId="4493" priority="5904" operator="containsText" text="NUEVO">
      <formula>NOT(ISERROR(SEARCH("NUEVO",E1366)))</formula>
    </cfRule>
  </conditionalFormatting>
  <conditionalFormatting sqref="E1366">
    <cfRule type="containsText" dxfId="4492" priority="5905" operator="containsText" text="Sin información">
      <formula>NOT(ISERROR(SEARCH("Sin información",E1366)))</formula>
    </cfRule>
  </conditionalFormatting>
  <conditionalFormatting sqref="C1367:D1368">
    <cfRule type="containsText" dxfId="4491" priority="5903" operator="containsText" text="NO+$D$4:$D$10">
      <formula>NOT(ISERROR(SEARCH("NO+$D$4:$D$10",C1367)))</formula>
    </cfRule>
  </conditionalFormatting>
  <conditionalFormatting sqref="C1367:D1368">
    <cfRule type="containsText" dxfId="4490" priority="5901" operator="containsText" text="SI">
      <formula>NOT(ISERROR(SEARCH("SI",C1367)))</formula>
    </cfRule>
    <cfRule type="containsText" dxfId="4489" priority="5902" operator="containsText" text="NO">
      <formula>NOT(ISERROR(SEARCH("NO",C1367)))</formula>
    </cfRule>
  </conditionalFormatting>
  <conditionalFormatting sqref="C1367:D1368">
    <cfRule type="containsText" dxfId="4488" priority="5900" operator="containsText" text="NUEVO">
      <formula>NOT(ISERROR(SEARCH("NUEVO",C1367)))</formula>
    </cfRule>
  </conditionalFormatting>
  <conditionalFormatting sqref="E1367">
    <cfRule type="containsText" dxfId="4487" priority="5898" operator="containsText" text="NUEVO">
      <formula>NOT(ISERROR(SEARCH("NUEVO",E1367)))</formula>
    </cfRule>
  </conditionalFormatting>
  <conditionalFormatting sqref="E1367">
    <cfRule type="containsText" dxfId="4486" priority="5899" operator="containsText" text="Sin información">
      <formula>NOT(ISERROR(SEARCH("Sin información",E1367)))</formula>
    </cfRule>
  </conditionalFormatting>
  <conditionalFormatting sqref="E1368">
    <cfRule type="containsText" dxfId="4485" priority="5896" operator="containsText" text="NUEVO">
      <formula>NOT(ISERROR(SEARCH("NUEVO",E1368)))</formula>
    </cfRule>
  </conditionalFormatting>
  <conditionalFormatting sqref="E1368">
    <cfRule type="containsText" dxfId="4484" priority="5897" operator="containsText" text="Sin información">
      <formula>NOT(ISERROR(SEARCH("Sin información",E1368)))</formula>
    </cfRule>
  </conditionalFormatting>
  <conditionalFormatting sqref="C1372:D1372">
    <cfRule type="containsText" dxfId="4483" priority="5889" operator="containsText" text="NO+$D$4:$D$10">
      <formula>NOT(ISERROR(SEARCH("NO+$D$4:$D$10",C1372)))</formula>
    </cfRule>
  </conditionalFormatting>
  <conditionalFormatting sqref="C1372:D1372">
    <cfRule type="containsText" dxfId="4482" priority="5887" operator="containsText" text="SI">
      <formula>NOT(ISERROR(SEARCH("SI",C1372)))</formula>
    </cfRule>
    <cfRule type="containsText" dxfId="4481" priority="5888" operator="containsText" text="NO">
      <formula>NOT(ISERROR(SEARCH("NO",C1372)))</formula>
    </cfRule>
  </conditionalFormatting>
  <conditionalFormatting sqref="C1372:D1372">
    <cfRule type="containsText" dxfId="4480" priority="5886" operator="containsText" text="NUEVO">
      <formula>NOT(ISERROR(SEARCH("NUEVO",C1372)))</formula>
    </cfRule>
  </conditionalFormatting>
  <conditionalFormatting sqref="E1372">
    <cfRule type="containsText" dxfId="4479" priority="5884" operator="containsText" text="NUEVO">
      <formula>NOT(ISERROR(SEARCH("NUEVO",E1372)))</formula>
    </cfRule>
  </conditionalFormatting>
  <conditionalFormatting sqref="E1372">
    <cfRule type="containsText" dxfId="4478" priority="5885" operator="containsText" text="Sin información">
      <formula>NOT(ISERROR(SEARCH("Sin información",E1372)))</formula>
    </cfRule>
  </conditionalFormatting>
  <conditionalFormatting sqref="C1373:D1373">
    <cfRule type="containsText" dxfId="4477" priority="5883" operator="containsText" text="NO+$D$4:$D$10">
      <formula>NOT(ISERROR(SEARCH("NO+$D$4:$D$10",C1373)))</formula>
    </cfRule>
  </conditionalFormatting>
  <conditionalFormatting sqref="C1373:D1373">
    <cfRule type="containsText" dxfId="4476" priority="5881" operator="containsText" text="SI">
      <formula>NOT(ISERROR(SEARCH("SI",C1373)))</formula>
    </cfRule>
    <cfRule type="containsText" dxfId="4475" priority="5882" operator="containsText" text="NO">
      <formula>NOT(ISERROR(SEARCH("NO",C1373)))</formula>
    </cfRule>
  </conditionalFormatting>
  <conditionalFormatting sqref="C1373:D1373">
    <cfRule type="containsText" dxfId="4474" priority="5880" operator="containsText" text="NUEVO">
      <formula>NOT(ISERROR(SEARCH("NUEVO",C1373)))</formula>
    </cfRule>
  </conditionalFormatting>
  <conditionalFormatting sqref="E1373">
    <cfRule type="containsText" dxfId="4473" priority="5878" operator="containsText" text="NUEVO">
      <formula>NOT(ISERROR(SEARCH("NUEVO",E1373)))</formula>
    </cfRule>
  </conditionalFormatting>
  <conditionalFormatting sqref="E1373">
    <cfRule type="containsText" dxfId="4472" priority="5879" operator="containsText" text="Sin información">
      <formula>NOT(ISERROR(SEARCH("Sin información",E1373)))</formula>
    </cfRule>
  </conditionalFormatting>
  <conditionalFormatting sqref="C1374:D1374">
    <cfRule type="containsText" dxfId="4471" priority="5877" operator="containsText" text="NO+$D$4:$D$10">
      <formula>NOT(ISERROR(SEARCH("NO+$D$4:$D$10",C1374)))</formula>
    </cfRule>
  </conditionalFormatting>
  <conditionalFormatting sqref="C1374:D1374">
    <cfRule type="containsText" dxfId="4470" priority="5875" operator="containsText" text="SI">
      <formula>NOT(ISERROR(SEARCH("SI",C1374)))</formula>
    </cfRule>
    <cfRule type="containsText" dxfId="4469" priority="5876" operator="containsText" text="NO">
      <formula>NOT(ISERROR(SEARCH("NO",C1374)))</formula>
    </cfRule>
  </conditionalFormatting>
  <conditionalFormatting sqref="C1374:D1374">
    <cfRule type="containsText" dxfId="4468" priority="5874" operator="containsText" text="NUEVO">
      <formula>NOT(ISERROR(SEARCH("NUEVO",C1374)))</formula>
    </cfRule>
  </conditionalFormatting>
  <conditionalFormatting sqref="E1374">
    <cfRule type="containsText" dxfId="4467" priority="5872" operator="containsText" text="NUEVO">
      <formula>NOT(ISERROR(SEARCH("NUEVO",E1374)))</formula>
    </cfRule>
  </conditionalFormatting>
  <conditionalFormatting sqref="E1374">
    <cfRule type="containsText" dxfId="4466" priority="5873" operator="containsText" text="Sin información">
      <formula>NOT(ISERROR(SEARCH("Sin información",E1374)))</formula>
    </cfRule>
  </conditionalFormatting>
  <conditionalFormatting sqref="C1376:D1376">
    <cfRule type="containsText" dxfId="4465" priority="5871" operator="containsText" text="NO+$D$4:$D$10">
      <formula>NOT(ISERROR(SEARCH("NO+$D$4:$D$10",C1376)))</formula>
    </cfRule>
  </conditionalFormatting>
  <conditionalFormatting sqref="C1376:D1376">
    <cfRule type="containsText" dxfId="4464" priority="5869" operator="containsText" text="SI">
      <formula>NOT(ISERROR(SEARCH("SI",C1376)))</formula>
    </cfRule>
    <cfRule type="containsText" dxfId="4463" priority="5870" operator="containsText" text="NO">
      <formula>NOT(ISERROR(SEARCH("NO",C1376)))</formula>
    </cfRule>
  </conditionalFormatting>
  <conditionalFormatting sqref="E1376">
    <cfRule type="containsText" dxfId="4462" priority="5868" operator="containsText" text="Sin información">
      <formula>NOT(ISERROR(SEARCH("Sin información",E1376)))</formula>
    </cfRule>
  </conditionalFormatting>
  <conditionalFormatting sqref="C1376:E1376">
    <cfRule type="containsText" dxfId="4461" priority="5867" operator="containsText" text="NUEVO">
      <formula>NOT(ISERROR(SEARCH("NUEVO",C1376)))</formula>
    </cfRule>
  </conditionalFormatting>
  <conditionalFormatting sqref="C1378:D1378">
    <cfRule type="containsText" dxfId="4460" priority="5866" operator="containsText" text="NO+$D$4:$D$10">
      <formula>NOT(ISERROR(SEARCH("NO+$D$4:$D$10",C1378)))</formula>
    </cfRule>
  </conditionalFormatting>
  <conditionalFormatting sqref="C1378:D1378">
    <cfRule type="containsText" dxfId="4459" priority="5864" operator="containsText" text="SI">
      <formula>NOT(ISERROR(SEARCH("SI",C1378)))</formula>
    </cfRule>
    <cfRule type="containsText" dxfId="4458" priority="5865" operator="containsText" text="NO">
      <formula>NOT(ISERROR(SEARCH("NO",C1378)))</formula>
    </cfRule>
  </conditionalFormatting>
  <conditionalFormatting sqref="E1378">
    <cfRule type="containsText" dxfId="4457" priority="5863" operator="containsText" text="Sin información">
      <formula>NOT(ISERROR(SEARCH("Sin información",E1378)))</formula>
    </cfRule>
  </conditionalFormatting>
  <conditionalFormatting sqref="C1378:E1378">
    <cfRule type="containsText" dxfId="4456" priority="5862" operator="containsText" text="NUEVO">
      <formula>NOT(ISERROR(SEARCH("NUEVO",C1378)))</formula>
    </cfRule>
  </conditionalFormatting>
  <conditionalFormatting sqref="C1380:D1380">
    <cfRule type="containsText" dxfId="4455" priority="5861" operator="containsText" text="NO+$D$4:$D$10">
      <formula>NOT(ISERROR(SEARCH("NO+$D$4:$D$10",C1380)))</formula>
    </cfRule>
  </conditionalFormatting>
  <conditionalFormatting sqref="C1380:D1380">
    <cfRule type="containsText" dxfId="4454" priority="5859" operator="containsText" text="SI">
      <formula>NOT(ISERROR(SEARCH("SI",C1380)))</formula>
    </cfRule>
    <cfRule type="containsText" dxfId="4453" priority="5860" operator="containsText" text="NO">
      <formula>NOT(ISERROR(SEARCH("NO",C1380)))</formula>
    </cfRule>
  </conditionalFormatting>
  <conditionalFormatting sqref="E1380">
    <cfRule type="containsText" dxfId="4452" priority="5858" operator="containsText" text="Sin información">
      <formula>NOT(ISERROR(SEARCH("Sin información",E1380)))</formula>
    </cfRule>
  </conditionalFormatting>
  <conditionalFormatting sqref="C1380:E1380">
    <cfRule type="containsText" dxfId="4451" priority="5857" operator="containsText" text="NUEVO">
      <formula>NOT(ISERROR(SEARCH("NUEVO",C1380)))</formula>
    </cfRule>
  </conditionalFormatting>
  <conditionalFormatting sqref="E1391">
    <cfRule type="containsText" dxfId="4450" priority="5821" operator="containsText" text="Sin información">
      <formula>NOT(ISERROR(SEARCH("Sin información",E1391)))</formula>
    </cfRule>
  </conditionalFormatting>
  <conditionalFormatting sqref="E1391">
    <cfRule type="containsText" dxfId="4449" priority="5820" operator="containsText" text="NUEVO">
      <formula>NOT(ISERROR(SEARCH("NUEVO",E1391)))</formula>
    </cfRule>
  </conditionalFormatting>
  <conditionalFormatting sqref="E1392">
    <cfRule type="containsText" dxfId="4448" priority="5816" operator="containsText" text="NUEVO">
      <formula>NOT(ISERROR(SEARCH("NUEVO",E1392)))</formula>
    </cfRule>
  </conditionalFormatting>
  <conditionalFormatting sqref="E1392">
    <cfRule type="containsText" dxfId="4447" priority="5817" operator="containsText" text="Sin información">
      <formula>NOT(ISERROR(SEARCH("Sin información",E1392)))</formula>
    </cfRule>
  </conditionalFormatting>
  <conditionalFormatting sqref="C1379:D1379">
    <cfRule type="containsText" dxfId="4446" priority="5815" operator="containsText" text="NO+$D$4:$D$10">
      <formula>NOT(ISERROR(SEARCH("NO+$D$4:$D$10",C1379)))</formula>
    </cfRule>
  </conditionalFormatting>
  <conditionalFormatting sqref="C1379:D1379">
    <cfRule type="containsText" dxfId="4445" priority="5813" operator="containsText" text="SI">
      <formula>NOT(ISERROR(SEARCH("SI",C1379)))</formula>
    </cfRule>
    <cfRule type="containsText" dxfId="4444" priority="5814" operator="containsText" text="NO">
      <formula>NOT(ISERROR(SEARCH("NO",C1379)))</formula>
    </cfRule>
  </conditionalFormatting>
  <conditionalFormatting sqref="C1379:D1379">
    <cfRule type="containsText" dxfId="4443" priority="5812" operator="containsText" text="NUEVO">
      <formula>NOT(ISERROR(SEARCH("NUEVO",C1379)))</formula>
    </cfRule>
  </conditionalFormatting>
  <conditionalFormatting sqref="E1379">
    <cfRule type="containsText" dxfId="4442" priority="5811" operator="containsText" text="Sin información">
      <formula>NOT(ISERROR(SEARCH("Sin información",E1379)))</formula>
    </cfRule>
  </conditionalFormatting>
  <conditionalFormatting sqref="E1379">
    <cfRule type="containsText" dxfId="4441" priority="5810" operator="containsText" text="NUEVO">
      <formula>NOT(ISERROR(SEARCH("NUEVO",E1379)))</formula>
    </cfRule>
  </conditionalFormatting>
  <conditionalFormatting sqref="C1381:D1381">
    <cfRule type="containsText" dxfId="4440" priority="5809" operator="containsText" text="NO+$D$4:$D$10">
      <formula>NOT(ISERROR(SEARCH("NO+$D$4:$D$10",C1381)))</formula>
    </cfRule>
  </conditionalFormatting>
  <conditionalFormatting sqref="C1381:D1381">
    <cfRule type="containsText" dxfId="4439" priority="5807" operator="containsText" text="SI">
      <formula>NOT(ISERROR(SEARCH("SI",C1381)))</formula>
    </cfRule>
    <cfRule type="containsText" dxfId="4438" priority="5808" operator="containsText" text="NO">
      <formula>NOT(ISERROR(SEARCH("NO",C1381)))</formula>
    </cfRule>
  </conditionalFormatting>
  <conditionalFormatting sqref="C1381:D1381">
    <cfRule type="containsText" dxfId="4437" priority="5806" operator="containsText" text="NUEVO">
      <formula>NOT(ISERROR(SEARCH("NUEVO",C1381)))</formula>
    </cfRule>
  </conditionalFormatting>
  <conditionalFormatting sqref="E1381">
    <cfRule type="containsText" dxfId="4436" priority="5805" operator="containsText" text="Sin información">
      <formula>NOT(ISERROR(SEARCH("Sin información",E1381)))</formula>
    </cfRule>
  </conditionalFormatting>
  <conditionalFormatting sqref="E1381">
    <cfRule type="containsText" dxfId="4435" priority="5803" operator="containsText" text="NUEVO">
      <formula>NOT(ISERROR(SEARCH("NUEVO",E1381)))</formula>
    </cfRule>
  </conditionalFormatting>
  <conditionalFormatting sqref="E1381">
    <cfRule type="containsText" dxfId="4434" priority="5804" operator="containsText" text="Sin información">
      <formula>NOT(ISERROR(SEARCH("Sin información",E1381)))</formula>
    </cfRule>
  </conditionalFormatting>
  <conditionalFormatting sqref="C1349:D1349">
    <cfRule type="containsText" dxfId="4433" priority="5802" operator="containsText" text="NO+$D$4:$D$10">
      <formula>NOT(ISERROR(SEARCH("NO+$D$4:$D$10",C1349)))</formula>
    </cfRule>
  </conditionalFormatting>
  <conditionalFormatting sqref="C1349:D1349">
    <cfRule type="containsText" dxfId="4432" priority="5800" operator="containsText" text="SI">
      <formula>NOT(ISERROR(SEARCH("SI",C1349)))</formula>
    </cfRule>
    <cfRule type="containsText" dxfId="4431" priority="5801" operator="containsText" text="NO">
      <formula>NOT(ISERROR(SEARCH("NO",C1349)))</formula>
    </cfRule>
  </conditionalFormatting>
  <conditionalFormatting sqref="C1349:D1349">
    <cfRule type="containsText" dxfId="4430" priority="5799" operator="containsText" text="NUEVO">
      <formula>NOT(ISERROR(SEARCH("NUEVO",C1349)))</formula>
    </cfRule>
  </conditionalFormatting>
  <conditionalFormatting sqref="E1349">
    <cfRule type="containsText" dxfId="4429" priority="5798" operator="containsText" text="Sin información">
      <formula>NOT(ISERROR(SEARCH("Sin información",E1349)))</formula>
    </cfRule>
  </conditionalFormatting>
  <conditionalFormatting sqref="E1349">
    <cfRule type="containsText" dxfId="4428" priority="5796" operator="containsText" text="NUEVO">
      <formula>NOT(ISERROR(SEARCH("NUEVO",E1349)))</formula>
    </cfRule>
  </conditionalFormatting>
  <conditionalFormatting sqref="E1349">
    <cfRule type="containsText" dxfId="4427" priority="5797" operator="containsText" text="Sin información">
      <formula>NOT(ISERROR(SEARCH("Sin información",E1349)))</formula>
    </cfRule>
  </conditionalFormatting>
  <conditionalFormatting sqref="C1348:D1348">
    <cfRule type="containsText" dxfId="4426" priority="5795" operator="containsText" text="NO+$D$4:$D$10">
      <formula>NOT(ISERROR(SEARCH("NO+$D$4:$D$10",C1348)))</formula>
    </cfRule>
  </conditionalFormatting>
  <conditionalFormatting sqref="C1348:D1348">
    <cfRule type="containsText" dxfId="4425" priority="5793" operator="containsText" text="SI">
      <formula>NOT(ISERROR(SEARCH("SI",C1348)))</formula>
    </cfRule>
    <cfRule type="containsText" dxfId="4424" priority="5794" operator="containsText" text="NO">
      <formula>NOT(ISERROR(SEARCH("NO",C1348)))</formula>
    </cfRule>
  </conditionalFormatting>
  <conditionalFormatting sqref="C1348:D1348">
    <cfRule type="containsText" dxfId="4423" priority="5792" operator="containsText" text="NUEVO">
      <formula>NOT(ISERROR(SEARCH("NUEVO",C1348)))</formula>
    </cfRule>
  </conditionalFormatting>
  <conditionalFormatting sqref="E1348">
    <cfRule type="containsText" dxfId="4422" priority="5791" operator="containsText" text="Sin información">
      <formula>NOT(ISERROR(SEARCH("Sin información",E1348)))</formula>
    </cfRule>
  </conditionalFormatting>
  <conditionalFormatting sqref="E1348">
    <cfRule type="containsText" dxfId="4421" priority="5789" operator="containsText" text="NUEVO">
      <formula>NOT(ISERROR(SEARCH("NUEVO",E1348)))</formula>
    </cfRule>
  </conditionalFormatting>
  <conditionalFormatting sqref="E1348">
    <cfRule type="containsText" dxfId="4420" priority="5790" operator="containsText" text="Sin información">
      <formula>NOT(ISERROR(SEARCH("Sin información",E1348)))</formula>
    </cfRule>
  </conditionalFormatting>
  <conditionalFormatting sqref="C1347:D1347">
    <cfRule type="containsText" dxfId="4419" priority="5788" operator="containsText" text="NO+$D$4:$D$10">
      <formula>NOT(ISERROR(SEARCH("NO+$D$4:$D$10",C1347)))</formula>
    </cfRule>
  </conditionalFormatting>
  <conditionalFormatting sqref="C1347:D1347">
    <cfRule type="containsText" dxfId="4418" priority="5786" operator="containsText" text="SI">
      <formula>NOT(ISERROR(SEARCH("SI",C1347)))</formula>
    </cfRule>
    <cfRule type="containsText" dxfId="4417" priority="5787" operator="containsText" text="NO">
      <formula>NOT(ISERROR(SEARCH("NO",C1347)))</formula>
    </cfRule>
  </conditionalFormatting>
  <conditionalFormatting sqref="C1347:D1347">
    <cfRule type="containsText" dxfId="4416" priority="5785" operator="containsText" text="NUEVO">
      <formula>NOT(ISERROR(SEARCH("NUEVO",C1347)))</formula>
    </cfRule>
  </conditionalFormatting>
  <conditionalFormatting sqref="E1347">
    <cfRule type="containsText" dxfId="4415" priority="5784" operator="containsText" text="Sin información">
      <formula>NOT(ISERROR(SEARCH("Sin información",E1347)))</formula>
    </cfRule>
  </conditionalFormatting>
  <conditionalFormatting sqref="E1347">
    <cfRule type="containsText" dxfId="4414" priority="5783" operator="containsText" text="NUEVO">
      <formula>NOT(ISERROR(SEARCH("NUEVO",E1347)))</formula>
    </cfRule>
  </conditionalFormatting>
  <conditionalFormatting sqref="C1344:D1344">
    <cfRule type="containsText" dxfId="4413" priority="5782" operator="containsText" text="NO+$D$4:$D$10">
      <formula>NOT(ISERROR(SEARCH("NO+$D$4:$D$10",C1344)))</formula>
    </cfRule>
  </conditionalFormatting>
  <conditionalFormatting sqref="C1344:D1344">
    <cfRule type="containsText" dxfId="4412" priority="5780" operator="containsText" text="SI">
      <formula>NOT(ISERROR(SEARCH("SI",C1344)))</formula>
    </cfRule>
    <cfRule type="containsText" dxfId="4411" priority="5781" operator="containsText" text="NO">
      <formula>NOT(ISERROR(SEARCH("NO",C1344)))</formula>
    </cfRule>
  </conditionalFormatting>
  <conditionalFormatting sqref="C1344:D1344">
    <cfRule type="containsText" dxfId="4410" priority="5779" operator="containsText" text="NUEVO">
      <formula>NOT(ISERROR(SEARCH("NUEVO",C1344)))</formula>
    </cfRule>
  </conditionalFormatting>
  <conditionalFormatting sqref="E1344">
    <cfRule type="containsText" dxfId="4409" priority="5778" operator="containsText" text="Sin información">
      <formula>NOT(ISERROR(SEARCH("Sin información",E1344)))</formula>
    </cfRule>
  </conditionalFormatting>
  <conditionalFormatting sqref="E1344">
    <cfRule type="containsText" dxfId="4408" priority="5777" operator="containsText" text="NUEVO">
      <formula>NOT(ISERROR(SEARCH("NUEVO",E1344)))</formula>
    </cfRule>
  </conditionalFormatting>
  <conditionalFormatting sqref="C1393:D1393">
    <cfRule type="containsText" dxfId="4407" priority="5776" operator="containsText" text="NO+$D$4:$D$10">
      <formula>NOT(ISERROR(SEARCH("NO+$D$4:$D$10",C1393)))</formula>
    </cfRule>
  </conditionalFormatting>
  <conditionalFormatting sqref="C1393:D1393">
    <cfRule type="containsText" dxfId="4406" priority="5774" operator="containsText" text="SI">
      <formula>NOT(ISERROR(SEARCH("SI",C1393)))</formula>
    </cfRule>
    <cfRule type="containsText" dxfId="4405" priority="5775" operator="containsText" text="NO">
      <formula>NOT(ISERROR(SEARCH("NO",C1393)))</formula>
    </cfRule>
  </conditionalFormatting>
  <conditionalFormatting sqref="C1393:D1393">
    <cfRule type="containsText" dxfId="4404" priority="5773" operator="containsText" text="NUEVO">
      <formula>NOT(ISERROR(SEARCH("NUEVO",C1393)))</formula>
    </cfRule>
  </conditionalFormatting>
  <conditionalFormatting sqref="E1393">
    <cfRule type="containsText" dxfId="4403" priority="5771" operator="containsText" text="NUEVO">
      <formula>NOT(ISERROR(SEARCH("NUEVO",E1393)))</formula>
    </cfRule>
  </conditionalFormatting>
  <conditionalFormatting sqref="E1393">
    <cfRule type="containsText" dxfId="4402" priority="5772" operator="containsText" text="Sin información">
      <formula>NOT(ISERROR(SEARCH("Sin información",E1393)))</formula>
    </cfRule>
  </conditionalFormatting>
  <conditionalFormatting sqref="C1394:D1394">
    <cfRule type="containsText" dxfId="4401" priority="5770" operator="containsText" text="NO+$D$4:$D$10">
      <formula>NOT(ISERROR(SEARCH("NO+$D$4:$D$10",C1394)))</formula>
    </cfRule>
  </conditionalFormatting>
  <conditionalFormatting sqref="C1394:D1394">
    <cfRule type="containsText" dxfId="4400" priority="5768" operator="containsText" text="SI">
      <formula>NOT(ISERROR(SEARCH("SI",C1394)))</formula>
    </cfRule>
    <cfRule type="containsText" dxfId="4399" priority="5769" operator="containsText" text="NO">
      <formula>NOT(ISERROR(SEARCH("NO",C1394)))</formula>
    </cfRule>
  </conditionalFormatting>
  <conditionalFormatting sqref="E1394">
    <cfRule type="containsText" dxfId="4398" priority="5767" operator="containsText" text="Sin información">
      <formula>NOT(ISERROR(SEARCH("Sin información",E1394)))</formula>
    </cfRule>
  </conditionalFormatting>
  <conditionalFormatting sqref="C1394:E1394">
    <cfRule type="containsText" dxfId="4397" priority="5766" operator="containsText" text="NUEVO">
      <formula>NOT(ISERROR(SEARCH("NUEVO",C1394)))</formula>
    </cfRule>
  </conditionalFormatting>
  <conditionalFormatting sqref="C1395:D1395">
    <cfRule type="containsText" dxfId="4396" priority="5765" operator="containsText" text="NO+$D$4:$D$10">
      <formula>NOT(ISERROR(SEARCH("NO+$D$4:$D$10",C1395)))</formula>
    </cfRule>
  </conditionalFormatting>
  <conditionalFormatting sqref="C1395:D1395">
    <cfRule type="containsText" dxfId="4395" priority="5763" operator="containsText" text="SI">
      <formula>NOT(ISERROR(SEARCH("SI",C1395)))</formula>
    </cfRule>
    <cfRule type="containsText" dxfId="4394" priority="5764" operator="containsText" text="NO">
      <formula>NOT(ISERROR(SEARCH("NO",C1395)))</formula>
    </cfRule>
  </conditionalFormatting>
  <conditionalFormatting sqref="E1395">
    <cfRule type="containsText" dxfId="4393" priority="5762" operator="containsText" text="Sin información">
      <formula>NOT(ISERROR(SEARCH("Sin información",E1395)))</formula>
    </cfRule>
  </conditionalFormatting>
  <conditionalFormatting sqref="C1395:E1395">
    <cfRule type="containsText" dxfId="4392" priority="5761" operator="containsText" text="NUEVO">
      <formula>NOT(ISERROR(SEARCH("NUEVO",C1395)))</formula>
    </cfRule>
  </conditionalFormatting>
  <conditionalFormatting sqref="C1404:D1404">
    <cfRule type="containsText" dxfId="4391" priority="5760" operator="containsText" text="NO+$D$4:$D$10">
      <formula>NOT(ISERROR(SEARCH("NO+$D$4:$D$10",C1404)))</formula>
    </cfRule>
  </conditionalFormatting>
  <conditionalFormatting sqref="C1404:D1404">
    <cfRule type="containsText" dxfId="4390" priority="5758" operator="containsText" text="SI">
      <formula>NOT(ISERROR(SEARCH("SI",C1404)))</formula>
    </cfRule>
    <cfRule type="containsText" dxfId="4389" priority="5759" operator="containsText" text="NO">
      <formula>NOT(ISERROR(SEARCH("NO",C1404)))</formula>
    </cfRule>
  </conditionalFormatting>
  <conditionalFormatting sqref="E1404">
    <cfRule type="containsText" dxfId="4388" priority="5757" operator="containsText" text="Sin información">
      <formula>NOT(ISERROR(SEARCH("Sin información",E1404)))</formula>
    </cfRule>
  </conditionalFormatting>
  <conditionalFormatting sqref="C1404:E1404">
    <cfRule type="containsText" dxfId="4387" priority="5756" operator="containsText" text="NUEVO">
      <formula>NOT(ISERROR(SEARCH("NUEVO",C1404)))</formula>
    </cfRule>
  </conditionalFormatting>
  <conditionalFormatting sqref="E1404">
    <cfRule type="containsText" dxfId="4386" priority="5755" operator="containsText" text="NUEVO">
      <formula>NOT(ISERROR(SEARCH("NUEVO",E1404)))</formula>
    </cfRule>
  </conditionalFormatting>
  <conditionalFormatting sqref="E1404">
    <cfRule type="containsText" dxfId="4385" priority="5754" operator="containsText" text="Sin información">
      <formula>NOT(ISERROR(SEARCH("Sin información",E1404)))</formula>
    </cfRule>
  </conditionalFormatting>
  <conditionalFormatting sqref="C1405:D1405">
    <cfRule type="containsText" dxfId="4384" priority="5753" operator="containsText" text="NO+$D$4:$D$10">
      <formula>NOT(ISERROR(SEARCH("NO+$D$4:$D$10",C1405)))</formula>
    </cfRule>
  </conditionalFormatting>
  <conditionalFormatting sqref="C1405:D1405">
    <cfRule type="containsText" dxfId="4383" priority="5751" operator="containsText" text="SI">
      <formula>NOT(ISERROR(SEARCH("SI",C1405)))</formula>
    </cfRule>
    <cfRule type="containsText" dxfId="4382" priority="5752" operator="containsText" text="NO">
      <formula>NOT(ISERROR(SEARCH("NO",C1405)))</formula>
    </cfRule>
  </conditionalFormatting>
  <conditionalFormatting sqref="E1405">
    <cfRule type="containsText" dxfId="4381" priority="5750" operator="containsText" text="Sin información">
      <formula>NOT(ISERROR(SEARCH("Sin información",E1405)))</formula>
    </cfRule>
  </conditionalFormatting>
  <conditionalFormatting sqref="C1405:E1405">
    <cfRule type="containsText" dxfId="4380" priority="5749" operator="containsText" text="NUEVO">
      <formula>NOT(ISERROR(SEARCH("NUEVO",C1405)))</formula>
    </cfRule>
  </conditionalFormatting>
  <conditionalFormatting sqref="E1405">
    <cfRule type="containsText" dxfId="4379" priority="5748" operator="containsText" text="NUEVO">
      <formula>NOT(ISERROR(SEARCH("NUEVO",E1405)))</formula>
    </cfRule>
  </conditionalFormatting>
  <conditionalFormatting sqref="E1405">
    <cfRule type="containsText" dxfId="4378" priority="5747" operator="containsText" text="Sin información">
      <formula>NOT(ISERROR(SEARCH("Sin información",E1405)))</formula>
    </cfRule>
  </conditionalFormatting>
  <conditionalFormatting sqref="C1406:D1406">
    <cfRule type="containsText" dxfId="4377" priority="5746" operator="containsText" text="NO+$D$4:$D$10">
      <formula>NOT(ISERROR(SEARCH("NO+$D$4:$D$10",C1406)))</formula>
    </cfRule>
  </conditionalFormatting>
  <conditionalFormatting sqref="C1406:D1406">
    <cfRule type="containsText" dxfId="4376" priority="5744" operator="containsText" text="SI">
      <formula>NOT(ISERROR(SEARCH("SI",C1406)))</formula>
    </cfRule>
    <cfRule type="containsText" dxfId="4375" priority="5745" operator="containsText" text="NO">
      <formula>NOT(ISERROR(SEARCH("NO",C1406)))</formula>
    </cfRule>
  </conditionalFormatting>
  <conditionalFormatting sqref="E1406">
    <cfRule type="containsText" dxfId="4374" priority="5743" operator="containsText" text="Sin información">
      <formula>NOT(ISERROR(SEARCH("Sin información",E1406)))</formula>
    </cfRule>
  </conditionalFormatting>
  <conditionalFormatting sqref="C1406:E1406">
    <cfRule type="containsText" dxfId="4373" priority="5742" operator="containsText" text="NUEVO">
      <formula>NOT(ISERROR(SEARCH("NUEVO",C1406)))</formula>
    </cfRule>
  </conditionalFormatting>
  <conditionalFormatting sqref="E1406">
    <cfRule type="containsText" dxfId="4372" priority="5741" operator="containsText" text="NUEVO">
      <formula>NOT(ISERROR(SEARCH("NUEVO",E1406)))</formula>
    </cfRule>
  </conditionalFormatting>
  <conditionalFormatting sqref="E1406">
    <cfRule type="containsText" dxfId="4371" priority="5740" operator="containsText" text="Sin información">
      <formula>NOT(ISERROR(SEARCH("Sin información",E1406)))</formula>
    </cfRule>
  </conditionalFormatting>
  <conditionalFormatting sqref="C1407:D1407">
    <cfRule type="containsText" dxfId="4370" priority="5739" operator="containsText" text="NO+$D$4:$D$10">
      <formula>NOT(ISERROR(SEARCH("NO+$D$4:$D$10",C1407)))</formula>
    </cfRule>
  </conditionalFormatting>
  <conditionalFormatting sqref="C1407:D1407">
    <cfRule type="containsText" dxfId="4369" priority="5737" operator="containsText" text="SI">
      <formula>NOT(ISERROR(SEARCH("SI",C1407)))</formula>
    </cfRule>
    <cfRule type="containsText" dxfId="4368" priority="5738" operator="containsText" text="NO">
      <formula>NOT(ISERROR(SEARCH("NO",C1407)))</formula>
    </cfRule>
  </conditionalFormatting>
  <conditionalFormatting sqref="C1407:D1407">
    <cfRule type="containsText" dxfId="4367" priority="5736" operator="containsText" text="NUEVO">
      <formula>NOT(ISERROR(SEARCH("NUEVO",C1407)))</formula>
    </cfRule>
  </conditionalFormatting>
  <conditionalFormatting sqref="E1407">
    <cfRule type="containsText" dxfId="4366" priority="5734" operator="containsText" text="NUEVO">
      <formula>NOT(ISERROR(SEARCH("NUEVO",E1407)))</formula>
    </cfRule>
  </conditionalFormatting>
  <conditionalFormatting sqref="E1407">
    <cfRule type="containsText" dxfId="4365" priority="5735" operator="containsText" text="Sin información">
      <formula>NOT(ISERROR(SEARCH("Sin información",E1407)))</formula>
    </cfRule>
  </conditionalFormatting>
  <conditionalFormatting sqref="C1408:D1409">
    <cfRule type="containsText" dxfId="4364" priority="5733" operator="containsText" text="NO+$D$4:$D$10">
      <formula>NOT(ISERROR(SEARCH("NO+$D$4:$D$10",C1408)))</formula>
    </cfRule>
  </conditionalFormatting>
  <conditionalFormatting sqref="C1408:D1409">
    <cfRule type="containsText" dxfId="4363" priority="5731" operator="containsText" text="SI">
      <formula>NOT(ISERROR(SEARCH("SI",C1408)))</formula>
    </cfRule>
    <cfRule type="containsText" dxfId="4362" priority="5732" operator="containsText" text="NO">
      <formula>NOT(ISERROR(SEARCH("NO",C1408)))</formula>
    </cfRule>
  </conditionalFormatting>
  <conditionalFormatting sqref="C1408:D1409">
    <cfRule type="containsText" dxfId="4361" priority="5730" operator="containsText" text="NUEVO">
      <formula>NOT(ISERROR(SEARCH("NUEVO",C1408)))</formula>
    </cfRule>
  </conditionalFormatting>
  <conditionalFormatting sqref="E1408:E1409">
    <cfRule type="containsText" dxfId="4360" priority="5728" operator="containsText" text="NUEVO">
      <formula>NOT(ISERROR(SEARCH("NUEVO",E1408)))</formula>
    </cfRule>
  </conditionalFormatting>
  <conditionalFormatting sqref="E1408:E1409">
    <cfRule type="containsText" dxfId="4359" priority="5729" operator="containsText" text="Sin información">
      <formula>NOT(ISERROR(SEARCH("Sin información",E1408)))</formula>
    </cfRule>
  </conditionalFormatting>
  <conditionalFormatting sqref="C1410:D1410">
    <cfRule type="containsText" dxfId="4358" priority="5727" operator="containsText" text="NO+$D$4:$D$10">
      <formula>NOT(ISERROR(SEARCH("NO+$D$4:$D$10",C1410)))</formula>
    </cfRule>
  </conditionalFormatting>
  <conditionalFormatting sqref="C1410:D1410">
    <cfRule type="containsText" dxfId="4357" priority="5725" operator="containsText" text="SI">
      <formula>NOT(ISERROR(SEARCH("SI",C1410)))</formula>
    </cfRule>
    <cfRule type="containsText" dxfId="4356" priority="5726" operator="containsText" text="NO">
      <formula>NOT(ISERROR(SEARCH("NO",C1410)))</formula>
    </cfRule>
  </conditionalFormatting>
  <conditionalFormatting sqref="E1410">
    <cfRule type="containsText" dxfId="4355" priority="5724" operator="containsText" text="Sin información">
      <formula>NOT(ISERROR(SEARCH("Sin información",E1410)))</formula>
    </cfRule>
  </conditionalFormatting>
  <conditionalFormatting sqref="C1410:D1410">
    <cfRule type="containsText" dxfId="4354" priority="5723" operator="containsText" text="NUEVO">
      <formula>NOT(ISERROR(SEARCH("NUEVO",C1410)))</formula>
    </cfRule>
  </conditionalFormatting>
  <conditionalFormatting sqref="E1410">
    <cfRule type="containsText" dxfId="4353" priority="5722" operator="containsText" text="Sin información">
      <formula>NOT(ISERROR(SEARCH("Sin información",E1410)))</formula>
    </cfRule>
  </conditionalFormatting>
  <conditionalFormatting sqref="E1410">
    <cfRule type="containsText" dxfId="4352" priority="5720" operator="containsText" text="NUEVO">
      <formula>NOT(ISERROR(SEARCH("NUEVO",E1410)))</formula>
    </cfRule>
  </conditionalFormatting>
  <conditionalFormatting sqref="E1410">
    <cfRule type="containsText" dxfId="4351" priority="5721" operator="containsText" text="Sin información">
      <formula>NOT(ISERROR(SEARCH("Sin información",E1410)))</formula>
    </cfRule>
  </conditionalFormatting>
  <conditionalFormatting sqref="C1411:D1411">
    <cfRule type="containsText" dxfId="4350" priority="5719" operator="containsText" text="NO+$D$4:$D$10">
      <formula>NOT(ISERROR(SEARCH("NO+$D$4:$D$10",C1411)))</formula>
    </cfRule>
  </conditionalFormatting>
  <conditionalFormatting sqref="C1411:D1411">
    <cfRule type="containsText" dxfId="4349" priority="5717" operator="containsText" text="SI">
      <formula>NOT(ISERROR(SEARCH("SI",C1411)))</formula>
    </cfRule>
    <cfRule type="containsText" dxfId="4348" priority="5718" operator="containsText" text="NO">
      <formula>NOT(ISERROR(SEARCH("NO",C1411)))</formula>
    </cfRule>
  </conditionalFormatting>
  <conditionalFormatting sqref="C1411:D1411">
    <cfRule type="containsText" dxfId="4347" priority="5716" operator="containsText" text="NUEVO">
      <formula>NOT(ISERROR(SEARCH("NUEVO",C1411)))</formula>
    </cfRule>
  </conditionalFormatting>
  <conditionalFormatting sqref="E1411">
    <cfRule type="containsText" dxfId="4346" priority="5715" operator="containsText" text="Sin información">
      <formula>NOT(ISERROR(SEARCH("Sin información",E1411)))</formula>
    </cfRule>
  </conditionalFormatting>
  <conditionalFormatting sqref="E1411">
    <cfRule type="containsText" dxfId="4345" priority="5713" operator="containsText" text="NUEVO">
      <formula>NOT(ISERROR(SEARCH("NUEVO",E1411)))</formula>
    </cfRule>
  </conditionalFormatting>
  <conditionalFormatting sqref="E1411">
    <cfRule type="containsText" dxfId="4344" priority="5714" operator="containsText" text="Sin información">
      <formula>NOT(ISERROR(SEARCH("Sin información",E1411)))</formula>
    </cfRule>
  </conditionalFormatting>
  <conditionalFormatting sqref="C1413:D1414">
    <cfRule type="containsText" dxfId="4343" priority="5712" operator="containsText" text="NO+$D$4:$D$10">
      <formula>NOT(ISERROR(SEARCH("NO+$D$4:$D$10",C1413)))</formula>
    </cfRule>
  </conditionalFormatting>
  <conditionalFormatting sqref="C1413:D1414">
    <cfRule type="containsText" dxfId="4342" priority="5710" operator="containsText" text="SI">
      <formula>NOT(ISERROR(SEARCH("SI",C1413)))</formula>
    </cfRule>
    <cfRule type="containsText" dxfId="4341" priority="5711" operator="containsText" text="NO">
      <formula>NOT(ISERROR(SEARCH("NO",C1413)))</formula>
    </cfRule>
  </conditionalFormatting>
  <conditionalFormatting sqref="C1413:D1414">
    <cfRule type="containsText" dxfId="4340" priority="5709" operator="containsText" text="NUEVO">
      <formula>NOT(ISERROR(SEARCH("NUEVO",C1413)))</formula>
    </cfRule>
  </conditionalFormatting>
  <conditionalFormatting sqref="E1413:E1414">
    <cfRule type="containsText" dxfId="4339" priority="5708" operator="containsText" text="Sin información">
      <formula>NOT(ISERROR(SEARCH("Sin información",E1413)))</formula>
    </cfRule>
  </conditionalFormatting>
  <conditionalFormatting sqref="E1413:E1414">
    <cfRule type="containsText" dxfId="4338" priority="5706" operator="containsText" text="NUEVO">
      <formula>NOT(ISERROR(SEARCH("NUEVO",E1413)))</formula>
    </cfRule>
  </conditionalFormatting>
  <conditionalFormatting sqref="E1413:E1414">
    <cfRule type="containsText" dxfId="4337" priority="5707" operator="containsText" text="Sin información">
      <formula>NOT(ISERROR(SEARCH("Sin información",E1413)))</formula>
    </cfRule>
  </conditionalFormatting>
  <conditionalFormatting sqref="C1415:D1415">
    <cfRule type="containsText" dxfId="4336" priority="5705" operator="containsText" text="NO+$D$4:$D$10">
      <formula>NOT(ISERROR(SEARCH("NO+$D$4:$D$10",C1415)))</formula>
    </cfRule>
  </conditionalFormatting>
  <conditionalFormatting sqref="C1415:D1415">
    <cfRule type="containsText" dxfId="4335" priority="5703" operator="containsText" text="SI">
      <formula>NOT(ISERROR(SEARCH("SI",C1415)))</formula>
    </cfRule>
    <cfRule type="containsText" dxfId="4334" priority="5704" operator="containsText" text="NO">
      <formula>NOT(ISERROR(SEARCH("NO",C1415)))</formula>
    </cfRule>
  </conditionalFormatting>
  <conditionalFormatting sqref="C1415:D1415">
    <cfRule type="containsText" dxfId="4333" priority="5702" operator="containsText" text="NUEVO">
      <formula>NOT(ISERROR(SEARCH("NUEVO",C1415)))</formula>
    </cfRule>
  </conditionalFormatting>
  <conditionalFormatting sqref="E1415">
    <cfRule type="containsText" dxfId="4332" priority="5701" operator="containsText" text="Sin información">
      <formula>NOT(ISERROR(SEARCH("Sin información",E1415)))</formula>
    </cfRule>
  </conditionalFormatting>
  <conditionalFormatting sqref="E1415">
    <cfRule type="containsText" dxfId="4331" priority="5699" operator="containsText" text="NUEVO">
      <formula>NOT(ISERROR(SEARCH("NUEVO",E1415)))</formula>
    </cfRule>
  </conditionalFormatting>
  <conditionalFormatting sqref="E1415">
    <cfRule type="containsText" dxfId="4330" priority="5700" operator="containsText" text="Sin información">
      <formula>NOT(ISERROR(SEARCH("Sin información",E1415)))</formula>
    </cfRule>
  </conditionalFormatting>
  <conditionalFormatting sqref="C1416:D1417">
    <cfRule type="containsText" dxfId="4329" priority="5698" operator="containsText" text="NO+$D$4:$D$10">
      <formula>NOT(ISERROR(SEARCH("NO+$D$4:$D$10",C1416)))</formula>
    </cfRule>
  </conditionalFormatting>
  <conditionalFormatting sqref="C1416:D1417">
    <cfRule type="containsText" dxfId="4328" priority="5696" operator="containsText" text="SI">
      <formula>NOT(ISERROR(SEARCH("SI",C1416)))</formula>
    </cfRule>
    <cfRule type="containsText" dxfId="4327" priority="5697" operator="containsText" text="NO">
      <formula>NOT(ISERROR(SEARCH("NO",C1416)))</formula>
    </cfRule>
  </conditionalFormatting>
  <conditionalFormatting sqref="C1416:D1417">
    <cfRule type="containsText" dxfId="4326" priority="5695" operator="containsText" text="NUEVO">
      <formula>NOT(ISERROR(SEARCH("NUEVO",C1416)))</formula>
    </cfRule>
  </conditionalFormatting>
  <conditionalFormatting sqref="E1416">
    <cfRule type="containsText" dxfId="4325" priority="5694" operator="containsText" text="Sin información">
      <formula>NOT(ISERROR(SEARCH("Sin información",E1416)))</formula>
    </cfRule>
  </conditionalFormatting>
  <conditionalFormatting sqref="E1416">
    <cfRule type="containsText" dxfId="4324" priority="5692" operator="containsText" text="NUEVO">
      <formula>NOT(ISERROR(SEARCH("NUEVO",E1416)))</formula>
    </cfRule>
  </conditionalFormatting>
  <conditionalFormatting sqref="E1416">
    <cfRule type="containsText" dxfId="4323" priority="5693" operator="containsText" text="Sin información">
      <formula>NOT(ISERROR(SEARCH("Sin información",E1416)))</formula>
    </cfRule>
  </conditionalFormatting>
  <conditionalFormatting sqref="E1417">
    <cfRule type="containsText" dxfId="4322" priority="5691" operator="containsText" text="Sin información">
      <formula>NOT(ISERROR(SEARCH("Sin información",E1417)))</formula>
    </cfRule>
  </conditionalFormatting>
  <conditionalFormatting sqref="E1417">
    <cfRule type="containsText" dxfId="4321" priority="5690" operator="containsText" text="NUEVO">
      <formula>NOT(ISERROR(SEARCH("NUEVO",E1417)))</formula>
    </cfRule>
  </conditionalFormatting>
  <conditionalFormatting sqref="C1418:D1419">
    <cfRule type="containsText" dxfId="4320" priority="5689" operator="containsText" text="NO+$D$4:$D$10">
      <formula>NOT(ISERROR(SEARCH("NO+$D$4:$D$10",C1418)))</formula>
    </cfRule>
  </conditionalFormatting>
  <conditionalFormatting sqref="C1418:D1419">
    <cfRule type="containsText" dxfId="4319" priority="5687" operator="containsText" text="SI">
      <formula>NOT(ISERROR(SEARCH("SI",C1418)))</formula>
    </cfRule>
    <cfRule type="containsText" dxfId="4318" priority="5688" operator="containsText" text="NO">
      <formula>NOT(ISERROR(SEARCH("NO",C1418)))</formula>
    </cfRule>
  </conditionalFormatting>
  <conditionalFormatting sqref="C1418:D1419">
    <cfRule type="containsText" dxfId="4317" priority="5686" operator="containsText" text="NUEVO">
      <formula>NOT(ISERROR(SEARCH("NUEVO",C1418)))</formula>
    </cfRule>
  </conditionalFormatting>
  <conditionalFormatting sqref="E1418:E1419">
    <cfRule type="containsText" dxfId="4316" priority="5685" operator="containsText" text="Sin información">
      <formula>NOT(ISERROR(SEARCH("Sin información",E1418)))</formula>
    </cfRule>
  </conditionalFormatting>
  <conditionalFormatting sqref="E1418:E1419">
    <cfRule type="containsText" dxfId="4315" priority="5683" operator="containsText" text="NUEVO">
      <formula>NOT(ISERROR(SEARCH("NUEVO",E1418)))</formula>
    </cfRule>
  </conditionalFormatting>
  <conditionalFormatting sqref="E1418:E1419">
    <cfRule type="containsText" dxfId="4314" priority="5684" operator="containsText" text="Sin información">
      <formula>NOT(ISERROR(SEARCH("Sin información",E1418)))</formula>
    </cfRule>
  </conditionalFormatting>
  <conditionalFormatting sqref="C1420:D1424">
    <cfRule type="containsText" dxfId="4313" priority="5682" operator="containsText" text="NO+$D$4:$D$10">
      <formula>NOT(ISERROR(SEARCH("NO+$D$4:$D$10",C1420)))</formula>
    </cfRule>
  </conditionalFormatting>
  <conditionalFormatting sqref="C1420:D1424">
    <cfRule type="containsText" dxfId="4312" priority="5680" operator="containsText" text="SI">
      <formula>NOT(ISERROR(SEARCH("SI",C1420)))</formula>
    </cfRule>
    <cfRule type="containsText" dxfId="4311" priority="5681" operator="containsText" text="NO">
      <formula>NOT(ISERROR(SEARCH("NO",C1420)))</formula>
    </cfRule>
  </conditionalFormatting>
  <conditionalFormatting sqref="C1420:D1424">
    <cfRule type="containsText" dxfId="4310" priority="5679" operator="containsText" text="NUEVO">
      <formula>NOT(ISERROR(SEARCH("NUEVO",C1420)))</formula>
    </cfRule>
  </conditionalFormatting>
  <conditionalFormatting sqref="E1420">
    <cfRule type="containsText" dxfId="4309" priority="5678" operator="containsText" text="Sin información">
      <formula>NOT(ISERROR(SEARCH("Sin información",E1420)))</formula>
    </cfRule>
  </conditionalFormatting>
  <conditionalFormatting sqref="E1420">
    <cfRule type="containsText" dxfId="4308" priority="5677" operator="containsText" text="NUEVO">
      <formula>NOT(ISERROR(SEARCH("NUEVO",E1420)))</formula>
    </cfRule>
  </conditionalFormatting>
  <conditionalFormatting sqref="E1421:E1424">
    <cfRule type="containsText" dxfId="4307" priority="5674" operator="containsText" text="NUEVO">
      <formula>NOT(ISERROR(SEARCH("NUEVO",E1421)))</formula>
    </cfRule>
  </conditionalFormatting>
  <conditionalFormatting sqref="E1421:E1424">
    <cfRule type="containsText" dxfId="4306" priority="5676" operator="containsText" text="Sin información">
      <formula>NOT(ISERROR(SEARCH("Sin información",E1421)))</formula>
    </cfRule>
  </conditionalFormatting>
  <conditionalFormatting sqref="E1421:E1424">
    <cfRule type="containsText" dxfId="4305" priority="5675" operator="containsText" text="Sin información">
      <formula>NOT(ISERROR(SEARCH("Sin información",E1421)))</formula>
    </cfRule>
  </conditionalFormatting>
  <conditionalFormatting sqref="E1425">
    <cfRule type="containsText" dxfId="4304" priority="5667" operator="containsText" text="Sin información">
      <formula>NOT(ISERROR(SEARCH("Sin información",E1425)))</formula>
    </cfRule>
  </conditionalFormatting>
  <conditionalFormatting sqref="C1425:D1426">
    <cfRule type="containsText" dxfId="4303" priority="5671" operator="containsText" text="NO+$D$4:$D$10">
      <formula>NOT(ISERROR(SEARCH("NO+$D$4:$D$10",C1425)))</formula>
    </cfRule>
  </conditionalFormatting>
  <conditionalFormatting sqref="C1425:D1426">
    <cfRule type="containsText" dxfId="4302" priority="5669" operator="containsText" text="SI">
      <formula>NOT(ISERROR(SEARCH("SI",C1425)))</formula>
    </cfRule>
    <cfRule type="containsText" dxfId="4301" priority="5670" operator="containsText" text="NO">
      <formula>NOT(ISERROR(SEARCH("NO",C1425)))</formula>
    </cfRule>
  </conditionalFormatting>
  <conditionalFormatting sqref="C1425:D1426">
    <cfRule type="containsText" dxfId="4300" priority="5668" operator="containsText" text="NUEVO">
      <formula>NOT(ISERROR(SEARCH("NUEVO",C1425)))</formula>
    </cfRule>
  </conditionalFormatting>
  <conditionalFormatting sqref="E1425">
    <cfRule type="containsText" dxfId="4299" priority="5665" operator="containsText" text="NUEVO">
      <formula>NOT(ISERROR(SEARCH("NUEVO",E1425)))</formula>
    </cfRule>
  </conditionalFormatting>
  <conditionalFormatting sqref="E1425">
    <cfRule type="containsText" dxfId="4298" priority="5666" operator="containsText" text="Sin información">
      <formula>NOT(ISERROR(SEARCH("Sin información",E1425)))</formula>
    </cfRule>
  </conditionalFormatting>
  <conditionalFormatting sqref="E1426">
    <cfRule type="containsText" dxfId="4297" priority="5664" operator="containsText" text="Sin información">
      <formula>NOT(ISERROR(SEARCH("Sin información",E1426)))</formula>
    </cfRule>
  </conditionalFormatting>
  <conditionalFormatting sqref="E1426">
    <cfRule type="containsText" dxfId="4296" priority="5663" operator="containsText" text="NUEVO">
      <formula>NOT(ISERROR(SEARCH("NUEVO",E1426)))</formula>
    </cfRule>
  </conditionalFormatting>
  <conditionalFormatting sqref="C1427:D1427">
    <cfRule type="containsText" dxfId="4295" priority="5662" operator="containsText" text="NO+$D$4:$D$10">
      <formula>NOT(ISERROR(SEARCH("NO+$D$4:$D$10",C1427)))</formula>
    </cfRule>
  </conditionalFormatting>
  <conditionalFormatting sqref="C1427:D1427">
    <cfRule type="containsText" dxfId="4294" priority="5660" operator="containsText" text="SI">
      <formula>NOT(ISERROR(SEARCH("SI",C1427)))</formula>
    </cfRule>
    <cfRule type="containsText" dxfId="4293" priority="5661" operator="containsText" text="NO">
      <formula>NOT(ISERROR(SEARCH("NO",C1427)))</formula>
    </cfRule>
  </conditionalFormatting>
  <conditionalFormatting sqref="C1427:D1427">
    <cfRule type="containsText" dxfId="4292" priority="5659" operator="containsText" text="NUEVO">
      <formula>NOT(ISERROR(SEARCH("NUEVO",C1427)))</formula>
    </cfRule>
  </conditionalFormatting>
  <conditionalFormatting sqref="E1427">
    <cfRule type="containsText" dxfId="4291" priority="5656" operator="containsText" text="NUEVO">
      <formula>NOT(ISERROR(SEARCH("NUEVO",E1427)))</formula>
    </cfRule>
  </conditionalFormatting>
  <conditionalFormatting sqref="E1427">
    <cfRule type="containsText" dxfId="4290" priority="5658" operator="containsText" text="Sin información">
      <formula>NOT(ISERROR(SEARCH("Sin información",E1427)))</formula>
    </cfRule>
  </conditionalFormatting>
  <conditionalFormatting sqref="E1427">
    <cfRule type="containsText" dxfId="4289" priority="5657" operator="containsText" text="Sin información">
      <formula>NOT(ISERROR(SEARCH("Sin información",E1427)))</formula>
    </cfRule>
  </conditionalFormatting>
  <conditionalFormatting sqref="C1428:D1428">
    <cfRule type="containsText" dxfId="4288" priority="5653" operator="containsText" text="NO+$D$4:$D$10">
      <formula>NOT(ISERROR(SEARCH("NO+$D$4:$D$10",C1428)))</formula>
    </cfRule>
  </conditionalFormatting>
  <conditionalFormatting sqref="C1428:D1428">
    <cfRule type="containsText" dxfId="4287" priority="5651" operator="containsText" text="SI">
      <formula>NOT(ISERROR(SEARCH("SI",C1428)))</formula>
    </cfRule>
    <cfRule type="containsText" dxfId="4286" priority="5652" operator="containsText" text="NO">
      <formula>NOT(ISERROR(SEARCH("NO",C1428)))</formula>
    </cfRule>
  </conditionalFormatting>
  <conditionalFormatting sqref="C1428:D1428">
    <cfRule type="containsText" dxfId="4285" priority="5650" operator="containsText" text="NUEVO">
      <formula>NOT(ISERROR(SEARCH("NUEVO",C1428)))</formula>
    </cfRule>
  </conditionalFormatting>
  <conditionalFormatting sqref="E1428">
    <cfRule type="containsText" dxfId="4284" priority="5647" operator="containsText" text="NUEVO">
      <formula>NOT(ISERROR(SEARCH("NUEVO",E1428)))</formula>
    </cfRule>
  </conditionalFormatting>
  <conditionalFormatting sqref="E1428">
    <cfRule type="containsText" dxfId="4283" priority="5648" operator="containsText" text="Sin información">
      <formula>NOT(ISERROR(SEARCH("Sin información",E1428)))</formula>
    </cfRule>
  </conditionalFormatting>
  <conditionalFormatting sqref="E1428">
    <cfRule type="containsText" dxfId="4282" priority="5649" operator="containsText" text="Sin información">
      <formula>NOT(ISERROR(SEARCH("Sin información",E1428)))</formula>
    </cfRule>
  </conditionalFormatting>
  <conditionalFormatting sqref="C1429:D1431">
    <cfRule type="containsText" dxfId="4281" priority="5646" operator="containsText" text="NO+$D$4:$D$10">
      <formula>NOT(ISERROR(SEARCH("NO+$D$4:$D$10",C1429)))</formula>
    </cfRule>
  </conditionalFormatting>
  <conditionalFormatting sqref="C1429:D1431">
    <cfRule type="containsText" dxfId="4280" priority="5644" operator="containsText" text="SI">
      <formula>NOT(ISERROR(SEARCH("SI",C1429)))</formula>
    </cfRule>
    <cfRule type="containsText" dxfId="4279" priority="5645" operator="containsText" text="NO">
      <formula>NOT(ISERROR(SEARCH("NO",C1429)))</formula>
    </cfRule>
  </conditionalFormatting>
  <conditionalFormatting sqref="C1429:D1431">
    <cfRule type="containsText" dxfId="4278" priority="5643" operator="containsText" text="NUEVO">
      <formula>NOT(ISERROR(SEARCH("NUEVO",C1429)))</formula>
    </cfRule>
  </conditionalFormatting>
  <conditionalFormatting sqref="E1429:E1431">
    <cfRule type="containsText" dxfId="4277" priority="5642" operator="containsText" text="Sin información">
      <formula>NOT(ISERROR(SEARCH("Sin información",E1429)))</formula>
    </cfRule>
  </conditionalFormatting>
  <conditionalFormatting sqref="E1429:E1431">
    <cfRule type="containsText" dxfId="4276" priority="5641" operator="containsText" text="Sin información">
      <formula>NOT(ISERROR(SEARCH("Sin información",E1429)))</formula>
    </cfRule>
  </conditionalFormatting>
  <conditionalFormatting sqref="E1429:E1431">
    <cfRule type="containsText" dxfId="4275" priority="5640" operator="containsText" text="NUEVO">
      <formula>NOT(ISERROR(SEARCH("NUEVO",E1429)))</formula>
    </cfRule>
  </conditionalFormatting>
  <conditionalFormatting sqref="C1432:D1432">
    <cfRule type="containsText" dxfId="4274" priority="5639" operator="containsText" text="NO+$D$4:$D$10">
      <formula>NOT(ISERROR(SEARCH("NO+$D$4:$D$10",C1432)))</formula>
    </cfRule>
  </conditionalFormatting>
  <conditionalFormatting sqref="C1432:D1432">
    <cfRule type="containsText" dxfId="4273" priority="5637" operator="containsText" text="SI">
      <formula>NOT(ISERROR(SEARCH("SI",C1432)))</formula>
    </cfRule>
    <cfRule type="containsText" dxfId="4272" priority="5638" operator="containsText" text="NO">
      <formula>NOT(ISERROR(SEARCH("NO",C1432)))</formula>
    </cfRule>
  </conditionalFormatting>
  <conditionalFormatting sqref="C1432:D1432">
    <cfRule type="containsText" dxfId="4271" priority="5636" operator="containsText" text="NUEVO">
      <formula>NOT(ISERROR(SEARCH("NUEVO",C1432)))</formula>
    </cfRule>
  </conditionalFormatting>
  <conditionalFormatting sqref="E1432">
    <cfRule type="containsText" dxfId="4270" priority="5634" operator="containsText" text="Sin información">
      <formula>NOT(ISERROR(SEARCH("Sin información",E1432)))</formula>
    </cfRule>
  </conditionalFormatting>
  <conditionalFormatting sqref="E1432">
    <cfRule type="containsText" dxfId="4269" priority="5633" operator="containsText" text="NUEVO">
      <formula>NOT(ISERROR(SEARCH("NUEVO",E1432)))</formula>
    </cfRule>
  </conditionalFormatting>
  <conditionalFormatting sqref="E1432">
    <cfRule type="containsText" dxfId="4268" priority="5635" operator="containsText" text="Sin información">
      <formula>NOT(ISERROR(SEARCH("Sin información",E1432)))</formula>
    </cfRule>
  </conditionalFormatting>
  <conditionalFormatting sqref="C1369:D1369">
    <cfRule type="containsText" dxfId="4267" priority="5613" operator="containsText" text="NO+$D$4:$D$10">
      <formula>NOT(ISERROR(SEARCH("NO+$D$4:$D$10",C1369)))</formula>
    </cfRule>
  </conditionalFormatting>
  <conditionalFormatting sqref="C1369:D1369">
    <cfRule type="containsText" dxfId="4266" priority="5611" operator="containsText" text="SI">
      <formula>NOT(ISERROR(SEARCH("SI",C1369)))</formula>
    </cfRule>
    <cfRule type="containsText" dxfId="4265" priority="5612" operator="containsText" text="NO">
      <formula>NOT(ISERROR(SEARCH("NO",C1369)))</formula>
    </cfRule>
  </conditionalFormatting>
  <conditionalFormatting sqref="E1369">
    <cfRule type="containsText" dxfId="4264" priority="5610" operator="containsText" text="Sin información">
      <formula>NOT(ISERROR(SEARCH("Sin información",E1369)))</formula>
    </cfRule>
  </conditionalFormatting>
  <conditionalFormatting sqref="C1369:E1369">
    <cfRule type="containsText" dxfId="4263" priority="5609" operator="containsText" text="NUEVO">
      <formula>NOT(ISERROR(SEARCH("NUEVO",C1369)))</formula>
    </cfRule>
  </conditionalFormatting>
  <conditionalFormatting sqref="E1369">
    <cfRule type="containsText" dxfId="4262" priority="5608" operator="containsText" text="NUEVO">
      <formula>NOT(ISERROR(SEARCH("NUEVO",E1369)))</formula>
    </cfRule>
  </conditionalFormatting>
  <conditionalFormatting sqref="E1369">
    <cfRule type="containsText" dxfId="4261" priority="5607" operator="containsText" text="Sin información">
      <formula>NOT(ISERROR(SEARCH("Sin información",E1369)))</formula>
    </cfRule>
  </conditionalFormatting>
  <conditionalFormatting sqref="C1371:D1371">
    <cfRule type="containsText" dxfId="4260" priority="5606" operator="containsText" text="NO+$D$4:$D$10">
      <formula>NOT(ISERROR(SEARCH("NO+$D$4:$D$10",C1371)))</formula>
    </cfRule>
  </conditionalFormatting>
  <conditionalFormatting sqref="C1371:D1371">
    <cfRule type="containsText" dxfId="4259" priority="5604" operator="containsText" text="SI">
      <formula>NOT(ISERROR(SEARCH("SI",C1371)))</formula>
    </cfRule>
    <cfRule type="containsText" dxfId="4258" priority="5605" operator="containsText" text="NO">
      <formula>NOT(ISERROR(SEARCH("NO",C1371)))</formula>
    </cfRule>
  </conditionalFormatting>
  <conditionalFormatting sqref="C1371:D1371">
    <cfRule type="containsText" dxfId="4257" priority="5603" operator="containsText" text="NUEVO">
      <formula>NOT(ISERROR(SEARCH("NUEVO",C1371)))</formula>
    </cfRule>
  </conditionalFormatting>
  <conditionalFormatting sqref="E1371">
    <cfRule type="containsText" dxfId="4256" priority="5602" operator="containsText" text="Sin información">
      <formula>NOT(ISERROR(SEARCH("Sin información",E1371)))</formula>
    </cfRule>
  </conditionalFormatting>
  <conditionalFormatting sqref="E1371">
    <cfRule type="containsText" dxfId="4255" priority="5600" operator="containsText" text="NUEVO">
      <formula>NOT(ISERROR(SEARCH("NUEVO",E1371)))</formula>
    </cfRule>
  </conditionalFormatting>
  <conditionalFormatting sqref="E1371">
    <cfRule type="containsText" dxfId="4254" priority="5601" operator="containsText" text="Sin información">
      <formula>NOT(ISERROR(SEARCH("Sin información",E1371)))</formula>
    </cfRule>
  </conditionalFormatting>
  <conditionalFormatting sqref="C1375:D1375">
    <cfRule type="containsText" dxfId="4253" priority="5599" operator="containsText" text="NO+$D$4:$D$10">
      <formula>NOT(ISERROR(SEARCH("NO+$D$4:$D$10",C1375)))</formula>
    </cfRule>
  </conditionalFormatting>
  <conditionalFormatting sqref="C1375:D1375">
    <cfRule type="containsText" dxfId="4252" priority="5597" operator="containsText" text="SI">
      <formula>NOT(ISERROR(SEARCH("SI",C1375)))</formula>
    </cfRule>
    <cfRule type="containsText" dxfId="4251" priority="5598" operator="containsText" text="NO">
      <formula>NOT(ISERROR(SEARCH("NO",C1375)))</formula>
    </cfRule>
  </conditionalFormatting>
  <conditionalFormatting sqref="C1375:D1375">
    <cfRule type="containsText" dxfId="4250" priority="5596" operator="containsText" text="NUEVO">
      <formula>NOT(ISERROR(SEARCH("NUEVO",C1375)))</formula>
    </cfRule>
  </conditionalFormatting>
  <conditionalFormatting sqref="E1375">
    <cfRule type="containsText" dxfId="4249" priority="5595" operator="containsText" text="Sin información">
      <formula>NOT(ISERROR(SEARCH("Sin información",E1375)))</formula>
    </cfRule>
  </conditionalFormatting>
  <conditionalFormatting sqref="E1375">
    <cfRule type="containsText" dxfId="4248" priority="5593" operator="containsText" text="NUEVO">
      <formula>NOT(ISERROR(SEARCH("NUEVO",E1375)))</formula>
    </cfRule>
  </conditionalFormatting>
  <conditionalFormatting sqref="E1375">
    <cfRule type="containsText" dxfId="4247" priority="5594" operator="containsText" text="Sin información">
      <formula>NOT(ISERROR(SEARCH("Sin información",E1375)))</formula>
    </cfRule>
  </conditionalFormatting>
  <conditionalFormatting sqref="C1377:D1377">
    <cfRule type="containsText" dxfId="4246" priority="5592" operator="containsText" text="NO+$D$4:$D$10">
      <formula>NOT(ISERROR(SEARCH("NO+$D$4:$D$10",C1377)))</formula>
    </cfRule>
  </conditionalFormatting>
  <conditionalFormatting sqref="C1377:D1377">
    <cfRule type="containsText" dxfId="4245" priority="5590" operator="containsText" text="SI">
      <formula>NOT(ISERROR(SEARCH("SI",C1377)))</formula>
    </cfRule>
    <cfRule type="containsText" dxfId="4244" priority="5591" operator="containsText" text="NO">
      <formula>NOT(ISERROR(SEARCH("NO",C1377)))</formula>
    </cfRule>
  </conditionalFormatting>
  <conditionalFormatting sqref="C1377:D1377">
    <cfRule type="containsText" dxfId="4243" priority="5589" operator="containsText" text="NUEVO">
      <formula>NOT(ISERROR(SEARCH("NUEVO",C1377)))</formula>
    </cfRule>
  </conditionalFormatting>
  <conditionalFormatting sqref="E1377">
    <cfRule type="containsText" dxfId="4242" priority="5586" operator="containsText" text="NUEVO">
      <formula>NOT(ISERROR(SEARCH("NUEVO",E1377)))</formula>
    </cfRule>
  </conditionalFormatting>
  <conditionalFormatting sqref="E1377">
    <cfRule type="containsText" dxfId="4241" priority="5588" operator="containsText" text="Sin información">
      <formula>NOT(ISERROR(SEARCH("Sin información",E1377)))</formula>
    </cfRule>
  </conditionalFormatting>
  <conditionalFormatting sqref="E1377">
    <cfRule type="containsText" dxfId="4240" priority="5587" operator="containsText" text="Sin información">
      <formula>NOT(ISERROR(SEARCH("Sin información",E1377)))</formula>
    </cfRule>
  </conditionalFormatting>
  <conditionalFormatting sqref="C1382:D1382">
    <cfRule type="containsText" dxfId="4239" priority="5578" operator="containsText" text="NO+$D$4:$D$10">
      <formula>NOT(ISERROR(SEARCH("NO+$D$4:$D$10",C1382)))</formula>
    </cfRule>
  </conditionalFormatting>
  <conditionalFormatting sqref="C1382:D1382">
    <cfRule type="containsText" dxfId="4238" priority="5576" operator="containsText" text="SI">
      <formula>NOT(ISERROR(SEARCH("SI",C1382)))</formula>
    </cfRule>
    <cfRule type="containsText" dxfId="4237" priority="5577" operator="containsText" text="NO">
      <formula>NOT(ISERROR(SEARCH("NO",C1382)))</formula>
    </cfRule>
  </conditionalFormatting>
  <conditionalFormatting sqref="C1382:D1382">
    <cfRule type="containsText" dxfId="4236" priority="5575" operator="containsText" text="NUEVO">
      <formula>NOT(ISERROR(SEARCH("NUEVO",C1382)))</formula>
    </cfRule>
  </conditionalFormatting>
  <conditionalFormatting sqref="E1382">
    <cfRule type="containsText" dxfId="4235" priority="5572" operator="containsText" text="NUEVO">
      <formula>NOT(ISERROR(SEARCH("NUEVO",E1382)))</formula>
    </cfRule>
  </conditionalFormatting>
  <conditionalFormatting sqref="E1382">
    <cfRule type="containsText" dxfId="4234" priority="5574" operator="containsText" text="Sin información">
      <formula>NOT(ISERROR(SEARCH("Sin información",E1382)))</formula>
    </cfRule>
  </conditionalFormatting>
  <conditionalFormatting sqref="E1382">
    <cfRule type="containsText" dxfId="4233" priority="5573" operator="containsText" text="Sin información">
      <formula>NOT(ISERROR(SEARCH("Sin información",E1382)))</formula>
    </cfRule>
  </conditionalFormatting>
  <conditionalFormatting sqref="C1383:D1383">
    <cfRule type="containsText" dxfId="4232" priority="5564" operator="containsText" text="NO+$D$4:$D$10">
      <formula>NOT(ISERROR(SEARCH("NO+$D$4:$D$10",C1383)))</formula>
    </cfRule>
  </conditionalFormatting>
  <conditionalFormatting sqref="C1383:D1383">
    <cfRule type="containsText" dxfId="4231" priority="5562" operator="containsText" text="SI">
      <formula>NOT(ISERROR(SEARCH("SI",C1383)))</formula>
    </cfRule>
    <cfRule type="containsText" dxfId="4230" priority="5563" operator="containsText" text="NO">
      <formula>NOT(ISERROR(SEARCH("NO",C1383)))</formula>
    </cfRule>
  </conditionalFormatting>
  <conditionalFormatting sqref="C1383:D1383">
    <cfRule type="containsText" dxfId="4229" priority="5561" operator="containsText" text="NUEVO">
      <formula>NOT(ISERROR(SEARCH("NUEVO",C1383)))</formula>
    </cfRule>
  </conditionalFormatting>
  <conditionalFormatting sqref="E1383">
    <cfRule type="containsText" dxfId="4228" priority="5559" operator="containsText" text="Sin información">
      <formula>NOT(ISERROR(SEARCH("Sin información",E1383)))</formula>
    </cfRule>
  </conditionalFormatting>
  <conditionalFormatting sqref="E1383">
    <cfRule type="containsText" dxfId="4227" priority="5558" operator="containsText" text="NUEVO">
      <formula>NOT(ISERROR(SEARCH("NUEVO",E1383)))</formula>
    </cfRule>
  </conditionalFormatting>
  <conditionalFormatting sqref="E1383">
    <cfRule type="containsText" dxfId="4226" priority="5560" operator="containsText" text="Sin información">
      <formula>NOT(ISERROR(SEARCH("Sin información",E1383)))</formula>
    </cfRule>
  </conditionalFormatting>
  <conditionalFormatting sqref="C1433:D1435">
    <cfRule type="containsText" dxfId="4225" priority="5557" operator="containsText" text="NO+$D$4:$D$10">
      <formula>NOT(ISERROR(SEARCH("NO+$D$4:$D$10",C1433)))</formula>
    </cfRule>
  </conditionalFormatting>
  <conditionalFormatting sqref="C1433:D1435">
    <cfRule type="containsText" dxfId="4224" priority="5555" operator="containsText" text="SI">
      <formula>NOT(ISERROR(SEARCH("SI",C1433)))</formula>
    </cfRule>
    <cfRule type="containsText" dxfId="4223" priority="5556" operator="containsText" text="NO">
      <formula>NOT(ISERROR(SEARCH("NO",C1433)))</formula>
    </cfRule>
  </conditionalFormatting>
  <conditionalFormatting sqref="C1433:D1435">
    <cfRule type="containsText" dxfId="4222" priority="5554" operator="containsText" text="NUEVO">
      <formula>NOT(ISERROR(SEARCH("NUEVO",C1433)))</formula>
    </cfRule>
  </conditionalFormatting>
  <conditionalFormatting sqref="E1433">
    <cfRule type="containsText" dxfId="4221" priority="5552" operator="containsText" text="Sin información">
      <formula>NOT(ISERROR(SEARCH("Sin información",E1433)))</formula>
    </cfRule>
  </conditionalFormatting>
  <conditionalFormatting sqref="E1433">
    <cfRule type="containsText" dxfId="4220" priority="5551" operator="containsText" text="NUEVO">
      <formula>NOT(ISERROR(SEARCH("NUEVO",E1433)))</formula>
    </cfRule>
  </conditionalFormatting>
  <conditionalFormatting sqref="E1433">
    <cfRule type="containsText" dxfId="4219" priority="5553" operator="containsText" text="Sin información">
      <formula>NOT(ISERROR(SEARCH("Sin información",E1433)))</formula>
    </cfRule>
  </conditionalFormatting>
  <conditionalFormatting sqref="E1434">
    <cfRule type="containsText" dxfId="4218" priority="5548" operator="containsText" text="NUEVO">
      <formula>NOT(ISERROR(SEARCH("NUEVO",E1434)))</formula>
    </cfRule>
  </conditionalFormatting>
  <conditionalFormatting sqref="E1434">
    <cfRule type="containsText" dxfId="4217" priority="5549" operator="containsText" text="Sin información">
      <formula>NOT(ISERROR(SEARCH("Sin información",E1434)))</formula>
    </cfRule>
  </conditionalFormatting>
  <conditionalFormatting sqref="E1434">
    <cfRule type="containsText" dxfId="4216" priority="5550" operator="containsText" text="Sin información">
      <formula>NOT(ISERROR(SEARCH("Sin información",E1434)))</formula>
    </cfRule>
  </conditionalFormatting>
  <conditionalFormatting sqref="E1435">
    <cfRule type="containsText" dxfId="4215" priority="5546" operator="containsText" text="Sin información">
      <formula>NOT(ISERROR(SEARCH("Sin información",E1435)))</formula>
    </cfRule>
  </conditionalFormatting>
  <conditionalFormatting sqref="E1435">
    <cfRule type="containsText" dxfId="4214" priority="5545" operator="containsText" text="NUEVO">
      <formula>NOT(ISERROR(SEARCH("NUEVO",E1435)))</formula>
    </cfRule>
  </conditionalFormatting>
  <conditionalFormatting sqref="E1435">
    <cfRule type="containsText" dxfId="4213" priority="5547" operator="containsText" text="Sin información">
      <formula>NOT(ISERROR(SEARCH("Sin información",E1435)))</formula>
    </cfRule>
  </conditionalFormatting>
  <conditionalFormatting sqref="C1384:D1385">
    <cfRule type="containsText" dxfId="4212" priority="5544" operator="containsText" text="NO+$D$4:$D$10">
      <formula>NOT(ISERROR(SEARCH("NO+$D$4:$D$10",C1384)))</formula>
    </cfRule>
  </conditionalFormatting>
  <conditionalFormatting sqref="C1384:D1385">
    <cfRule type="containsText" dxfId="4211" priority="5542" operator="containsText" text="SI">
      <formula>NOT(ISERROR(SEARCH("SI",C1384)))</formula>
    </cfRule>
    <cfRule type="containsText" dxfId="4210" priority="5543" operator="containsText" text="NO">
      <formula>NOT(ISERROR(SEARCH("NO",C1384)))</formula>
    </cfRule>
  </conditionalFormatting>
  <conditionalFormatting sqref="C1384:D1385">
    <cfRule type="containsText" dxfId="4209" priority="5541" operator="containsText" text="NUEVO">
      <formula>NOT(ISERROR(SEARCH("NUEVO",C1384)))</formula>
    </cfRule>
  </conditionalFormatting>
  <conditionalFormatting sqref="E1384:E1385">
    <cfRule type="containsText" dxfId="4208" priority="5539" operator="containsText" text="Sin información">
      <formula>NOT(ISERROR(SEARCH("Sin información",E1384)))</formula>
    </cfRule>
  </conditionalFormatting>
  <conditionalFormatting sqref="E1384:E1385">
    <cfRule type="containsText" dxfId="4207" priority="5538" operator="containsText" text="NUEVO">
      <formula>NOT(ISERROR(SEARCH("NUEVO",E1384)))</formula>
    </cfRule>
  </conditionalFormatting>
  <conditionalFormatting sqref="E1384:E1385">
    <cfRule type="containsText" dxfId="4206" priority="5540" operator="containsText" text="Sin información">
      <formula>NOT(ISERROR(SEARCH("Sin información",E1384)))</formula>
    </cfRule>
  </conditionalFormatting>
  <conditionalFormatting sqref="C1436:D1439">
    <cfRule type="containsText" dxfId="4205" priority="5537" operator="containsText" text="NO+$D$4:$D$10">
      <formula>NOT(ISERROR(SEARCH("NO+$D$4:$D$10",C1436)))</formula>
    </cfRule>
  </conditionalFormatting>
  <conditionalFormatting sqref="C1436:D1439">
    <cfRule type="containsText" dxfId="4204" priority="5535" operator="containsText" text="SI">
      <formula>NOT(ISERROR(SEARCH("SI",C1436)))</formula>
    </cfRule>
    <cfRule type="containsText" dxfId="4203" priority="5536" operator="containsText" text="NO">
      <formula>NOT(ISERROR(SEARCH("NO",C1436)))</formula>
    </cfRule>
  </conditionalFormatting>
  <conditionalFormatting sqref="C1436:D1439">
    <cfRule type="containsText" dxfId="4202" priority="5534" operator="containsText" text="NUEVO">
      <formula>NOT(ISERROR(SEARCH("NUEVO",C1436)))</formula>
    </cfRule>
  </conditionalFormatting>
  <conditionalFormatting sqref="E1436:E1439">
    <cfRule type="containsText" dxfId="4201" priority="5532" operator="containsText" text="Sin información">
      <formula>NOT(ISERROR(SEARCH("Sin información",E1436)))</formula>
    </cfRule>
  </conditionalFormatting>
  <conditionalFormatting sqref="E1436:E1439">
    <cfRule type="containsText" dxfId="4200" priority="5531" operator="containsText" text="NUEVO">
      <formula>NOT(ISERROR(SEARCH("NUEVO",E1436)))</formula>
    </cfRule>
  </conditionalFormatting>
  <conditionalFormatting sqref="E1436:E1439">
    <cfRule type="containsText" dxfId="4199" priority="5533" operator="containsText" text="Sin información">
      <formula>NOT(ISERROR(SEARCH("Sin información",E1436)))</formula>
    </cfRule>
  </conditionalFormatting>
  <conditionalFormatting sqref="C1412:D1412">
    <cfRule type="containsText" dxfId="4198" priority="5530" operator="containsText" text="NO+$D$4:$D$10">
      <formula>NOT(ISERROR(SEARCH("NO+$D$4:$D$10",C1412)))</formula>
    </cfRule>
  </conditionalFormatting>
  <conditionalFormatting sqref="C1412:D1412">
    <cfRule type="containsText" dxfId="4197" priority="5528" operator="containsText" text="SI">
      <formula>NOT(ISERROR(SEARCH("SI",C1412)))</formula>
    </cfRule>
    <cfRule type="containsText" dxfId="4196" priority="5529" operator="containsText" text="NO">
      <formula>NOT(ISERROR(SEARCH("NO",C1412)))</formula>
    </cfRule>
  </conditionalFormatting>
  <conditionalFormatting sqref="C1412:D1412">
    <cfRule type="containsText" dxfId="4195" priority="5527" operator="containsText" text="NUEVO">
      <formula>NOT(ISERROR(SEARCH("NUEVO",C1412)))</formula>
    </cfRule>
  </conditionalFormatting>
  <conditionalFormatting sqref="E1412">
    <cfRule type="containsText" dxfId="4194" priority="5525" operator="containsText" text="Sin información">
      <formula>NOT(ISERROR(SEARCH("Sin información",E1412)))</formula>
    </cfRule>
  </conditionalFormatting>
  <conditionalFormatting sqref="E1412">
    <cfRule type="containsText" dxfId="4193" priority="5524" operator="containsText" text="NUEVO">
      <formula>NOT(ISERROR(SEARCH("NUEVO",E1412)))</formula>
    </cfRule>
  </conditionalFormatting>
  <conditionalFormatting sqref="E1412">
    <cfRule type="containsText" dxfId="4192" priority="5526" operator="containsText" text="Sin información">
      <formula>NOT(ISERROR(SEARCH("Sin información",E1412)))</formula>
    </cfRule>
  </conditionalFormatting>
  <conditionalFormatting sqref="C1440:D1440">
    <cfRule type="containsText" dxfId="4191" priority="5523" operator="containsText" text="NO+$D$4:$D$10">
      <formula>NOT(ISERROR(SEARCH("NO+$D$4:$D$10",C1440)))</formula>
    </cfRule>
  </conditionalFormatting>
  <conditionalFormatting sqref="C1440:D1440">
    <cfRule type="containsText" dxfId="4190" priority="5521" operator="containsText" text="SI">
      <formula>NOT(ISERROR(SEARCH("SI",C1440)))</formula>
    </cfRule>
    <cfRule type="containsText" dxfId="4189" priority="5522" operator="containsText" text="NO">
      <formula>NOT(ISERROR(SEARCH("NO",C1440)))</formula>
    </cfRule>
  </conditionalFormatting>
  <conditionalFormatting sqref="C1440:D1440">
    <cfRule type="containsText" dxfId="4188" priority="5520" operator="containsText" text="NUEVO">
      <formula>NOT(ISERROR(SEARCH("NUEVO",C1440)))</formula>
    </cfRule>
  </conditionalFormatting>
  <conditionalFormatting sqref="E1440">
    <cfRule type="containsText" dxfId="4187" priority="5519" operator="containsText" text="Sin información">
      <formula>NOT(ISERROR(SEARCH("Sin información",E1440)))</formula>
    </cfRule>
  </conditionalFormatting>
  <conditionalFormatting sqref="E1440">
    <cfRule type="containsText" dxfId="4186" priority="5518" operator="containsText" text="NUEVO">
      <formula>NOT(ISERROR(SEARCH("NUEVO",E1440)))</formula>
    </cfRule>
  </conditionalFormatting>
  <conditionalFormatting sqref="C1441:D1441">
    <cfRule type="containsText" dxfId="4185" priority="5517" operator="containsText" text="NO+$D$4:$D$10">
      <formula>NOT(ISERROR(SEARCH("NO+$D$4:$D$10",C1441)))</formula>
    </cfRule>
  </conditionalFormatting>
  <conditionalFormatting sqref="C1441:D1441">
    <cfRule type="containsText" dxfId="4184" priority="5515" operator="containsText" text="SI">
      <formula>NOT(ISERROR(SEARCH("SI",C1441)))</formula>
    </cfRule>
    <cfRule type="containsText" dxfId="4183" priority="5516" operator="containsText" text="NO">
      <formula>NOT(ISERROR(SEARCH("NO",C1441)))</formula>
    </cfRule>
  </conditionalFormatting>
  <conditionalFormatting sqref="E1441">
    <cfRule type="containsText" dxfId="4182" priority="5514" operator="containsText" text="Sin información">
      <formula>NOT(ISERROR(SEARCH("Sin información",E1441)))</formula>
    </cfRule>
  </conditionalFormatting>
  <conditionalFormatting sqref="C1441:E1441">
    <cfRule type="containsText" dxfId="4181" priority="5513" operator="containsText" text="NUEVO">
      <formula>NOT(ISERROR(SEARCH("NUEVO",C1441)))</formula>
    </cfRule>
  </conditionalFormatting>
  <conditionalFormatting sqref="E1441">
    <cfRule type="containsText" dxfId="4180" priority="5512" operator="containsText" text="Sin Información">
      <formula>NOT(ISERROR(SEARCH("Sin Información",E1441)))</formula>
    </cfRule>
  </conditionalFormatting>
  <conditionalFormatting sqref="E1441">
    <cfRule type="containsText" dxfId="4179" priority="5510" operator="containsText" text="NUEVO">
      <formula>NOT(ISERROR(SEARCH("NUEVO",E1441)))</formula>
    </cfRule>
  </conditionalFormatting>
  <conditionalFormatting sqref="E1441">
    <cfRule type="containsText" dxfId="4178" priority="5511" operator="containsText" text="Sin información">
      <formula>NOT(ISERROR(SEARCH("Sin información",E1441)))</formula>
    </cfRule>
  </conditionalFormatting>
  <conditionalFormatting sqref="C1442:D1442">
    <cfRule type="containsText" dxfId="4177" priority="5504" operator="containsText" text="NO+$D$4:$D$10">
      <formula>NOT(ISERROR(SEARCH("NO+$D$4:$D$10",C1442)))</formula>
    </cfRule>
  </conditionalFormatting>
  <conditionalFormatting sqref="C1442:D1442">
    <cfRule type="containsText" dxfId="4176" priority="5502" operator="containsText" text="SI">
      <formula>NOT(ISERROR(SEARCH("SI",C1442)))</formula>
    </cfRule>
    <cfRule type="containsText" dxfId="4175" priority="5503" operator="containsText" text="NO">
      <formula>NOT(ISERROR(SEARCH("NO",C1442)))</formula>
    </cfRule>
  </conditionalFormatting>
  <conditionalFormatting sqref="C1442:D1442">
    <cfRule type="containsText" dxfId="4174" priority="5501" operator="containsText" text="NUEVO">
      <formula>NOT(ISERROR(SEARCH("NUEVO",C1442)))</formula>
    </cfRule>
  </conditionalFormatting>
  <conditionalFormatting sqref="E1442">
    <cfRule type="containsText" dxfId="4173" priority="5499" operator="containsText" text="NUEVO">
      <formula>NOT(ISERROR(SEARCH("NUEVO",E1442)))</formula>
    </cfRule>
  </conditionalFormatting>
  <conditionalFormatting sqref="E1442">
    <cfRule type="containsText" dxfId="4172" priority="5500" operator="containsText" text="Sin información">
      <formula>NOT(ISERROR(SEARCH("Sin información",E1442)))</formula>
    </cfRule>
  </conditionalFormatting>
  <conditionalFormatting sqref="C1443:D1444">
    <cfRule type="containsText" dxfId="4171" priority="5492" operator="containsText" text="NO+$D$4:$D$10">
      <formula>NOT(ISERROR(SEARCH("NO+$D$4:$D$10",C1443)))</formula>
    </cfRule>
  </conditionalFormatting>
  <conditionalFormatting sqref="C1443:D1444">
    <cfRule type="containsText" dxfId="4170" priority="5490" operator="containsText" text="SI">
      <formula>NOT(ISERROR(SEARCH("SI",C1443)))</formula>
    </cfRule>
    <cfRule type="containsText" dxfId="4169" priority="5491" operator="containsText" text="NO">
      <formula>NOT(ISERROR(SEARCH("NO",C1443)))</formula>
    </cfRule>
  </conditionalFormatting>
  <conditionalFormatting sqref="C1443:D1444">
    <cfRule type="containsText" dxfId="4168" priority="5489" operator="containsText" text="NUEVO">
      <formula>NOT(ISERROR(SEARCH("NUEVO",C1443)))</formula>
    </cfRule>
  </conditionalFormatting>
  <conditionalFormatting sqref="E1443:E1444">
    <cfRule type="containsText" dxfId="4167" priority="5488" operator="containsText" text="Sin información">
      <formula>NOT(ISERROR(SEARCH("Sin información",E1443)))</formula>
    </cfRule>
  </conditionalFormatting>
  <conditionalFormatting sqref="E1443:E1444">
    <cfRule type="containsText" dxfId="4166" priority="5486" operator="containsText" text="NUEVO">
      <formula>NOT(ISERROR(SEARCH("NUEVO",E1443)))</formula>
    </cfRule>
  </conditionalFormatting>
  <conditionalFormatting sqref="E1443:E1444">
    <cfRule type="containsText" dxfId="4165" priority="5487" operator="containsText" text="Sin información">
      <formula>NOT(ISERROR(SEARCH("Sin información",E1443)))</formula>
    </cfRule>
  </conditionalFormatting>
  <conditionalFormatting sqref="C1445:D1445">
    <cfRule type="containsText" dxfId="4164" priority="5478" operator="containsText" text="NO+$D$4:$D$10">
      <formula>NOT(ISERROR(SEARCH("NO+$D$4:$D$10",C1445)))</formula>
    </cfRule>
  </conditionalFormatting>
  <conditionalFormatting sqref="C1445:D1445">
    <cfRule type="containsText" dxfId="4163" priority="5476" operator="containsText" text="SI">
      <formula>NOT(ISERROR(SEARCH("SI",C1445)))</formula>
    </cfRule>
    <cfRule type="containsText" dxfId="4162" priority="5477" operator="containsText" text="NO">
      <formula>NOT(ISERROR(SEARCH("NO",C1445)))</formula>
    </cfRule>
  </conditionalFormatting>
  <conditionalFormatting sqref="C1445:D1445">
    <cfRule type="containsText" dxfId="4161" priority="5475" operator="containsText" text="NUEVO">
      <formula>NOT(ISERROR(SEARCH("NUEVO",C1445)))</formula>
    </cfRule>
  </conditionalFormatting>
  <conditionalFormatting sqref="E1445">
    <cfRule type="containsText" dxfId="4160" priority="5473" operator="containsText" text="Sin información">
      <formula>NOT(ISERROR(SEARCH("Sin información",E1445)))</formula>
    </cfRule>
  </conditionalFormatting>
  <conditionalFormatting sqref="E1445">
    <cfRule type="containsText" dxfId="4159" priority="5472" operator="containsText" text="NUEVO">
      <formula>NOT(ISERROR(SEARCH("NUEVO",E1445)))</formula>
    </cfRule>
  </conditionalFormatting>
  <conditionalFormatting sqref="E1445">
    <cfRule type="containsText" dxfId="4158" priority="5474" operator="containsText" text="Sin información">
      <formula>NOT(ISERROR(SEARCH("Sin información",E1445)))</formula>
    </cfRule>
  </conditionalFormatting>
  <conditionalFormatting sqref="E1446:E1447">
    <cfRule type="containsText" dxfId="4157" priority="5466" operator="containsText" text="Sin información">
      <formula>NOT(ISERROR(SEARCH("Sin información",E1446)))</formula>
    </cfRule>
  </conditionalFormatting>
  <conditionalFormatting sqref="E1446:E1447">
    <cfRule type="containsText" dxfId="4156" priority="5465" operator="containsText" text="NUEVO">
      <formula>NOT(ISERROR(SEARCH("NUEVO",E1446)))</formula>
    </cfRule>
  </conditionalFormatting>
  <conditionalFormatting sqref="E1446:E1447">
    <cfRule type="containsText" dxfId="4155" priority="5467" operator="containsText" text="Sin información">
      <formula>NOT(ISERROR(SEARCH("Sin información",E1446)))</formula>
    </cfRule>
  </conditionalFormatting>
  <conditionalFormatting sqref="E1448">
    <cfRule type="containsText" dxfId="4154" priority="5463" operator="containsText" text="Sin información">
      <formula>NOT(ISERROR(SEARCH("Sin información",E1448)))</formula>
    </cfRule>
  </conditionalFormatting>
  <conditionalFormatting sqref="E1448">
    <cfRule type="containsText" dxfId="4153" priority="5462" operator="containsText" text="NUEVO">
      <formula>NOT(ISERROR(SEARCH("NUEVO",E1448)))</formula>
    </cfRule>
  </conditionalFormatting>
  <conditionalFormatting sqref="E1448">
    <cfRule type="containsText" dxfId="4152" priority="5464" operator="containsText" text="Sin información">
      <formula>NOT(ISERROR(SEARCH("Sin información",E1448)))</formula>
    </cfRule>
  </conditionalFormatting>
  <conditionalFormatting sqref="C1465:D1467">
    <cfRule type="containsText" dxfId="4151" priority="5458" operator="containsText" text="NO+$D$4:$D$10">
      <formula>NOT(ISERROR(SEARCH("NO+$D$4:$D$10",C1465)))</formula>
    </cfRule>
  </conditionalFormatting>
  <conditionalFormatting sqref="C1465:D1467">
    <cfRule type="containsText" dxfId="4150" priority="5456" operator="containsText" text="SI">
      <formula>NOT(ISERROR(SEARCH("SI",C1465)))</formula>
    </cfRule>
    <cfRule type="containsText" dxfId="4149" priority="5457" operator="containsText" text="NO">
      <formula>NOT(ISERROR(SEARCH("NO",C1465)))</formula>
    </cfRule>
  </conditionalFormatting>
  <conditionalFormatting sqref="C1465:D1467">
    <cfRule type="containsText" dxfId="4148" priority="5455" operator="containsText" text="NUEVO">
      <formula>NOT(ISERROR(SEARCH("NUEVO",C1465)))</formula>
    </cfRule>
  </conditionalFormatting>
  <conditionalFormatting sqref="E1465:E1466">
    <cfRule type="containsText" dxfId="4147" priority="5454" operator="containsText" text="Sin información">
      <formula>NOT(ISERROR(SEARCH("Sin información",E1465)))</formula>
    </cfRule>
  </conditionalFormatting>
  <conditionalFormatting sqref="E1465:E1466">
    <cfRule type="containsText" dxfId="4146" priority="5453" operator="containsText" text="Sin información">
      <formula>NOT(ISERROR(SEARCH("Sin información",E1465)))</formula>
    </cfRule>
  </conditionalFormatting>
  <conditionalFormatting sqref="E1465:E1466">
    <cfRule type="containsText" dxfId="4145" priority="5452" operator="containsText" text="NUEVO">
      <formula>NOT(ISERROR(SEARCH("NUEVO",E1465)))</formula>
    </cfRule>
  </conditionalFormatting>
  <conditionalFormatting sqref="E1467">
    <cfRule type="containsText" dxfId="4144" priority="5451" operator="containsText" text="Sin información">
      <formula>NOT(ISERROR(SEARCH("Sin información",E1467)))</formula>
    </cfRule>
  </conditionalFormatting>
  <conditionalFormatting sqref="E1467">
    <cfRule type="containsText" dxfId="4143" priority="5449" operator="containsText" text="NUEVO">
      <formula>NOT(ISERROR(SEARCH("NUEVO",E1467)))</formula>
    </cfRule>
  </conditionalFormatting>
  <conditionalFormatting sqref="E1467">
    <cfRule type="containsText" dxfId="4142" priority="5450" operator="containsText" text="Sin información">
      <formula>NOT(ISERROR(SEARCH("Sin información",E1467)))</formula>
    </cfRule>
  </conditionalFormatting>
  <conditionalFormatting sqref="C1468:D1469">
    <cfRule type="containsText" dxfId="4141" priority="5448" operator="containsText" text="NO+$D$4:$D$10">
      <formula>NOT(ISERROR(SEARCH("NO+$D$4:$D$10",C1468)))</formula>
    </cfRule>
  </conditionalFormatting>
  <conditionalFormatting sqref="C1468:D1469">
    <cfRule type="containsText" dxfId="4140" priority="5446" operator="containsText" text="SI">
      <formula>NOT(ISERROR(SEARCH("SI",C1468)))</formula>
    </cfRule>
    <cfRule type="containsText" dxfId="4139" priority="5447" operator="containsText" text="NO">
      <formula>NOT(ISERROR(SEARCH("NO",C1468)))</formula>
    </cfRule>
  </conditionalFormatting>
  <conditionalFormatting sqref="E1468:E1469">
    <cfRule type="containsText" dxfId="4138" priority="5445" operator="containsText" text="Sin información">
      <formula>NOT(ISERROR(SEARCH("Sin información",E1468)))</formula>
    </cfRule>
  </conditionalFormatting>
  <conditionalFormatting sqref="C1468:E1469">
    <cfRule type="containsText" dxfId="4137" priority="5444" operator="containsText" text="NUEVO">
      <formula>NOT(ISERROR(SEARCH("NUEVO",C1468)))</formula>
    </cfRule>
  </conditionalFormatting>
  <conditionalFormatting sqref="C1470:D1470">
    <cfRule type="containsText" dxfId="4136" priority="5443" operator="containsText" text="NO+$D$4:$D$10">
      <formula>NOT(ISERROR(SEARCH("NO+$D$4:$D$10",C1470)))</formula>
    </cfRule>
  </conditionalFormatting>
  <conditionalFormatting sqref="C1470:D1470">
    <cfRule type="containsText" dxfId="4135" priority="5441" operator="containsText" text="SI">
      <formula>NOT(ISERROR(SEARCH("SI",C1470)))</formula>
    </cfRule>
    <cfRule type="containsText" dxfId="4134" priority="5442" operator="containsText" text="NO">
      <formula>NOT(ISERROR(SEARCH("NO",C1470)))</formula>
    </cfRule>
  </conditionalFormatting>
  <conditionalFormatting sqref="C1470:D1470">
    <cfRule type="containsText" dxfId="4133" priority="5440" operator="containsText" text="NUEVO">
      <formula>NOT(ISERROR(SEARCH("NUEVO",C1470)))</formula>
    </cfRule>
  </conditionalFormatting>
  <conditionalFormatting sqref="E1470">
    <cfRule type="containsText" dxfId="4132" priority="5439" operator="containsText" text="Sin información">
      <formula>NOT(ISERROR(SEARCH("Sin información",E1470)))</formula>
    </cfRule>
  </conditionalFormatting>
  <conditionalFormatting sqref="E1470">
    <cfRule type="containsText" dxfId="4131" priority="5438" operator="containsText" text="NUEVO">
      <formula>NOT(ISERROR(SEARCH("NUEVO",E1470)))</formula>
    </cfRule>
  </conditionalFormatting>
  <conditionalFormatting sqref="E1470">
    <cfRule type="containsText" dxfId="4130" priority="5437" operator="containsText" text="Sin Información">
      <formula>NOT(ISERROR(SEARCH("Sin Información",E1470)))</formula>
    </cfRule>
  </conditionalFormatting>
  <conditionalFormatting sqref="C1471:D1471">
    <cfRule type="containsText" dxfId="4129" priority="5414" operator="containsText" text="NO+$D$4:$D$10">
      <formula>NOT(ISERROR(SEARCH("NO+$D$4:$D$10",C1471)))</formula>
    </cfRule>
  </conditionalFormatting>
  <conditionalFormatting sqref="C1471:D1471">
    <cfRule type="containsText" dxfId="4128" priority="5412" operator="containsText" text="SI">
      <formula>NOT(ISERROR(SEARCH("SI",C1471)))</formula>
    </cfRule>
    <cfRule type="containsText" dxfId="4127" priority="5413" operator="containsText" text="NO">
      <formula>NOT(ISERROR(SEARCH("NO",C1471)))</formula>
    </cfRule>
  </conditionalFormatting>
  <conditionalFormatting sqref="C1471:D1471">
    <cfRule type="containsText" dxfId="4126" priority="5411" operator="containsText" text="NUEVO">
      <formula>NOT(ISERROR(SEARCH("NUEVO",C1471)))</formula>
    </cfRule>
  </conditionalFormatting>
  <conditionalFormatting sqref="E1471">
    <cfRule type="containsText" dxfId="4125" priority="5409" operator="containsText" text="NUEVO">
      <formula>NOT(ISERROR(SEARCH("NUEVO",E1471)))</formula>
    </cfRule>
  </conditionalFormatting>
  <conditionalFormatting sqref="E1471">
    <cfRule type="containsText" dxfId="4124" priority="5410" operator="containsText" text="Sin información">
      <formula>NOT(ISERROR(SEARCH("Sin información",E1471)))</formula>
    </cfRule>
  </conditionalFormatting>
  <conditionalFormatting sqref="C1472:D1472">
    <cfRule type="containsText" dxfId="4123" priority="5408" operator="containsText" text="NO+$D$4:$D$10">
      <formula>NOT(ISERROR(SEARCH("NO+$D$4:$D$10",C1472)))</formula>
    </cfRule>
  </conditionalFormatting>
  <conditionalFormatting sqref="C1472:D1472">
    <cfRule type="containsText" dxfId="4122" priority="5406" operator="containsText" text="SI">
      <formula>NOT(ISERROR(SEARCH("SI",C1472)))</formula>
    </cfRule>
    <cfRule type="containsText" dxfId="4121" priority="5407" operator="containsText" text="NO">
      <formula>NOT(ISERROR(SEARCH("NO",C1472)))</formula>
    </cfRule>
  </conditionalFormatting>
  <conditionalFormatting sqref="C1472:D1472">
    <cfRule type="containsText" dxfId="4120" priority="5405" operator="containsText" text="NUEVO">
      <formula>NOT(ISERROR(SEARCH("NUEVO",C1472)))</formula>
    </cfRule>
  </conditionalFormatting>
  <conditionalFormatting sqref="E1472">
    <cfRule type="containsText" dxfId="4119" priority="5404" operator="containsText" text="Sin información">
      <formula>NOT(ISERROR(SEARCH("Sin información",E1472)))</formula>
    </cfRule>
  </conditionalFormatting>
  <conditionalFormatting sqref="C1475:D1475">
    <cfRule type="containsText" dxfId="4118" priority="5377" operator="containsText" text="NO+$D$4:$D$10">
      <formula>NOT(ISERROR(SEARCH("NO+$D$4:$D$10",C1475)))</formula>
    </cfRule>
  </conditionalFormatting>
  <conditionalFormatting sqref="C1475:D1475">
    <cfRule type="containsText" dxfId="4117" priority="5375" operator="containsText" text="SI">
      <formula>NOT(ISERROR(SEARCH("SI",C1475)))</formula>
    </cfRule>
    <cfRule type="containsText" dxfId="4116" priority="5376" operator="containsText" text="NO">
      <formula>NOT(ISERROR(SEARCH("NO",C1475)))</formula>
    </cfRule>
  </conditionalFormatting>
  <conditionalFormatting sqref="E1475">
    <cfRule type="containsText" dxfId="4115" priority="5374" operator="containsText" text="Sin información">
      <formula>NOT(ISERROR(SEARCH("Sin información",E1475)))</formula>
    </cfRule>
  </conditionalFormatting>
  <conditionalFormatting sqref="C1475:E1475">
    <cfRule type="containsText" dxfId="4114" priority="5373" operator="containsText" text="NUEVO">
      <formula>NOT(ISERROR(SEARCH("NUEVO",C1475)))</formula>
    </cfRule>
  </conditionalFormatting>
  <conditionalFormatting sqref="C1476:D1476">
    <cfRule type="containsText" dxfId="4113" priority="5372" operator="containsText" text="NO+$D$4:$D$10">
      <formula>NOT(ISERROR(SEARCH("NO+$D$4:$D$10",C1476)))</formula>
    </cfRule>
  </conditionalFormatting>
  <conditionalFormatting sqref="C1476:D1476">
    <cfRule type="containsText" dxfId="4112" priority="5370" operator="containsText" text="SI">
      <formula>NOT(ISERROR(SEARCH("SI",C1476)))</formula>
    </cfRule>
    <cfRule type="containsText" dxfId="4111" priority="5371" operator="containsText" text="NO">
      <formula>NOT(ISERROR(SEARCH("NO",C1476)))</formula>
    </cfRule>
  </conditionalFormatting>
  <conditionalFormatting sqref="E1476">
    <cfRule type="containsText" dxfId="4110" priority="5369" operator="containsText" text="Sin información">
      <formula>NOT(ISERROR(SEARCH("Sin información",E1476)))</formula>
    </cfRule>
  </conditionalFormatting>
  <conditionalFormatting sqref="C1476:E1476">
    <cfRule type="containsText" dxfId="4109" priority="5368" operator="containsText" text="NUEVO">
      <formula>NOT(ISERROR(SEARCH("NUEVO",C1476)))</formula>
    </cfRule>
  </conditionalFormatting>
  <conditionalFormatting sqref="C1477:D1477">
    <cfRule type="containsText" dxfId="4108" priority="5362" operator="containsText" text="NO+$D$4:$D$10">
      <formula>NOT(ISERROR(SEARCH("NO+$D$4:$D$10",C1477)))</formula>
    </cfRule>
  </conditionalFormatting>
  <conditionalFormatting sqref="C1477:D1477">
    <cfRule type="containsText" dxfId="4107" priority="5360" operator="containsText" text="SI">
      <formula>NOT(ISERROR(SEARCH("SI",C1477)))</formula>
    </cfRule>
    <cfRule type="containsText" dxfId="4106" priority="5361" operator="containsText" text="NO">
      <formula>NOT(ISERROR(SEARCH("NO",C1477)))</formula>
    </cfRule>
  </conditionalFormatting>
  <conditionalFormatting sqref="C1477:D1477">
    <cfRule type="containsText" dxfId="4105" priority="5359" operator="containsText" text="NUEVO">
      <formula>NOT(ISERROR(SEARCH("NUEVO",C1477)))</formula>
    </cfRule>
  </conditionalFormatting>
  <conditionalFormatting sqref="E1477">
    <cfRule type="containsText" dxfId="4104" priority="5357" operator="containsText" text="Sin información">
      <formula>NOT(ISERROR(SEARCH("Sin información",E1477)))</formula>
    </cfRule>
  </conditionalFormatting>
  <conditionalFormatting sqref="E1477">
    <cfRule type="containsText" dxfId="4103" priority="5356" operator="containsText" text="NUEVO">
      <formula>NOT(ISERROR(SEARCH("NUEVO",E1477)))</formula>
    </cfRule>
  </conditionalFormatting>
  <conditionalFormatting sqref="E1477">
    <cfRule type="containsText" dxfId="4102" priority="5358" operator="containsText" text="Sin información">
      <formula>NOT(ISERROR(SEARCH("Sin información",E1477)))</formula>
    </cfRule>
  </conditionalFormatting>
  <conditionalFormatting sqref="C1478:D1478">
    <cfRule type="containsText" dxfId="4101" priority="5355" operator="containsText" text="NO+$D$4:$D$10">
      <formula>NOT(ISERROR(SEARCH("NO+$D$4:$D$10",C1478)))</formula>
    </cfRule>
  </conditionalFormatting>
  <conditionalFormatting sqref="C1478:D1478">
    <cfRule type="containsText" dxfId="4100" priority="5353" operator="containsText" text="SI">
      <formula>NOT(ISERROR(SEARCH("SI",C1478)))</formula>
    </cfRule>
    <cfRule type="containsText" dxfId="4099" priority="5354" operator="containsText" text="NO">
      <formula>NOT(ISERROR(SEARCH("NO",C1478)))</formula>
    </cfRule>
  </conditionalFormatting>
  <conditionalFormatting sqref="C1478:D1478">
    <cfRule type="containsText" dxfId="4098" priority="5352" operator="containsText" text="NUEVO">
      <formula>NOT(ISERROR(SEARCH("NUEVO",C1478)))</formula>
    </cfRule>
  </conditionalFormatting>
  <conditionalFormatting sqref="E1478">
    <cfRule type="containsText" dxfId="4097" priority="5347" operator="containsText" text="Sin información">
      <formula>NOT(ISERROR(SEARCH("Sin información",E1478)))</formula>
    </cfRule>
  </conditionalFormatting>
  <conditionalFormatting sqref="E1478">
    <cfRule type="containsText" dxfId="4096" priority="5346" operator="containsText" text="NUEVO">
      <formula>NOT(ISERROR(SEARCH("NUEVO",E1478)))</formula>
    </cfRule>
  </conditionalFormatting>
  <conditionalFormatting sqref="E1478">
    <cfRule type="containsText" dxfId="4095" priority="5348" operator="containsText" text="Sin información">
      <formula>NOT(ISERROR(SEARCH("Sin información",E1478)))</formula>
    </cfRule>
  </conditionalFormatting>
  <conditionalFormatting sqref="E1481">
    <cfRule type="containsText" dxfId="4094" priority="5333" operator="containsText" text="NUEVO">
      <formula>NOT(ISERROR(SEARCH("NUEVO",E1481)))</formula>
    </cfRule>
  </conditionalFormatting>
  <conditionalFormatting sqref="E1481">
    <cfRule type="containsText" dxfId="4093" priority="5334" operator="containsText" text="Sin información">
      <formula>NOT(ISERROR(SEARCH("Sin información",E1481)))</formula>
    </cfRule>
  </conditionalFormatting>
  <conditionalFormatting sqref="E1481">
    <cfRule type="containsText" dxfId="4092" priority="5335" operator="containsText" text="Sin información">
      <formula>NOT(ISERROR(SEARCH("Sin información",E1481)))</formula>
    </cfRule>
  </conditionalFormatting>
  <conditionalFormatting sqref="E1482:E1484">
    <cfRule type="containsText" dxfId="4091" priority="5332" operator="containsText" text="Sin información">
      <formula>NOT(ISERROR(SEARCH("Sin información",E1482)))</formula>
    </cfRule>
  </conditionalFormatting>
  <conditionalFormatting sqref="E1482:E1484">
    <cfRule type="containsText" dxfId="4090" priority="5330" operator="containsText" text="NUEVO">
      <formula>NOT(ISERROR(SEARCH("NUEVO",E1482)))</formula>
    </cfRule>
  </conditionalFormatting>
  <conditionalFormatting sqref="E1482:E1484">
    <cfRule type="containsText" dxfId="4089" priority="5331" operator="containsText" text="Sin información">
      <formula>NOT(ISERROR(SEARCH("Sin información",E1482)))</formula>
    </cfRule>
  </conditionalFormatting>
  <conditionalFormatting sqref="C1485:D1485">
    <cfRule type="containsText" dxfId="4088" priority="5329" operator="containsText" text="NO+$D$4:$D$10">
      <formula>NOT(ISERROR(SEARCH("NO+$D$4:$D$10",C1485)))</formula>
    </cfRule>
  </conditionalFormatting>
  <conditionalFormatting sqref="C1485:D1485">
    <cfRule type="containsText" dxfId="4087" priority="5327" operator="containsText" text="SI">
      <formula>NOT(ISERROR(SEARCH("SI",C1485)))</formula>
    </cfRule>
    <cfRule type="containsText" dxfId="4086" priority="5328" operator="containsText" text="NO">
      <formula>NOT(ISERROR(SEARCH("NO",C1485)))</formula>
    </cfRule>
  </conditionalFormatting>
  <conditionalFormatting sqref="C1485:D1485">
    <cfRule type="containsText" dxfId="4085" priority="5326" operator="containsText" text="NUEVO">
      <formula>NOT(ISERROR(SEARCH("NUEVO",C1485)))</formula>
    </cfRule>
  </conditionalFormatting>
  <conditionalFormatting sqref="E1485">
    <cfRule type="containsText" dxfId="4084" priority="5325" operator="containsText" text="Sin información">
      <formula>NOT(ISERROR(SEARCH("Sin información",E1485)))</formula>
    </cfRule>
  </conditionalFormatting>
  <conditionalFormatting sqref="E1485">
    <cfRule type="containsText" dxfId="4083" priority="5324" operator="containsText" text="Sin información">
      <formula>NOT(ISERROR(SEARCH("Sin información",E1485)))</formula>
    </cfRule>
  </conditionalFormatting>
  <conditionalFormatting sqref="E1485">
    <cfRule type="containsText" dxfId="4082" priority="5323" operator="containsText" text="NUEVO">
      <formula>NOT(ISERROR(SEARCH("NUEVO",E1485)))</formula>
    </cfRule>
  </conditionalFormatting>
  <conditionalFormatting sqref="C1486:D1486">
    <cfRule type="containsText" dxfId="4081" priority="5322" operator="containsText" text="NO+$D$4:$D$10">
      <formula>NOT(ISERROR(SEARCH("NO+$D$4:$D$10",C1486)))</formula>
    </cfRule>
  </conditionalFormatting>
  <conditionalFormatting sqref="C1486:D1486">
    <cfRule type="containsText" dxfId="4080" priority="5320" operator="containsText" text="SI">
      <formula>NOT(ISERROR(SEARCH("SI",C1486)))</formula>
    </cfRule>
    <cfRule type="containsText" dxfId="4079" priority="5321" operator="containsText" text="NO">
      <formula>NOT(ISERROR(SEARCH("NO",C1486)))</formula>
    </cfRule>
  </conditionalFormatting>
  <conditionalFormatting sqref="E1486">
    <cfRule type="containsText" dxfId="4078" priority="5319" operator="containsText" text="Sin información">
      <formula>NOT(ISERROR(SEARCH("Sin información",E1486)))</formula>
    </cfRule>
  </conditionalFormatting>
  <conditionalFormatting sqref="C1486:E1486">
    <cfRule type="containsText" dxfId="4077" priority="5318" operator="containsText" text="NUEVO">
      <formula>NOT(ISERROR(SEARCH("NUEVO",C1486)))</formula>
    </cfRule>
  </conditionalFormatting>
  <conditionalFormatting sqref="C1487:D1487">
    <cfRule type="containsText" dxfId="4076" priority="5317" operator="containsText" text="NO+$D$4:$D$10">
      <formula>NOT(ISERROR(SEARCH("NO+$D$4:$D$10",C1487)))</formula>
    </cfRule>
  </conditionalFormatting>
  <conditionalFormatting sqref="C1487:D1487">
    <cfRule type="containsText" dxfId="4075" priority="5315" operator="containsText" text="SI">
      <formula>NOT(ISERROR(SEARCH("SI",C1487)))</formula>
    </cfRule>
    <cfRule type="containsText" dxfId="4074" priority="5316" operator="containsText" text="NO">
      <formula>NOT(ISERROR(SEARCH("NO",C1487)))</formula>
    </cfRule>
  </conditionalFormatting>
  <conditionalFormatting sqref="C1487:D1487">
    <cfRule type="containsText" dxfId="4073" priority="5314" operator="containsText" text="NUEVO">
      <formula>NOT(ISERROR(SEARCH("NUEVO",C1487)))</formula>
    </cfRule>
  </conditionalFormatting>
  <conditionalFormatting sqref="E1487">
    <cfRule type="containsText" dxfId="4072" priority="5312" operator="containsText" text="NUEVO">
      <formula>NOT(ISERROR(SEARCH("NUEVO",E1487)))</formula>
    </cfRule>
  </conditionalFormatting>
  <conditionalFormatting sqref="E1487">
    <cfRule type="containsText" dxfId="4071" priority="5313" operator="containsText" text="Sin información">
      <formula>NOT(ISERROR(SEARCH("Sin información",E1487)))</formula>
    </cfRule>
  </conditionalFormatting>
  <conditionalFormatting sqref="C1488:D1488">
    <cfRule type="containsText" dxfId="4070" priority="5311" operator="containsText" text="NO+$D$4:$D$10">
      <formula>NOT(ISERROR(SEARCH("NO+$D$4:$D$10",C1488)))</formula>
    </cfRule>
  </conditionalFormatting>
  <conditionalFormatting sqref="C1488:D1488">
    <cfRule type="containsText" dxfId="4069" priority="5309" operator="containsText" text="SI">
      <formula>NOT(ISERROR(SEARCH("SI",C1488)))</formula>
    </cfRule>
    <cfRule type="containsText" dxfId="4068" priority="5310" operator="containsText" text="NO">
      <formula>NOT(ISERROR(SEARCH("NO",C1488)))</formula>
    </cfRule>
  </conditionalFormatting>
  <conditionalFormatting sqref="C1488:D1488">
    <cfRule type="containsText" dxfId="4067" priority="5308" operator="containsText" text="NUEVO">
      <formula>NOT(ISERROR(SEARCH("NUEVO",C1488)))</formula>
    </cfRule>
  </conditionalFormatting>
  <conditionalFormatting sqref="E1488">
    <cfRule type="containsText" dxfId="4066" priority="5306" operator="containsText" text="NUEVO">
      <formula>NOT(ISERROR(SEARCH("NUEVO",E1488)))</formula>
    </cfRule>
  </conditionalFormatting>
  <conditionalFormatting sqref="E1488">
    <cfRule type="containsText" dxfId="4065" priority="5307" operator="containsText" text="Sin información">
      <formula>NOT(ISERROR(SEARCH("Sin información",E1488)))</formula>
    </cfRule>
  </conditionalFormatting>
  <conditionalFormatting sqref="C1489:D1489">
    <cfRule type="containsText" dxfId="4064" priority="5299" operator="containsText" text="NO+$D$4:$D$10">
      <formula>NOT(ISERROR(SEARCH("NO+$D$4:$D$10",C1489)))</formula>
    </cfRule>
  </conditionalFormatting>
  <conditionalFormatting sqref="C1489:D1489">
    <cfRule type="containsText" dxfId="4063" priority="5297" operator="containsText" text="SI">
      <formula>NOT(ISERROR(SEARCH("SI",C1489)))</formula>
    </cfRule>
    <cfRule type="containsText" dxfId="4062" priority="5298" operator="containsText" text="NO">
      <formula>NOT(ISERROR(SEARCH("NO",C1489)))</formula>
    </cfRule>
  </conditionalFormatting>
  <conditionalFormatting sqref="E1489">
    <cfRule type="containsText" dxfId="4061" priority="5296" operator="containsText" text="Sin información">
      <formula>NOT(ISERROR(SEARCH("Sin información",E1489)))</formula>
    </cfRule>
  </conditionalFormatting>
  <conditionalFormatting sqref="C1489:E1489">
    <cfRule type="containsText" dxfId="4060" priority="5295" operator="containsText" text="NUEVO">
      <formula>NOT(ISERROR(SEARCH("NUEVO",C1489)))</formula>
    </cfRule>
  </conditionalFormatting>
  <conditionalFormatting sqref="C1490:D1490">
    <cfRule type="containsText" dxfId="4059" priority="5294" operator="containsText" text="NO+$D$4:$D$10">
      <formula>NOT(ISERROR(SEARCH("NO+$D$4:$D$10",C1490)))</formula>
    </cfRule>
  </conditionalFormatting>
  <conditionalFormatting sqref="C1490:D1490">
    <cfRule type="containsText" dxfId="4058" priority="5292" operator="containsText" text="SI">
      <formula>NOT(ISERROR(SEARCH("SI",C1490)))</formula>
    </cfRule>
    <cfRule type="containsText" dxfId="4057" priority="5293" operator="containsText" text="NO">
      <formula>NOT(ISERROR(SEARCH("NO",C1490)))</formula>
    </cfRule>
  </conditionalFormatting>
  <conditionalFormatting sqref="E1490">
    <cfRule type="containsText" dxfId="4056" priority="5291" operator="containsText" text="Sin información">
      <formula>NOT(ISERROR(SEARCH("Sin información",E1490)))</formula>
    </cfRule>
  </conditionalFormatting>
  <conditionalFormatting sqref="C1490:E1490">
    <cfRule type="containsText" dxfId="4055" priority="5290" operator="containsText" text="NUEVO">
      <formula>NOT(ISERROR(SEARCH("NUEVO",C1490)))</formula>
    </cfRule>
  </conditionalFormatting>
  <conditionalFormatting sqref="E1490">
    <cfRule type="containsText" dxfId="4054" priority="5289" operator="containsText" text="Sin Información">
      <formula>NOT(ISERROR(SEARCH("Sin Información",E1490)))</formula>
    </cfRule>
  </conditionalFormatting>
  <conditionalFormatting sqref="C1491:D1491">
    <cfRule type="containsText" dxfId="4053" priority="5274" operator="containsText" text="NO+$D$4:$D$10">
      <formula>NOT(ISERROR(SEARCH("NO+$D$4:$D$10",C1491)))</formula>
    </cfRule>
  </conditionalFormatting>
  <conditionalFormatting sqref="C1491:D1491">
    <cfRule type="containsText" dxfId="4052" priority="5272" operator="containsText" text="SI">
      <formula>NOT(ISERROR(SEARCH("SI",C1491)))</formula>
    </cfRule>
    <cfRule type="containsText" dxfId="4051" priority="5273" operator="containsText" text="NO">
      <formula>NOT(ISERROR(SEARCH("NO",C1491)))</formula>
    </cfRule>
  </conditionalFormatting>
  <conditionalFormatting sqref="C1491:D1491">
    <cfRule type="containsText" dxfId="4050" priority="5271" operator="containsText" text="NUEVO">
      <formula>NOT(ISERROR(SEARCH("NUEVO",C1491)))</formula>
    </cfRule>
  </conditionalFormatting>
  <conditionalFormatting sqref="E1491">
    <cfRule type="containsText" dxfId="4049" priority="5269" operator="containsText" text="NUEVO">
      <formula>NOT(ISERROR(SEARCH("NUEVO",E1491)))</formula>
    </cfRule>
  </conditionalFormatting>
  <conditionalFormatting sqref="E1491">
    <cfRule type="containsText" dxfId="4048" priority="5270" operator="containsText" text="Sin información">
      <formula>NOT(ISERROR(SEARCH("Sin información",E1491)))</formula>
    </cfRule>
  </conditionalFormatting>
  <conditionalFormatting sqref="C1492:D1492">
    <cfRule type="containsText" dxfId="4047" priority="5266" operator="containsText" text="NO+$D$4:$D$10">
      <formula>NOT(ISERROR(SEARCH("NO+$D$4:$D$10",C1492)))</formula>
    </cfRule>
  </conditionalFormatting>
  <conditionalFormatting sqref="C1492:D1492">
    <cfRule type="containsText" dxfId="4046" priority="5264" operator="containsText" text="SI">
      <formula>NOT(ISERROR(SEARCH("SI",C1492)))</formula>
    </cfRule>
    <cfRule type="containsText" dxfId="4045" priority="5265" operator="containsText" text="NO">
      <formula>NOT(ISERROR(SEARCH("NO",C1492)))</formula>
    </cfRule>
  </conditionalFormatting>
  <conditionalFormatting sqref="C1492:D1492">
    <cfRule type="containsText" dxfId="4044" priority="5263" operator="containsText" text="NUEVO">
      <formula>NOT(ISERROR(SEARCH("NUEVO",C1492)))</formula>
    </cfRule>
  </conditionalFormatting>
  <conditionalFormatting sqref="E1492">
    <cfRule type="containsText" dxfId="4043" priority="5260" operator="containsText" text="NUEVO">
      <formula>NOT(ISERROR(SEARCH("NUEVO",E1492)))</formula>
    </cfRule>
  </conditionalFormatting>
  <conditionalFormatting sqref="E1492">
    <cfRule type="containsText" dxfId="4042" priority="5262" operator="containsText" text="Sin información">
      <formula>NOT(ISERROR(SEARCH("Sin información",E1492)))</formula>
    </cfRule>
  </conditionalFormatting>
  <conditionalFormatting sqref="E1492">
    <cfRule type="containsText" dxfId="4041" priority="5261" operator="containsText" text="Sin información">
      <formula>NOT(ISERROR(SEARCH("Sin información",E1492)))</formula>
    </cfRule>
  </conditionalFormatting>
  <conditionalFormatting sqref="C1493:D1493">
    <cfRule type="containsText" dxfId="4040" priority="5259" operator="containsText" text="NO+$D$4:$D$10">
      <formula>NOT(ISERROR(SEARCH("NO+$D$4:$D$10",C1493)))</formula>
    </cfRule>
  </conditionalFormatting>
  <conditionalFormatting sqref="C1493:D1493">
    <cfRule type="containsText" dxfId="4039" priority="5257" operator="containsText" text="SI">
      <formula>NOT(ISERROR(SEARCH("SI",C1493)))</formula>
    </cfRule>
    <cfRule type="containsText" dxfId="4038" priority="5258" operator="containsText" text="NO">
      <formula>NOT(ISERROR(SEARCH("NO",C1493)))</formula>
    </cfRule>
  </conditionalFormatting>
  <conditionalFormatting sqref="C1493:E1493">
    <cfRule type="containsText" dxfId="4037" priority="5256" operator="containsText" text="NUEVO">
      <formula>NOT(ISERROR(SEARCH("NUEVO",C1493)))</formula>
    </cfRule>
  </conditionalFormatting>
  <conditionalFormatting sqref="E1493">
    <cfRule type="containsText" dxfId="4036" priority="5255" operator="containsText" text="Sin Información">
      <formula>NOT(ISERROR(SEARCH("Sin Información",E1493)))</formula>
    </cfRule>
  </conditionalFormatting>
  <conditionalFormatting sqref="E1493">
    <cfRule type="containsText" dxfId="4035" priority="5254" operator="containsText" text="Sin información">
      <formula>NOT(ISERROR(SEARCH("Sin información",E1493)))</formula>
    </cfRule>
  </conditionalFormatting>
  <conditionalFormatting sqref="E1493">
    <cfRule type="containsText" dxfId="4034" priority="5253" operator="containsText" text="Sin información">
      <formula>NOT(ISERROR(SEARCH("Sin información",E1493)))</formula>
    </cfRule>
  </conditionalFormatting>
  <conditionalFormatting sqref="E1493">
    <cfRule type="containsText" dxfId="4033" priority="5252" operator="containsText" text="NUEVO">
      <formula>NOT(ISERROR(SEARCH("NUEVO",E1493)))</formula>
    </cfRule>
  </conditionalFormatting>
  <conditionalFormatting sqref="C1505:D1505">
    <cfRule type="containsText" dxfId="4032" priority="5244" operator="containsText" text="NO+$D$4:$D$10">
      <formula>NOT(ISERROR(SEARCH("NO+$D$4:$D$10",C1505)))</formula>
    </cfRule>
  </conditionalFormatting>
  <conditionalFormatting sqref="C1505:D1505">
    <cfRule type="containsText" dxfId="4031" priority="5242" operator="containsText" text="SI">
      <formula>NOT(ISERROR(SEARCH("SI",C1505)))</formula>
    </cfRule>
    <cfRule type="containsText" dxfId="4030" priority="5243" operator="containsText" text="NO">
      <formula>NOT(ISERROR(SEARCH("NO",C1505)))</formula>
    </cfRule>
  </conditionalFormatting>
  <conditionalFormatting sqref="C1505:D1505">
    <cfRule type="containsText" dxfId="4029" priority="5241" operator="containsText" text="NUEVO">
      <formula>NOT(ISERROR(SEARCH("NUEVO",C1505)))</formula>
    </cfRule>
  </conditionalFormatting>
  <conditionalFormatting sqref="E1505">
    <cfRule type="containsText" dxfId="4028" priority="5240" operator="containsText" text="Sin información">
      <formula>NOT(ISERROR(SEARCH("Sin información",E1505)))</formula>
    </cfRule>
  </conditionalFormatting>
  <conditionalFormatting sqref="E1505">
    <cfRule type="containsText" dxfId="4027" priority="5239" operator="containsText" text="Sin información">
      <formula>NOT(ISERROR(SEARCH("Sin información",E1505)))</formula>
    </cfRule>
  </conditionalFormatting>
  <conditionalFormatting sqref="E1505">
    <cfRule type="containsText" dxfId="4026" priority="5238" operator="containsText" text="NUEVO">
      <formula>NOT(ISERROR(SEARCH("NUEVO",E1505)))</formula>
    </cfRule>
  </conditionalFormatting>
  <conditionalFormatting sqref="C1506:D1511">
    <cfRule type="containsText" dxfId="4025" priority="5237" operator="containsText" text="NO+$D$4:$D$10">
      <formula>NOT(ISERROR(SEARCH("NO+$D$4:$D$10",C1506)))</formula>
    </cfRule>
  </conditionalFormatting>
  <conditionalFormatting sqref="C1506:D1511">
    <cfRule type="containsText" dxfId="4024" priority="5235" operator="containsText" text="SI">
      <formula>NOT(ISERROR(SEARCH("SI",C1506)))</formula>
    </cfRule>
    <cfRule type="containsText" dxfId="4023" priority="5236" operator="containsText" text="NO">
      <formula>NOT(ISERROR(SEARCH("NO",C1506)))</formula>
    </cfRule>
  </conditionalFormatting>
  <conditionalFormatting sqref="C1506:D1511">
    <cfRule type="containsText" dxfId="4022" priority="5234" operator="containsText" text="NUEVO">
      <formula>NOT(ISERROR(SEARCH("NUEVO",C1506)))</formula>
    </cfRule>
  </conditionalFormatting>
  <conditionalFormatting sqref="E1506:E1507">
    <cfRule type="containsText" dxfId="4021" priority="5231" operator="containsText" text="NUEVO">
      <formula>NOT(ISERROR(SEARCH("NUEVO",E1506)))</formula>
    </cfRule>
  </conditionalFormatting>
  <conditionalFormatting sqref="E1506:E1507">
    <cfRule type="containsText" dxfId="4020" priority="5232" operator="containsText" text="Sin información">
      <formula>NOT(ISERROR(SEARCH("Sin información",E1506)))</formula>
    </cfRule>
  </conditionalFormatting>
  <conditionalFormatting sqref="E1506:E1507">
    <cfRule type="containsText" dxfId="4019" priority="5233" operator="containsText" text="Sin información">
      <formula>NOT(ISERROR(SEARCH("Sin información",E1506)))</formula>
    </cfRule>
  </conditionalFormatting>
  <conditionalFormatting sqref="E1508:E1510">
    <cfRule type="containsText" dxfId="4018" priority="5228" operator="containsText" text="NUEVO">
      <formula>NOT(ISERROR(SEARCH("NUEVO",E1508)))</formula>
    </cfRule>
  </conditionalFormatting>
  <conditionalFormatting sqref="E1508:E1510">
    <cfRule type="containsText" dxfId="4017" priority="5229" operator="containsText" text="Sin información">
      <formula>NOT(ISERROR(SEARCH("Sin información",E1508)))</formula>
    </cfRule>
  </conditionalFormatting>
  <conditionalFormatting sqref="E1508:E1510">
    <cfRule type="containsText" dxfId="4016" priority="5230" operator="containsText" text="Sin información">
      <formula>NOT(ISERROR(SEARCH("Sin información",E1508)))</formula>
    </cfRule>
  </conditionalFormatting>
  <conditionalFormatting sqref="E1511">
    <cfRule type="containsText" dxfId="4015" priority="5226" operator="containsText" text="Sin información">
      <formula>NOT(ISERROR(SEARCH("Sin información",E1511)))</formula>
    </cfRule>
  </conditionalFormatting>
  <conditionalFormatting sqref="E1511">
    <cfRule type="containsText" dxfId="4014" priority="5225" operator="containsText" text="NUEVO">
      <formula>NOT(ISERROR(SEARCH("NUEVO",E1511)))</formula>
    </cfRule>
  </conditionalFormatting>
  <conditionalFormatting sqref="E1511">
    <cfRule type="containsText" dxfId="4013" priority="5227" operator="containsText" text="Sin información">
      <formula>NOT(ISERROR(SEARCH("Sin información",E1511)))</formula>
    </cfRule>
  </conditionalFormatting>
  <conditionalFormatting sqref="E244">
    <cfRule type="containsText" dxfId="4012" priority="27826" operator="containsText" text="NUEVO">
      <formula>NOT(ISERROR(SEARCH("NUEVO",E1394)))</formula>
    </cfRule>
  </conditionalFormatting>
  <conditionalFormatting sqref="E244">
    <cfRule type="containsText" dxfId="4011" priority="27828" operator="containsText" text="Sin Información">
      <formula>NOT(ISERROR(SEARCH("Sin Información",E1394)))</formula>
    </cfRule>
  </conditionalFormatting>
  <conditionalFormatting sqref="C1581:D1581">
    <cfRule type="containsText" dxfId="4010" priority="5212" operator="containsText" text="NO+$D$4:$D$10">
      <formula>NOT(ISERROR(SEARCH("NO+$D$4:$D$10",C1581)))</formula>
    </cfRule>
  </conditionalFormatting>
  <conditionalFormatting sqref="C1581:D1581">
    <cfRule type="containsText" dxfId="4009" priority="5210" operator="containsText" text="SI">
      <formula>NOT(ISERROR(SEARCH("SI",C1581)))</formula>
    </cfRule>
    <cfRule type="containsText" dxfId="4008" priority="5211" operator="containsText" text="NO">
      <formula>NOT(ISERROR(SEARCH("NO",C1581)))</formula>
    </cfRule>
  </conditionalFormatting>
  <conditionalFormatting sqref="C1581:D1581">
    <cfRule type="containsText" dxfId="4007" priority="5209" operator="containsText" text="NUEVO">
      <formula>NOT(ISERROR(SEARCH("NUEVO",C1581)))</formula>
    </cfRule>
  </conditionalFormatting>
  <conditionalFormatting sqref="E1581">
    <cfRule type="containsText" dxfId="4006" priority="5208" operator="containsText" text="NUEVO">
      <formula>NOT(ISERROR(SEARCH("NUEVO",E1581)))</formula>
    </cfRule>
  </conditionalFormatting>
  <conditionalFormatting sqref="E1581">
    <cfRule type="containsText" dxfId="4005" priority="5207" operator="containsText" text="Sin Información">
      <formula>NOT(ISERROR(SEARCH("Sin Información",E1581)))</formula>
    </cfRule>
  </conditionalFormatting>
  <conditionalFormatting sqref="C1582:D1582">
    <cfRule type="containsText" dxfId="4004" priority="5199" operator="containsText" text="NO+$D$4:$D$10">
      <formula>NOT(ISERROR(SEARCH("NO+$D$4:$D$10",C1582)))</formula>
    </cfRule>
  </conditionalFormatting>
  <conditionalFormatting sqref="C1582:D1582">
    <cfRule type="containsText" dxfId="4003" priority="5197" operator="containsText" text="SI">
      <formula>NOT(ISERROR(SEARCH("SI",C1582)))</formula>
    </cfRule>
    <cfRule type="containsText" dxfId="4002" priority="5198" operator="containsText" text="NO">
      <formula>NOT(ISERROR(SEARCH("NO",C1582)))</formula>
    </cfRule>
  </conditionalFormatting>
  <conditionalFormatting sqref="C1582:D1582">
    <cfRule type="containsText" dxfId="4001" priority="5196" operator="containsText" text="NUEVO">
      <formula>NOT(ISERROR(SEARCH("NUEVO",C1582)))</formula>
    </cfRule>
  </conditionalFormatting>
  <conditionalFormatting sqref="E1582">
    <cfRule type="containsText" dxfId="4000" priority="5200" operator="containsText" text="NUEVO">
      <formula>NOT(ISERROR(SEARCH("NUEVO",E2096)))</formula>
    </cfRule>
  </conditionalFormatting>
  <conditionalFormatting sqref="E1582">
    <cfRule type="containsText" dxfId="3999" priority="5201" operator="containsText" text="Sin información">
      <formula>NOT(ISERROR(SEARCH("Sin información",E2096)))</formula>
    </cfRule>
  </conditionalFormatting>
  <conditionalFormatting sqref="C1583:D1583">
    <cfRule type="containsText" dxfId="3998" priority="5195" operator="containsText" text="NO+$D$4:$D$10">
      <formula>NOT(ISERROR(SEARCH("NO+$D$4:$D$10",C1583)))</formula>
    </cfRule>
  </conditionalFormatting>
  <conditionalFormatting sqref="C1583:D1583">
    <cfRule type="containsText" dxfId="3997" priority="5193" operator="containsText" text="SI">
      <formula>NOT(ISERROR(SEARCH("SI",C1583)))</formula>
    </cfRule>
    <cfRule type="containsText" dxfId="3996" priority="5194" operator="containsText" text="NO">
      <formula>NOT(ISERROR(SEARCH("NO",C1583)))</formula>
    </cfRule>
  </conditionalFormatting>
  <conditionalFormatting sqref="C1583:D1583">
    <cfRule type="containsText" dxfId="3995" priority="5192" operator="containsText" text="NUEVO">
      <formula>NOT(ISERROR(SEARCH("NUEVO",C1583)))</formula>
    </cfRule>
  </conditionalFormatting>
  <conditionalFormatting sqref="E1583">
    <cfRule type="containsText" dxfId="3994" priority="5191" operator="containsText" text="NUEVO">
      <formula>NOT(ISERROR(SEARCH("NUEVO",E1583)))</formula>
    </cfRule>
  </conditionalFormatting>
  <conditionalFormatting sqref="E1583">
    <cfRule type="containsText" dxfId="3993" priority="5190" operator="containsText" text="Sin Información">
      <formula>NOT(ISERROR(SEARCH("Sin Información",E1583)))</formula>
    </cfRule>
  </conditionalFormatting>
  <conditionalFormatting sqref="C1584:D1584">
    <cfRule type="containsText" dxfId="3992" priority="5182" operator="containsText" text="NO+$D$4:$D$10">
      <formula>NOT(ISERROR(SEARCH("NO+$D$4:$D$10",C1584)))</formula>
    </cfRule>
  </conditionalFormatting>
  <conditionalFormatting sqref="C1584:D1584">
    <cfRule type="containsText" dxfId="3991" priority="5180" operator="containsText" text="SI">
      <formula>NOT(ISERROR(SEARCH("SI",C1584)))</formula>
    </cfRule>
    <cfRule type="containsText" dxfId="3990" priority="5181" operator="containsText" text="NO">
      <formula>NOT(ISERROR(SEARCH("NO",C1584)))</formula>
    </cfRule>
  </conditionalFormatting>
  <conditionalFormatting sqref="C1584:D1584">
    <cfRule type="containsText" dxfId="3989" priority="5178" operator="containsText" text="NUEVO">
      <formula>NOT(ISERROR(SEARCH("NUEVO",C1584)))</formula>
    </cfRule>
  </conditionalFormatting>
  <conditionalFormatting sqref="E1584">
    <cfRule type="containsText" dxfId="3988" priority="5176" operator="containsText" text="NUEVO">
      <formula>NOT(ISERROR(SEARCH("NUEVO",E1584)))</formula>
    </cfRule>
  </conditionalFormatting>
  <conditionalFormatting sqref="E1584">
    <cfRule type="containsText" dxfId="3987" priority="5177" operator="containsText" text="Sin información">
      <formula>NOT(ISERROR(SEARCH("Sin información",E1584)))</formula>
    </cfRule>
  </conditionalFormatting>
  <conditionalFormatting sqref="C1585:D1585">
    <cfRule type="containsText" dxfId="3986" priority="5175" operator="containsText" text="NO+$D$4:$D$10">
      <formula>NOT(ISERROR(SEARCH("NO+$D$4:$D$10",C1585)))</formula>
    </cfRule>
  </conditionalFormatting>
  <conditionalFormatting sqref="C1585:D1585">
    <cfRule type="containsText" dxfId="3985" priority="5173" operator="containsText" text="SI">
      <formula>NOT(ISERROR(SEARCH("SI",C1585)))</formula>
    </cfRule>
    <cfRule type="containsText" dxfId="3984" priority="5174" operator="containsText" text="NO">
      <formula>NOT(ISERROR(SEARCH("NO",C1585)))</formula>
    </cfRule>
  </conditionalFormatting>
  <conditionalFormatting sqref="C1585:D1585">
    <cfRule type="containsText" dxfId="3983" priority="5172" operator="containsText" text="NUEVO">
      <formula>NOT(ISERROR(SEARCH("NUEVO",C1585)))</formula>
    </cfRule>
  </conditionalFormatting>
  <conditionalFormatting sqref="E1585">
    <cfRule type="containsText" dxfId="3982" priority="5171" operator="containsText" text="Sin información">
      <formula>NOT(ISERROR(SEARCH("Sin información",E1585)))</formula>
    </cfRule>
  </conditionalFormatting>
  <conditionalFormatting sqref="E1585">
    <cfRule type="containsText" dxfId="3981" priority="5170" operator="containsText" text="NUEVO">
      <formula>NOT(ISERROR(SEARCH("NUEVO",E1585)))</formula>
    </cfRule>
  </conditionalFormatting>
  <conditionalFormatting sqref="C1586:D1586">
    <cfRule type="containsText" dxfId="3980" priority="5169" operator="containsText" text="NO+$D$4:$D$10">
      <formula>NOT(ISERROR(SEARCH("NO+$D$4:$D$10",C1586)))</formula>
    </cfRule>
  </conditionalFormatting>
  <conditionalFormatting sqref="C1586:D1586">
    <cfRule type="containsText" dxfId="3979" priority="5167" operator="containsText" text="SI">
      <formula>NOT(ISERROR(SEARCH("SI",C1586)))</formula>
    </cfRule>
    <cfRule type="containsText" dxfId="3978" priority="5168" operator="containsText" text="NO">
      <formula>NOT(ISERROR(SEARCH("NO",C1586)))</formula>
    </cfRule>
  </conditionalFormatting>
  <conditionalFormatting sqref="E1586">
    <cfRule type="containsText" dxfId="3977" priority="5166" operator="containsText" text="Sin información">
      <formula>NOT(ISERROR(SEARCH("Sin información",E1586)))</formula>
    </cfRule>
  </conditionalFormatting>
  <conditionalFormatting sqref="C1586:E1586">
    <cfRule type="containsText" dxfId="3976" priority="5165" operator="containsText" text="NUEVO">
      <formula>NOT(ISERROR(SEARCH("NUEVO",C1586)))</formula>
    </cfRule>
  </conditionalFormatting>
  <conditionalFormatting sqref="E1586">
    <cfRule type="containsText" dxfId="3975" priority="5163" operator="containsText" text="NUEVO">
      <formula>NOT(ISERROR(SEARCH("NUEVO",E1586)))</formula>
    </cfRule>
  </conditionalFormatting>
  <conditionalFormatting sqref="E1586">
    <cfRule type="containsText" dxfId="3974" priority="5164" operator="containsText" text="Sin información">
      <formula>NOT(ISERROR(SEARCH("Sin información",E1586)))</formula>
    </cfRule>
  </conditionalFormatting>
  <conditionalFormatting sqref="C1587:D1587">
    <cfRule type="containsText" dxfId="3973" priority="5162" operator="containsText" text="NO+$D$4:$D$10">
      <formula>NOT(ISERROR(SEARCH("NO+$D$4:$D$10",C1587)))</formula>
    </cfRule>
  </conditionalFormatting>
  <conditionalFormatting sqref="C1587:D1587">
    <cfRule type="containsText" dxfId="3972" priority="5160" operator="containsText" text="SI">
      <formula>NOT(ISERROR(SEARCH("SI",C1587)))</formula>
    </cfRule>
    <cfRule type="containsText" dxfId="3971" priority="5161" operator="containsText" text="NO">
      <formula>NOT(ISERROR(SEARCH("NO",C1587)))</formula>
    </cfRule>
  </conditionalFormatting>
  <conditionalFormatting sqref="C1587:D1587">
    <cfRule type="containsText" dxfId="3970" priority="5159" operator="containsText" text="NUEVO">
      <formula>NOT(ISERROR(SEARCH("NUEVO",C1587)))</formula>
    </cfRule>
  </conditionalFormatting>
  <conditionalFormatting sqref="E1587">
    <cfRule type="containsText" dxfId="3969" priority="5157" operator="containsText" text="NUEVO">
      <formula>NOT(ISERROR(SEARCH("NUEVO",E1587)))</formula>
    </cfRule>
  </conditionalFormatting>
  <conditionalFormatting sqref="E1587">
    <cfRule type="containsText" dxfId="3968" priority="5158" operator="containsText" text="Sin información">
      <formula>NOT(ISERROR(SEARCH("Sin información",E1587)))</formula>
    </cfRule>
  </conditionalFormatting>
  <conditionalFormatting sqref="C1588:D1588">
    <cfRule type="containsText" dxfId="3967" priority="5141" operator="containsText" text="NO+$D$4:$D$10">
      <formula>NOT(ISERROR(SEARCH("NO+$D$4:$D$10",C1588)))</formula>
    </cfRule>
  </conditionalFormatting>
  <conditionalFormatting sqref="C1588:D1588">
    <cfRule type="containsText" dxfId="3966" priority="5139" operator="containsText" text="SI">
      <formula>NOT(ISERROR(SEARCH("SI",C1588)))</formula>
    </cfRule>
    <cfRule type="containsText" dxfId="3965" priority="5140" operator="containsText" text="NO">
      <formula>NOT(ISERROR(SEARCH("NO",C1588)))</formula>
    </cfRule>
  </conditionalFormatting>
  <conditionalFormatting sqref="E1588">
    <cfRule type="containsText" dxfId="3964" priority="5138" operator="containsText" text="Sin información">
      <formula>NOT(ISERROR(SEARCH("Sin información",E1588)))</formula>
    </cfRule>
  </conditionalFormatting>
  <conditionalFormatting sqref="C1588:E1588">
    <cfRule type="containsText" dxfId="3963" priority="5137" operator="containsText" text="NUEVO">
      <formula>NOT(ISERROR(SEARCH("NUEVO",C1588)))</formula>
    </cfRule>
  </conditionalFormatting>
  <conditionalFormatting sqref="C1589:D1589">
    <cfRule type="containsText" dxfId="3962" priority="5130" operator="containsText" text="NO+$D$4:$D$10">
      <formula>NOT(ISERROR(SEARCH("NO+$D$4:$D$10",C1589)))</formula>
    </cfRule>
  </conditionalFormatting>
  <conditionalFormatting sqref="C1589:D1589">
    <cfRule type="containsText" dxfId="3961" priority="5128" operator="containsText" text="SI">
      <formula>NOT(ISERROR(SEARCH("SI",C1589)))</formula>
    </cfRule>
    <cfRule type="containsText" dxfId="3960" priority="5129" operator="containsText" text="NO">
      <formula>NOT(ISERROR(SEARCH("NO",C1589)))</formula>
    </cfRule>
  </conditionalFormatting>
  <conditionalFormatting sqref="C1589:D1589">
    <cfRule type="containsText" dxfId="3959" priority="5127" operator="containsText" text="NUEVO">
      <formula>NOT(ISERROR(SEARCH("NUEVO",C1589)))</formula>
    </cfRule>
  </conditionalFormatting>
  <conditionalFormatting sqref="E1589">
    <cfRule type="containsText" dxfId="3958" priority="5126" operator="containsText" text="Sin información">
      <formula>NOT(ISERROR(SEARCH("Sin información",E1589)))</formula>
    </cfRule>
  </conditionalFormatting>
  <conditionalFormatting sqref="E1589">
    <cfRule type="containsText" dxfId="3957" priority="5125" operator="containsText" text="NUEVO">
      <formula>NOT(ISERROR(SEARCH("NUEVO",E1589)))</formula>
    </cfRule>
  </conditionalFormatting>
  <conditionalFormatting sqref="C1590:D1590">
    <cfRule type="containsText" dxfId="3956" priority="5124" operator="containsText" text="NO+$D$4:$D$10">
      <formula>NOT(ISERROR(SEARCH("NO+$D$4:$D$10",C1590)))</formula>
    </cfRule>
  </conditionalFormatting>
  <conditionalFormatting sqref="C1590:D1590">
    <cfRule type="containsText" dxfId="3955" priority="5122" operator="containsText" text="SI">
      <formula>NOT(ISERROR(SEARCH("SI",C1590)))</formula>
    </cfRule>
    <cfRule type="containsText" dxfId="3954" priority="5123" operator="containsText" text="NO">
      <formula>NOT(ISERROR(SEARCH("NO",C1590)))</formula>
    </cfRule>
  </conditionalFormatting>
  <conditionalFormatting sqref="C1590:D1590">
    <cfRule type="containsText" dxfId="3953" priority="5121" operator="containsText" text="NUEVO">
      <formula>NOT(ISERROR(SEARCH("NUEVO",C1590)))</formula>
    </cfRule>
  </conditionalFormatting>
  <conditionalFormatting sqref="E1590">
    <cfRule type="containsText" dxfId="3952" priority="5119" operator="containsText" text="NUEVO">
      <formula>NOT(ISERROR(SEARCH("NUEVO",E1590)))</formula>
    </cfRule>
  </conditionalFormatting>
  <conditionalFormatting sqref="E1590">
    <cfRule type="containsText" dxfId="3951" priority="5120" operator="containsText" text="Sin información">
      <formula>NOT(ISERROR(SEARCH("Sin información",E1590)))</formula>
    </cfRule>
  </conditionalFormatting>
  <conditionalFormatting sqref="C1591:D1593">
    <cfRule type="containsText" dxfId="3950" priority="5118" operator="containsText" text="NO+$D$4:$D$10">
      <formula>NOT(ISERROR(SEARCH("NO+$D$4:$D$10",C1591)))</formula>
    </cfRule>
  </conditionalFormatting>
  <conditionalFormatting sqref="C1591:D1593">
    <cfRule type="containsText" dxfId="3949" priority="5116" operator="containsText" text="SI">
      <formula>NOT(ISERROR(SEARCH("SI",C1591)))</formula>
    </cfRule>
    <cfRule type="containsText" dxfId="3948" priority="5117" operator="containsText" text="NO">
      <formula>NOT(ISERROR(SEARCH("NO",C1591)))</formula>
    </cfRule>
  </conditionalFormatting>
  <conditionalFormatting sqref="C1591:D1593">
    <cfRule type="containsText" dxfId="3947" priority="5115" operator="containsText" text="NUEVO">
      <formula>NOT(ISERROR(SEARCH("NUEVO",C1591)))</formula>
    </cfRule>
  </conditionalFormatting>
  <conditionalFormatting sqref="E1591:E1593">
    <cfRule type="containsText" dxfId="3946" priority="5114" operator="containsText" text="Sin información">
      <formula>NOT(ISERROR(SEARCH("Sin información",E1591)))</formula>
    </cfRule>
  </conditionalFormatting>
  <conditionalFormatting sqref="E1591:E1593">
    <cfRule type="containsText" dxfId="3945" priority="5113" operator="containsText" text="NUEVO">
      <formula>NOT(ISERROR(SEARCH("NUEVO",E1591)))</formula>
    </cfRule>
  </conditionalFormatting>
  <conditionalFormatting sqref="C1594:D1596">
    <cfRule type="containsText" dxfId="3944" priority="5112" operator="containsText" text="NO+$D$4:$D$10">
      <formula>NOT(ISERROR(SEARCH("NO+$D$4:$D$10",C1594)))</formula>
    </cfRule>
  </conditionalFormatting>
  <conditionalFormatting sqref="C1594:D1596">
    <cfRule type="containsText" dxfId="3943" priority="5110" operator="containsText" text="SI">
      <formula>NOT(ISERROR(SEARCH("SI",C1594)))</formula>
    </cfRule>
    <cfRule type="containsText" dxfId="3942" priority="5111" operator="containsText" text="NO">
      <formula>NOT(ISERROR(SEARCH("NO",C1594)))</formula>
    </cfRule>
  </conditionalFormatting>
  <conditionalFormatting sqref="C1594:D1596">
    <cfRule type="containsText" dxfId="3941" priority="5109" operator="containsText" text="NUEVO">
      <formula>NOT(ISERROR(SEARCH("NUEVO",C1594)))</formula>
    </cfRule>
  </conditionalFormatting>
  <conditionalFormatting sqref="E1594:E1595">
    <cfRule type="containsText" dxfId="3940" priority="5108" operator="containsText" text="Sin información">
      <formula>NOT(ISERROR(SEARCH("Sin información",E1594)))</formula>
    </cfRule>
  </conditionalFormatting>
  <conditionalFormatting sqref="E1594:E1595">
    <cfRule type="containsText" dxfId="3939" priority="5107" operator="containsText" text="NUEVO">
      <formula>NOT(ISERROR(SEARCH("NUEVO",E1594)))</formula>
    </cfRule>
  </conditionalFormatting>
  <conditionalFormatting sqref="E1596">
    <cfRule type="containsText" dxfId="3938" priority="5106" operator="containsText" text="Sin información">
      <formula>NOT(ISERROR(SEARCH("Sin información",E1596)))</formula>
    </cfRule>
  </conditionalFormatting>
  <conditionalFormatting sqref="E1596">
    <cfRule type="containsText" dxfId="3937" priority="5105" operator="containsText" text="NUEVO">
      <formula>NOT(ISERROR(SEARCH("NUEVO",E1596)))</formula>
    </cfRule>
  </conditionalFormatting>
  <conditionalFormatting sqref="C1597:D1597">
    <cfRule type="containsText" dxfId="3936" priority="5090" operator="containsText" text="NO+$D$4:$D$10">
      <formula>NOT(ISERROR(SEARCH("NO+$D$4:$D$10",C1597)))</formula>
    </cfRule>
  </conditionalFormatting>
  <conditionalFormatting sqref="C1597:D1597">
    <cfRule type="containsText" dxfId="3935" priority="5088" operator="containsText" text="SI">
      <formula>NOT(ISERROR(SEARCH("SI",C1597)))</formula>
    </cfRule>
    <cfRule type="containsText" dxfId="3934" priority="5089" operator="containsText" text="NO">
      <formula>NOT(ISERROR(SEARCH("NO",C1597)))</formula>
    </cfRule>
  </conditionalFormatting>
  <conditionalFormatting sqref="C1597:D1597">
    <cfRule type="containsText" dxfId="3933" priority="5087" operator="containsText" text="NUEVO">
      <formula>NOT(ISERROR(SEARCH("NUEVO",C1597)))</formula>
    </cfRule>
  </conditionalFormatting>
  <conditionalFormatting sqref="E1597">
    <cfRule type="containsText" dxfId="3932" priority="5085" operator="containsText" text="NUEVO">
      <formula>NOT(ISERROR(SEARCH("NUEVO",E1597)))</formula>
    </cfRule>
  </conditionalFormatting>
  <conditionalFormatting sqref="E1597">
    <cfRule type="containsText" dxfId="3931" priority="5086" operator="containsText" text="Sin información">
      <formula>NOT(ISERROR(SEARCH("Sin información",E1597)))</formula>
    </cfRule>
  </conditionalFormatting>
  <conditionalFormatting sqref="C1598:D1598">
    <cfRule type="containsText" dxfId="3930" priority="5078" operator="containsText" text="NO+$D$4:$D$10">
      <formula>NOT(ISERROR(SEARCH("NO+$D$4:$D$10",C1598)))</formula>
    </cfRule>
  </conditionalFormatting>
  <conditionalFormatting sqref="C1598:D1598">
    <cfRule type="containsText" dxfId="3929" priority="5076" operator="containsText" text="SI">
      <formula>NOT(ISERROR(SEARCH("SI",C1598)))</formula>
    </cfRule>
    <cfRule type="containsText" dxfId="3928" priority="5077" operator="containsText" text="NO">
      <formula>NOT(ISERROR(SEARCH("NO",C1598)))</formula>
    </cfRule>
  </conditionalFormatting>
  <conditionalFormatting sqref="E1598">
    <cfRule type="containsText" dxfId="3927" priority="5075" operator="containsText" text="Sin información">
      <formula>NOT(ISERROR(SEARCH("Sin información",E1598)))</formula>
    </cfRule>
  </conditionalFormatting>
  <conditionalFormatting sqref="C1598:E1598">
    <cfRule type="containsText" dxfId="3926" priority="5074" operator="containsText" text="NUEVO">
      <formula>NOT(ISERROR(SEARCH("NUEVO",C1598)))</formula>
    </cfRule>
  </conditionalFormatting>
  <conditionalFormatting sqref="C1599:D1599">
    <cfRule type="containsText" dxfId="3925" priority="5073" operator="containsText" text="NO+$D$4:$D$10">
      <formula>NOT(ISERROR(SEARCH("NO+$D$4:$D$10",C1599)))</formula>
    </cfRule>
  </conditionalFormatting>
  <conditionalFormatting sqref="C1599:D1599">
    <cfRule type="containsText" dxfId="3924" priority="5071" operator="containsText" text="SI">
      <formula>NOT(ISERROR(SEARCH("SI",C1599)))</formula>
    </cfRule>
    <cfRule type="containsText" dxfId="3923" priority="5072" operator="containsText" text="NO">
      <formula>NOT(ISERROR(SEARCH("NO",C1599)))</formula>
    </cfRule>
  </conditionalFormatting>
  <conditionalFormatting sqref="C1599:D1599">
    <cfRule type="containsText" dxfId="3922" priority="5070" operator="containsText" text="NUEVO">
      <formula>NOT(ISERROR(SEARCH("NUEVO",C1599)))</formula>
    </cfRule>
  </conditionalFormatting>
  <conditionalFormatting sqref="E1599">
    <cfRule type="containsText" dxfId="3921" priority="5069" operator="containsText" text="Sin información">
      <formula>NOT(ISERROR(SEARCH("Sin información",E1599)))</formula>
    </cfRule>
  </conditionalFormatting>
  <conditionalFormatting sqref="E1599">
    <cfRule type="containsText" dxfId="3920" priority="5068" operator="containsText" text="NUEVO">
      <formula>NOT(ISERROR(SEARCH("NUEVO",E1599)))</formula>
    </cfRule>
  </conditionalFormatting>
  <conditionalFormatting sqref="C1600:D1601">
    <cfRule type="containsText" dxfId="3919" priority="5067" operator="containsText" text="NO+$D$4:$D$10">
      <formula>NOT(ISERROR(SEARCH("NO+$D$4:$D$10",C1600)))</formula>
    </cfRule>
  </conditionalFormatting>
  <conditionalFormatting sqref="C1600:D1601">
    <cfRule type="containsText" dxfId="3918" priority="5065" operator="containsText" text="SI">
      <formula>NOT(ISERROR(SEARCH("SI",C1600)))</formula>
    </cfRule>
    <cfRule type="containsText" dxfId="3917" priority="5066" operator="containsText" text="NO">
      <formula>NOT(ISERROR(SEARCH("NO",C1600)))</formula>
    </cfRule>
  </conditionalFormatting>
  <conditionalFormatting sqref="C1600:D1601">
    <cfRule type="containsText" dxfId="3916" priority="5064" operator="containsText" text="NUEVO">
      <formula>NOT(ISERROR(SEARCH("NUEVO",C1600)))</formula>
    </cfRule>
  </conditionalFormatting>
  <conditionalFormatting sqref="E1600:E1601">
    <cfRule type="containsText" dxfId="3915" priority="5063" operator="containsText" text="Sin información">
      <formula>NOT(ISERROR(SEARCH("Sin información",E1600)))</formula>
    </cfRule>
  </conditionalFormatting>
  <conditionalFormatting sqref="E1600:E1601">
    <cfRule type="containsText" dxfId="3914" priority="5062" operator="containsText" text="NUEVO">
      <formula>NOT(ISERROR(SEARCH("NUEVO",E1600)))</formula>
    </cfRule>
  </conditionalFormatting>
  <conditionalFormatting sqref="C1602:D1602">
    <cfRule type="containsText" dxfId="3913" priority="5061" operator="containsText" text="NO+$D$4:$D$10">
      <formula>NOT(ISERROR(SEARCH("NO+$D$4:$D$10",C1602)))</formula>
    </cfRule>
  </conditionalFormatting>
  <conditionalFormatting sqref="C1602:D1602">
    <cfRule type="containsText" dxfId="3912" priority="5059" operator="containsText" text="SI">
      <formula>NOT(ISERROR(SEARCH("SI",C1602)))</formula>
    </cfRule>
    <cfRule type="containsText" dxfId="3911" priority="5060" operator="containsText" text="NO">
      <formula>NOT(ISERROR(SEARCH("NO",C1602)))</formula>
    </cfRule>
  </conditionalFormatting>
  <conditionalFormatting sqref="C1602:D1602">
    <cfRule type="containsText" dxfId="3910" priority="5058" operator="containsText" text="NUEVO">
      <formula>NOT(ISERROR(SEARCH("NUEVO",C1602)))</formula>
    </cfRule>
  </conditionalFormatting>
  <conditionalFormatting sqref="E1602">
    <cfRule type="containsText" dxfId="3909" priority="5057" operator="containsText" text="Sin información">
      <formula>NOT(ISERROR(SEARCH("Sin información",E1602)))</formula>
    </cfRule>
  </conditionalFormatting>
  <conditionalFormatting sqref="E1602">
    <cfRule type="containsText" dxfId="3908" priority="5056" operator="containsText" text="NUEVO">
      <formula>NOT(ISERROR(SEARCH("NUEVO",E1602)))</formula>
    </cfRule>
  </conditionalFormatting>
  <conditionalFormatting sqref="C1603:D1604">
    <cfRule type="containsText" dxfId="3907" priority="5055" operator="containsText" text="NO+$D$4:$D$10">
      <formula>NOT(ISERROR(SEARCH("NO+$D$4:$D$10",C1603)))</formula>
    </cfRule>
  </conditionalFormatting>
  <conditionalFormatting sqref="C1603:D1604">
    <cfRule type="containsText" dxfId="3906" priority="5053" operator="containsText" text="SI">
      <formula>NOT(ISERROR(SEARCH("SI",C1603)))</formula>
    </cfRule>
    <cfRule type="containsText" dxfId="3905" priority="5054" operator="containsText" text="NO">
      <formula>NOT(ISERROR(SEARCH("NO",C1603)))</formula>
    </cfRule>
  </conditionalFormatting>
  <conditionalFormatting sqref="C1603:D1604">
    <cfRule type="containsText" dxfId="3904" priority="5052" operator="containsText" text="NUEVO">
      <formula>NOT(ISERROR(SEARCH("NUEVO",C1603)))</formula>
    </cfRule>
  </conditionalFormatting>
  <conditionalFormatting sqref="E1603:E1604">
    <cfRule type="containsText" dxfId="3903" priority="5051" operator="containsText" text="Sin información">
      <formula>NOT(ISERROR(SEARCH("Sin información",E1603)))</formula>
    </cfRule>
  </conditionalFormatting>
  <conditionalFormatting sqref="E1603:E1604">
    <cfRule type="containsText" dxfId="3902" priority="5050" operator="containsText" text="NUEVO">
      <formula>NOT(ISERROR(SEARCH("NUEVO",E1603)))</formula>
    </cfRule>
  </conditionalFormatting>
  <conditionalFormatting sqref="C1605:D1605">
    <cfRule type="containsText" dxfId="3901" priority="5043" operator="containsText" text="NO+$D$4:$D$10">
      <formula>NOT(ISERROR(SEARCH("NO+$D$4:$D$10",C1605)))</formula>
    </cfRule>
  </conditionalFormatting>
  <conditionalFormatting sqref="C1605:D1605">
    <cfRule type="containsText" dxfId="3900" priority="5041" operator="containsText" text="SI">
      <formula>NOT(ISERROR(SEARCH("SI",C1605)))</formula>
    </cfRule>
    <cfRule type="containsText" dxfId="3899" priority="5042" operator="containsText" text="NO">
      <formula>NOT(ISERROR(SEARCH("NO",C1605)))</formula>
    </cfRule>
  </conditionalFormatting>
  <conditionalFormatting sqref="C1605:D1605">
    <cfRule type="containsText" dxfId="3898" priority="5040" operator="containsText" text="NUEVO">
      <formula>NOT(ISERROR(SEARCH("NUEVO",C1605)))</formula>
    </cfRule>
  </conditionalFormatting>
  <conditionalFormatting sqref="E1605">
    <cfRule type="containsText" dxfId="3897" priority="5039" operator="containsText" text="Sin información">
      <formula>NOT(ISERROR(SEARCH("Sin información",E1605)))</formula>
    </cfRule>
  </conditionalFormatting>
  <conditionalFormatting sqref="E1605">
    <cfRule type="containsText" dxfId="3896" priority="5038" operator="containsText" text="NUEVO">
      <formula>NOT(ISERROR(SEARCH("NUEVO",E1605)))</formula>
    </cfRule>
  </conditionalFormatting>
  <conditionalFormatting sqref="C1606:D1606">
    <cfRule type="containsText" dxfId="3895" priority="5037" operator="containsText" text="NO+$D$4:$D$10">
      <formula>NOT(ISERROR(SEARCH("NO+$D$4:$D$10",C1606)))</formula>
    </cfRule>
  </conditionalFormatting>
  <conditionalFormatting sqref="C1606:D1606">
    <cfRule type="containsText" dxfId="3894" priority="5035" operator="containsText" text="SI">
      <formula>NOT(ISERROR(SEARCH("SI",C1606)))</formula>
    </cfRule>
    <cfRule type="containsText" dxfId="3893" priority="5036" operator="containsText" text="NO">
      <formula>NOT(ISERROR(SEARCH("NO",C1606)))</formula>
    </cfRule>
  </conditionalFormatting>
  <conditionalFormatting sqref="C1606:D1606">
    <cfRule type="containsText" dxfId="3892" priority="5034" operator="containsText" text="NUEVO">
      <formula>NOT(ISERROR(SEARCH("NUEVO",C1606)))</formula>
    </cfRule>
  </conditionalFormatting>
  <conditionalFormatting sqref="E1606">
    <cfRule type="containsText" dxfId="3891" priority="5033" operator="containsText" text="Sin información">
      <formula>NOT(ISERROR(SEARCH("Sin información",E1606)))</formula>
    </cfRule>
  </conditionalFormatting>
  <conditionalFormatting sqref="E1606">
    <cfRule type="containsText" dxfId="3890" priority="5032" operator="containsText" text="NUEVO">
      <formula>NOT(ISERROR(SEARCH("NUEVO",E1606)))</formula>
    </cfRule>
  </conditionalFormatting>
  <conditionalFormatting sqref="C1607:D1607">
    <cfRule type="containsText" dxfId="3889" priority="5031" operator="containsText" text="NO+$D$4:$D$10">
      <formula>NOT(ISERROR(SEARCH("NO+$D$4:$D$10",C1607)))</formula>
    </cfRule>
  </conditionalFormatting>
  <conditionalFormatting sqref="C1607:D1607">
    <cfRule type="containsText" dxfId="3888" priority="5029" operator="containsText" text="SI">
      <formula>NOT(ISERROR(SEARCH("SI",C1607)))</formula>
    </cfRule>
    <cfRule type="containsText" dxfId="3887" priority="5030" operator="containsText" text="NO">
      <formula>NOT(ISERROR(SEARCH("NO",C1607)))</formula>
    </cfRule>
  </conditionalFormatting>
  <conditionalFormatting sqref="C1607:D1607">
    <cfRule type="containsText" dxfId="3886" priority="5028" operator="containsText" text="NUEVO">
      <formula>NOT(ISERROR(SEARCH("NUEVO",C1607)))</formula>
    </cfRule>
  </conditionalFormatting>
  <conditionalFormatting sqref="E1607">
    <cfRule type="containsText" dxfId="3885" priority="5022" operator="containsText" text="NUEVO">
      <formula>NOT(ISERROR(SEARCH("NUEVO",E1607)))</formula>
    </cfRule>
  </conditionalFormatting>
  <conditionalFormatting sqref="E1607">
    <cfRule type="containsText" dxfId="3884" priority="5025" operator="containsText" text="Sin información">
      <formula>NOT(ISERROR(SEARCH("Sin información",E1607)))</formula>
    </cfRule>
  </conditionalFormatting>
  <conditionalFormatting sqref="E1607">
    <cfRule type="containsText" dxfId="3883" priority="5024" operator="containsText" text="NUEVO">
      <formula>NOT(ISERROR(SEARCH("NUEVO",E1607)))</formula>
    </cfRule>
  </conditionalFormatting>
  <conditionalFormatting sqref="E1607">
    <cfRule type="containsText" dxfId="3882" priority="5023" operator="containsText" text="Sin información">
      <formula>NOT(ISERROR(SEARCH("Sin información",E1607)))</formula>
    </cfRule>
  </conditionalFormatting>
  <conditionalFormatting sqref="C1608:D1609">
    <cfRule type="containsText" dxfId="3881" priority="5021" operator="containsText" text="NO+$D$4:$D$10">
      <formula>NOT(ISERROR(SEARCH("NO+$D$4:$D$10",C1608)))</formula>
    </cfRule>
  </conditionalFormatting>
  <conditionalFormatting sqref="C1608:D1609">
    <cfRule type="containsText" dxfId="3880" priority="5019" operator="containsText" text="SI">
      <formula>NOT(ISERROR(SEARCH("SI",C1608)))</formula>
    </cfRule>
    <cfRule type="containsText" dxfId="3879" priority="5020" operator="containsText" text="NO">
      <formula>NOT(ISERROR(SEARCH("NO",C1608)))</formula>
    </cfRule>
  </conditionalFormatting>
  <conditionalFormatting sqref="E1608">
    <cfRule type="containsText" dxfId="3878" priority="5018" operator="containsText" text="Sin información">
      <formula>NOT(ISERROR(SEARCH("Sin información",E1608)))</formula>
    </cfRule>
  </conditionalFormatting>
  <conditionalFormatting sqref="E1608 C1608:D1609">
    <cfRule type="containsText" dxfId="3877" priority="5017" operator="containsText" text="NUEVO">
      <formula>NOT(ISERROR(SEARCH("NUEVO",C1608)))</formula>
    </cfRule>
  </conditionalFormatting>
  <conditionalFormatting sqref="E1609">
    <cfRule type="containsText" dxfId="3876" priority="5015" operator="containsText" text="NUEVO">
      <formula>NOT(ISERROR(SEARCH("NUEVO",E1609)))</formula>
    </cfRule>
  </conditionalFormatting>
  <conditionalFormatting sqref="E1609">
    <cfRule type="containsText" dxfId="3875" priority="5016" operator="containsText" text="Sin información">
      <formula>NOT(ISERROR(SEARCH("Sin información",E1609)))</formula>
    </cfRule>
  </conditionalFormatting>
  <conditionalFormatting sqref="C1610:D1610">
    <cfRule type="containsText" dxfId="3874" priority="5014" operator="containsText" text="NO+$D$4:$D$10">
      <formula>NOT(ISERROR(SEARCH("NO+$D$4:$D$10",C1610)))</formula>
    </cfRule>
  </conditionalFormatting>
  <conditionalFormatting sqref="C1610:D1610">
    <cfRule type="containsText" dxfId="3873" priority="5012" operator="containsText" text="SI">
      <formula>NOT(ISERROR(SEARCH("SI",C1610)))</formula>
    </cfRule>
    <cfRule type="containsText" dxfId="3872" priority="5013" operator="containsText" text="NO">
      <formula>NOT(ISERROR(SEARCH("NO",C1610)))</formula>
    </cfRule>
  </conditionalFormatting>
  <conditionalFormatting sqref="C1610:D1610">
    <cfRule type="containsText" dxfId="3871" priority="5011" operator="containsText" text="NUEVO">
      <formula>NOT(ISERROR(SEARCH("NUEVO",C1610)))</formula>
    </cfRule>
  </conditionalFormatting>
  <conditionalFormatting sqref="E1610">
    <cfRule type="containsText" dxfId="3870" priority="5009" operator="containsText" text="NUEVO">
      <formula>NOT(ISERROR(SEARCH("NUEVO",E1610)))</formula>
    </cfRule>
  </conditionalFormatting>
  <conditionalFormatting sqref="E1610">
    <cfRule type="containsText" dxfId="3869" priority="5010" operator="containsText" text="Sin información">
      <formula>NOT(ISERROR(SEARCH("Sin información",E1610)))</formula>
    </cfRule>
  </conditionalFormatting>
  <conditionalFormatting sqref="C1611:D1612">
    <cfRule type="containsText" dxfId="3868" priority="5008" operator="containsText" text="NO+$D$4:$D$10">
      <formula>NOT(ISERROR(SEARCH("NO+$D$4:$D$10",C1611)))</formula>
    </cfRule>
  </conditionalFormatting>
  <conditionalFormatting sqref="C1611:D1612">
    <cfRule type="containsText" dxfId="3867" priority="5006" operator="containsText" text="SI">
      <formula>NOT(ISERROR(SEARCH("SI",C1611)))</formula>
    </cfRule>
    <cfRule type="containsText" dxfId="3866" priority="5007" operator="containsText" text="NO">
      <formula>NOT(ISERROR(SEARCH("NO",C1611)))</formula>
    </cfRule>
  </conditionalFormatting>
  <conditionalFormatting sqref="C1611:D1612">
    <cfRule type="containsText" dxfId="3865" priority="5005" operator="containsText" text="NUEVO">
      <formula>NOT(ISERROR(SEARCH("NUEVO",C1611)))</formula>
    </cfRule>
  </conditionalFormatting>
  <conditionalFormatting sqref="E1611">
    <cfRule type="containsText" dxfId="3864" priority="5003" operator="containsText" text="NUEVO">
      <formula>NOT(ISERROR(SEARCH("NUEVO",E1611)))</formula>
    </cfRule>
  </conditionalFormatting>
  <conditionalFormatting sqref="E1611">
    <cfRule type="containsText" dxfId="3863" priority="5004" operator="containsText" text="Sin información">
      <formula>NOT(ISERROR(SEARCH("Sin información",E1611)))</formula>
    </cfRule>
  </conditionalFormatting>
  <conditionalFormatting sqref="E1612">
    <cfRule type="containsText" dxfId="3862" priority="5001" operator="containsText" text="NUEVO">
      <formula>NOT(ISERROR(SEARCH("NUEVO",E1612)))</formula>
    </cfRule>
  </conditionalFormatting>
  <conditionalFormatting sqref="E1612">
    <cfRule type="containsText" dxfId="3861" priority="5002" operator="containsText" text="Sin información">
      <formula>NOT(ISERROR(SEARCH("Sin información",E1612)))</formula>
    </cfRule>
  </conditionalFormatting>
  <conditionalFormatting sqref="C1613:D1615">
    <cfRule type="containsText" dxfId="3860" priority="4994" operator="containsText" text="NO+$D$4:$D$10">
      <formula>NOT(ISERROR(SEARCH("NO+$D$4:$D$10",C1613)))</formula>
    </cfRule>
  </conditionalFormatting>
  <conditionalFormatting sqref="C1613:D1615">
    <cfRule type="containsText" dxfId="3859" priority="4992" operator="containsText" text="SI">
      <formula>NOT(ISERROR(SEARCH("SI",C1613)))</formula>
    </cfRule>
    <cfRule type="containsText" dxfId="3858" priority="4993" operator="containsText" text="NO">
      <formula>NOT(ISERROR(SEARCH("NO",C1613)))</formula>
    </cfRule>
  </conditionalFormatting>
  <conditionalFormatting sqref="C1613:D1615">
    <cfRule type="containsText" dxfId="3857" priority="4991" operator="containsText" text="NUEVO">
      <formula>NOT(ISERROR(SEARCH("NUEVO",C1613)))</formula>
    </cfRule>
  </conditionalFormatting>
  <conditionalFormatting sqref="E1613">
    <cfRule type="containsText" dxfId="3856" priority="4989" operator="containsText" text="NUEVO">
      <formula>NOT(ISERROR(SEARCH("NUEVO",E1613)))</formula>
    </cfRule>
  </conditionalFormatting>
  <conditionalFormatting sqref="E1613">
    <cfRule type="containsText" dxfId="3855" priority="4990" operator="containsText" text="Sin información">
      <formula>NOT(ISERROR(SEARCH("Sin información",E1613)))</formula>
    </cfRule>
  </conditionalFormatting>
  <conditionalFormatting sqref="E1614">
    <cfRule type="containsText" dxfId="3854" priority="4987" operator="containsText" text="NUEVO">
      <formula>NOT(ISERROR(SEARCH("NUEVO",E1614)))</formula>
    </cfRule>
  </conditionalFormatting>
  <conditionalFormatting sqref="E1614">
    <cfRule type="containsText" dxfId="3853" priority="4988" operator="containsText" text="Sin información">
      <formula>NOT(ISERROR(SEARCH("Sin información",E1614)))</formula>
    </cfRule>
  </conditionalFormatting>
  <conditionalFormatting sqref="E1615">
    <cfRule type="containsText" dxfId="3852" priority="4985" operator="containsText" text="NUEVO">
      <formula>NOT(ISERROR(SEARCH("NUEVO",E1615)))</formula>
    </cfRule>
  </conditionalFormatting>
  <conditionalFormatting sqref="E1615">
    <cfRule type="containsText" dxfId="3851" priority="4986" operator="containsText" text="Sin información">
      <formula>NOT(ISERROR(SEARCH("Sin información",E1615)))</formula>
    </cfRule>
  </conditionalFormatting>
  <conditionalFormatting sqref="C153:D153">
    <cfRule type="containsText" dxfId="3850" priority="4977" operator="containsText" text="NO+$D$4:$D$10">
      <formula>NOT(ISERROR(SEARCH("NO+$D$4:$D$10",C153)))</formula>
    </cfRule>
  </conditionalFormatting>
  <conditionalFormatting sqref="C153:D153">
    <cfRule type="containsText" dxfId="3849" priority="4975" operator="containsText" text="SI">
      <formula>NOT(ISERROR(SEARCH("SI",C153)))</formula>
    </cfRule>
    <cfRule type="containsText" dxfId="3848" priority="4976" operator="containsText" text="NO">
      <formula>NOT(ISERROR(SEARCH("NO",C153)))</formula>
    </cfRule>
  </conditionalFormatting>
  <conditionalFormatting sqref="C153:D153">
    <cfRule type="containsText" dxfId="3847" priority="4974" operator="containsText" text="NUEVO">
      <formula>NOT(ISERROR(SEARCH("NUEVO",C153)))</formula>
    </cfRule>
  </conditionalFormatting>
  <conditionalFormatting sqref="E153">
    <cfRule type="containsText" dxfId="3846" priority="4972" operator="containsText" text="NUEVO">
      <formula>NOT(ISERROR(SEARCH("NUEVO",E153)))</formula>
    </cfRule>
  </conditionalFormatting>
  <conditionalFormatting sqref="E153">
    <cfRule type="containsText" dxfId="3845" priority="4973" operator="containsText" text="Sin información">
      <formula>NOT(ISERROR(SEARCH("Sin información",E153)))</formula>
    </cfRule>
  </conditionalFormatting>
  <conditionalFormatting sqref="E153">
    <cfRule type="containsText" dxfId="3844" priority="4971" operator="containsText" text="Sin Información">
      <formula>NOT(ISERROR(SEARCH("Sin Información",E153)))</formula>
    </cfRule>
  </conditionalFormatting>
  <conditionalFormatting sqref="C154:D154">
    <cfRule type="containsText" dxfId="3843" priority="4970" operator="containsText" text="NO+$D$4:$D$10">
      <formula>NOT(ISERROR(SEARCH("NO+$D$4:$D$10",C154)))</formula>
    </cfRule>
  </conditionalFormatting>
  <conditionalFormatting sqref="C154:D154">
    <cfRule type="containsText" dxfId="3842" priority="4968" operator="containsText" text="SI">
      <formula>NOT(ISERROR(SEARCH("SI",C154)))</formula>
    </cfRule>
    <cfRule type="containsText" dxfId="3841" priority="4969" operator="containsText" text="NO">
      <formula>NOT(ISERROR(SEARCH("NO",C154)))</formula>
    </cfRule>
  </conditionalFormatting>
  <conditionalFormatting sqref="C154:D154">
    <cfRule type="containsText" dxfId="3840" priority="4967" operator="containsText" text="NUEVO">
      <formula>NOT(ISERROR(SEARCH("NUEVO",C154)))</formula>
    </cfRule>
  </conditionalFormatting>
  <conditionalFormatting sqref="E154">
    <cfRule type="containsText" dxfId="3839" priority="4965" operator="containsText" text="NUEVO">
      <formula>NOT(ISERROR(SEARCH("NUEVO",E154)))</formula>
    </cfRule>
  </conditionalFormatting>
  <conditionalFormatting sqref="E154">
    <cfRule type="containsText" dxfId="3838" priority="4966" operator="containsText" text="Sin información">
      <formula>NOT(ISERROR(SEARCH("Sin información",E154)))</formula>
    </cfRule>
  </conditionalFormatting>
  <conditionalFormatting sqref="E154">
    <cfRule type="containsText" dxfId="3837" priority="4964" operator="containsText" text="Sin Información">
      <formula>NOT(ISERROR(SEARCH("Sin Información",E154)))</formula>
    </cfRule>
  </conditionalFormatting>
  <conditionalFormatting sqref="C155:D155">
    <cfRule type="containsText" dxfId="3836" priority="4963" operator="containsText" text="NO+$D$4:$D$10">
      <formula>NOT(ISERROR(SEARCH("NO+$D$4:$D$10",C155)))</formula>
    </cfRule>
  </conditionalFormatting>
  <conditionalFormatting sqref="C155:D155">
    <cfRule type="containsText" dxfId="3835" priority="4961" operator="containsText" text="SI">
      <formula>NOT(ISERROR(SEARCH("SI",C155)))</formula>
    </cfRule>
    <cfRule type="containsText" dxfId="3834" priority="4962" operator="containsText" text="NO">
      <formula>NOT(ISERROR(SEARCH("NO",C155)))</formula>
    </cfRule>
  </conditionalFormatting>
  <conditionalFormatting sqref="C155:D155">
    <cfRule type="containsText" dxfId="3833" priority="4960" operator="containsText" text="NUEVO">
      <formula>NOT(ISERROR(SEARCH("NUEVO",C155)))</formula>
    </cfRule>
  </conditionalFormatting>
  <conditionalFormatting sqref="E155">
    <cfRule type="containsText" dxfId="3832" priority="4958" operator="containsText" text="NUEVO">
      <formula>NOT(ISERROR(SEARCH("NUEVO",E155)))</formula>
    </cfRule>
  </conditionalFormatting>
  <conditionalFormatting sqref="E155">
    <cfRule type="containsText" dxfId="3831" priority="4959" operator="containsText" text="Sin información">
      <formula>NOT(ISERROR(SEARCH("Sin información",E155)))</formula>
    </cfRule>
  </conditionalFormatting>
  <conditionalFormatting sqref="E155">
    <cfRule type="containsText" dxfId="3830" priority="4957" operator="containsText" text="Sin Información">
      <formula>NOT(ISERROR(SEARCH("Sin Información",E155)))</formula>
    </cfRule>
  </conditionalFormatting>
  <conditionalFormatting sqref="C664:D664">
    <cfRule type="containsText" dxfId="3829" priority="4950" operator="containsText" text="NO+$D$4:$D$10">
      <formula>NOT(ISERROR(SEARCH("NO+$D$4:$D$10",C664)))</formula>
    </cfRule>
  </conditionalFormatting>
  <conditionalFormatting sqref="C664:D664">
    <cfRule type="containsText" dxfId="3828" priority="4948" operator="containsText" text="SI">
      <formula>NOT(ISERROR(SEARCH("SI",C664)))</formula>
    </cfRule>
    <cfRule type="containsText" dxfId="3827" priority="4949" operator="containsText" text="NO">
      <formula>NOT(ISERROR(SEARCH("NO",C664)))</formula>
    </cfRule>
  </conditionalFormatting>
  <conditionalFormatting sqref="C664:D664">
    <cfRule type="containsText" dxfId="3826" priority="4947" operator="containsText" text="NUEVO">
      <formula>NOT(ISERROR(SEARCH("NUEVO",C664)))</formula>
    </cfRule>
  </conditionalFormatting>
  <conditionalFormatting sqref="E664">
    <cfRule type="containsText" dxfId="3825" priority="4945" operator="containsText" text="Sin Información">
      <formula>NOT(ISERROR(SEARCH("Sin Información",E664)))</formula>
    </cfRule>
  </conditionalFormatting>
  <conditionalFormatting sqref="E664">
    <cfRule type="containsText" dxfId="3824" priority="4946" operator="containsText" text="NUEVO">
      <formula>NOT(ISERROR(SEARCH("NUEVO",E664)))</formula>
    </cfRule>
  </conditionalFormatting>
  <conditionalFormatting sqref="C665:D665">
    <cfRule type="containsText" dxfId="3823" priority="4942" operator="containsText" text="NO+$D$4:$D$10">
      <formula>NOT(ISERROR(SEARCH("NO+$D$4:$D$10",C665)))</formula>
    </cfRule>
  </conditionalFormatting>
  <conditionalFormatting sqref="C665:D665">
    <cfRule type="containsText" dxfId="3822" priority="4940" operator="containsText" text="SI">
      <formula>NOT(ISERROR(SEARCH("SI",C665)))</formula>
    </cfRule>
    <cfRule type="containsText" dxfId="3821" priority="4941" operator="containsText" text="NO">
      <formula>NOT(ISERROR(SEARCH("NO",C665)))</formula>
    </cfRule>
  </conditionalFormatting>
  <conditionalFormatting sqref="C665:D665">
    <cfRule type="containsText" dxfId="3820" priority="4939" operator="containsText" text="NUEVO">
      <formula>NOT(ISERROR(SEARCH("NUEVO",C665)))</formula>
    </cfRule>
  </conditionalFormatting>
  <conditionalFormatting sqref="E665">
    <cfRule type="containsText" dxfId="3819" priority="4943" operator="containsText" text="Sin Información">
      <formula>NOT(ISERROR(SEARCH("Sin Información",E1910)))</formula>
    </cfRule>
  </conditionalFormatting>
  <conditionalFormatting sqref="E665">
    <cfRule type="containsText" dxfId="3818" priority="4944" operator="containsText" text="NUEVO">
      <formula>NOT(ISERROR(SEARCH("NUEVO",E1910)))</formula>
    </cfRule>
  </conditionalFormatting>
  <conditionalFormatting sqref="C666:D666">
    <cfRule type="containsText" dxfId="3817" priority="4936" operator="containsText" text="NO+$D$4:$D$10">
      <formula>NOT(ISERROR(SEARCH("NO+$D$4:$D$10",C666)))</formula>
    </cfRule>
  </conditionalFormatting>
  <conditionalFormatting sqref="C666:D666">
    <cfRule type="containsText" dxfId="3816" priority="4934" operator="containsText" text="SI">
      <formula>NOT(ISERROR(SEARCH("SI",C666)))</formula>
    </cfRule>
    <cfRule type="containsText" dxfId="3815" priority="4935" operator="containsText" text="NO">
      <formula>NOT(ISERROR(SEARCH("NO",C666)))</formula>
    </cfRule>
  </conditionalFormatting>
  <conditionalFormatting sqref="C666:D666">
    <cfRule type="containsText" dxfId="3814" priority="4933" operator="containsText" text="NUEVO">
      <formula>NOT(ISERROR(SEARCH("NUEVO",C666)))</formula>
    </cfRule>
  </conditionalFormatting>
  <conditionalFormatting sqref="E666">
    <cfRule type="containsText" dxfId="3813" priority="4937" operator="containsText" text="Sin Información">
      <formula>NOT(ISERROR(SEARCH("Sin Información",E1910)))</formula>
    </cfRule>
  </conditionalFormatting>
  <conditionalFormatting sqref="E666">
    <cfRule type="containsText" dxfId="3812" priority="4938" operator="containsText" text="NUEVO">
      <formula>NOT(ISERROR(SEARCH("NUEVO",E1910)))</formula>
    </cfRule>
  </conditionalFormatting>
  <conditionalFormatting sqref="C667:D667">
    <cfRule type="containsText" dxfId="3811" priority="4926" operator="containsText" text="NO+$D$4:$D$10">
      <formula>NOT(ISERROR(SEARCH("NO+$D$4:$D$10",C667)))</formula>
    </cfRule>
  </conditionalFormatting>
  <conditionalFormatting sqref="C667:D667">
    <cfRule type="containsText" dxfId="3810" priority="4924" operator="containsText" text="SI">
      <formula>NOT(ISERROR(SEARCH("SI",C667)))</formula>
    </cfRule>
    <cfRule type="containsText" dxfId="3809" priority="4925" operator="containsText" text="NO">
      <formula>NOT(ISERROR(SEARCH("NO",C667)))</formula>
    </cfRule>
  </conditionalFormatting>
  <conditionalFormatting sqref="C667:D667">
    <cfRule type="containsText" dxfId="3808" priority="4923" operator="containsText" text="NUEVO">
      <formula>NOT(ISERROR(SEARCH("NUEVO",C667)))</formula>
    </cfRule>
  </conditionalFormatting>
  <conditionalFormatting sqref="E667">
    <cfRule type="containsText" dxfId="3807" priority="4922" operator="containsText" text="NUEVO">
      <formula>NOT(ISERROR(SEARCH("NUEVO",E667)))</formula>
    </cfRule>
  </conditionalFormatting>
  <conditionalFormatting sqref="E667">
    <cfRule type="containsText" dxfId="3806" priority="4921" operator="containsText" text="Sin Información">
      <formula>NOT(ISERROR(SEARCH("Sin Información",E667)))</formula>
    </cfRule>
  </conditionalFormatting>
  <conditionalFormatting sqref="C668:D668">
    <cfRule type="containsText" dxfId="3805" priority="4920" operator="containsText" text="NO+$D$4:$D$10">
      <formula>NOT(ISERROR(SEARCH("NO+$D$4:$D$10",C668)))</formula>
    </cfRule>
  </conditionalFormatting>
  <conditionalFormatting sqref="C668:D668">
    <cfRule type="containsText" dxfId="3804" priority="4918" operator="containsText" text="SI">
      <formula>NOT(ISERROR(SEARCH("SI",C668)))</formula>
    </cfRule>
    <cfRule type="containsText" dxfId="3803" priority="4919" operator="containsText" text="NO">
      <formula>NOT(ISERROR(SEARCH("NO",C668)))</formula>
    </cfRule>
  </conditionalFormatting>
  <conditionalFormatting sqref="C668:D668">
    <cfRule type="containsText" dxfId="3802" priority="4917" operator="containsText" text="NUEVO">
      <formula>NOT(ISERROR(SEARCH("NUEVO",C668)))</formula>
    </cfRule>
  </conditionalFormatting>
  <conditionalFormatting sqref="E668">
    <cfRule type="containsText" dxfId="3801" priority="4916" operator="containsText" text="NUEVO">
      <formula>NOT(ISERROR(SEARCH("NUEVO",E668)))</formula>
    </cfRule>
  </conditionalFormatting>
  <conditionalFormatting sqref="E668">
    <cfRule type="containsText" dxfId="3800" priority="4915" operator="containsText" text="Sin Información">
      <formula>NOT(ISERROR(SEARCH("Sin Información",E668)))</formula>
    </cfRule>
  </conditionalFormatting>
  <conditionalFormatting sqref="C669:D669">
    <cfRule type="containsText" dxfId="3799" priority="4899" operator="containsText" text="NO+$D$4:$D$10">
      <formula>NOT(ISERROR(SEARCH("NO+$D$4:$D$10",C669)))</formula>
    </cfRule>
  </conditionalFormatting>
  <conditionalFormatting sqref="C669:D669">
    <cfRule type="containsText" dxfId="3798" priority="4897" operator="containsText" text="SI">
      <formula>NOT(ISERROR(SEARCH("SI",C669)))</formula>
    </cfRule>
    <cfRule type="containsText" dxfId="3797" priority="4898" operator="containsText" text="NO">
      <formula>NOT(ISERROR(SEARCH("NO",C669)))</formula>
    </cfRule>
  </conditionalFormatting>
  <conditionalFormatting sqref="C669:D669">
    <cfRule type="containsText" dxfId="3796" priority="4896" operator="containsText" text="NUEVO">
      <formula>NOT(ISERROR(SEARCH("NUEVO",C669)))</formula>
    </cfRule>
  </conditionalFormatting>
  <conditionalFormatting sqref="E669">
    <cfRule type="containsText" dxfId="3795" priority="4900" operator="containsText" text="NUEVO">
      <formula>NOT(ISERROR(SEARCH("NUEVO",E1920)))</formula>
    </cfRule>
  </conditionalFormatting>
  <conditionalFormatting sqref="E669">
    <cfRule type="containsText" dxfId="3794" priority="4901" operator="containsText" text="Sin Información">
      <formula>NOT(ISERROR(SEARCH("Sin Información",E1920)))</formula>
    </cfRule>
  </conditionalFormatting>
  <conditionalFormatting sqref="C670:D670">
    <cfRule type="containsText" dxfId="3793" priority="4895" operator="containsText" text="NO+$D$4:$D$10">
      <formula>NOT(ISERROR(SEARCH("NO+$D$4:$D$10",C670)))</formula>
    </cfRule>
  </conditionalFormatting>
  <conditionalFormatting sqref="C670:D670">
    <cfRule type="containsText" dxfId="3792" priority="4893" operator="containsText" text="SI">
      <formula>NOT(ISERROR(SEARCH("SI",C670)))</formula>
    </cfRule>
    <cfRule type="containsText" dxfId="3791" priority="4894" operator="containsText" text="NO">
      <formula>NOT(ISERROR(SEARCH("NO",C670)))</formula>
    </cfRule>
  </conditionalFormatting>
  <conditionalFormatting sqref="C670:D670">
    <cfRule type="containsText" dxfId="3790" priority="4892" operator="containsText" text="NUEVO">
      <formula>NOT(ISERROR(SEARCH("NUEVO",C670)))</formula>
    </cfRule>
  </conditionalFormatting>
  <conditionalFormatting sqref="E670">
    <cfRule type="containsText" dxfId="3789" priority="4891" operator="containsText" text="NUEVO">
      <formula>NOT(ISERROR(SEARCH("NUEVO",E670)))</formula>
    </cfRule>
  </conditionalFormatting>
  <conditionalFormatting sqref="E670">
    <cfRule type="containsText" dxfId="3788" priority="4890" operator="containsText" text="Sin Información">
      <formula>NOT(ISERROR(SEARCH("Sin Información",E670)))</formula>
    </cfRule>
  </conditionalFormatting>
  <conditionalFormatting sqref="C671:D671">
    <cfRule type="containsText" dxfId="3787" priority="4887" operator="containsText" text="NO+$D$4:$D$10">
      <formula>NOT(ISERROR(SEARCH("NO+$D$4:$D$10",C671)))</formula>
    </cfRule>
  </conditionalFormatting>
  <conditionalFormatting sqref="C671:D671">
    <cfRule type="containsText" dxfId="3786" priority="4885" operator="containsText" text="SI">
      <formula>NOT(ISERROR(SEARCH("SI",C671)))</formula>
    </cfRule>
    <cfRule type="containsText" dxfId="3785" priority="4886" operator="containsText" text="NO">
      <formula>NOT(ISERROR(SEARCH("NO",C671)))</formula>
    </cfRule>
  </conditionalFormatting>
  <conditionalFormatting sqref="C671:D671">
    <cfRule type="containsText" dxfId="3784" priority="4884" operator="containsText" text="NUEVO">
      <formula>NOT(ISERROR(SEARCH("NUEVO",C671)))</formula>
    </cfRule>
  </conditionalFormatting>
  <conditionalFormatting sqref="E671">
    <cfRule type="containsText" dxfId="3783" priority="4888" operator="containsText" text="Sin Información">
      <formula>NOT(ISERROR(SEARCH("Sin Información",E1949)))</formula>
    </cfRule>
  </conditionalFormatting>
  <conditionalFormatting sqref="E671">
    <cfRule type="containsText" dxfId="3782" priority="4889" operator="containsText" text="NUEVO">
      <formula>NOT(ISERROR(SEARCH("NUEVO",E1949)))</formula>
    </cfRule>
  </conditionalFormatting>
  <conditionalFormatting sqref="C672:D672">
    <cfRule type="containsText" dxfId="3781" priority="4850" operator="containsText" text="NO+$D$4:$D$10">
      <formula>NOT(ISERROR(SEARCH("NO+$D$4:$D$10",C672)))</formula>
    </cfRule>
  </conditionalFormatting>
  <conditionalFormatting sqref="C672:D672">
    <cfRule type="containsText" dxfId="3780" priority="4848" operator="containsText" text="SI">
      <formula>NOT(ISERROR(SEARCH("SI",C672)))</formula>
    </cfRule>
    <cfRule type="containsText" dxfId="3779" priority="4849" operator="containsText" text="NO">
      <formula>NOT(ISERROR(SEARCH("NO",C672)))</formula>
    </cfRule>
  </conditionalFormatting>
  <conditionalFormatting sqref="C672:E672">
    <cfRule type="containsText" dxfId="3778" priority="4847" operator="containsText" text="NUEVO">
      <formula>NOT(ISERROR(SEARCH("NUEVO",C672)))</formula>
    </cfRule>
  </conditionalFormatting>
  <conditionalFormatting sqref="E672">
    <cfRule type="containsText" dxfId="3777" priority="4846" operator="containsText" text="Sin Información">
      <formula>NOT(ISERROR(SEARCH("Sin Información",E672)))</formula>
    </cfRule>
  </conditionalFormatting>
  <conditionalFormatting sqref="C673:D673">
    <cfRule type="containsText" dxfId="3776" priority="4839" operator="containsText" text="NO+$D$4:$D$10">
      <formula>NOT(ISERROR(SEARCH("NO+$D$4:$D$10",C673)))</formula>
    </cfRule>
  </conditionalFormatting>
  <conditionalFormatting sqref="C673:D673">
    <cfRule type="containsText" dxfId="3775" priority="4837" operator="containsText" text="SI">
      <formula>NOT(ISERROR(SEARCH("SI",C673)))</formula>
    </cfRule>
    <cfRule type="containsText" dxfId="3774" priority="4838" operator="containsText" text="NO">
      <formula>NOT(ISERROR(SEARCH("NO",C673)))</formula>
    </cfRule>
  </conditionalFormatting>
  <conditionalFormatting sqref="C673:E673">
    <cfRule type="containsText" dxfId="3773" priority="4836" operator="containsText" text="NUEVO">
      <formula>NOT(ISERROR(SEARCH("NUEVO",C673)))</formula>
    </cfRule>
  </conditionalFormatting>
  <conditionalFormatting sqref="E673">
    <cfRule type="containsText" dxfId="3772" priority="4835" operator="containsText" text="Sin Información">
      <formula>NOT(ISERROR(SEARCH("Sin Información",E673)))</formula>
    </cfRule>
  </conditionalFormatting>
  <conditionalFormatting sqref="C674:D674">
    <cfRule type="containsText" dxfId="3771" priority="4834" operator="containsText" text="NO+$D$4:$D$10">
      <formula>NOT(ISERROR(SEARCH("NO+$D$4:$D$10",C674)))</formula>
    </cfRule>
  </conditionalFormatting>
  <conditionalFormatting sqref="C674:D674">
    <cfRule type="containsText" dxfId="3770" priority="4832" operator="containsText" text="SI">
      <formula>NOT(ISERROR(SEARCH("SI",C674)))</formula>
    </cfRule>
    <cfRule type="containsText" dxfId="3769" priority="4833" operator="containsText" text="NO">
      <formula>NOT(ISERROR(SEARCH("NO",C674)))</formula>
    </cfRule>
  </conditionalFormatting>
  <conditionalFormatting sqref="C674:D674">
    <cfRule type="containsText" dxfId="3768" priority="4831" operator="containsText" text="NUEVO">
      <formula>NOT(ISERROR(SEARCH("NUEVO",C674)))</formula>
    </cfRule>
  </conditionalFormatting>
  <conditionalFormatting sqref="E674">
    <cfRule type="containsText" dxfId="3767" priority="4830" operator="containsText" text="NUEVO">
      <formula>NOT(ISERROR(SEARCH("NUEVO",E674)))</formula>
    </cfRule>
  </conditionalFormatting>
  <conditionalFormatting sqref="E674">
    <cfRule type="containsText" dxfId="3766" priority="4829" operator="containsText" text="Sin Información">
      <formula>NOT(ISERROR(SEARCH("Sin Información",E674)))</formula>
    </cfRule>
  </conditionalFormatting>
  <conditionalFormatting sqref="C675:D675">
    <cfRule type="containsText" dxfId="3765" priority="4827" operator="containsText" text="NO+$D$4:$D$10">
      <formula>NOT(ISERROR(SEARCH("NO+$D$4:$D$10",C675)))</formula>
    </cfRule>
  </conditionalFormatting>
  <conditionalFormatting sqref="C675:D675">
    <cfRule type="containsText" dxfId="3764" priority="4825" operator="containsText" text="SI">
      <formula>NOT(ISERROR(SEARCH("SI",C675)))</formula>
    </cfRule>
    <cfRule type="containsText" dxfId="3763" priority="4826" operator="containsText" text="NO">
      <formula>NOT(ISERROR(SEARCH("NO",C675)))</formula>
    </cfRule>
  </conditionalFormatting>
  <conditionalFormatting sqref="C675:D675">
    <cfRule type="containsText" dxfId="3762" priority="4824" operator="containsText" text="NUEVO">
      <formula>NOT(ISERROR(SEARCH("NUEVO",C675)))</formula>
    </cfRule>
  </conditionalFormatting>
  <conditionalFormatting sqref="E675">
    <cfRule type="containsText" dxfId="3761" priority="4828" operator="containsText" text="Sin información">
      <formula>NOT(ISERROR(SEARCH("Sin información",E1917)))</formula>
    </cfRule>
  </conditionalFormatting>
  <conditionalFormatting sqref="C676:D676">
    <cfRule type="containsText" dxfId="3760" priority="4823" operator="containsText" text="NO+$D$4:$D$10">
      <formula>NOT(ISERROR(SEARCH("NO+$D$4:$D$10",C676)))</formula>
    </cfRule>
  </conditionalFormatting>
  <conditionalFormatting sqref="C676:D676">
    <cfRule type="containsText" dxfId="3759" priority="4821" operator="containsText" text="SI">
      <formula>NOT(ISERROR(SEARCH("SI",C676)))</formula>
    </cfRule>
    <cfRule type="containsText" dxfId="3758" priority="4822" operator="containsText" text="NO">
      <formula>NOT(ISERROR(SEARCH("NO",C676)))</formula>
    </cfRule>
  </conditionalFormatting>
  <conditionalFormatting sqref="C676:E676">
    <cfRule type="containsText" dxfId="3757" priority="4820" operator="containsText" text="NUEVO">
      <formula>NOT(ISERROR(SEARCH("NUEVO",C676)))</formula>
    </cfRule>
  </conditionalFormatting>
  <conditionalFormatting sqref="E676">
    <cfRule type="containsText" dxfId="3756" priority="4819" operator="containsText" text="Sin Información">
      <formula>NOT(ISERROR(SEARCH("Sin Información",E676)))</formula>
    </cfRule>
  </conditionalFormatting>
  <conditionalFormatting sqref="C678:D678">
    <cfRule type="containsText" dxfId="3755" priority="4810" operator="containsText" text="NO+$D$4:$D$10">
      <formula>NOT(ISERROR(SEARCH("NO+$D$4:$D$10",C678)))</formula>
    </cfRule>
  </conditionalFormatting>
  <conditionalFormatting sqref="C678:D678">
    <cfRule type="containsText" dxfId="3754" priority="4808" operator="containsText" text="SI">
      <formula>NOT(ISERROR(SEARCH("SI",C678)))</formula>
    </cfRule>
    <cfRule type="containsText" dxfId="3753" priority="4809" operator="containsText" text="NO">
      <formula>NOT(ISERROR(SEARCH("NO",C678)))</formula>
    </cfRule>
  </conditionalFormatting>
  <conditionalFormatting sqref="C678:D678">
    <cfRule type="containsText" dxfId="3752" priority="4807" operator="containsText" text="NUEVO">
      <formula>NOT(ISERROR(SEARCH("NUEVO",C678)))</formula>
    </cfRule>
  </conditionalFormatting>
  <conditionalFormatting sqref="E678">
    <cfRule type="containsText" dxfId="3751" priority="4811" operator="containsText" text="Sin información">
      <formula>NOT(ISERROR(SEARCH("Sin información",E1929)))</formula>
    </cfRule>
  </conditionalFormatting>
  <conditionalFormatting sqref="E678">
    <cfRule type="containsText" dxfId="3750" priority="4812" operator="containsText" text="NUEVO">
      <formula>NOT(ISERROR(SEARCH("NUEVO",E1929)))</formula>
    </cfRule>
  </conditionalFormatting>
  <conditionalFormatting sqref="C679:D679">
    <cfRule type="containsText" dxfId="3749" priority="4794" operator="containsText" text="NO+$D$4:$D$10">
      <formula>NOT(ISERROR(SEARCH("NO+$D$4:$D$10",C679)))</formula>
    </cfRule>
  </conditionalFormatting>
  <conditionalFormatting sqref="C679:D679">
    <cfRule type="containsText" dxfId="3748" priority="4792" operator="containsText" text="SI">
      <formula>NOT(ISERROR(SEARCH("SI",C679)))</formula>
    </cfRule>
    <cfRule type="containsText" dxfId="3747" priority="4793" operator="containsText" text="NO">
      <formula>NOT(ISERROR(SEARCH("NO",C679)))</formula>
    </cfRule>
  </conditionalFormatting>
  <conditionalFormatting sqref="C679:E679">
    <cfRule type="containsText" dxfId="3746" priority="4791" operator="containsText" text="NUEVO">
      <formula>NOT(ISERROR(SEARCH("NUEVO",C679)))</formula>
    </cfRule>
  </conditionalFormatting>
  <conditionalFormatting sqref="E679">
    <cfRule type="containsText" dxfId="3745" priority="4790" operator="containsText" text="Sin Información">
      <formula>NOT(ISERROR(SEARCH("Sin Información",E679)))</formula>
    </cfRule>
  </conditionalFormatting>
  <conditionalFormatting sqref="C680:D680">
    <cfRule type="containsText" dxfId="3744" priority="4783" operator="containsText" text="NO+$D$4:$D$10">
      <formula>NOT(ISERROR(SEARCH("NO+$D$4:$D$10",C680)))</formula>
    </cfRule>
  </conditionalFormatting>
  <conditionalFormatting sqref="C680:D680">
    <cfRule type="containsText" dxfId="3743" priority="4781" operator="containsText" text="SI">
      <formula>NOT(ISERROR(SEARCH("SI",C680)))</formula>
    </cfRule>
    <cfRule type="containsText" dxfId="3742" priority="4782" operator="containsText" text="NO">
      <formula>NOT(ISERROR(SEARCH("NO",C680)))</formula>
    </cfRule>
  </conditionalFormatting>
  <conditionalFormatting sqref="C680:D680">
    <cfRule type="containsText" dxfId="3741" priority="4780" operator="containsText" text="NUEVO">
      <formula>NOT(ISERROR(SEARCH("NUEVO",C680)))</formula>
    </cfRule>
  </conditionalFormatting>
  <conditionalFormatting sqref="E680">
    <cfRule type="containsText" dxfId="3740" priority="4779" operator="containsText" text="Sin información">
      <formula>NOT(ISERROR(SEARCH("Sin información",E680)))</formula>
    </cfRule>
  </conditionalFormatting>
  <conditionalFormatting sqref="E680">
    <cfRule type="containsText" dxfId="3739" priority="4778" operator="containsText" text="NUEVO">
      <formula>NOT(ISERROR(SEARCH("NUEVO",E680)))</formula>
    </cfRule>
  </conditionalFormatting>
  <conditionalFormatting sqref="E680">
    <cfRule type="containsText" dxfId="3738" priority="4777" operator="containsText" text="Sin Información">
      <formula>NOT(ISERROR(SEARCH("Sin Información",E680)))</formula>
    </cfRule>
  </conditionalFormatting>
  <conditionalFormatting sqref="E680">
    <cfRule type="containsText" dxfId="3737" priority="4776" operator="containsText" text="Sin información">
      <formula>NOT(ISERROR(SEARCH("Sin información",E680)))</formula>
    </cfRule>
  </conditionalFormatting>
  <conditionalFormatting sqref="E680">
    <cfRule type="containsText" dxfId="3736" priority="4775" operator="containsText" text="NUEVO">
      <formula>NOT(ISERROR(SEARCH("NUEVO",E680)))</formula>
    </cfRule>
  </conditionalFormatting>
  <conditionalFormatting sqref="C681:D681">
    <cfRule type="containsText" dxfId="3735" priority="4772" operator="containsText" text="NO+$D$4:$D$10">
      <formula>NOT(ISERROR(SEARCH("NO+$D$4:$D$10",C681)))</formula>
    </cfRule>
  </conditionalFormatting>
  <conditionalFormatting sqref="C681:D681">
    <cfRule type="containsText" dxfId="3734" priority="4770" operator="containsText" text="SI">
      <formula>NOT(ISERROR(SEARCH("SI",C681)))</formula>
    </cfRule>
    <cfRule type="containsText" dxfId="3733" priority="4771" operator="containsText" text="NO">
      <formula>NOT(ISERROR(SEARCH("NO",C681)))</formula>
    </cfRule>
  </conditionalFormatting>
  <conditionalFormatting sqref="C681:D681">
    <cfRule type="containsText" dxfId="3732" priority="4769" operator="containsText" text="NUEVO">
      <formula>NOT(ISERROR(SEARCH("NUEVO",C681)))</formula>
    </cfRule>
  </conditionalFormatting>
  <conditionalFormatting sqref="E681">
    <cfRule type="containsText" dxfId="3731" priority="4773" operator="containsText" text="Sin Información">
      <formula>NOT(ISERROR(SEARCH("Sin Información",E1932)))</formula>
    </cfRule>
  </conditionalFormatting>
  <conditionalFormatting sqref="E681">
    <cfRule type="containsText" dxfId="3730" priority="4774" operator="containsText" text="NUEVO">
      <formula>NOT(ISERROR(SEARCH("NUEVO",E1932)))</formula>
    </cfRule>
  </conditionalFormatting>
  <conditionalFormatting sqref="C682:D682">
    <cfRule type="containsText" dxfId="3729" priority="4763" operator="containsText" text="NO+$D$4:$D$10">
      <formula>NOT(ISERROR(SEARCH("NO+$D$4:$D$10",C682)))</formula>
    </cfRule>
  </conditionalFormatting>
  <conditionalFormatting sqref="C682:D682">
    <cfRule type="containsText" dxfId="3728" priority="4761" operator="containsText" text="SI">
      <formula>NOT(ISERROR(SEARCH("SI",C682)))</formula>
    </cfRule>
    <cfRule type="containsText" dxfId="3727" priority="4762" operator="containsText" text="NO">
      <formula>NOT(ISERROR(SEARCH("NO",C682)))</formula>
    </cfRule>
  </conditionalFormatting>
  <conditionalFormatting sqref="C682:E682">
    <cfRule type="containsText" dxfId="3726" priority="4760" operator="containsText" text="NUEVO">
      <formula>NOT(ISERROR(SEARCH("NUEVO",C682)))</formula>
    </cfRule>
  </conditionalFormatting>
  <conditionalFormatting sqref="E682">
    <cfRule type="containsText" dxfId="3725" priority="4759" operator="containsText" text="Sin Información">
      <formula>NOT(ISERROR(SEARCH("Sin Información",E682)))</formula>
    </cfRule>
  </conditionalFormatting>
  <conditionalFormatting sqref="C683:D683">
    <cfRule type="containsText" dxfId="3724" priority="4746" operator="containsText" text="NO+$D$4:$D$10">
      <formula>NOT(ISERROR(SEARCH("NO+$D$4:$D$10",C683)))</formula>
    </cfRule>
  </conditionalFormatting>
  <conditionalFormatting sqref="C683:D683">
    <cfRule type="containsText" dxfId="3723" priority="4744" operator="containsText" text="SI">
      <formula>NOT(ISERROR(SEARCH("SI",C683)))</formula>
    </cfRule>
    <cfRule type="containsText" dxfId="3722" priority="4745" operator="containsText" text="NO">
      <formula>NOT(ISERROR(SEARCH("NO",C683)))</formula>
    </cfRule>
  </conditionalFormatting>
  <conditionalFormatting sqref="C683:D683">
    <cfRule type="containsText" dxfId="3721" priority="4743" operator="containsText" text="NUEVO">
      <formula>NOT(ISERROR(SEARCH("NUEVO",C683)))</formula>
    </cfRule>
  </conditionalFormatting>
  <conditionalFormatting sqref="E683">
    <cfRule type="containsText" dxfId="3720" priority="4741" operator="containsText" text="Sin Información">
      <formula>NOT(ISERROR(SEARCH("Sin Información",E683)))</formula>
    </cfRule>
  </conditionalFormatting>
  <conditionalFormatting sqref="E683">
    <cfRule type="containsText" dxfId="3719" priority="4742" operator="containsText" text="NUEVO">
      <formula>NOT(ISERROR(SEARCH("NUEVO",E683)))</formula>
    </cfRule>
  </conditionalFormatting>
  <conditionalFormatting sqref="C818:D818">
    <cfRule type="containsText" dxfId="3718" priority="4734" operator="containsText" text="NO+$D$4:$D$10">
      <formula>NOT(ISERROR(SEARCH("NO+$D$4:$D$10",C818)))</formula>
    </cfRule>
  </conditionalFormatting>
  <conditionalFormatting sqref="C818:D818">
    <cfRule type="containsText" dxfId="3717" priority="4732" operator="containsText" text="SI">
      <formula>NOT(ISERROR(SEARCH("SI",C818)))</formula>
    </cfRule>
    <cfRule type="containsText" dxfId="3716" priority="4733" operator="containsText" text="NO">
      <formula>NOT(ISERROR(SEARCH("NO",C818)))</formula>
    </cfRule>
  </conditionalFormatting>
  <conditionalFormatting sqref="C818:D818">
    <cfRule type="containsText" dxfId="3715" priority="4731" operator="containsText" text="NUEVO">
      <formula>NOT(ISERROR(SEARCH("NUEVO",C818)))</formula>
    </cfRule>
  </conditionalFormatting>
  <conditionalFormatting sqref="E818">
    <cfRule type="containsText" dxfId="3714" priority="4730" operator="containsText" text="NUEVO">
      <formula>NOT(ISERROR(SEARCH("NUEVO",E818)))</formula>
    </cfRule>
  </conditionalFormatting>
  <conditionalFormatting sqref="E818">
    <cfRule type="containsText" dxfId="3713" priority="4729" operator="containsText" text="Sin Información">
      <formula>NOT(ISERROR(SEARCH("Sin Información",E818)))</formula>
    </cfRule>
  </conditionalFormatting>
  <conditionalFormatting sqref="C819:D819">
    <cfRule type="containsText" dxfId="3712" priority="4728" operator="containsText" text="NO+$D$4:$D$10">
      <formula>NOT(ISERROR(SEARCH("NO+$D$4:$D$10",C819)))</formula>
    </cfRule>
  </conditionalFormatting>
  <conditionalFormatting sqref="C819:D819">
    <cfRule type="containsText" dxfId="3711" priority="4726" operator="containsText" text="SI">
      <formula>NOT(ISERROR(SEARCH("SI",C819)))</formula>
    </cfRule>
    <cfRule type="containsText" dxfId="3710" priority="4727" operator="containsText" text="NO">
      <formula>NOT(ISERROR(SEARCH("NO",C819)))</formula>
    </cfRule>
  </conditionalFormatting>
  <conditionalFormatting sqref="C819:E819">
    <cfRule type="containsText" dxfId="3709" priority="4725" operator="containsText" text="NUEVO">
      <formula>NOT(ISERROR(SEARCH("NUEVO",C819)))</formula>
    </cfRule>
  </conditionalFormatting>
  <conditionalFormatting sqref="E819">
    <cfRule type="containsText" dxfId="3708" priority="4724" operator="containsText" text="Sin Información">
      <formula>NOT(ISERROR(SEARCH("Sin Información",E819)))</formula>
    </cfRule>
  </conditionalFormatting>
  <conditionalFormatting sqref="F819">
    <cfRule type="containsText" dxfId="3707" priority="4723" operator="containsText" text="NO+$D$4:$D$10">
      <formula>NOT(ISERROR(SEARCH("NO+$D$4:$D$10",F819)))</formula>
    </cfRule>
  </conditionalFormatting>
  <conditionalFormatting sqref="F819">
    <cfRule type="containsText" dxfId="3706" priority="4721" operator="containsText" text="SI">
      <formula>NOT(ISERROR(SEARCH("SI",F819)))</formula>
    </cfRule>
    <cfRule type="containsText" dxfId="3705" priority="4722" operator="containsText" text="NO">
      <formula>NOT(ISERROR(SEARCH("NO",F819)))</formula>
    </cfRule>
  </conditionalFormatting>
  <conditionalFormatting sqref="F819">
    <cfRule type="containsText" dxfId="3704" priority="4720" operator="containsText" text="NUEVO">
      <formula>NOT(ISERROR(SEARCH("NUEVO",F819)))</formula>
    </cfRule>
  </conditionalFormatting>
  <conditionalFormatting sqref="C820:D820">
    <cfRule type="containsText" dxfId="3703" priority="4699" operator="containsText" text="NO+$D$4:$D$10">
      <formula>NOT(ISERROR(SEARCH("NO+$D$4:$D$10",C820)))</formula>
    </cfRule>
  </conditionalFormatting>
  <conditionalFormatting sqref="C820:D820">
    <cfRule type="containsText" dxfId="3702" priority="4697" operator="containsText" text="SI">
      <formula>NOT(ISERROR(SEARCH("SI",C820)))</formula>
    </cfRule>
    <cfRule type="containsText" dxfId="3701" priority="4698" operator="containsText" text="NO">
      <formula>NOT(ISERROR(SEARCH("NO",C820)))</formula>
    </cfRule>
  </conditionalFormatting>
  <conditionalFormatting sqref="C820:D820">
    <cfRule type="containsText" dxfId="3700" priority="4696" operator="containsText" text="NUEVO">
      <formula>NOT(ISERROR(SEARCH("NUEVO",C820)))</formula>
    </cfRule>
  </conditionalFormatting>
  <conditionalFormatting sqref="E820">
    <cfRule type="containsText" dxfId="3699" priority="4695" operator="containsText" text="NUEVO">
      <formula>NOT(ISERROR(SEARCH("NUEVO",E820)))</formula>
    </cfRule>
  </conditionalFormatting>
  <conditionalFormatting sqref="E820">
    <cfRule type="containsText" dxfId="3698" priority="4694" operator="containsText" text="Sin Información">
      <formula>NOT(ISERROR(SEARCH("Sin Información",E820)))</formula>
    </cfRule>
  </conditionalFormatting>
  <conditionalFormatting sqref="F820">
    <cfRule type="containsText" dxfId="3697" priority="4693" operator="containsText" text="NO+$D$4:$D$10">
      <formula>NOT(ISERROR(SEARCH("NO+$D$4:$D$10",F820)))</formula>
    </cfRule>
  </conditionalFormatting>
  <conditionalFormatting sqref="F820">
    <cfRule type="containsText" dxfId="3696" priority="4691" operator="containsText" text="SI">
      <formula>NOT(ISERROR(SEARCH("SI",F820)))</formula>
    </cfRule>
    <cfRule type="containsText" dxfId="3695" priority="4692" operator="containsText" text="NO">
      <formula>NOT(ISERROR(SEARCH("NO",F820)))</formula>
    </cfRule>
  </conditionalFormatting>
  <conditionalFormatting sqref="F820">
    <cfRule type="containsText" dxfId="3694" priority="4690" operator="containsText" text="NUEVO">
      <formula>NOT(ISERROR(SEARCH("NUEVO",F820)))</formula>
    </cfRule>
  </conditionalFormatting>
  <conditionalFormatting sqref="C1396:D1396">
    <cfRule type="containsText" dxfId="3693" priority="4678" operator="containsText" text="NO+$D$4:$D$10">
      <formula>NOT(ISERROR(SEARCH("NO+$D$4:$D$10",C1396)))</formula>
    </cfRule>
  </conditionalFormatting>
  <conditionalFormatting sqref="C1396:D1396">
    <cfRule type="containsText" dxfId="3692" priority="4676" operator="containsText" text="SI">
      <formula>NOT(ISERROR(SEARCH("SI",C1396)))</formula>
    </cfRule>
    <cfRule type="containsText" dxfId="3691" priority="4677" operator="containsText" text="NO">
      <formula>NOT(ISERROR(SEARCH("NO",C1396)))</formula>
    </cfRule>
  </conditionalFormatting>
  <conditionalFormatting sqref="C1396:D1396">
    <cfRule type="containsText" dxfId="3690" priority="4675" operator="containsText" text="NUEVO">
      <formula>NOT(ISERROR(SEARCH("NUEVO",C1396)))</formula>
    </cfRule>
  </conditionalFormatting>
  <conditionalFormatting sqref="E1396">
    <cfRule type="containsText" dxfId="3689" priority="4673" operator="containsText" text="Sin información">
      <formula>NOT(ISERROR(SEARCH("Sin información",E1396)))</formula>
    </cfRule>
  </conditionalFormatting>
  <conditionalFormatting sqref="E1396">
    <cfRule type="containsText" dxfId="3688" priority="4672" operator="containsText" text="NUEVO">
      <formula>NOT(ISERROR(SEARCH("NUEVO",E1396)))</formula>
    </cfRule>
  </conditionalFormatting>
  <conditionalFormatting sqref="E1396">
    <cfRule type="containsText" dxfId="3687" priority="4674" operator="containsText" text="Sin información">
      <formula>NOT(ISERROR(SEARCH("Sin información",E1396)))</formula>
    </cfRule>
  </conditionalFormatting>
  <conditionalFormatting sqref="C1397:D1397">
    <cfRule type="containsText" dxfId="3686" priority="4671" operator="containsText" text="NO+$D$4:$D$10">
      <formula>NOT(ISERROR(SEARCH("NO+$D$4:$D$10",C1397)))</formula>
    </cfRule>
  </conditionalFormatting>
  <conditionalFormatting sqref="C1397:D1397">
    <cfRule type="containsText" dxfId="3685" priority="4669" operator="containsText" text="SI">
      <formula>NOT(ISERROR(SEARCH("SI",C1397)))</formula>
    </cfRule>
    <cfRule type="containsText" dxfId="3684" priority="4670" operator="containsText" text="NO">
      <formula>NOT(ISERROR(SEARCH("NO",C1397)))</formula>
    </cfRule>
  </conditionalFormatting>
  <conditionalFormatting sqref="E1397">
    <cfRule type="containsText" dxfId="3683" priority="4668" operator="containsText" text="Sin información">
      <formula>NOT(ISERROR(SEARCH("Sin información",E1397)))</formula>
    </cfRule>
  </conditionalFormatting>
  <conditionalFormatting sqref="C1397:E1397">
    <cfRule type="containsText" dxfId="3682" priority="4667" operator="containsText" text="NUEVO">
      <formula>NOT(ISERROR(SEARCH("NUEVO",C1397)))</formula>
    </cfRule>
  </conditionalFormatting>
  <conditionalFormatting sqref="C1398:D1398">
    <cfRule type="containsText" dxfId="3681" priority="4637" operator="containsText" text="NO+$D$4:$D$10">
      <formula>NOT(ISERROR(SEARCH("NO+$D$4:$D$10",C1398)))</formula>
    </cfRule>
  </conditionalFormatting>
  <conditionalFormatting sqref="C1398:D1398">
    <cfRule type="containsText" dxfId="3680" priority="4635" operator="containsText" text="SI">
      <formula>NOT(ISERROR(SEARCH("SI",C1398)))</formula>
    </cfRule>
    <cfRule type="containsText" dxfId="3679" priority="4636" operator="containsText" text="NO">
      <formula>NOT(ISERROR(SEARCH("NO",C1398)))</formula>
    </cfRule>
  </conditionalFormatting>
  <conditionalFormatting sqref="E1398">
    <cfRule type="containsText" dxfId="3678" priority="4634" operator="containsText" text="Sin información">
      <formula>NOT(ISERROR(SEARCH("Sin información",E1398)))</formula>
    </cfRule>
  </conditionalFormatting>
  <conditionalFormatting sqref="C1398:E1398">
    <cfRule type="containsText" dxfId="3677" priority="4633" operator="containsText" text="NUEVO">
      <formula>NOT(ISERROR(SEARCH("NUEVO",C1398)))</formula>
    </cfRule>
  </conditionalFormatting>
  <conditionalFormatting sqref="C1399:D1399">
    <cfRule type="containsText" dxfId="3676" priority="4620" operator="containsText" text="NO+$D$4:$D$10">
      <formula>NOT(ISERROR(SEARCH("NO+$D$4:$D$10",C1399)))</formula>
    </cfRule>
  </conditionalFormatting>
  <conditionalFormatting sqref="C1399:D1399">
    <cfRule type="containsText" dxfId="3675" priority="4618" operator="containsText" text="SI">
      <formula>NOT(ISERROR(SEARCH("SI",C1399)))</formula>
    </cfRule>
    <cfRule type="containsText" dxfId="3674" priority="4619" operator="containsText" text="NO">
      <formula>NOT(ISERROR(SEARCH("NO",C1399)))</formula>
    </cfRule>
  </conditionalFormatting>
  <conditionalFormatting sqref="C1399:D1399">
    <cfRule type="containsText" dxfId="3673" priority="4617" operator="containsText" text="NUEVO">
      <formula>NOT(ISERROR(SEARCH("NUEVO",C1399)))</formula>
    </cfRule>
  </conditionalFormatting>
  <conditionalFormatting sqref="E1399">
    <cfRule type="containsText" dxfId="3672" priority="4615" operator="containsText" text="Sin información">
      <formula>NOT(ISERROR(SEARCH("Sin información",E1399)))</formula>
    </cfRule>
  </conditionalFormatting>
  <conditionalFormatting sqref="E1399">
    <cfRule type="containsText" dxfId="3671" priority="4614" operator="containsText" text="NUEVO">
      <formula>NOT(ISERROR(SEARCH("NUEVO",E1399)))</formula>
    </cfRule>
  </conditionalFormatting>
  <conditionalFormatting sqref="E1399">
    <cfRule type="containsText" dxfId="3670" priority="4616" operator="containsText" text="Sin información">
      <formula>NOT(ISERROR(SEARCH("Sin información",E1399)))</formula>
    </cfRule>
  </conditionalFormatting>
  <conditionalFormatting sqref="C1400:D1400">
    <cfRule type="containsText" dxfId="3669" priority="4613" operator="containsText" text="NO+$D$4:$D$10">
      <formula>NOT(ISERROR(SEARCH("NO+$D$4:$D$10",C1400)))</formula>
    </cfRule>
  </conditionalFormatting>
  <conditionalFormatting sqref="C1400:D1400">
    <cfRule type="containsText" dxfId="3668" priority="4611" operator="containsText" text="SI">
      <formula>NOT(ISERROR(SEARCH("SI",C1400)))</formula>
    </cfRule>
    <cfRule type="containsText" dxfId="3667" priority="4612" operator="containsText" text="NO">
      <formula>NOT(ISERROR(SEARCH("NO",C1400)))</formula>
    </cfRule>
  </conditionalFormatting>
  <conditionalFormatting sqref="C1400:D1400">
    <cfRule type="containsText" dxfId="3666" priority="4610" operator="containsText" text="NUEVO">
      <formula>NOT(ISERROR(SEARCH("NUEVO",C1400)))</formula>
    </cfRule>
  </conditionalFormatting>
  <conditionalFormatting sqref="E1400">
    <cfRule type="containsText" dxfId="3665" priority="4608" operator="containsText" text="Sin información">
      <formula>NOT(ISERROR(SEARCH("Sin información",E1400)))</formula>
    </cfRule>
  </conditionalFormatting>
  <conditionalFormatting sqref="E1400">
    <cfRule type="containsText" dxfId="3664" priority="4607" operator="containsText" text="NUEVO">
      <formula>NOT(ISERROR(SEARCH("NUEVO",E1400)))</formula>
    </cfRule>
  </conditionalFormatting>
  <conditionalFormatting sqref="E1400">
    <cfRule type="containsText" dxfId="3663" priority="4609" operator="containsText" text="Sin información">
      <formula>NOT(ISERROR(SEARCH("Sin información",E1400)))</formula>
    </cfRule>
  </conditionalFormatting>
  <conditionalFormatting sqref="C1401:D1401">
    <cfRule type="containsText" dxfId="3662" priority="4596" operator="containsText" text="NO+$D$4:$D$10">
      <formula>NOT(ISERROR(SEARCH("NO+$D$4:$D$10",C1401)))</formula>
    </cfRule>
  </conditionalFormatting>
  <conditionalFormatting sqref="C1401:D1401">
    <cfRule type="containsText" dxfId="3661" priority="4594" operator="containsText" text="SI">
      <formula>NOT(ISERROR(SEARCH("SI",C1401)))</formula>
    </cfRule>
    <cfRule type="containsText" dxfId="3660" priority="4595" operator="containsText" text="NO">
      <formula>NOT(ISERROR(SEARCH("NO",C1401)))</formula>
    </cfRule>
  </conditionalFormatting>
  <conditionalFormatting sqref="C1401:D1401">
    <cfRule type="containsText" dxfId="3659" priority="4593" operator="containsText" text="NUEVO">
      <formula>NOT(ISERROR(SEARCH("NUEVO",C1401)))</formula>
    </cfRule>
  </conditionalFormatting>
  <conditionalFormatting sqref="E1401">
    <cfRule type="containsText" dxfId="3658" priority="4592" operator="containsText" text="NUEVO">
      <formula>NOT(ISERROR(SEARCH("NUEVO",E1401)))</formula>
    </cfRule>
  </conditionalFormatting>
  <conditionalFormatting sqref="E1401">
    <cfRule type="containsText" dxfId="3657" priority="4591" operator="containsText" text="Sin Información">
      <formula>NOT(ISERROR(SEARCH("Sin Información",E1401)))</formula>
    </cfRule>
  </conditionalFormatting>
  <conditionalFormatting sqref="C1402:D1402">
    <cfRule type="containsText" dxfId="3656" priority="4590" operator="containsText" text="NO+$D$4:$D$10">
      <formula>NOT(ISERROR(SEARCH("NO+$D$4:$D$10",C1402)))</formula>
    </cfRule>
  </conditionalFormatting>
  <conditionalFormatting sqref="C1402:D1402">
    <cfRule type="containsText" dxfId="3655" priority="4588" operator="containsText" text="SI">
      <formula>NOT(ISERROR(SEARCH("SI",C1402)))</formula>
    </cfRule>
    <cfRule type="containsText" dxfId="3654" priority="4589" operator="containsText" text="NO">
      <formula>NOT(ISERROR(SEARCH("NO",C1402)))</formula>
    </cfRule>
  </conditionalFormatting>
  <conditionalFormatting sqref="C1402:D1402">
    <cfRule type="containsText" dxfId="3653" priority="4587" operator="containsText" text="NUEVO">
      <formula>NOT(ISERROR(SEARCH("NUEVO",C1402)))</formula>
    </cfRule>
  </conditionalFormatting>
  <conditionalFormatting sqref="E1402">
    <cfRule type="containsText" dxfId="3652" priority="4586" operator="containsText" text="NUEVO">
      <formula>NOT(ISERROR(SEARCH("NUEVO",E1402)))</formula>
    </cfRule>
  </conditionalFormatting>
  <conditionalFormatting sqref="E1402">
    <cfRule type="containsText" dxfId="3651" priority="4585" operator="containsText" text="Sin Información">
      <formula>NOT(ISERROR(SEARCH("Sin Información",E1402)))</formula>
    </cfRule>
  </conditionalFormatting>
  <conditionalFormatting sqref="C1403:D1403">
    <cfRule type="containsText" dxfId="3650" priority="4584" operator="containsText" text="NO+$D$4:$D$10">
      <formula>NOT(ISERROR(SEARCH("NO+$D$4:$D$10",C1403)))</formula>
    </cfRule>
  </conditionalFormatting>
  <conditionalFormatting sqref="C1403:D1403">
    <cfRule type="containsText" dxfId="3649" priority="4582" operator="containsText" text="SI">
      <formula>NOT(ISERROR(SEARCH("SI",C1403)))</formula>
    </cfRule>
    <cfRule type="containsText" dxfId="3648" priority="4583" operator="containsText" text="NO">
      <formula>NOT(ISERROR(SEARCH("NO",C1403)))</formula>
    </cfRule>
  </conditionalFormatting>
  <conditionalFormatting sqref="C1403:D1403">
    <cfRule type="containsText" dxfId="3647" priority="4581" operator="containsText" text="NUEVO">
      <formula>NOT(ISERROR(SEARCH("NUEVO",C1403)))</formula>
    </cfRule>
  </conditionalFormatting>
  <conditionalFormatting sqref="E1403">
    <cfRule type="containsText" dxfId="3646" priority="4580" operator="containsText" text="NUEVO">
      <formula>NOT(ISERROR(SEARCH("NUEVO",E1403)))</formula>
    </cfRule>
  </conditionalFormatting>
  <conditionalFormatting sqref="E1403">
    <cfRule type="containsText" dxfId="3645" priority="4579" operator="containsText" text="Sin Información">
      <formula>NOT(ISERROR(SEARCH("Sin Información",E1403)))</formula>
    </cfRule>
  </conditionalFormatting>
  <conditionalFormatting sqref="C1616:D1616">
    <cfRule type="containsText" dxfId="3644" priority="4573" operator="containsText" text="NO+$D$4:$D$10">
      <formula>NOT(ISERROR(SEARCH("NO+$D$4:$D$10",C1616)))</formula>
    </cfRule>
  </conditionalFormatting>
  <conditionalFormatting sqref="C1616:D1616">
    <cfRule type="containsText" dxfId="3643" priority="4571" operator="containsText" text="SI">
      <formula>NOT(ISERROR(SEARCH("SI",C1616)))</formula>
    </cfRule>
    <cfRule type="containsText" dxfId="3642" priority="4572" operator="containsText" text="NO">
      <formula>NOT(ISERROR(SEARCH("NO",C1616)))</formula>
    </cfRule>
  </conditionalFormatting>
  <conditionalFormatting sqref="E1616">
    <cfRule type="containsText" dxfId="3641" priority="4570" operator="containsText" text="Sin información">
      <formula>NOT(ISERROR(SEARCH("Sin información",E1616)))</formula>
    </cfRule>
  </conditionalFormatting>
  <conditionalFormatting sqref="C1616:E1616">
    <cfRule type="containsText" dxfId="3640" priority="4569" operator="containsText" text="NUEVO">
      <formula>NOT(ISERROR(SEARCH("NUEVO",C1616)))</formula>
    </cfRule>
  </conditionalFormatting>
  <conditionalFormatting sqref="C1617:D1617">
    <cfRule type="containsText" dxfId="3639" priority="4556" operator="containsText" text="NO+$D$4:$D$10">
      <formula>NOT(ISERROR(SEARCH("NO+$D$4:$D$10",C1617)))</formula>
    </cfRule>
  </conditionalFormatting>
  <conditionalFormatting sqref="C1617:D1617">
    <cfRule type="containsText" dxfId="3638" priority="4554" operator="containsText" text="SI">
      <formula>NOT(ISERROR(SEARCH("SI",C1617)))</formula>
    </cfRule>
    <cfRule type="containsText" dxfId="3637" priority="4555" operator="containsText" text="NO">
      <formula>NOT(ISERROR(SEARCH("NO",C1617)))</formula>
    </cfRule>
  </conditionalFormatting>
  <conditionalFormatting sqref="C1617:D1617">
    <cfRule type="containsText" dxfId="3636" priority="4553" operator="containsText" text="NUEVO">
      <formula>NOT(ISERROR(SEARCH("NUEVO",C1617)))</formula>
    </cfRule>
  </conditionalFormatting>
  <conditionalFormatting sqref="E1617">
    <cfRule type="containsText" dxfId="3635" priority="4551" operator="containsText" text="NUEVO">
      <formula>NOT(ISERROR(SEARCH("NUEVO",E1617)))</formula>
    </cfRule>
  </conditionalFormatting>
  <conditionalFormatting sqref="E1617">
    <cfRule type="containsText" dxfId="3634" priority="4552" operator="containsText" text="Sin información">
      <formula>NOT(ISERROR(SEARCH("Sin información",E1617)))</formula>
    </cfRule>
  </conditionalFormatting>
  <conditionalFormatting sqref="C1618:D1618">
    <cfRule type="containsText" dxfId="3633" priority="4544" operator="containsText" text="NO+$D$4:$D$10">
      <formula>NOT(ISERROR(SEARCH("NO+$D$4:$D$10",C1618)))</formula>
    </cfRule>
  </conditionalFormatting>
  <conditionalFormatting sqref="C1618:D1618">
    <cfRule type="containsText" dxfId="3632" priority="4542" operator="containsText" text="SI">
      <formula>NOT(ISERROR(SEARCH("SI",C1618)))</formula>
    </cfRule>
    <cfRule type="containsText" dxfId="3631" priority="4543" operator="containsText" text="NO">
      <formula>NOT(ISERROR(SEARCH("NO",C1618)))</formula>
    </cfRule>
  </conditionalFormatting>
  <conditionalFormatting sqref="C1618:D1618">
    <cfRule type="containsText" dxfId="3630" priority="4541" operator="containsText" text="NUEVO">
      <formula>NOT(ISERROR(SEARCH("NUEVO",C1618)))</formula>
    </cfRule>
  </conditionalFormatting>
  <conditionalFormatting sqref="E1618">
    <cfRule type="containsText" dxfId="3629" priority="4540" operator="containsText" text="NUEVO">
      <formula>NOT(ISERROR(SEARCH("NUEVO",E1618)))</formula>
    </cfRule>
  </conditionalFormatting>
  <conditionalFormatting sqref="E1618">
    <cfRule type="containsText" dxfId="3628" priority="4539" operator="containsText" text="Sin Información">
      <formula>NOT(ISERROR(SEARCH("Sin Información",E1618)))</formula>
    </cfRule>
  </conditionalFormatting>
  <conditionalFormatting sqref="C1619:D1619">
    <cfRule type="containsText" dxfId="3627" priority="4538" operator="containsText" text="NO+$D$4:$D$10">
      <formula>NOT(ISERROR(SEARCH("NO+$D$4:$D$10",C1619)))</formula>
    </cfRule>
  </conditionalFormatting>
  <conditionalFormatting sqref="C1619:D1619">
    <cfRule type="containsText" dxfId="3626" priority="4536" operator="containsText" text="SI">
      <formula>NOT(ISERROR(SEARCH("SI",C1619)))</formula>
    </cfRule>
    <cfRule type="containsText" dxfId="3625" priority="4537" operator="containsText" text="NO">
      <formula>NOT(ISERROR(SEARCH("NO",C1619)))</formula>
    </cfRule>
  </conditionalFormatting>
  <conditionalFormatting sqref="E1619">
    <cfRule type="containsText" dxfId="3624" priority="4535" operator="containsText" text="Sin información">
      <formula>NOT(ISERROR(SEARCH("Sin información",E1619)))</formula>
    </cfRule>
  </conditionalFormatting>
  <conditionalFormatting sqref="C1619:E1619">
    <cfRule type="containsText" dxfId="3623" priority="4534" operator="containsText" text="NUEVO">
      <formula>NOT(ISERROR(SEARCH("NUEVO",C1619)))</formula>
    </cfRule>
  </conditionalFormatting>
  <conditionalFormatting sqref="C1620:D1620">
    <cfRule type="containsText" dxfId="3622" priority="4533" operator="containsText" text="NO+$D$4:$D$10">
      <formula>NOT(ISERROR(SEARCH("NO+$D$4:$D$10",C1620)))</formula>
    </cfRule>
  </conditionalFormatting>
  <conditionalFormatting sqref="C1620:D1620">
    <cfRule type="containsText" dxfId="3621" priority="4531" operator="containsText" text="SI">
      <formula>NOT(ISERROR(SEARCH("SI",C1620)))</formula>
    </cfRule>
    <cfRule type="containsText" dxfId="3620" priority="4532" operator="containsText" text="NO">
      <formula>NOT(ISERROR(SEARCH("NO",C1620)))</formula>
    </cfRule>
  </conditionalFormatting>
  <conditionalFormatting sqref="E1620">
    <cfRule type="containsText" dxfId="3619" priority="4530" operator="containsText" text="Sin información">
      <formula>NOT(ISERROR(SEARCH("Sin información",E1620)))</formula>
    </cfRule>
  </conditionalFormatting>
  <conditionalFormatting sqref="C1620:E1620">
    <cfRule type="containsText" dxfId="3618" priority="4529" operator="containsText" text="NUEVO">
      <formula>NOT(ISERROR(SEARCH("NUEVO",C1620)))</formula>
    </cfRule>
  </conditionalFormatting>
  <conditionalFormatting sqref="C1621:D1621">
    <cfRule type="containsText" dxfId="3617" priority="4521" operator="containsText" text="NO+$D$4:$D$10">
      <formula>NOT(ISERROR(SEARCH("NO+$D$4:$D$10",C1621)))</formula>
    </cfRule>
  </conditionalFormatting>
  <conditionalFormatting sqref="C1621:D1621">
    <cfRule type="containsText" dxfId="3616" priority="4519" operator="containsText" text="SI">
      <formula>NOT(ISERROR(SEARCH("SI",C1621)))</formula>
    </cfRule>
    <cfRule type="containsText" dxfId="3615" priority="4520" operator="containsText" text="NO">
      <formula>NOT(ISERROR(SEARCH("NO",C1621)))</formula>
    </cfRule>
  </conditionalFormatting>
  <conditionalFormatting sqref="C1621:E1621">
    <cfRule type="containsText" dxfId="3614" priority="4518" operator="containsText" text="NUEVO">
      <formula>NOT(ISERROR(SEARCH("NUEVO",C1621)))</formula>
    </cfRule>
  </conditionalFormatting>
  <conditionalFormatting sqref="E1621">
    <cfRule type="containsText" dxfId="3613" priority="4517" operator="containsText" text="Sin Información">
      <formula>NOT(ISERROR(SEARCH("Sin Información",E1621)))</formula>
    </cfRule>
  </conditionalFormatting>
  <conditionalFormatting sqref="C1622:D1622">
    <cfRule type="containsText" dxfId="3612" priority="4516" operator="containsText" text="NO+$D$4:$D$10">
      <formula>NOT(ISERROR(SEARCH("NO+$D$4:$D$10",C1622)))</formula>
    </cfRule>
  </conditionalFormatting>
  <conditionalFormatting sqref="C1622:D1622">
    <cfRule type="containsText" dxfId="3611" priority="4514" operator="containsText" text="SI">
      <formula>NOT(ISERROR(SEARCH("SI",C1622)))</formula>
    </cfRule>
    <cfRule type="containsText" dxfId="3610" priority="4515" operator="containsText" text="NO">
      <formula>NOT(ISERROR(SEARCH("NO",C1622)))</formula>
    </cfRule>
  </conditionalFormatting>
  <conditionalFormatting sqref="C1622:E1622">
    <cfRule type="containsText" dxfId="3609" priority="4513" operator="containsText" text="NUEVO">
      <formula>NOT(ISERROR(SEARCH("NUEVO",C1622)))</formula>
    </cfRule>
  </conditionalFormatting>
  <conditionalFormatting sqref="E1622">
    <cfRule type="containsText" dxfId="3608" priority="4512" operator="containsText" text="Sin Información">
      <formula>NOT(ISERROR(SEARCH("Sin Información",E1622)))</formula>
    </cfRule>
  </conditionalFormatting>
  <conditionalFormatting sqref="C1623:D1623">
    <cfRule type="containsText" dxfId="3607" priority="4511" operator="containsText" text="NO+$D$4:$D$10">
      <formula>NOT(ISERROR(SEARCH("NO+$D$4:$D$10",C1623)))</formula>
    </cfRule>
  </conditionalFormatting>
  <conditionalFormatting sqref="C1623:D1623">
    <cfRule type="containsText" dxfId="3606" priority="4509" operator="containsText" text="SI">
      <formula>NOT(ISERROR(SEARCH("SI",C1623)))</formula>
    </cfRule>
    <cfRule type="containsText" dxfId="3605" priority="4510" operator="containsText" text="NO">
      <formula>NOT(ISERROR(SEARCH("NO",C1623)))</formula>
    </cfRule>
  </conditionalFormatting>
  <conditionalFormatting sqref="C1623:E1623">
    <cfRule type="containsText" dxfId="3604" priority="4508" operator="containsText" text="NUEVO">
      <formula>NOT(ISERROR(SEARCH("NUEVO",C1623)))</formula>
    </cfRule>
  </conditionalFormatting>
  <conditionalFormatting sqref="E1623">
    <cfRule type="containsText" dxfId="3603" priority="4507" operator="containsText" text="Sin Información">
      <formula>NOT(ISERROR(SEARCH("Sin Información",E1623)))</formula>
    </cfRule>
  </conditionalFormatting>
  <conditionalFormatting sqref="C1624:D1624">
    <cfRule type="containsText" dxfId="3602" priority="4506" operator="containsText" text="NO+$D$4:$D$10">
      <formula>NOT(ISERROR(SEARCH("NO+$D$4:$D$10",C1624)))</formula>
    </cfRule>
  </conditionalFormatting>
  <conditionalFormatting sqref="C1624:D1624">
    <cfRule type="containsText" dxfId="3601" priority="4504" operator="containsText" text="SI">
      <formula>NOT(ISERROR(SEARCH("SI",C1624)))</formula>
    </cfRule>
    <cfRule type="containsText" dxfId="3600" priority="4505" operator="containsText" text="NO">
      <formula>NOT(ISERROR(SEARCH("NO",C1624)))</formula>
    </cfRule>
  </conditionalFormatting>
  <conditionalFormatting sqref="C1624:D1624">
    <cfRule type="containsText" dxfId="3599" priority="4503" operator="containsText" text="NUEVO">
      <formula>NOT(ISERROR(SEARCH("NUEVO",C1624)))</formula>
    </cfRule>
  </conditionalFormatting>
  <conditionalFormatting sqref="E1624">
    <cfRule type="containsText" dxfId="3598" priority="4502" operator="containsText" text="NUEVO">
      <formula>NOT(ISERROR(SEARCH("NUEVO",E1624)))</formula>
    </cfRule>
  </conditionalFormatting>
  <conditionalFormatting sqref="E1624">
    <cfRule type="containsText" dxfId="3597" priority="4501" operator="containsText" text="Sin Información">
      <formula>NOT(ISERROR(SEARCH("Sin Información",E1624)))</formula>
    </cfRule>
  </conditionalFormatting>
  <conditionalFormatting sqref="C1625:D1625">
    <cfRule type="containsText" dxfId="3596" priority="4498" operator="containsText" text="NO+$D$4:$D$10">
      <formula>NOT(ISERROR(SEARCH("NO+$D$4:$D$10",C1625)))</formula>
    </cfRule>
  </conditionalFormatting>
  <conditionalFormatting sqref="C1625:D1625">
    <cfRule type="containsText" dxfId="3595" priority="4496" operator="containsText" text="SI">
      <formula>NOT(ISERROR(SEARCH("SI",C1625)))</formula>
    </cfRule>
    <cfRule type="containsText" dxfId="3594" priority="4497" operator="containsText" text="NO">
      <formula>NOT(ISERROR(SEARCH("NO",C1625)))</formula>
    </cfRule>
  </conditionalFormatting>
  <conditionalFormatting sqref="C1625:D1625">
    <cfRule type="containsText" dxfId="3593" priority="4495" operator="containsText" text="NUEVO">
      <formula>NOT(ISERROR(SEARCH("NUEVO",C1625)))</formula>
    </cfRule>
  </conditionalFormatting>
  <conditionalFormatting sqref="E1625">
    <cfRule type="containsText" dxfId="3592" priority="4499" operator="containsText" text="Sin información">
      <formula>NOT(ISERROR(SEARCH("Sin información",E2022)))</formula>
    </cfRule>
  </conditionalFormatting>
  <conditionalFormatting sqref="E1625">
    <cfRule type="containsText" dxfId="3591" priority="4500" operator="containsText" text="NUEVO">
      <formula>NOT(ISERROR(SEARCH("NUEVO",E2022)))</formula>
    </cfRule>
  </conditionalFormatting>
  <conditionalFormatting sqref="C1626:D1626">
    <cfRule type="containsText" dxfId="3590" priority="4494" operator="containsText" text="NO+$D$4:$D$10">
      <formula>NOT(ISERROR(SEARCH("NO+$D$4:$D$10",C1626)))</formula>
    </cfRule>
  </conditionalFormatting>
  <conditionalFormatting sqref="C1626:D1626">
    <cfRule type="containsText" dxfId="3589" priority="4492" operator="containsText" text="SI">
      <formula>NOT(ISERROR(SEARCH("SI",C1626)))</formula>
    </cfRule>
    <cfRule type="containsText" dxfId="3588" priority="4493" operator="containsText" text="NO">
      <formula>NOT(ISERROR(SEARCH("NO",C1626)))</formula>
    </cfRule>
  </conditionalFormatting>
  <conditionalFormatting sqref="C1626:E1626">
    <cfRule type="containsText" dxfId="3587" priority="4491" operator="containsText" text="NUEVO">
      <formula>NOT(ISERROR(SEARCH("NUEVO",C1626)))</formula>
    </cfRule>
  </conditionalFormatting>
  <conditionalFormatting sqref="E1626">
    <cfRule type="containsText" dxfId="3586" priority="4490" operator="containsText" text="Sin Información">
      <formula>NOT(ISERROR(SEARCH("Sin Información",E1626)))</formula>
    </cfRule>
  </conditionalFormatting>
  <conditionalFormatting sqref="C1627:D1627">
    <cfRule type="containsText" dxfId="3585" priority="4489" operator="containsText" text="NO+$D$4:$D$10">
      <formula>NOT(ISERROR(SEARCH("NO+$D$4:$D$10",C1627)))</formula>
    </cfRule>
  </conditionalFormatting>
  <conditionalFormatting sqref="C1627:D1627">
    <cfRule type="containsText" dxfId="3584" priority="4487" operator="containsText" text="SI">
      <formula>NOT(ISERROR(SEARCH("SI",C1627)))</formula>
    </cfRule>
    <cfRule type="containsText" dxfId="3583" priority="4488" operator="containsText" text="NO">
      <formula>NOT(ISERROR(SEARCH("NO",C1627)))</formula>
    </cfRule>
  </conditionalFormatting>
  <conditionalFormatting sqref="C1627:D1627">
    <cfRule type="containsText" dxfId="3582" priority="4486" operator="containsText" text="NUEVO">
      <formula>NOT(ISERROR(SEARCH("NUEVO",C1627)))</formula>
    </cfRule>
  </conditionalFormatting>
  <conditionalFormatting sqref="E1627">
    <cfRule type="containsText" dxfId="3581" priority="4485" operator="containsText" text="NUEVO">
      <formula>NOT(ISERROR(SEARCH("NUEVO",E1627)))</formula>
    </cfRule>
  </conditionalFormatting>
  <conditionalFormatting sqref="E1627">
    <cfRule type="containsText" dxfId="3580" priority="4484" operator="containsText" text="Sin Información">
      <formula>NOT(ISERROR(SEARCH("Sin Información",E1627)))</formula>
    </cfRule>
  </conditionalFormatting>
  <conditionalFormatting sqref="C1628:D1628">
    <cfRule type="containsText" dxfId="3579" priority="4483" operator="containsText" text="NO+$D$4:$D$10">
      <formula>NOT(ISERROR(SEARCH("NO+$D$4:$D$10",C1628)))</formula>
    </cfRule>
  </conditionalFormatting>
  <conditionalFormatting sqref="C1628:D1628">
    <cfRule type="containsText" dxfId="3578" priority="4481" operator="containsText" text="SI">
      <formula>NOT(ISERROR(SEARCH("SI",C1628)))</formula>
    </cfRule>
    <cfRule type="containsText" dxfId="3577" priority="4482" operator="containsText" text="NO">
      <formula>NOT(ISERROR(SEARCH("NO",C1628)))</formula>
    </cfRule>
  </conditionalFormatting>
  <conditionalFormatting sqref="C1628:D1628">
    <cfRule type="containsText" dxfId="3576" priority="4480" operator="containsText" text="NUEVO">
      <formula>NOT(ISERROR(SEARCH("NUEVO",C1628)))</formula>
    </cfRule>
  </conditionalFormatting>
  <conditionalFormatting sqref="E1628">
    <cfRule type="containsText" dxfId="3575" priority="4479" operator="containsText" text="NUEVO">
      <formula>NOT(ISERROR(SEARCH("NUEVO",E1628)))</formula>
    </cfRule>
  </conditionalFormatting>
  <conditionalFormatting sqref="E1628">
    <cfRule type="containsText" dxfId="3574" priority="4478" operator="containsText" text="Sin Información">
      <formula>NOT(ISERROR(SEARCH("Sin Información",E1628)))</formula>
    </cfRule>
  </conditionalFormatting>
  <conditionalFormatting sqref="C156:D156">
    <cfRule type="containsText" dxfId="3573" priority="4470" operator="containsText" text="NO+$D$4:$D$10">
      <formula>NOT(ISERROR(SEARCH("NO+$D$4:$D$10",C156)))</formula>
    </cfRule>
  </conditionalFormatting>
  <conditionalFormatting sqref="C156:D156">
    <cfRule type="containsText" dxfId="3572" priority="4468" operator="containsText" text="SI">
      <formula>NOT(ISERROR(SEARCH("SI",C156)))</formula>
    </cfRule>
    <cfRule type="containsText" dxfId="3571" priority="4469" operator="containsText" text="NO">
      <formula>NOT(ISERROR(SEARCH("NO",C156)))</formula>
    </cfRule>
  </conditionalFormatting>
  <conditionalFormatting sqref="C156:D156">
    <cfRule type="containsText" dxfId="3570" priority="4467" operator="containsText" text="NUEVO">
      <formula>NOT(ISERROR(SEARCH("NUEVO",C156)))</formula>
    </cfRule>
  </conditionalFormatting>
  <conditionalFormatting sqref="E156">
    <cfRule type="containsText" dxfId="3569" priority="4471" operator="containsText" text="Sin información">
      <formula>NOT(ISERROR(SEARCH("Sin información",E1365)))</formula>
    </cfRule>
  </conditionalFormatting>
  <conditionalFormatting sqref="E156">
    <cfRule type="containsText" dxfId="3568" priority="4472" operator="containsText" text="NUEVO">
      <formula>NOT(ISERROR(SEARCH("NUEVO",E1365)))</formula>
    </cfRule>
  </conditionalFormatting>
  <conditionalFormatting sqref="C157:D157">
    <cfRule type="containsText" dxfId="3567" priority="4459" operator="containsText" text="NO+$D$4:$D$10">
      <formula>NOT(ISERROR(SEARCH("NO+$D$4:$D$10",C157)))</formula>
    </cfRule>
  </conditionalFormatting>
  <conditionalFormatting sqref="C157:D157">
    <cfRule type="containsText" dxfId="3566" priority="4457" operator="containsText" text="SI">
      <formula>NOT(ISERROR(SEARCH("SI",C157)))</formula>
    </cfRule>
    <cfRule type="containsText" dxfId="3565" priority="4458" operator="containsText" text="NO">
      <formula>NOT(ISERROR(SEARCH("NO",C157)))</formula>
    </cfRule>
  </conditionalFormatting>
  <conditionalFormatting sqref="C157:D157">
    <cfRule type="containsText" dxfId="3564" priority="4456" operator="containsText" text="NUEVO">
      <formula>NOT(ISERROR(SEARCH("NUEVO",C157)))</formula>
    </cfRule>
  </conditionalFormatting>
  <conditionalFormatting sqref="E157">
    <cfRule type="containsText" dxfId="3563" priority="4454" operator="containsText" text="NUEVO">
      <formula>NOT(ISERROR(SEARCH("NUEVO",E157)))</formula>
    </cfRule>
  </conditionalFormatting>
  <conditionalFormatting sqref="E157">
    <cfRule type="containsText" dxfId="3562" priority="4455" operator="containsText" text="Sin información">
      <formula>NOT(ISERROR(SEARCH("Sin información",E157)))</formula>
    </cfRule>
  </conditionalFormatting>
  <conditionalFormatting sqref="E157">
    <cfRule type="containsText" dxfId="3561" priority="4453" operator="containsText" text="Sin Información">
      <formula>NOT(ISERROR(SEARCH("Sin Información",E157)))</formula>
    </cfRule>
  </conditionalFormatting>
  <conditionalFormatting sqref="C158:D158">
    <cfRule type="containsText" dxfId="3560" priority="4452" operator="containsText" text="NO+$D$4:$D$10">
      <formula>NOT(ISERROR(SEARCH("NO+$D$4:$D$10",C158)))</formula>
    </cfRule>
  </conditionalFormatting>
  <conditionalFormatting sqref="C158:D158">
    <cfRule type="containsText" dxfId="3559" priority="4450" operator="containsText" text="SI">
      <formula>NOT(ISERROR(SEARCH("SI",C158)))</formula>
    </cfRule>
    <cfRule type="containsText" dxfId="3558" priority="4451" operator="containsText" text="NO">
      <formula>NOT(ISERROR(SEARCH("NO",C158)))</formula>
    </cfRule>
  </conditionalFormatting>
  <conditionalFormatting sqref="C158:D158">
    <cfRule type="containsText" dxfId="3557" priority="4449" operator="containsText" text="NUEVO">
      <formula>NOT(ISERROR(SEARCH("NUEVO",C158)))</formula>
    </cfRule>
  </conditionalFormatting>
  <conditionalFormatting sqref="E158">
    <cfRule type="containsText" dxfId="3556" priority="4448" operator="containsText" text="NUEVO">
      <formula>NOT(ISERROR(SEARCH("NUEVO",E158)))</formula>
    </cfRule>
  </conditionalFormatting>
  <conditionalFormatting sqref="E158">
    <cfRule type="containsText" dxfId="3555" priority="4447" operator="containsText" text="Sin Información">
      <formula>NOT(ISERROR(SEARCH("Sin Información",E158)))</formula>
    </cfRule>
  </conditionalFormatting>
  <conditionalFormatting sqref="F158">
    <cfRule type="expression" dxfId="3554" priority="4446">
      <formula>F158&lt;&gt;""</formula>
    </cfRule>
  </conditionalFormatting>
  <conditionalFormatting sqref="E158">
    <cfRule type="expression" dxfId="3553" priority="4445">
      <formula>E158&lt;&gt;""</formula>
    </cfRule>
  </conditionalFormatting>
  <conditionalFormatting sqref="C159:D159">
    <cfRule type="containsText" dxfId="3552" priority="4435" operator="containsText" text="NO+$D$4:$D$10">
      <formula>NOT(ISERROR(SEARCH("NO+$D$4:$D$10",C159)))</formula>
    </cfRule>
  </conditionalFormatting>
  <conditionalFormatting sqref="C159:D159">
    <cfRule type="containsText" dxfId="3551" priority="4433" operator="containsText" text="SI">
      <formula>NOT(ISERROR(SEARCH("SI",C159)))</formula>
    </cfRule>
    <cfRule type="containsText" dxfId="3550" priority="4434" operator="containsText" text="NO">
      <formula>NOT(ISERROR(SEARCH("NO",C159)))</formula>
    </cfRule>
  </conditionalFormatting>
  <conditionalFormatting sqref="E159">
    <cfRule type="containsText" dxfId="3549" priority="4432" operator="containsText" text="Sin información">
      <formula>NOT(ISERROR(SEARCH("Sin información",E159)))</formula>
    </cfRule>
  </conditionalFormatting>
  <conditionalFormatting sqref="C159:E159">
    <cfRule type="containsText" dxfId="3548" priority="4431" operator="containsText" text="NUEVO">
      <formula>NOT(ISERROR(SEARCH("NUEVO",C159)))</formula>
    </cfRule>
  </conditionalFormatting>
  <conditionalFormatting sqref="E159">
    <cfRule type="containsText" dxfId="3547" priority="4430" operator="containsText" text="Sin Información">
      <formula>NOT(ISERROR(SEARCH("Sin Información",E159)))</formula>
    </cfRule>
  </conditionalFormatting>
  <conditionalFormatting sqref="F159">
    <cfRule type="expression" dxfId="3546" priority="4429">
      <formula>F159&lt;&gt;""</formula>
    </cfRule>
  </conditionalFormatting>
  <conditionalFormatting sqref="E159">
    <cfRule type="expression" dxfId="3545" priority="4428">
      <formula>E159&lt;&gt;""</formula>
    </cfRule>
  </conditionalFormatting>
  <conditionalFormatting sqref="C160:D160">
    <cfRule type="containsText" dxfId="3544" priority="4427" operator="containsText" text="NO+$D$4:$D$10">
      <formula>NOT(ISERROR(SEARCH("NO+$D$4:$D$10",C160)))</formula>
    </cfRule>
  </conditionalFormatting>
  <conditionalFormatting sqref="C160:D160">
    <cfRule type="containsText" dxfId="3543" priority="4425" operator="containsText" text="SI">
      <formula>NOT(ISERROR(SEARCH("SI",C160)))</formula>
    </cfRule>
    <cfRule type="containsText" dxfId="3542" priority="4426" operator="containsText" text="NO">
      <formula>NOT(ISERROR(SEARCH("NO",C160)))</formula>
    </cfRule>
  </conditionalFormatting>
  <conditionalFormatting sqref="C160:D160">
    <cfRule type="containsText" dxfId="3541" priority="4424" operator="containsText" text="NUEVO">
      <formula>NOT(ISERROR(SEARCH("NUEVO",C160)))</formula>
    </cfRule>
  </conditionalFormatting>
  <conditionalFormatting sqref="E160">
    <cfRule type="containsText" dxfId="3540" priority="4422" operator="containsText" text="NUEVO">
      <formula>NOT(ISERROR(SEARCH("NUEVO",E160)))</formula>
    </cfRule>
  </conditionalFormatting>
  <conditionalFormatting sqref="E160">
    <cfRule type="containsText" dxfId="3539" priority="4423" operator="containsText" text="Sin información">
      <formula>NOT(ISERROR(SEARCH("Sin información",E160)))</formula>
    </cfRule>
  </conditionalFormatting>
  <conditionalFormatting sqref="E160">
    <cfRule type="containsText" dxfId="3538" priority="4421" operator="containsText" text="Sin Información">
      <formula>NOT(ISERROR(SEARCH("Sin Información",E160)))</formula>
    </cfRule>
  </conditionalFormatting>
  <conditionalFormatting sqref="F160">
    <cfRule type="expression" dxfId="3537" priority="4420">
      <formula>F160&lt;&gt;""</formula>
    </cfRule>
  </conditionalFormatting>
  <conditionalFormatting sqref="E160">
    <cfRule type="expression" dxfId="3536" priority="4419">
      <formula>E160&lt;&gt;""</formula>
    </cfRule>
  </conditionalFormatting>
  <conditionalFormatting sqref="C161:D161">
    <cfRule type="containsText" dxfId="3535" priority="4418" operator="containsText" text="NO+$D$4:$D$10">
      <formula>NOT(ISERROR(SEARCH("NO+$D$4:$D$10",C161)))</formula>
    </cfRule>
  </conditionalFormatting>
  <conditionalFormatting sqref="C161:D161">
    <cfRule type="containsText" dxfId="3534" priority="4416" operator="containsText" text="SI">
      <formula>NOT(ISERROR(SEARCH("SI",C161)))</formula>
    </cfRule>
    <cfRule type="containsText" dxfId="3533" priority="4417" operator="containsText" text="NO">
      <formula>NOT(ISERROR(SEARCH("NO",C161)))</formula>
    </cfRule>
  </conditionalFormatting>
  <conditionalFormatting sqref="C161:D161">
    <cfRule type="containsText" dxfId="3532" priority="4415" operator="containsText" text="NUEVO">
      <formula>NOT(ISERROR(SEARCH("NUEVO",C161)))</formula>
    </cfRule>
  </conditionalFormatting>
  <conditionalFormatting sqref="E161">
    <cfRule type="containsText" dxfId="3531" priority="4412" operator="containsText" text="Sin Información">
      <formula>NOT(ISERROR(SEARCH("Sin Información",E161)))</formula>
    </cfRule>
  </conditionalFormatting>
  <conditionalFormatting sqref="E161">
    <cfRule type="containsText" dxfId="3530" priority="4413" operator="containsText" text="NUEVO">
      <formula>NOT(ISERROR(SEARCH("NUEVO",E161)))</formula>
    </cfRule>
  </conditionalFormatting>
  <conditionalFormatting sqref="E161">
    <cfRule type="containsText" dxfId="3529" priority="4414" operator="containsText" text="Sin información">
      <formula>NOT(ISERROR(SEARCH("Sin información",E161)))</formula>
    </cfRule>
  </conditionalFormatting>
  <conditionalFormatting sqref="F161">
    <cfRule type="expression" dxfId="3528" priority="4411">
      <formula>F161&lt;&gt;""</formula>
    </cfRule>
  </conditionalFormatting>
  <conditionalFormatting sqref="E161">
    <cfRule type="expression" dxfId="3527" priority="4410">
      <formula>E161&lt;&gt;""</formula>
    </cfRule>
  </conditionalFormatting>
  <conditionalFormatting sqref="C162:D162">
    <cfRule type="containsText" dxfId="3526" priority="4409" operator="containsText" text="NO+$D$4:$D$10">
      <formula>NOT(ISERROR(SEARCH("NO+$D$4:$D$10",C162)))</formula>
    </cfRule>
  </conditionalFormatting>
  <conditionalFormatting sqref="C162:D162">
    <cfRule type="containsText" dxfId="3525" priority="4407" operator="containsText" text="SI">
      <formula>NOT(ISERROR(SEARCH("SI",C162)))</formula>
    </cfRule>
    <cfRule type="containsText" dxfId="3524" priority="4408" operator="containsText" text="NO">
      <formula>NOT(ISERROR(SEARCH("NO",C162)))</formula>
    </cfRule>
  </conditionalFormatting>
  <conditionalFormatting sqref="C162:D162">
    <cfRule type="containsText" dxfId="3523" priority="4406" operator="containsText" text="NUEVO">
      <formula>NOT(ISERROR(SEARCH("NUEVO",C162)))</formula>
    </cfRule>
  </conditionalFormatting>
  <conditionalFormatting sqref="E162">
    <cfRule type="containsText" dxfId="3522" priority="4403" operator="containsText" text="Sin Información">
      <formula>NOT(ISERROR(SEARCH("Sin Información",E162)))</formula>
    </cfRule>
  </conditionalFormatting>
  <conditionalFormatting sqref="E162">
    <cfRule type="containsText" dxfId="3521" priority="4404" operator="containsText" text="NUEVO">
      <formula>NOT(ISERROR(SEARCH("NUEVO",E162)))</formula>
    </cfRule>
  </conditionalFormatting>
  <conditionalFormatting sqref="E162">
    <cfRule type="containsText" dxfId="3520" priority="4405" operator="containsText" text="Sin información">
      <formula>NOT(ISERROR(SEARCH("Sin información",E162)))</formula>
    </cfRule>
  </conditionalFormatting>
  <conditionalFormatting sqref="F162">
    <cfRule type="expression" dxfId="3519" priority="4402">
      <formula>F162&lt;&gt;""</formula>
    </cfRule>
  </conditionalFormatting>
  <conditionalFormatting sqref="E162">
    <cfRule type="expression" dxfId="3518" priority="4401">
      <formula>E162&lt;&gt;""</formula>
    </cfRule>
  </conditionalFormatting>
  <conditionalFormatting sqref="C718:D718">
    <cfRule type="containsText" dxfId="3517" priority="4382" operator="containsText" text="NO+$D$4:$D$10">
      <formula>NOT(ISERROR(SEARCH("NO+$D$4:$D$10",C718)))</formula>
    </cfRule>
  </conditionalFormatting>
  <conditionalFormatting sqref="C718:D718">
    <cfRule type="containsText" dxfId="3516" priority="4380" operator="containsText" text="SI">
      <formula>NOT(ISERROR(SEARCH("SI",C718)))</formula>
    </cfRule>
    <cfRule type="containsText" dxfId="3515" priority="4381" operator="containsText" text="NO">
      <formula>NOT(ISERROR(SEARCH("NO",C718)))</formula>
    </cfRule>
  </conditionalFormatting>
  <conditionalFormatting sqref="C718:D718">
    <cfRule type="containsText" dxfId="3514" priority="4379" operator="containsText" text="NUEVO">
      <formula>NOT(ISERROR(SEARCH("NUEVO",C718)))</formula>
    </cfRule>
  </conditionalFormatting>
  <conditionalFormatting sqref="E718">
    <cfRule type="containsText" dxfId="3513" priority="4383" operator="containsText" text="Sin Información">
      <formula>NOT(ISERROR(SEARCH("Sin Información",E1228)))</formula>
    </cfRule>
  </conditionalFormatting>
  <conditionalFormatting sqref="E718">
    <cfRule type="expression" dxfId="3512" priority="4378">
      <formula>E718&lt;&gt;""</formula>
    </cfRule>
  </conditionalFormatting>
  <conditionalFormatting sqref="F718">
    <cfRule type="expression" dxfId="3511" priority="4377">
      <formula>F718&lt;&gt;""</formula>
    </cfRule>
  </conditionalFormatting>
  <conditionalFormatting sqref="C719:D719">
    <cfRule type="containsText" dxfId="3510" priority="4376" operator="containsText" text="NO+$D$4:$D$10">
      <formula>NOT(ISERROR(SEARCH("NO+$D$4:$D$10",C719)))</formula>
    </cfRule>
  </conditionalFormatting>
  <conditionalFormatting sqref="C719:D719">
    <cfRule type="containsText" dxfId="3509" priority="4374" operator="containsText" text="SI">
      <formula>NOT(ISERROR(SEARCH("SI",C719)))</formula>
    </cfRule>
    <cfRule type="containsText" dxfId="3508" priority="4375" operator="containsText" text="NO">
      <formula>NOT(ISERROR(SEARCH("NO",C719)))</formula>
    </cfRule>
  </conditionalFormatting>
  <conditionalFormatting sqref="C719:D719">
    <cfRule type="containsText" dxfId="3507" priority="4373" operator="containsText" text="NUEVO">
      <formula>NOT(ISERROR(SEARCH("NUEVO",C719)))</formula>
    </cfRule>
  </conditionalFormatting>
  <conditionalFormatting sqref="E719">
    <cfRule type="containsText" dxfId="3506" priority="4371" operator="containsText" text="NUEVO">
      <formula>NOT(ISERROR(SEARCH("NUEVO",E719)))</formula>
    </cfRule>
  </conditionalFormatting>
  <conditionalFormatting sqref="E719">
    <cfRule type="containsText" dxfId="3505" priority="4372" operator="containsText" text="Sin información">
      <formula>NOT(ISERROR(SEARCH("Sin información",E719)))</formula>
    </cfRule>
  </conditionalFormatting>
  <conditionalFormatting sqref="E719">
    <cfRule type="expression" dxfId="3504" priority="4370">
      <formula>E719&lt;&gt;""</formula>
    </cfRule>
  </conditionalFormatting>
  <conditionalFormatting sqref="F719">
    <cfRule type="expression" dxfId="3503" priority="4369">
      <formula>F719&lt;&gt;""</formula>
    </cfRule>
  </conditionalFormatting>
  <conditionalFormatting sqref="C720:D720">
    <cfRule type="containsText" dxfId="3502" priority="4352" operator="containsText" text="NO+$D$4:$D$10">
      <formula>NOT(ISERROR(SEARCH("NO+$D$4:$D$10",C720)))</formula>
    </cfRule>
  </conditionalFormatting>
  <conditionalFormatting sqref="C720:D720">
    <cfRule type="containsText" dxfId="3501" priority="4350" operator="containsText" text="SI">
      <formula>NOT(ISERROR(SEARCH("SI",C720)))</formula>
    </cfRule>
    <cfRule type="containsText" dxfId="3500" priority="4351" operator="containsText" text="NO">
      <formula>NOT(ISERROR(SEARCH("NO",C720)))</formula>
    </cfRule>
  </conditionalFormatting>
  <conditionalFormatting sqref="C720:E720">
    <cfRule type="containsText" dxfId="3499" priority="4349" operator="containsText" text="NUEVO">
      <formula>NOT(ISERROR(SEARCH("NUEVO",C720)))</formula>
    </cfRule>
  </conditionalFormatting>
  <conditionalFormatting sqref="E720">
    <cfRule type="containsText" dxfId="3498" priority="4348" operator="containsText" text="Sin Información">
      <formula>NOT(ISERROR(SEARCH("Sin Información",E720)))</formula>
    </cfRule>
  </conditionalFormatting>
  <conditionalFormatting sqref="E720">
    <cfRule type="expression" dxfId="3497" priority="4347">
      <formula>E720&lt;&gt;""</formula>
    </cfRule>
  </conditionalFormatting>
  <conditionalFormatting sqref="F720">
    <cfRule type="expression" dxfId="3496" priority="4346">
      <formula>F720&lt;&gt;""</formula>
    </cfRule>
  </conditionalFormatting>
  <conditionalFormatting sqref="C721:D721">
    <cfRule type="containsText" dxfId="3495" priority="4319" operator="containsText" text="NO+$D$4:$D$10">
      <formula>NOT(ISERROR(SEARCH("NO+$D$4:$D$10",C721)))</formula>
    </cfRule>
  </conditionalFormatting>
  <conditionalFormatting sqref="C721:D721">
    <cfRule type="containsText" dxfId="3494" priority="4317" operator="containsText" text="SI">
      <formula>NOT(ISERROR(SEARCH("SI",C721)))</formula>
    </cfRule>
    <cfRule type="containsText" dxfId="3493" priority="4318" operator="containsText" text="NO">
      <formula>NOT(ISERROR(SEARCH("NO",C721)))</formula>
    </cfRule>
  </conditionalFormatting>
  <conditionalFormatting sqref="C721:D721">
    <cfRule type="containsText" dxfId="3492" priority="4316" operator="containsText" text="NUEVO">
      <formula>NOT(ISERROR(SEARCH("NUEVO",C721)))</formula>
    </cfRule>
  </conditionalFormatting>
  <conditionalFormatting sqref="E721">
    <cfRule type="expression" dxfId="3491" priority="4315">
      <formula>E721&lt;&gt;""</formula>
    </cfRule>
  </conditionalFormatting>
  <conditionalFormatting sqref="F721">
    <cfRule type="expression" dxfId="3490" priority="4314">
      <formula>F721&lt;&gt;""</formula>
    </cfRule>
  </conditionalFormatting>
  <conditionalFormatting sqref="E721">
    <cfRule type="containsText" dxfId="3489" priority="4320" operator="containsText" text="Sin Información">
      <formula>NOT(ISERROR(SEARCH("Sin Información",#REF!)))</formula>
    </cfRule>
  </conditionalFormatting>
  <conditionalFormatting sqref="E721">
    <cfRule type="containsText" dxfId="3488" priority="4321" operator="containsText" text="NUEVO">
      <formula>NOT(ISERROR(SEARCH("NUEVO",#REF!)))</formula>
    </cfRule>
  </conditionalFormatting>
  <conditionalFormatting sqref="C722:D722">
    <cfRule type="containsText" dxfId="3487" priority="4313" operator="containsText" text="NO+$D$4:$D$10">
      <formula>NOT(ISERROR(SEARCH("NO+$D$4:$D$10",C722)))</formula>
    </cfRule>
  </conditionalFormatting>
  <conditionalFormatting sqref="C722:D722">
    <cfRule type="containsText" dxfId="3486" priority="4311" operator="containsText" text="SI">
      <formula>NOT(ISERROR(SEARCH("SI",C722)))</formula>
    </cfRule>
    <cfRule type="containsText" dxfId="3485" priority="4312" operator="containsText" text="NO">
      <formula>NOT(ISERROR(SEARCH("NO",C722)))</formula>
    </cfRule>
  </conditionalFormatting>
  <conditionalFormatting sqref="C722:D722">
    <cfRule type="containsText" dxfId="3484" priority="4310" operator="containsText" text="NUEVO">
      <formula>NOT(ISERROR(SEARCH("NUEVO",C722)))</formula>
    </cfRule>
  </conditionalFormatting>
  <conditionalFormatting sqref="E722">
    <cfRule type="containsText" dxfId="3483" priority="4308" operator="containsText" text="Sin Información">
      <formula>NOT(ISERROR(SEARCH("Sin Información",E722)))</formula>
    </cfRule>
  </conditionalFormatting>
  <conditionalFormatting sqref="E722">
    <cfRule type="containsText" dxfId="3482" priority="4309" operator="containsText" text="NUEVO">
      <formula>NOT(ISERROR(SEARCH("NUEVO",E722)))</formula>
    </cfRule>
  </conditionalFormatting>
  <conditionalFormatting sqref="E722">
    <cfRule type="expression" dxfId="3481" priority="4307">
      <formula>E722&lt;&gt;""</formula>
    </cfRule>
  </conditionalFormatting>
  <conditionalFormatting sqref="F722">
    <cfRule type="expression" dxfId="3480" priority="4306">
      <formula>F722&lt;&gt;""</formula>
    </cfRule>
  </conditionalFormatting>
  <conditionalFormatting sqref="C723:D723">
    <cfRule type="containsText" dxfId="3479" priority="4305" operator="containsText" text="NO+$D$4:$D$10">
      <formula>NOT(ISERROR(SEARCH("NO+$D$4:$D$10",C723)))</formula>
    </cfRule>
  </conditionalFormatting>
  <conditionalFormatting sqref="C723:D723">
    <cfRule type="containsText" dxfId="3478" priority="4303" operator="containsText" text="SI">
      <formula>NOT(ISERROR(SEARCH("SI",C723)))</formula>
    </cfRule>
    <cfRule type="containsText" dxfId="3477" priority="4304" operator="containsText" text="NO">
      <formula>NOT(ISERROR(SEARCH("NO",C723)))</formula>
    </cfRule>
  </conditionalFormatting>
  <conditionalFormatting sqref="C723:D723">
    <cfRule type="containsText" dxfId="3476" priority="4302" operator="containsText" text="NUEVO">
      <formula>NOT(ISERROR(SEARCH("NUEVO",C723)))</formula>
    </cfRule>
  </conditionalFormatting>
  <conditionalFormatting sqref="E723">
    <cfRule type="containsText" dxfId="3475" priority="4300" operator="containsText" text="Sin Información">
      <formula>NOT(ISERROR(SEARCH("Sin Información",E723)))</formula>
    </cfRule>
  </conditionalFormatting>
  <conditionalFormatting sqref="E723">
    <cfRule type="containsText" dxfId="3474" priority="4301" operator="containsText" text="NUEVO">
      <formula>NOT(ISERROR(SEARCH("NUEVO",E723)))</formula>
    </cfRule>
  </conditionalFormatting>
  <conditionalFormatting sqref="E723">
    <cfRule type="expression" dxfId="3473" priority="4299">
      <formula>E723&lt;&gt;""</formula>
    </cfRule>
  </conditionalFormatting>
  <conditionalFormatting sqref="F723">
    <cfRule type="expression" dxfId="3472" priority="4298">
      <formula>F723&lt;&gt;""</formula>
    </cfRule>
  </conditionalFormatting>
  <conditionalFormatting sqref="C1124:D1124">
    <cfRule type="containsText" dxfId="3471" priority="4280" operator="containsText" text="NO+$D$4:$D$10">
      <formula>NOT(ISERROR(SEARCH("NO+$D$4:$D$10",C1124)))</formula>
    </cfRule>
  </conditionalFormatting>
  <conditionalFormatting sqref="C1124:D1124">
    <cfRule type="containsText" dxfId="3470" priority="4278" operator="containsText" text="SI">
      <formula>NOT(ISERROR(SEARCH("SI",C1124)))</formula>
    </cfRule>
    <cfRule type="containsText" dxfId="3469" priority="4279" operator="containsText" text="NO">
      <formula>NOT(ISERROR(SEARCH("NO",C1124)))</formula>
    </cfRule>
  </conditionalFormatting>
  <conditionalFormatting sqref="C1124:D1124">
    <cfRule type="containsText" dxfId="3468" priority="4277" operator="containsText" text="NUEVO">
      <formula>NOT(ISERROR(SEARCH("NUEVO",C1124)))</formula>
    </cfRule>
  </conditionalFormatting>
  <conditionalFormatting sqref="E1124">
    <cfRule type="expression" dxfId="3467" priority="4276">
      <formula>E1124&lt;&gt;""</formula>
    </cfRule>
  </conditionalFormatting>
  <conditionalFormatting sqref="F1124">
    <cfRule type="expression" dxfId="3466" priority="4275">
      <formula>F1124&lt;&gt;""</formula>
    </cfRule>
  </conditionalFormatting>
  <conditionalFormatting sqref="E1124">
    <cfRule type="containsText" dxfId="3465" priority="4281" operator="containsText" text="Sin información">
      <formula>NOT(ISERROR(SEARCH("Sin información",E2291)))</formula>
    </cfRule>
  </conditionalFormatting>
  <conditionalFormatting sqref="E1124">
    <cfRule type="containsText" dxfId="3464" priority="4282" operator="containsText" text="NUEVO">
      <formula>NOT(ISERROR(SEARCH("NUEVO",E2291)))</formula>
    </cfRule>
  </conditionalFormatting>
  <conditionalFormatting sqref="C1125:D1125">
    <cfRule type="containsText" dxfId="3463" priority="4264" operator="containsText" text="NO+$D$4:$D$10">
      <formula>NOT(ISERROR(SEARCH("NO+$D$4:$D$10",C1125)))</formula>
    </cfRule>
  </conditionalFormatting>
  <conditionalFormatting sqref="C1125:D1125">
    <cfRule type="containsText" dxfId="3462" priority="4262" operator="containsText" text="SI">
      <formula>NOT(ISERROR(SEARCH("SI",C1125)))</formula>
    </cfRule>
    <cfRule type="containsText" dxfId="3461" priority="4263" operator="containsText" text="NO">
      <formula>NOT(ISERROR(SEARCH("NO",C1125)))</formula>
    </cfRule>
  </conditionalFormatting>
  <conditionalFormatting sqref="C1125:D1125">
    <cfRule type="containsText" dxfId="3460" priority="4261" operator="containsText" text="NUEVO">
      <formula>NOT(ISERROR(SEARCH("NUEVO",C1125)))</formula>
    </cfRule>
  </conditionalFormatting>
  <conditionalFormatting sqref="E1125:F1125">
    <cfRule type="expression" dxfId="3459" priority="4260">
      <formula>E1125&lt;&gt;""</formula>
    </cfRule>
  </conditionalFormatting>
  <conditionalFormatting sqref="E1125">
    <cfRule type="containsText" dxfId="3458" priority="4265" operator="containsText" text="Sin información">
      <formula>NOT(ISERROR(SEARCH("Sin información",E2287)))</formula>
    </cfRule>
  </conditionalFormatting>
  <conditionalFormatting sqref="C1126:D1126">
    <cfRule type="containsText" dxfId="3457" priority="4252" operator="containsText" text="NO+$D$4:$D$10">
      <formula>NOT(ISERROR(SEARCH("NO+$D$4:$D$10",C1126)))</formula>
    </cfRule>
  </conditionalFormatting>
  <conditionalFormatting sqref="C1126:D1126">
    <cfRule type="containsText" dxfId="3456" priority="4250" operator="containsText" text="SI">
      <formula>NOT(ISERROR(SEARCH("SI",C1126)))</formula>
    </cfRule>
    <cfRule type="containsText" dxfId="3455" priority="4251" operator="containsText" text="NO">
      <formula>NOT(ISERROR(SEARCH("NO",C1126)))</formula>
    </cfRule>
  </conditionalFormatting>
  <conditionalFormatting sqref="E1126">
    <cfRule type="containsText" dxfId="3454" priority="4249" operator="containsText" text="Sin información">
      <formula>NOT(ISERROR(SEARCH("Sin información",E1126)))</formula>
    </cfRule>
  </conditionalFormatting>
  <conditionalFormatting sqref="C1126:E1126">
    <cfRule type="containsText" dxfId="3453" priority="4248" operator="containsText" text="NUEVO">
      <formula>NOT(ISERROR(SEARCH("NUEVO",C1126)))</formula>
    </cfRule>
  </conditionalFormatting>
  <conditionalFormatting sqref="E1126:F1126">
    <cfRule type="expression" dxfId="3452" priority="4247">
      <formula>E1126&lt;&gt;""</formula>
    </cfRule>
  </conditionalFormatting>
  <conditionalFormatting sqref="C1127:D1127">
    <cfRule type="containsText" dxfId="3451" priority="4246" operator="containsText" text="NO+$D$4:$D$10">
      <formula>NOT(ISERROR(SEARCH("NO+$D$4:$D$10",C1127)))</formula>
    </cfRule>
  </conditionalFormatting>
  <conditionalFormatting sqref="C1127:D1127">
    <cfRule type="containsText" dxfId="3450" priority="4244" operator="containsText" text="SI">
      <formula>NOT(ISERROR(SEARCH("SI",C1127)))</formula>
    </cfRule>
    <cfRule type="containsText" dxfId="3449" priority="4245" operator="containsText" text="NO">
      <formula>NOT(ISERROR(SEARCH("NO",C1127)))</formula>
    </cfRule>
  </conditionalFormatting>
  <conditionalFormatting sqref="C1127:E1127">
    <cfRule type="containsText" dxfId="3448" priority="4243" operator="containsText" text="NUEVO">
      <formula>NOT(ISERROR(SEARCH("NUEVO",C1127)))</formula>
    </cfRule>
  </conditionalFormatting>
  <conditionalFormatting sqref="E1127">
    <cfRule type="containsText" dxfId="3447" priority="4242" operator="containsText" text="Sin Información">
      <formula>NOT(ISERROR(SEARCH("Sin Información",E1127)))</formula>
    </cfRule>
  </conditionalFormatting>
  <conditionalFormatting sqref="E1127">
    <cfRule type="expression" dxfId="3446" priority="4241">
      <formula>E1127&lt;&gt;""</formula>
    </cfRule>
  </conditionalFormatting>
  <conditionalFormatting sqref="F1127">
    <cfRule type="expression" dxfId="3445" priority="4240">
      <formula>F1127&lt;&gt;""</formula>
    </cfRule>
  </conditionalFormatting>
  <conditionalFormatting sqref="C1512:D1512">
    <cfRule type="containsText" dxfId="3444" priority="4224" operator="containsText" text="NO+$D$4:$D$10">
      <formula>NOT(ISERROR(SEARCH("NO+$D$4:$D$10",C1512)))</formula>
    </cfRule>
  </conditionalFormatting>
  <conditionalFormatting sqref="C1512:D1512">
    <cfRule type="containsText" dxfId="3443" priority="4222" operator="containsText" text="SI">
      <formula>NOT(ISERROR(SEARCH("SI",C1512)))</formula>
    </cfRule>
    <cfRule type="containsText" dxfId="3442" priority="4223" operator="containsText" text="NO">
      <formula>NOT(ISERROR(SEARCH("NO",C1512)))</formula>
    </cfRule>
  </conditionalFormatting>
  <conditionalFormatting sqref="C1512:D1512">
    <cfRule type="containsText" dxfId="3441" priority="4221" operator="containsText" text="NUEVO">
      <formula>NOT(ISERROR(SEARCH("NUEVO",C1512)))</formula>
    </cfRule>
  </conditionalFormatting>
  <conditionalFormatting sqref="E1512">
    <cfRule type="containsText" dxfId="3440" priority="4220" operator="containsText" text="NUEVO">
      <formula>NOT(ISERROR(SEARCH("NUEVO",E1512)))</formula>
    </cfRule>
  </conditionalFormatting>
  <conditionalFormatting sqref="E1512">
    <cfRule type="containsText" dxfId="3439" priority="4219" operator="containsText" text="Sin Información">
      <formula>NOT(ISERROR(SEARCH("Sin Información",E1512)))</formula>
    </cfRule>
  </conditionalFormatting>
  <conditionalFormatting sqref="E1512:F1512">
    <cfRule type="expression" dxfId="3438" priority="4218">
      <formula>E1512&lt;&gt;""</formula>
    </cfRule>
  </conditionalFormatting>
  <conditionalFormatting sqref="C1513:D1513">
    <cfRule type="containsText" dxfId="3437" priority="4217" operator="containsText" text="NO+$D$4:$D$10">
      <formula>NOT(ISERROR(SEARCH("NO+$D$4:$D$10",C1513)))</formula>
    </cfRule>
  </conditionalFormatting>
  <conditionalFormatting sqref="C1513:D1513">
    <cfRule type="containsText" dxfId="3436" priority="4215" operator="containsText" text="SI">
      <formula>NOT(ISERROR(SEARCH("SI",C1513)))</formula>
    </cfRule>
    <cfRule type="containsText" dxfId="3435" priority="4216" operator="containsText" text="NO">
      <formula>NOT(ISERROR(SEARCH("NO",C1513)))</formula>
    </cfRule>
  </conditionalFormatting>
  <conditionalFormatting sqref="C1513:D1513">
    <cfRule type="containsText" dxfId="3434" priority="4214" operator="containsText" text="NUEVO">
      <formula>NOT(ISERROR(SEARCH("NUEVO",C1513)))</formula>
    </cfRule>
  </conditionalFormatting>
  <conditionalFormatting sqref="E1513">
    <cfRule type="containsText" dxfId="3433" priority="4213" operator="containsText" text="NUEVO">
      <formula>NOT(ISERROR(SEARCH("NUEVO",E1513)))</formula>
    </cfRule>
  </conditionalFormatting>
  <conditionalFormatting sqref="E1513">
    <cfRule type="containsText" dxfId="3432" priority="4212" operator="containsText" text="Sin Información">
      <formula>NOT(ISERROR(SEARCH("Sin Información",E1513)))</formula>
    </cfRule>
  </conditionalFormatting>
  <conditionalFormatting sqref="E1513:F1513">
    <cfRule type="expression" dxfId="3431" priority="4211">
      <formula>E1513&lt;&gt;""</formula>
    </cfRule>
  </conditionalFormatting>
  <conditionalFormatting sqref="C1514:D1514">
    <cfRule type="containsText" dxfId="3430" priority="4210" operator="containsText" text="NO+$D$4:$D$10">
      <formula>NOT(ISERROR(SEARCH("NO+$D$4:$D$10",C1514)))</formula>
    </cfRule>
  </conditionalFormatting>
  <conditionalFormatting sqref="C1514:D1514">
    <cfRule type="containsText" dxfId="3429" priority="4208" operator="containsText" text="SI">
      <formula>NOT(ISERROR(SEARCH("SI",C1514)))</formula>
    </cfRule>
    <cfRule type="containsText" dxfId="3428" priority="4209" operator="containsText" text="NO">
      <formula>NOT(ISERROR(SEARCH("NO",C1514)))</formula>
    </cfRule>
  </conditionalFormatting>
  <conditionalFormatting sqref="C1514:D1514">
    <cfRule type="containsText" dxfId="3427" priority="4207" operator="containsText" text="NUEVO">
      <formula>NOT(ISERROR(SEARCH("NUEVO",C1514)))</formula>
    </cfRule>
  </conditionalFormatting>
  <conditionalFormatting sqref="E1514">
    <cfRule type="containsText" dxfId="3426" priority="4206" operator="containsText" text="NUEVO">
      <formula>NOT(ISERROR(SEARCH("NUEVO",E1514)))</formula>
    </cfRule>
  </conditionalFormatting>
  <conditionalFormatting sqref="E1514">
    <cfRule type="containsText" dxfId="3425" priority="4205" operator="containsText" text="Sin Información">
      <formula>NOT(ISERROR(SEARCH("Sin Información",E1514)))</formula>
    </cfRule>
  </conditionalFormatting>
  <conditionalFormatting sqref="E1514:F1514">
    <cfRule type="expression" dxfId="3424" priority="4204">
      <formula>E1514&lt;&gt;""</formula>
    </cfRule>
  </conditionalFormatting>
  <conditionalFormatting sqref="C1515:D1515">
    <cfRule type="containsText" dxfId="3423" priority="4203" operator="containsText" text="NO+$D$4:$D$10">
      <formula>NOT(ISERROR(SEARCH("NO+$D$4:$D$10",C1515)))</formula>
    </cfRule>
  </conditionalFormatting>
  <conditionalFormatting sqref="C1515:D1515">
    <cfRule type="containsText" dxfId="3422" priority="4201" operator="containsText" text="SI">
      <formula>NOT(ISERROR(SEARCH("SI",C1515)))</formula>
    </cfRule>
    <cfRule type="containsText" dxfId="3421" priority="4202" operator="containsText" text="NO">
      <formula>NOT(ISERROR(SEARCH("NO",C1515)))</formula>
    </cfRule>
  </conditionalFormatting>
  <conditionalFormatting sqref="C1515:D1515">
    <cfRule type="containsText" dxfId="3420" priority="4200" operator="containsText" text="NUEVO">
      <formula>NOT(ISERROR(SEARCH("NUEVO",C1515)))</formula>
    </cfRule>
  </conditionalFormatting>
  <conditionalFormatting sqref="E1515">
    <cfRule type="containsText" dxfId="3419" priority="4199" operator="containsText" text="NUEVO">
      <formula>NOT(ISERROR(SEARCH("NUEVO",E1515)))</formula>
    </cfRule>
  </conditionalFormatting>
  <conditionalFormatting sqref="E1515">
    <cfRule type="containsText" dxfId="3418" priority="4198" operator="containsText" text="Sin Información">
      <formula>NOT(ISERROR(SEARCH("Sin Información",E1515)))</formula>
    </cfRule>
  </conditionalFormatting>
  <conditionalFormatting sqref="E1515:F1515">
    <cfRule type="expression" dxfId="3417" priority="4197">
      <formula>E1515&lt;&gt;""</formula>
    </cfRule>
  </conditionalFormatting>
  <conditionalFormatting sqref="C163:D163">
    <cfRule type="containsText" dxfId="3416" priority="4188" operator="containsText" text="NO+$D$4:$D$10">
      <formula>NOT(ISERROR(SEARCH("NO+$D$4:$D$10",C163)))</formula>
    </cfRule>
  </conditionalFormatting>
  <conditionalFormatting sqref="C163:D163">
    <cfRule type="containsText" dxfId="3415" priority="4186" operator="containsText" text="SI">
      <formula>NOT(ISERROR(SEARCH("SI",C163)))</formula>
    </cfRule>
    <cfRule type="containsText" dxfId="3414" priority="4187" operator="containsText" text="NO">
      <formula>NOT(ISERROR(SEARCH("NO",C163)))</formula>
    </cfRule>
  </conditionalFormatting>
  <conditionalFormatting sqref="C163:D163">
    <cfRule type="containsText" dxfId="3413" priority="4185" operator="containsText" text="NUEVO">
      <formula>NOT(ISERROR(SEARCH("NUEVO",C163)))</formula>
    </cfRule>
  </conditionalFormatting>
  <conditionalFormatting sqref="F163">
    <cfRule type="expression" dxfId="3412" priority="4184">
      <formula>F163&lt;&gt;""</formula>
    </cfRule>
  </conditionalFormatting>
  <conditionalFormatting sqref="E163">
    <cfRule type="expression" dxfId="3411" priority="4183">
      <formula>E163&lt;&gt;""</formula>
    </cfRule>
  </conditionalFormatting>
  <conditionalFormatting sqref="E163">
    <cfRule type="containsText" dxfId="3410" priority="4182" operator="containsText" text="Sin información">
      <formula>NOT(ISERROR(SEARCH("Sin información",E163)))</formula>
    </cfRule>
  </conditionalFormatting>
  <conditionalFormatting sqref="E163">
    <cfRule type="containsText" dxfId="3409" priority="4181" operator="containsText" text="NUEVO">
      <formula>NOT(ISERROR(SEARCH("NUEVO",E163)))</formula>
    </cfRule>
  </conditionalFormatting>
  <conditionalFormatting sqref="C724:D724">
    <cfRule type="containsText" dxfId="3408" priority="4180" operator="containsText" text="NO+$D$4:$D$10">
      <formula>NOT(ISERROR(SEARCH("NO+$D$4:$D$10",C724)))</formula>
    </cfRule>
  </conditionalFormatting>
  <conditionalFormatting sqref="C724:D724">
    <cfRule type="containsText" dxfId="3407" priority="4178" operator="containsText" text="SI">
      <formula>NOT(ISERROR(SEARCH("SI",C724)))</formula>
    </cfRule>
    <cfRule type="containsText" dxfId="3406" priority="4179" operator="containsText" text="NO">
      <formula>NOT(ISERROR(SEARCH("NO",C724)))</formula>
    </cfRule>
  </conditionalFormatting>
  <conditionalFormatting sqref="C724:D724">
    <cfRule type="containsText" dxfId="3405" priority="4177" operator="containsText" text="NUEVO">
      <formula>NOT(ISERROR(SEARCH("NUEVO",C724)))</formula>
    </cfRule>
  </conditionalFormatting>
  <conditionalFormatting sqref="F724">
    <cfRule type="expression" dxfId="3404" priority="4176">
      <formula>F724&lt;&gt;""</formula>
    </cfRule>
  </conditionalFormatting>
  <conditionalFormatting sqref="E724">
    <cfRule type="containsText" dxfId="3403" priority="4175" operator="containsText" text="NUEVO">
      <formula>NOT(ISERROR(SEARCH("NUEVO",E724)))</formula>
    </cfRule>
  </conditionalFormatting>
  <conditionalFormatting sqref="E724">
    <cfRule type="containsText" dxfId="3402" priority="4174" operator="containsText" text="Sin Información">
      <formula>NOT(ISERROR(SEARCH("Sin Información",E724)))</formula>
    </cfRule>
  </conditionalFormatting>
  <conditionalFormatting sqref="E724">
    <cfRule type="expression" dxfId="3401" priority="4173">
      <formula>E724&lt;&gt;""</formula>
    </cfRule>
  </conditionalFormatting>
  <conditionalFormatting sqref="E724">
    <cfRule type="containsText" dxfId="3400" priority="4172" operator="containsText" text="Sin información">
      <formula>NOT(ISERROR(SEARCH("Sin información",E724)))</formula>
    </cfRule>
  </conditionalFormatting>
  <conditionalFormatting sqref="E724">
    <cfRule type="expression" dxfId="3399" priority="4171">
      <formula>E724&lt;&gt;""</formula>
    </cfRule>
  </conditionalFormatting>
  <conditionalFormatting sqref="C725:D725">
    <cfRule type="containsText" dxfId="3398" priority="4142" operator="containsText" text="NO+$D$4:$D$10">
      <formula>NOT(ISERROR(SEARCH("NO+$D$4:$D$10",C725)))</formula>
    </cfRule>
  </conditionalFormatting>
  <conditionalFormatting sqref="C725:D725">
    <cfRule type="containsText" dxfId="3397" priority="4140" operator="containsText" text="SI">
      <formula>NOT(ISERROR(SEARCH("SI",C725)))</formula>
    </cfRule>
    <cfRule type="containsText" dxfId="3396" priority="4141" operator="containsText" text="NO">
      <formula>NOT(ISERROR(SEARCH("NO",C725)))</formula>
    </cfRule>
  </conditionalFormatting>
  <conditionalFormatting sqref="C725:D725">
    <cfRule type="containsText" dxfId="3395" priority="4139" operator="containsText" text="NUEVO">
      <formula>NOT(ISERROR(SEARCH("NUEVO",C725)))</formula>
    </cfRule>
  </conditionalFormatting>
  <conditionalFormatting sqref="F725">
    <cfRule type="expression" dxfId="3394" priority="4138">
      <formula>F725&lt;&gt;""</formula>
    </cfRule>
  </conditionalFormatting>
  <conditionalFormatting sqref="E725">
    <cfRule type="containsText" dxfId="3393" priority="4136" operator="containsText" text="Sin Información">
      <formula>NOT(ISERROR(SEARCH("Sin Información",E725)))</formula>
    </cfRule>
  </conditionalFormatting>
  <conditionalFormatting sqref="E725">
    <cfRule type="containsText" dxfId="3392" priority="4137" operator="containsText" text="NUEVO">
      <formula>NOT(ISERROR(SEARCH("NUEVO",E725)))</formula>
    </cfRule>
  </conditionalFormatting>
  <conditionalFormatting sqref="E725">
    <cfRule type="expression" dxfId="3391" priority="4135">
      <formula>E725&lt;&gt;""</formula>
    </cfRule>
  </conditionalFormatting>
  <conditionalFormatting sqref="E725">
    <cfRule type="containsText" dxfId="3390" priority="4134" operator="containsText" text="Sin información">
      <formula>NOT(ISERROR(SEARCH("Sin información",E725)))</formula>
    </cfRule>
  </conditionalFormatting>
  <conditionalFormatting sqref="E725">
    <cfRule type="expression" dxfId="3389" priority="4133">
      <formula>E725&lt;&gt;""</formula>
    </cfRule>
  </conditionalFormatting>
  <conditionalFormatting sqref="C726:D726">
    <cfRule type="containsText" dxfId="3388" priority="4132" operator="containsText" text="NO+$D$4:$D$10">
      <formula>NOT(ISERROR(SEARCH("NO+$D$4:$D$10",C726)))</formula>
    </cfRule>
  </conditionalFormatting>
  <conditionalFormatting sqref="C726:D726">
    <cfRule type="containsText" dxfId="3387" priority="4130" operator="containsText" text="SI">
      <formula>NOT(ISERROR(SEARCH("SI",C726)))</formula>
    </cfRule>
    <cfRule type="containsText" dxfId="3386" priority="4131" operator="containsText" text="NO">
      <formula>NOT(ISERROR(SEARCH("NO",C726)))</formula>
    </cfRule>
  </conditionalFormatting>
  <conditionalFormatting sqref="C726:D726">
    <cfRule type="containsText" dxfId="3385" priority="4129" operator="containsText" text="NUEVO">
      <formula>NOT(ISERROR(SEARCH("NUEVO",C726)))</formula>
    </cfRule>
  </conditionalFormatting>
  <conditionalFormatting sqref="E726">
    <cfRule type="containsText" dxfId="3384" priority="4127" operator="containsText" text="Sin Información">
      <formula>NOT(ISERROR(SEARCH("Sin Información",E726)))</formula>
    </cfRule>
  </conditionalFormatting>
  <conditionalFormatting sqref="E726">
    <cfRule type="containsText" dxfId="3383" priority="4128" operator="containsText" text="NUEVO">
      <formula>NOT(ISERROR(SEARCH("NUEVO",E726)))</formula>
    </cfRule>
  </conditionalFormatting>
  <conditionalFormatting sqref="E726:F726">
    <cfRule type="expression" dxfId="3382" priority="4126">
      <formula>E726&lt;&gt;""</formula>
    </cfRule>
  </conditionalFormatting>
  <conditionalFormatting sqref="E726">
    <cfRule type="containsText" dxfId="3381" priority="4125" operator="containsText" text="NUEVO">
      <formula>NOT(ISERROR(SEARCH("NUEVO",E726)))</formula>
    </cfRule>
  </conditionalFormatting>
  <conditionalFormatting sqref="E726">
    <cfRule type="containsText" dxfId="3380" priority="4124" operator="containsText" text="Sin Información">
      <formula>NOT(ISERROR(SEARCH("Sin Información",E726)))</formula>
    </cfRule>
  </conditionalFormatting>
  <conditionalFormatting sqref="C1064:D1064">
    <cfRule type="containsText" dxfId="3379" priority="4123" operator="containsText" text="NO+$D$4:$D$10">
      <formula>NOT(ISERROR(SEARCH("NO+$D$4:$D$10",C1064)))</formula>
    </cfRule>
  </conditionalFormatting>
  <conditionalFormatting sqref="C1064:D1064">
    <cfRule type="containsText" dxfId="3378" priority="4121" operator="containsText" text="SI">
      <formula>NOT(ISERROR(SEARCH("SI",C1064)))</formula>
    </cfRule>
    <cfRule type="containsText" dxfId="3377" priority="4122" operator="containsText" text="NO">
      <formula>NOT(ISERROR(SEARCH("NO",C1064)))</formula>
    </cfRule>
  </conditionalFormatting>
  <conditionalFormatting sqref="C1064:D1064">
    <cfRule type="containsText" dxfId="3376" priority="4120" operator="containsText" text="NUEVO">
      <formula>NOT(ISERROR(SEARCH("NUEVO",C1064)))</formula>
    </cfRule>
  </conditionalFormatting>
  <conditionalFormatting sqref="F1064">
    <cfRule type="expression" dxfId="3375" priority="4119">
      <formula>F1064&lt;&gt;""</formula>
    </cfRule>
  </conditionalFormatting>
  <conditionalFormatting sqref="E1064">
    <cfRule type="containsText" dxfId="3374" priority="4118" operator="containsText" text="NUEVO">
      <formula>NOT(ISERROR(SEARCH("NUEVO",E1064)))</formula>
    </cfRule>
  </conditionalFormatting>
  <conditionalFormatting sqref="E1064">
    <cfRule type="containsText" dxfId="3373" priority="4117" operator="containsText" text="Sin Información">
      <formula>NOT(ISERROR(SEARCH("Sin Información",E1064)))</formula>
    </cfRule>
  </conditionalFormatting>
  <conditionalFormatting sqref="E1064">
    <cfRule type="expression" dxfId="3372" priority="4116">
      <formula>E1064&lt;&gt;""</formula>
    </cfRule>
  </conditionalFormatting>
  <conditionalFormatting sqref="C1065:D1065">
    <cfRule type="containsText" dxfId="3371" priority="4099" operator="containsText" text="NO+$D$4:$D$10">
      <formula>NOT(ISERROR(SEARCH("NO+$D$4:$D$10",C1065)))</formula>
    </cfRule>
  </conditionalFormatting>
  <conditionalFormatting sqref="C1065:D1065">
    <cfRule type="containsText" dxfId="3370" priority="4097" operator="containsText" text="SI">
      <formula>NOT(ISERROR(SEARCH("SI",C1065)))</formula>
    </cfRule>
    <cfRule type="containsText" dxfId="3369" priority="4098" operator="containsText" text="NO">
      <formula>NOT(ISERROR(SEARCH("NO",C1065)))</formula>
    </cfRule>
  </conditionalFormatting>
  <conditionalFormatting sqref="C1065:D1065">
    <cfRule type="containsText" dxfId="3368" priority="4096" operator="containsText" text="NUEVO">
      <formula>NOT(ISERROR(SEARCH("NUEVO",C1065)))</formula>
    </cfRule>
  </conditionalFormatting>
  <conditionalFormatting sqref="F1065">
    <cfRule type="expression" dxfId="3367" priority="4095">
      <formula>F1065&lt;&gt;""</formula>
    </cfRule>
  </conditionalFormatting>
  <conditionalFormatting sqref="E1065">
    <cfRule type="containsText" dxfId="3366" priority="4094" operator="containsText" text="NUEVO">
      <formula>NOT(ISERROR(SEARCH("NUEVO",E1065)))</formula>
    </cfRule>
  </conditionalFormatting>
  <conditionalFormatting sqref="E1065">
    <cfRule type="containsText" dxfId="3365" priority="4093" operator="containsText" text="Sin Información">
      <formula>NOT(ISERROR(SEARCH("Sin Información",E1065)))</formula>
    </cfRule>
  </conditionalFormatting>
  <conditionalFormatting sqref="E1065">
    <cfRule type="expression" dxfId="3364" priority="4092">
      <formula>E1065&lt;&gt;""</formula>
    </cfRule>
  </conditionalFormatting>
  <conditionalFormatting sqref="C1066:D1066">
    <cfRule type="containsText" dxfId="3363" priority="4091" operator="containsText" text="NO+$D$4:$D$10">
      <formula>NOT(ISERROR(SEARCH("NO+$D$4:$D$10",C1066)))</formula>
    </cfRule>
  </conditionalFormatting>
  <conditionalFormatting sqref="C1066:D1066">
    <cfRule type="containsText" dxfId="3362" priority="4089" operator="containsText" text="SI">
      <formula>NOT(ISERROR(SEARCH("SI",C1066)))</formula>
    </cfRule>
    <cfRule type="containsText" dxfId="3361" priority="4090" operator="containsText" text="NO">
      <formula>NOT(ISERROR(SEARCH("NO",C1066)))</formula>
    </cfRule>
  </conditionalFormatting>
  <conditionalFormatting sqref="C1066:D1066">
    <cfRule type="containsText" dxfId="3360" priority="4088" operator="containsText" text="NUEVO">
      <formula>NOT(ISERROR(SEARCH("NUEVO",C1066)))</formula>
    </cfRule>
  </conditionalFormatting>
  <conditionalFormatting sqref="F1066">
    <cfRule type="expression" dxfId="3359" priority="4087">
      <formula>F1066&lt;&gt;""</formula>
    </cfRule>
  </conditionalFormatting>
  <conditionalFormatting sqref="E1066">
    <cfRule type="containsText" dxfId="3358" priority="4086" operator="containsText" text="NUEVO">
      <formula>NOT(ISERROR(SEARCH("NUEVO",E1066)))</formula>
    </cfRule>
  </conditionalFormatting>
  <conditionalFormatting sqref="E1066">
    <cfRule type="containsText" dxfId="3357" priority="4085" operator="containsText" text="Sin Información">
      <formula>NOT(ISERROR(SEARCH("Sin Información",E1066)))</formula>
    </cfRule>
  </conditionalFormatting>
  <conditionalFormatting sqref="E1066">
    <cfRule type="expression" dxfId="3356" priority="4084">
      <formula>E1066&lt;&gt;""</formula>
    </cfRule>
  </conditionalFormatting>
  <conditionalFormatting sqref="C1067:D1067">
    <cfRule type="containsText" dxfId="3355" priority="4083" operator="containsText" text="NO+$D$4:$D$10">
      <formula>NOT(ISERROR(SEARCH("NO+$D$4:$D$10",C1067)))</formula>
    </cfRule>
  </conditionalFormatting>
  <conditionalFormatting sqref="C1067:D1067">
    <cfRule type="containsText" dxfId="3354" priority="4081" operator="containsText" text="SI">
      <formula>NOT(ISERROR(SEARCH("SI",C1067)))</formula>
    </cfRule>
    <cfRule type="containsText" dxfId="3353" priority="4082" operator="containsText" text="NO">
      <formula>NOT(ISERROR(SEARCH("NO",C1067)))</formula>
    </cfRule>
  </conditionalFormatting>
  <conditionalFormatting sqref="C1067:D1067">
    <cfRule type="containsText" dxfId="3352" priority="4080" operator="containsText" text="NUEVO">
      <formula>NOT(ISERROR(SEARCH("NUEVO",C1067)))</formula>
    </cfRule>
  </conditionalFormatting>
  <conditionalFormatting sqref="F1067">
    <cfRule type="expression" dxfId="3351" priority="4079">
      <formula>F1067&lt;&gt;""</formula>
    </cfRule>
  </conditionalFormatting>
  <conditionalFormatting sqref="E1067">
    <cfRule type="containsText" dxfId="3350" priority="4078" operator="containsText" text="NUEVO">
      <formula>NOT(ISERROR(SEARCH("NUEVO",E1067)))</formula>
    </cfRule>
  </conditionalFormatting>
  <conditionalFormatting sqref="E1067">
    <cfRule type="containsText" dxfId="3349" priority="4077" operator="containsText" text="Sin Información">
      <formula>NOT(ISERROR(SEARCH("Sin Información",E1067)))</formula>
    </cfRule>
  </conditionalFormatting>
  <conditionalFormatting sqref="E1067">
    <cfRule type="expression" dxfId="3348" priority="4076">
      <formula>E1067&lt;&gt;""</formula>
    </cfRule>
  </conditionalFormatting>
  <conditionalFormatting sqref="C1068:D1068">
    <cfRule type="containsText" dxfId="3347" priority="4075" operator="containsText" text="NO+$D$4:$D$10">
      <formula>NOT(ISERROR(SEARCH("NO+$D$4:$D$10",C1068)))</formula>
    </cfRule>
  </conditionalFormatting>
  <conditionalFormatting sqref="C1068:D1068">
    <cfRule type="containsText" dxfId="3346" priority="4073" operator="containsText" text="SI">
      <formula>NOT(ISERROR(SEARCH("SI",C1068)))</formula>
    </cfRule>
    <cfRule type="containsText" dxfId="3345" priority="4074" operator="containsText" text="NO">
      <formula>NOT(ISERROR(SEARCH("NO",C1068)))</formula>
    </cfRule>
  </conditionalFormatting>
  <conditionalFormatting sqref="C1068:D1068">
    <cfRule type="containsText" dxfId="3344" priority="4072" operator="containsText" text="NUEVO">
      <formula>NOT(ISERROR(SEARCH("NUEVO",C1068)))</formula>
    </cfRule>
  </conditionalFormatting>
  <conditionalFormatting sqref="F1068">
    <cfRule type="expression" dxfId="3343" priority="4071">
      <formula>F1068&lt;&gt;""</formula>
    </cfRule>
  </conditionalFormatting>
  <conditionalFormatting sqref="E1068">
    <cfRule type="containsText" dxfId="3342" priority="4070" operator="containsText" text="NUEVO">
      <formula>NOT(ISERROR(SEARCH("NUEVO",E1068)))</formula>
    </cfRule>
  </conditionalFormatting>
  <conditionalFormatting sqref="E1068">
    <cfRule type="containsText" dxfId="3341" priority="4069" operator="containsText" text="Sin Información">
      <formula>NOT(ISERROR(SEARCH("Sin Información",E1068)))</formula>
    </cfRule>
  </conditionalFormatting>
  <conditionalFormatting sqref="E1068">
    <cfRule type="expression" dxfId="3340" priority="4068">
      <formula>E1068&lt;&gt;""</formula>
    </cfRule>
  </conditionalFormatting>
  <conditionalFormatting sqref="C1473:D1473">
    <cfRule type="containsText" dxfId="3339" priority="4043" operator="containsText" text="NO+$D$4:$D$10">
      <formula>NOT(ISERROR(SEARCH("NO+$D$4:$D$10",C1473)))</formula>
    </cfRule>
  </conditionalFormatting>
  <conditionalFormatting sqref="C1473:D1473">
    <cfRule type="containsText" dxfId="3338" priority="4041" operator="containsText" text="SI">
      <formula>NOT(ISERROR(SEARCH("SI",C1473)))</formula>
    </cfRule>
    <cfRule type="containsText" dxfId="3337" priority="4042" operator="containsText" text="NO">
      <formula>NOT(ISERROR(SEARCH("NO",C1473)))</formula>
    </cfRule>
  </conditionalFormatting>
  <conditionalFormatting sqref="C1473:D1473">
    <cfRule type="containsText" dxfId="3336" priority="4040" operator="containsText" text="NUEVO">
      <formula>NOT(ISERROR(SEARCH("NUEVO",C1473)))</formula>
    </cfRule>
  </conditionalFormatting>
  <conditionalFormatting sqref="F1473">
    <cfRule type="expression" dxfId="3335" priority="4039">
      <formula>F1473&lt;&gt;""</formula>
    </cfRule>
  </conditionalFormatting>
  <conditionalFormatting sqref="E1473">
    <cfRule type="containsText" dxfId="3334" priority="4038" operator="containsText" text="NUEVO">
      <formula>NOT(ISERROR(SEARCH("NUEVO",E1473)))</formula>
    </cfRule>
  </conditionalFormatting>
  <conditionalFormatting sqref="E1473">
    <cfRule type="containsText" dxfId="3333" priority="4037" operator="containsText" text="Sin Información">
      <formula>NOT(ISERROR(SEARCH("Sin Información",E1473)))</formula>
    </cfRule>
  </conditionalFormatting>
  <conditionalFormatting sqref="E1473">
    <cfRule type="expression" dxfId="3332" priority="4036">
      <formula>E1473&lt;&gt;""</formula>
    </cfRule>
  </conditionalFormatting>
  <conditionalFormatting sqref="C1474:D1474">
    <cfRule type="containsText" dxfId="3331" priority="4035" operator="containsText" text="NO+$D$4:$D$10">
      <formula>NOT(ISERROR(SEARCH("NO+$D$4:$D$10",C1474)))</formula>
    </cfRule>
  </conditionalFormatting>
  <conditionalFormatting sqref="C1474:D1474">
    <cfRule type="containsText" dxfId="3330" priority="4033" operator="containsText" text="SI">
      <formula>NOT(ISERROR(SEARCH("SI",C1474)))</formula>
    </cfRule>
    <cfRule type="containsText" dxfId="3329" priority="4034" operator="containsText" text="NO">
      <formula>NOT(ISERROR(SEARCH("NO",C1474)))</formula>
    </cfRule>
  </conditionalFormatting>
  <conditionalFormatting sqref="C1474:D1474">
    <cfRule type="containsText" dxfId="3328" priority="4032" operator="containsText" text="NUEVO">
      <formula>NOT(ISERROR(SEARCH("NUEVO",C1474)))</formula>
    </cfRule>
  </conditionalFormatting>
  <conditionalFormatting sqref="F1474">
    <cfRule type="expression" dxfId="3327" priority="4031">
      <formula>F1474&lt;&gt;""</formula>
    </cfRule>
  </conditionalFormatting>
  <conditionalFormatting sqref="E1474">
    <cfRule type="containsText" dxfId="3326" priority="4030" operator="containsText" text="NUEVO">
      <formula>NOT(ISERROR(SEARCH("NUEVO",E1474)))</formula>
    </cfRule>
  </conditionalFormatting>
  <conditionalFormatting sqref="E1474">
    <cfRule type="containsText" dxfId="3325" priority="4029" operator="containsText" text="Sin Información">
      <formula>NOT(ISERROR(SEARCH("Sin Información",E1474)))</formula>
    </cfRule>
  </conditionalFormatting>
  <conditionalFormatting sqref="E1474">
    <cfRule type="expression" dxfId="3324" priority="4028">
      <formula>E1474&lt;&gt;""</formula>
    </cfRule>
  </conditionalFormatting>
  <conditionalFormatting sqref="C164:D164">
    <cfRule type="containsText" dxfId="3323" priority="4019" operator="containsText" text="NO+$D$4:$D$10">
      <formula>NOT(ISERROR(SEARCH("NO+$D$4:$D$10",C164)))</formula>
    </cfRule>
  </conditionalFormatting>
  <conditionalFormatting sqref="C164:D164">
    <cfRule type="containsText" dxfId="3322" priority="4017" operator="containsText" text="SI">
      <formula>NOT(ISERROR(SEARCH("SI",C164)))</formula>
    </cfRule>
    <cfRule type="containsText" dxfId="3321" priority="4018" operator="containsText" text="NO">
      <formula>NOT(ISERROR(SEARCH("NO",C164)))</formula>
    </cfRule>
  </conditionalFormatting>
  <conditionalFormatting sqref="C164:D164">
    <cfRule type="containsText" dxfId="3320" priority="4016" operator="containsText" text="NUEVO">
      <formula>NOT(ISERROR(SEARCH("NUEVO",C164)))</formula>
    </cfRule>
  </conditionalFormatting>
  <conditionalFormatting sqref="F164">
    <cfRule type="expression" dxfId="3319" priority="4015">
      <formula>F164&lt;&gt;""</formula>
    </cfRule>
  </conditionalFormatting>
  <conditionalFormatting sqref="E164">
    <cfRule type="expression" dxfId="3318" priority="4014">
      <formula>E164&lt;&gt;""</formula>
    </cfRule>
  </conditionalFormatting>
  <conditionalFormatting sqref="E164">
    <cfRule type="containsText" dxfId="3317" priority="4013" operator="containsText" text="Sin información">
      <formula>NOT(ISERROR(SEARCH("Sin información",E164)))</formula>
    </cfRule>
  </conditionalFormatting>
  <conditionalFormatting sqref="E164">
    <cfRule type="containsText" dxfId="3316" priority="4012" operator="containsText" text="NUEVO">
      <formula>NOT(ISERROR(SEARCH("NUEVO",E164)))</formula>
    </cfRule>
  </conditionalFormatting>
  <conditionalFormatting sqref="C165:D165">
    <cfRule type="containsText" dxfId="3315" priority="4011" operator="containsText" text="NO+$D$4:$D$10">
      <formula>NOT(ISERROR(SEARCH("NO+$D$4:$D$10",C165)))</formula>
    </cfRule>
  </conditionalFormatting>
  <conditionalFormatting sqref="C165:D165">
    <cfRule type="containsText" dxfId="3314" priority="4009" operator="containsText" text="SI">
      <formula>NOT(ISERROR(SEARCH("SI",C165)))</formula>
    </cfRule>
    <cfRule type="containsText" dxfId="3313" priority="4010" operator="containsText" text="NO">
      <formula>NOT(ISERROR(SEARCH("NO",C165)))</formula>
    </cfRule>
  </conditionalFormatting>
  <conditionalFormatting sqref="E165">
    <cfRule type="containsText" dxfId="3312" priority="4008" operator="containsText" text="Sin información">
      <formula>NOT(ISERROR(SEARCH("Sin información",E165)))</formula>
    </cfRule>
  </conditionalFormatting>
  <conditionalFormatting sqref="C165:E165">
    <cfRule type="containsText" dxfId="3311" priority="4007" operator="containsText" text="NUEVO">
      <formula>NOT(ISERROR(SEARCH("NUEVO",C165)))</formula>
    </cfRule>
  </conditionalFormatting>
  <conditionalFormatting sqref="E165:F165">
    <cfRule type="expression" dxfId="3310" priority="4006">
      <formula>E165&lt;&gt;""</formula>
    </cfRule>
  </conditionalFormatting>
  <conditionalFormatting sqref="C166:D166">
    <cfRule type="containsText" dxfId="3309" priority="4005" operator="containsText" text="NO+$D$4:$D$10">
      <formula>NOT(ISERROR(SEARCH("NO+$D$4:$D$10",C166)))</formula>
    </cfRule>
  </conditionalFormatting>
  <conditionalFormatting sqref="C166:D166">
    <cfRule type="containsText" dxfId="3308" priority="4003" operator="containsText" text="SI">
      <formula>NOT(ISERROR(SEARCH("SI",C166)))</formula>
    </cfRule>
    <cfRule type="containsText" dxfId="3307" priority="4004" operator="containsText" text="NO">
      <formula>NOT(ISERROR(SEARCH("NO",C166)))</formula>
    </cfRule>
  </conditionalFormatting>
  <conditionalFormatting sqref="C166:D166">
    <cfRule type="containsText" dxfId="3306" priority="4002" operator="containsText" text="NUEVO">
      <formula>NOT(ISERROR(SEARCH("NUEVO",C166)))</formula>
    </cfRule>
  </conditionalFormatting>
  <conditionalFormatting sqref="F166">
    <cfRule type="expression" dxfId="3305" priority="4001">
      <formula>F166&lt;&gt;""</formula>
    </cfRule>
  </conditionalFormatting>
  <conditionalFormatting sqref="E166">
    <cfRule type="containsText" dxfId="3304" priority="4000" operator="containsText" text="Sin información">
      <formula>NOT(ISERROR(SEARCH("Sin información",E166)))</formula>
    </cfRule>
  </conditionalFormatting>
  <conditionalFormatting sqref="E166">
    <cfRule type="containsText" dxfId="3303" priority="3999" operator="containsText" text="NUEVO">
      <formula>NOT(ISERROR(SEARCH("NUEVO",E166)))</formula>
    </cfRule>
  </conditionalFormatting>
  <conditionalFormatting sqref="E166">
    <cfRule type="expression" dxfId="3302" priority="3998">
      <formula>E166&lt;&gt;""</formula>
    </cfRule>
  </conditionalFormatting>
  <conditionalFormatting sqref="E166">
    <cfRule type="expression" dxfId="3301" priority="3997">
      <formula>E166&lt;&gt;""</formula>
    </cfRule>
  </conditionalFormatting>
  <conditionalFormatting sqref="C167:D167">
    <cfRule type="containsText" dxfId="3300" priority="3996" operator="containsText" text="NO+$D$4:$D$10">
      <formula>NOT(ISERROR(SEARCH("NO+$D$4:$D$10",C167)))</formula>
    </cfRule>
  </conditionalFormatting>
  <conditionalFormatting sqref="C167:D167">
    <cfRule type="containsText" dxfId="3299" priority="3994" operator="containsText" text="SI">
      <formula>NOT(ISERROR(SEARCH("SI",C167)))</formula>
    </cfRule>
    <cfRule type="containsText" dxfId="3298" priority="3995" operator="containsText" text="NO">
      <formula>NOT(ISERROR(SEARCH("NO",C167)))</formula>
    </cfRule>
  </conditionalFormatting>
  <conditionalFormatting sqref="C167:D167">
    <cfRule type="containsText" dxfId="3297" priority="3993" operator="containsText" text="NUEVO">
      <formula>NOT(ISERROR(SEARCH("NUEVO",C167)))</formula>
    </cfRule>
  </conditionalFormatting>
  <conditionalFormatting sqref="F167">
    <cfRule type="expression" dxfId="3296" priority="3992">
      <formula>F167&lt;&gt;""</formula>
    </cfRule>
  </conditionalFormatting>
  <conditionalFormatting sqref="E167">
    <cfRule type="containsText" dxfId="3295" priority="3991" operator="containsText" text="Sin información">
      <formula>NOT(ISERROR(SEARCH("Sin información",E167)))</formula>
    </cfRule>
  </conditionalFormatting>
  <conditionalFormatting sqref="E167">
    <cfRule type="containsText" dxfId="3294" priority="3990" operator="containsText" text="NUEVO">
      <formula>NOT(ISERROR(SEARCH("NUEVO",E167)))</formula>
    </cfRule>
  </conditionalFormatting>
  <conditionalFormatting sqref="E167">
    <cfRule type="expression" dxfId="3293" priority="3989">
      <formula>E167&lt;&gt;""</formula>
    </cfRule>
  </conditionalFormatting>
  <conditionalFormatting sqref="E167">
    <cfRule type="expression" dxfId="3292" priority="3988">
      <formula>E167&lt;&gt;""</formula>
    </cfRule>
  </conditionalFormatting>
  <conditionalFormatting sqref="C168:D168">
    <cfRule type="containsText" dxfId="3291" priority="3987" operator="containsText" text="NO+$D$4:$D$10">
      <formula>NOT(ISERROR(SEARCH("NO+$D$4:$D$10",C168)))</formula>
    </cfRule>
  </conditionalFormatting>
  <conditionalFormatting sqref="C168:D168">
    <cfRule type="containsText" dxfId="3290" priority="3985" operator="containsText" text="SI">
      <formula>NOT(ISERROR(SEARCH("SI",C168)))</formula>
    </cfRule>
    <cfRule type="containsText" dxfId="3289" priority="3986" operator="containsText" text="NO">
      <formula>NOT(ISERROR(SEARCH("NO",C168)))</formula>
    </cfRule>
  </conditionalFormatting>
  <conditionalFormatting sqref="C168:D168">
    <cfRule type="containsText" dxfId="3288" priority="3984" operator="containsText" text="NUEVO">
      <formula>NOT(ISERROR(SEARCH("NUEVO",C168)))</formula>
    </cfRule>
  </conditionalFormatting>
  <conditionalFormatting sqref="F168">
    <cfRule type="expression" dxfId="3287" priority="3983">
      <formula>F168&lt;&gt;""</formula>
    </cfRule>
  </conditionalFormatting>
  <conditionalFormatting sqref="E168">
    <cfRule type="containsText" dxfId="3286" priority="3982" operator="containsText" text="Sin información">
      <formula>NOT(ISERROR(SEARCH("Sin información",E168)))</formula>
    </cfRule>
  </conditionalFormatting>
  <conditionalFormatting sqref="E168">
    <cfRule type="containsText" dxfId="3285" priority="3981" operator="containsText" text="NUEVO">
      <formula>NOT(ISERROR(SEARCH("NUEVO",E168)))</formula>
    </cfRule>
  </conditionalFormatting>
  <conditionalFormatting sqref="E168">
    <cfRule type="expression" dxfId="3284" priority="3980">
      <formula>E168&lt;&gt;""</formula>
    </cfRule>
  </conditionalFormatting>
  <conditionalFormatting sqref="E168">
    <cfRule type="expression" dxfId="3283" priority="3979">
      <formula>E168&lt;&gt;""</formula>
    </cfRule>
  </conditionalFormatting>
  <conditionalFormatting sqref="C169:D169">
    <cfRule type="containsText" dxfId="3282" priority="3978" operator="containsText" text="NO+$D$4:$D$10">
      <formula>NOT(ISERROR(SEARCH("NO+$D$4:$D$10",C169)))</formula>
    </cfRule>
  </conditionalFormatting>
  <conditionalFormatting sqref="C169:D169">
    <cfRule type="containsText" dxfId="3281" priority="3976" operator="containsText" text="SI">
      <formula>NOT(ISERROR(SEARCH("SI",C169)))</formula>
    </cfRule>
    <cfRule type="containsText" dxfId="3280" priority="3977" operator="containsText" text="NO">
      <formula>NOT(ISERROR(SEARCH("NO",C169)))</formula>
    </cfRule>
  </conditionalFormatting>
  <conditionalFormatting sqref="C169:D169">
    <cfRule type="containsText" dxfId="3279" priority="3975" operator="containsText" text="NUEVO">
      <formula>NOT(ISERROR(SEARCH("NUEVO",C169)))</formula>
    </cfRule>
  </conditionalFormatting>
  <conditionalFormatting sqref="F169">
    <cfRule type="expression" dxfId="3278" priority="3974">
      <formula>F169&lt;&gt;""</formula>
    </cfRule>
  </conditionalFormatting>
  <conditionalFormatting sqref="E169">
    <cfRule type="expression" dxfId="3277" priority="3973">
      <formula>E169&lt;&gt;""</formula>
    </cfRule>
  </conditionalFormatting>
  <conditionalFormatting sqref="E169">
    <cfRule type="containsText" dxfId="3276" priority="3972" operator="containsText" text="Sin información">
      <formula>NOT(ISERROR(SEARCH("Sin información",E169)))</formula>
    </cfRule>
  </conditionalFormatting>
  <conditionalFormatting sqref="E169">
    <cfRule type="containsText" dxfId="3275" priority="3971" operator="containsText" text="NUEVO">
      <formula>NOT(ISERROR(SEARCH("NUEVO",E169)))</formula>
    </cfRule>
  </conditionalFormatting>
  <conditionalFormatting sqref="C170:D170">
    <cfRule type="containsText" dxfId="3274" priority="3970" operator="containsText" text="NO+$D$4:$D$10">
      <formula>NOT(ISERROR(SEARCH("NO+$D$4:$D$10",C170)))</formula>
    </cfRule>
  </conditionalFormatting>
  <conditionalFormatting sqref="C170:D170">
    <cfRule type="containsText" dxfId="3273" priority="3968" operator="containsText" text="SI">
      <formula>NOT(ISERROR(SEARCH("SI",C170)))</formula>
    </cfRule>
    <cfRule type="containsText" dxfId="3272" priority="3969" operator="containsText" text="NO">
      <formula>NOT(ISERROR(SEARCH("NO",C170)))</formula>
    </cfRule>
  </conditionalFormatting>
  <conditionalFormatting sqref="E170">
    <cfRule type="containsText" dxfId="3271" priority="3967" operator="containsText" text="Sin información">
      <formula>NOT(ISERROR(SEARCH("Sin información",E170)))</formula>
    </cfRule>
  </conditionalFormatting>
  <conditionalFormatting sqref="C170:E170">
    <cfRule type="containsText" dxfId="3270" priority="3966" operator="containsText" text="NUEVO">
      <formula>NOT(ISERROR(SEARCH("NUEVO",C170)))</formula>
    </cfRule>
  </conditionalFormatting>
  <conditionalFormatting sqref="E170:F170">
    <cfRule type="expression" dxfId="3269" priority="3965">
      <formula>E170&lt;&gt;""</formula>
    </cfRule>
  </conditionalFormatting>
  <conditionalFormatting sqref="C171:D171">
    <cfRule type="containsText" dxfId="3268" priority="3964" operator="containsText" text="NO+$D$4:$D$10">
      <formula>NOT(ISERROR(SEARCH("NO+$D$4:$D$10",C171)))</formula>
    </cfRule>
  </conditionalFormatting>
  <conditionalFormatting sqref="C171:D171">
    <cfRule type="containsText" dxfId="3267" priority="3962" operator="containsText" text="SI">
      <formula>NOT(ISERROR(SEARCH("SI",C171)))</formula>
    </cfRule>
    <cfRule type="containsText" dxfId="3266" priority="3963" operator="containsText" text="NO">
      <formula>NOT(ISERROR(SEARCH("NO",C171)))</formula>
    </cfRule>
  </conditionalFormatting>
  <conditionalFormatting sqref="E171">
    <cfRule type="containsText" dxfId="3265" priority="3961" operator="containsText" text="Sin información">
      <formula>NOT(ISERROR(SEARCH("Sin información",E171)))</formula>
    </cfRule>
  </conditionalFormatting>
  <conditionalFormatting sqref="C171:E171">
    <cfRule type="containsText" dxfId="3264" priority="3960" operator="containsText" text="NUEVO">
      <formula>NOT(ISERROR(SEARCH("NUEVO",C171)))</formula>
    </cfRule>
  </conditionalFormatting>
  <conditionalFormatting sqref="E171:F171">
    <cfRule type="expression" dxfId="3263" priority="3959">
      <formula>E171&lt;&gt;""</formula>
    </cfRule>
  </conditionalFormatting>
  <conditionalFormatting sqref="C172:D172">
    <cfRule type="containsText" dxfId="3262" priority="3944" operator="containsText" text="NO+$D$4:$D$10">
      <formula>NOT(ISERROR(SEARCH("NO+$D$4:$D$10",C172)))</formula>
    </cfRule>
  </conditionalFormatting>
  <conditionalFormatting sqref="C172:D172">
    <cfRule type="containsText" dxfId="3261" priority="3942" operator="containsText" text="SI">
      <formula>NOT(ISERROR(SEARCH("SI",C172)))</formula>
    </cfRule>
    <cfRule type="containsText" dxfId="3260" priority="3943" operator="containsText" text="NO">
      <formula>NOT(ISERROR(SEARCH("NO",C172)))</formula>
    </cfRule>
  </conditionalFormatting>
  <conditionalFormatting sqref="E172">
    <cfRule type="containsText" dxfId="3259" priority="3941" operator="containsText" text="Sin información">
      <formula>NOT(ISERROR(SEARCH("Sin información",E172)))</formula>
    </cfRule>
  </conditionalFormatting>
  <conditionalFormatting sqref="C172:E172">
    <cfRule type="containsText" dxfId="3258" priority="3940" operator="containsText" text="NUEVO">
      <formula>NOT(ISERROR(SEARCH("NUEVO",C172)))</formula>
    </cfRule>
  </conditionalFormatting>
  <conditionalFormatting sqref="E172:F172">
    <cfRule type="expression" dxfId="3257" priority="3939">
      <formula>E172&lt;&gt;""</formula>
    </cfRule>
  </conditionalFormatting>
  <conditionalFormatting sqref="C173:D173">
    <cfRule type="containsText" dxfId="3256" priority="3938" operator="containsText" text="NO+$D$4:$D$10">
      <formula>NOT(ISERROR(SEARCH("NO+$D$4:$D$10",C173)))</formula>
    </cfRule>
  </conditionalFormatting>
  <conditionalFormatting sqref="C173:D173">
    <cfRule type="containsText" dxfId="3255" priority="3936" operator="containsText" text="SI">
      <formula>NOT(ISERROR(SEARCH("SI",C173)))</formula>
    </cfRule>
    <cfRule type="containsText" dxfId="3254" priority="3937" operator="containsText" text="NO">
      <formula>NOT(ISERROR(SEARCH("NO",C173)))</formula>
    </cfRule>
  </conditionalFormatting>
  <conditionalFormatting sqref="E173">
    <cfRule type="containsText" dxfId="3253" priority="3935" operator="containsText" text="Sin información">
      <formula>NOT(ISERROR(SEARCH("Sin información",E173)))</formula>
    </cfRule>
  </conditionalFormatting>
  <conditionalFormatting sqref="C173:E173">
    <cfRule type="containsText" dxfId="3252" priority="3934" operator="containsText" text="NUEVO">
      <formula>NOT(ISERROR(SEARCH("NUEVO",C173)))</formula>
    </cfRule>
  </conditionalFormatting>
  <conditionalFormatting sqref="E173:F173">
    <cfRule type="expression" dxfId="3251" priority="3933">
      <formula>E173&lt;&gt;""</formula>
    </cfRule>
  </conditionalFormatting>
  <conditionalFormatting sqref="C174:D174">
    <cfRule type="containsText" dxfId="3250" priority="3932" operator="containsText" text="NO+$D$4:$D$10">
      <formula>NOT(ISERROR(SEARCH("NO+$D$4:$D$10",C174)))</formula>
    </cfRule>
  </conditionalFormatting>
  <conditionalFormatting sqref="C174:D174">
    <cfRule type="containsText" dxfId="3249" priority="3930" operator="containsText" text="SI">
      <formula>NOT(ISERROR(SEARCH("SI",C174)))</formula>
    </cfRule>
    <cfRule type="containsText" dxfId="3248" priority="3931" operator="containsText" text="NO">
      <formula>NOT(ISERROR(SEARCH("NO",C174)))</formula>
    </cfRule>
  </conditionalFormatting>
  <conditionalFormatting sqref="E174">
    <cfRule type="containsText" dxfId="3247" priority="3929" operator="containsText" text="Sin información">
      <formula>NOT(ISERROR(SEARCH("Sin información",E174)))</formula>
    </cfRule>
  </conditionalFormatting>
  <conditionalFormatting sqref="C174:E174">
    <cfRule type="containsText" dxfId="3246" priority="3928" operator="containsText" text="NUEVO">
      <formula>NOT(ISERROR(SEARCH("NUEVO",C174)))</formula>
    </cfRule>
  </conditionalFormatting>
  <conditionalFormatting sqref="E174:F174">
    <cfRule type="expression" dxfId="3245" priority="3927">
      <formula>E174&lt;&gt;""</formula>
    </cfRule>
  </conditionalFormatting>
  <conditionalFormatting sqref="C175:D175">
    <cfRule type="containsText" dxfId="3244" priority="3926" operator="containsText" text="NO+$D$4:$D$10">
      <formula>NOT(ISERROR(SEARCH("NO+$D$4:$D$10",C175)))</formula>
    </cfRule>
  </conditionalFormatting>
  <conditionalFormatting sqref="C175:D175">
    <cfRule type="containsText" dxfId="3243" priority="3924" operator="containsText" text="SI">
      <formula>NOT(ISERROR(SEARCH("SI",C175)))</formula>
    </cfRule>
    <cfRule type="containsText" dxfId="3242" priority="3925" operator="containsText" text="NO">
      <formula>NOT(ISERROR(SEARCH("NO",C175)))</formula>
    </cfRule>
  </conditionalFormatting>
  <conditionalFormatting sqref="C175:D175">
    <cfRule type="containsText" dxfId="3241" priority="3923" operator="containsText" text="NUEVO">
      <formula>NOT(ISERROR(SEARCH("NUEVO",C175)))</formula>
    </cfRule>
  </conditionalFormatting>
  <conditionalFormatting sqref="F175">
    <cfRule type="expression" dxfId="3240" priority="3922">
      <formula>F175&lt;&gt;""</formula>
    </cfRule>
  </conditionalFormatting>
  <conditionalFormatting sqref="E175">
    <cfRule type="expression" dxfId="3239" priority="3921">
      <formula>E175&lt;&gt;""</formula>
    </cfRule>
  </conditionalFormatting>
  <conditionalFormatting sqref="E175">
    <cfRule type="containsText" dxfId="3238" priority="3920" operator="containsText" text="Sin información">
      <formula>NOT(ISERROR(SEARCH("Sin información",E175)))</formula>
    </cfRule>
  </conditionalFormatting>
  <conditionalFormatting sqref="E175">
    <cfRule type="containsText" dxfId="3237" priority="3919" operator="containsText" text="NUEVO">
      <formula>NOT(ISERROR(SEARCH("NUEVO",E175)))</formula>
    </cfRule>
  </conditionalFormatting>
  <conditionalFormatting sqref="C176:D176">
    <cfRule type="containsText" dxfId="3236" priority="3910" operator="containsText" text="NO+$D$4:$D$10">
      <formula>NOT(ISERROR(SEARCH("NO+$D$4:$D$10",C176)))</formula>
    </cfRule>
  </conditionalFormatting>
  <conditionalFormatting sqref="C176:D176">
    <cfRule type="containsText" dxfId="3235" priority="3908" operator="containsText" text="SI">
      <formula>NOT(ISERROR(SEARCH("SI",C176)))</formula>
    </cfRule>
    <cfRule type="containsText" dxfId="3234" priority="3909" operator="containsText" text="NO">
      <formula>NOT(ISERROR(SEARCH("NO",C176)))</formula>
    </cfRule>
  </conditionalFormatting>
  <conditionalFormatting sqref="C176:D176">
    <cfRule type="containsText" dxfId="3233" priority="3907" operator="containsText" text="NUEVO">
      <formula>NOT(ISERROR(SEARCH("NUEVO",C176)))</formula>
    </cfRule>
  </conditionalFormatting>
  <conditionalFormatting sqref="F176">
    <cfRule type="expression" dxfId="3232" priority="3906">
      <formula>F176&lt;&gt;""</formula>
    </cfRule>
  </conditionalFormatting>
  <conditionalFormatting sqref="E176">
    <cfRule type="expression" dxfId="3231" priority="3905">
      <formula>E176&lt;&gt;""</formula>
    </cfRule>
  </conditionalFormatting>
  <conditionalFormatting sqref="E176">
    <cfRule type="containsText" dxfId="3230" priority="3904" operator="containsText" text="Sin información">
      <formula>NOT(ISERROR(SEARCH("Sin información",E176)))</formula>
    </cfRule>
  </conditionalFormatting>
  <conditionalFormatting sqref="E176">
    <cfRule type="containsText" dxfId="3229" priority="3903" operator="containsText" text="NUEVO">
      <formula>NOT(ISERROR(SEARCH("NUEVO",E176)))</formula>
    </cfRule>
  </conditionalFormatting>
  <conditionalFormatting sqref="C177:D177">
    <cfRule type="containsText" dxfId="3228" priority="3902" operator="containsText" text="NO+$D$4:$D$10">
      <formula>NOT(ISERROR(SEARCH("NO+$D$4:$D$10",C177)))</formula>
    </cfRule>
  </conditionalFormatting>
  <conditionalFormatting sqref="C177:D177">
    <cfRule type="containsText" dxfId="3227" priority="3900" operator="containsText" text="SI">
      <formula>NOT(ISERROR(SEARCH("SI",C177)))</formula>
    </cfRule>
    <cfRule type="containsText" dxfId="3226" priority="3901" operator="containsText" text="NO">
      <formula>NOT(ISERROR(SEARCH("NO",C177)))</formula>
    </cfRule>
  </conditionalFormatting>
  <conditionalFormatting sqref="C177:D177">
    <cfRule type="containsText" dxfId="3225" priority="3899" operator="containsText" text="NUEVO">
      <formula>NOT(ISERROR(SEARCH("NUEVO",C177)))</formula>
    </cfRule>
  </conditionalFormatting>
  <conditionalFormatting sqref="F177">
    <cfRule type="expression" dxfId="3224" priority="3898">
      <formula>F177&lt;&gt;""</formula>
    </cfRule>
  </conditionalFormatting>
  <conditionalFormatting sqref="E177">
    <cfRule type="containsText" dxfId="3223" priority="3897" operator="containsText" text="Sin información">
      <formula>NOT(ISERROR(SEARCH("Sin información",E177)))</formula>
    </cfRule>
  </conditionalFormatting>
  <conditionalFormatting sqref="E177">
    <cfRule type="containsText" dxfId="3222" priority="3896" operator="containsText" text="NUEVO">
      <formula>NOT(ISERROR(SEARCH("NUEVO",E177)))</formula>
    </cfRule>
  </conditionalFormatting>
  <conditionalFormatting sqref="E177">
    <cfRule type="expression" dxfId="3221" priority="3895">
      <formula>E177&lt;&gt;""</formula>
    </cfRule>
  </conditionalFormatting>
  <conditionalFormatting sqref="E177">
    <cfRule type="expression" dxfId="3220" priority="3894">
      <formula>E177&lt;&gt;""</formula>
    </cfRule>
  </conditionalFormatting>
  <conditionalFormatting sqref="C727:D727">
    <cfRule type="containsText" dxfId="3219" priority="3893" operator="containsText" text="NO+$D$4:$D$10">
      <formula>NOT(ISERROR(SEARCH("NO+$D$4:$D$10",C727)))</formula>
    </cfRule>
  </conditionalFormatting>
  <conditionalFormatting sqref="C727:D727">
    <cfRule type="containsText" dxfId="3218" priority="3891" operator="containsText" text="SI">
      <formula>NOT(ISERROR(SEARCH("SI",C727)))</formula>
    </cfRule>
    <cfRule type="containsText" dxfId="3217" priority="3892" operator="containsText" text="NO">
      <formula>NOT(ISERROR(SEARCH("NO",C727)))</formula>
    </cfRule>
  </conditionalFormatting>
  <conditionalFormatting sqref="C727:E727">
    <cfRule type="containsText" dxfId="3216" priority="3890" operator="containsText" text="NUEVO">
      <formula>NOT(ISERROR(SEARCH("NUEVO",C727)))</formula>
    </cfRule>
  </conditionalFormatting>
  <conditionalFormatting sqref="E727">
    <cfRule type="containsText" dxfId="3215" priority="3889" operator="containsText" text="Sin Información">
      <formula>NOT(ISERROR(SEARCH("Sin Información",E727)))</formula>
    </cfRule>
  </conditionalFormatting>
  <conditionalFormatting sqref="E727:F727">
    <cfRule type="expression" dxfId="3214" priority="3888">
      <formula>E727&lt;&gt;""</formula>
    </cfRule>
  </conditionalFormatting>
  <conditionalFormatting sqref="C728:D728">
    <cfRule type="containsText" dxfId="3213" priority="3887" operator="containsText" text="NO+$D$4:$D$10">
      <formula>NOT(ISERROR(SEARCH("NO+$D$4:$D$10",C728)))</formula>
    </cfRule>
  </conditionalFormatting>
  <conditionalFormatting sqref="C728:D728">
    <cfRule type="containsText" dxfId="3212" priority="3885" operator="containsText" text="SI">
      <formula>NOT(ISERROR(SEARCH("SI",C728)))</formula>
    </cfRule>
    <cfRule type="containsText" dxfId="3211" priority="3886" operator="containsText" text="NO">
      <formula>NOT(ISERROR(SEARCH("NO",C728)))</formula>
    </cfRule>
  </conditionalFormatting>
  <conditionalFormatting sqref="C728:E728">
    <cfRule type="containsText" dxfId="3210" priority="3884" operator="containsText" text="NUEVO">
      <formula>NOT(ISERROR(SEARCH("NUEVO",C728)))</formula>
    </cfRule>
  </conditionalFormatting>
  <conditionalFormatting sqref="E728">
    <cfRule type="containsText" dxfId="3209" priority="3883" operator="containsText" text="Sin Información">
      <formula>NOT(ISERROR(SEARCH("Sin Información",E728)))</formula>
    </cfRule>
  </conditionalFormatting>
  <conditionalFormatting sqref="E728:F728">
    <cfRule type="expression" dxfId="3208" priority="3882">
      <formula>E728&lt;&gt;""</formula>
    </cfRule>
  </conditionalFormatting>
  <conditionalFormatting sqref="C729:D729">
    <cfRule type="containsText" dxfId="3207" priority="3851" operator="containsText" text="NO+$D$4:$D$10">
      <formula>NOT(ISERROR(SEARCH("NO+$D$4:$D$10",C729)))</formula>
    </cfRule>
  </conditionalFormatting>
  <conditionalFormatting sqref="C729:D729">
    <cfRule type="containsText" dxfId="3206" priority="3849" operator="containsText" text="SI">
      <formula>NOT(ISERROR(SEARCH("SI",C729)))</formula>
    </cfRule>
    <cfRule type="containsText" dxfId="3205" priority="3850" operator="containsText" text="NO">
      <formula>NOT(ISERROR(SEARCH("NO",C729)))</formula>
    </cfRule>
  </conditionalFormatting>
  <conditionalFormatting sqref="C729:D729">
    <cfRule type="containsText" dxfId="3204" priority="3848" operator="containsText" text="NUEVO">
      <formula>NOT(ISERROR(SEARCH("NUEVO",C729)))</formula>
    </cfRule>
  </conditionalFormatting>
  <conditionalFormatting sqref="F729">
    <cfRule type="expression" dxfId="3203" priority="3847">
      <formula>F729&lt;&gt;""</formula>
    </cfRule>
  </conditionalFormatting>
  <conditionalFormatting sqref="E729">
    <cfRule type="containsText" dxfId="3202" priority="3846" operator="containsText" text="NUEVO">
      <formula>NOT(ISERROR(SEARCH("NUEVO",E729)))</formula>
    </cfRule>
  </conditionalFormatting>
  <conditionalFormatting sqref="E729">
    <cfRule type="containsText" dxfId="3201" priority="3845" operator="containsText" text="Sin Información">
      <formula>NOT(ISERROR(SEARCH("Sin Información",E729)))</formula>
    </cfRule>
  </conditionalFormatting>
  <conditionalFormatting sqref="E729">
    <cfRule type="expression" dxfId="3200" priority="3844">
      <formula>E729&lt;&gt;""</formula>
    </cfRule>
  </conditionalFormatting>
  <conditionalFormatting sqref="C730:D730">
    <cfRule type="containsText" dxfId="3199" priority="3814" operator="containsText" text="NO+$D$4:$D$10">
      <formula>NOT(ISERROR(SEARCH("NO+$D$4:$D$10",C730)))</formula>
    </cfRule>
  </conditionalFormatting>
  <conditionalFormatting sqref="C730:D730">
    <cfRule type="containsText" dxfId="3198" priority="3812" operator="containsText" text="SI">
      <formula>NOT(ISERROR(SEARCH("SI",C730)))</formula>
    </cfRule>
    <cfRule type="containsText" dxfId="3197" priority="3813" operator="containsText" text="NO">
      <formula>NOT(ISERROR(SEARCH("NO",C730)))</formula>
    </cfRule>
  </conditionalFormatting>
  <conditionalFormatting sqref="C730:E730">
    <cfRule type="containsText" dxfId="3196" priority="3811" operator="containsText" text="NUEVO">
      <formula>NOT(ISERROR(SEARCH("NUEVO",C730)))</formula>
    </cfRule>
  </conditionalFormatting>
  <conditionalFormatting sqref="E730">
    <cfRule type="containsText" dxfId="3195" priority="3810" operator="containsText" text="Sin Información">
      <formula>NOT(ISERROR(SEARCH("Sin Información",E730)))</formula>
    </cfRule>
  </conditionalFormatting>
  <conditionalFormatting sqref="E730:F730">
    <cfRule type="expression" dxfId="3194" priority="3809">
      <formula>E730&lt;&gt;""</formula>
    </cfRule>
  </conditionalFormatting>
  <conditionalFormatting sqref="C731:D731">
    <cfRule type="containsText" dxfId="3193" priority="3808" operator="containsText" text="NO+$D$4:$D$10">
      <formula>NOT(ISERROR(SEARCH("NO+$D$4:$D$10",C731)))</formula>
    </cfRule>
  </conditionalFormatting>
  <conditionalFormatting sqref="C731:D731">
    <cfRule type="containsText" dxfId="3192" priority="3806" operator="containsText" text="SI">
      <formula>NOT(ISERROR(SEARCH("SI",C731)))</formula>
    </cfRule>
    <cfRule type="containsText" dxfId="3191" priority="3807" operator="containsText" text="NO">
      <formula>NOT(ISERROR(SEARCH("NO",C731)))</formula>
    </cfRule>
  </conditionalFormatting>
  <conditionalFormatting sqref="C731:E731">
    <cfRule type="containsText" dxfId="3190" priority="3805" operator="containsText" text="NUEVO">
      <formula>NOT(ISERROR(SEARCH("NUEVO",C731)))</formula>
    </cfRule>
  </conditionalFormatting>
  <conditionalFormatting sqref="E731">
    <cfRule type="containsText" dxfId="3189" priority="3804" operator="containsText" text="Sin Información">
      <formula>NOT(ISERROR(SEARCH("Sin Información",E731)))</formula>
    </cfRule>
  </conditionalFormatting>
  <conditionalFormatting sqref="E731:F731">
    <cfRule type="expression" dxfId="3188" priority="3803">
      <formula>E731&lt;&gt;""</formula>
    </cfRule>
  </conditionalFormatting>
  <conditionalFormatting sqref="C732:D732">
    <cfRule type="containsText" dxfId="3187" priority="3796" operator="containsText" text="NO+$D$4:$D$10">
      <formula>NOT(ISERROR(SEARCH("NO+$D$4:$D$10",C732)))</formula>
    </cfRule>
  </conditionalFormatting>
  <conditionalFormatting sqref="C732:D732">
    <cfRule type="containsText" dxfId="3186" priority="3794" operator="containsText" text="SI">
      <formula>NOT(ISERROR(SEARCH("SI",C732)))</formula>
    </cfRule>
    <cfRule type="containsText" dxfId="3185" priority="3795" operator="containsText" text="NO">
      <formula>NOT(ISERROR(SEARCH("NO",C732)))</formula>
    </cfRule>
  </conditionalFormatting>
  <conditionalFormatting sqref="C732:E732">
    <cfRule type="containsText" dxfId="3184" priority="3793" operator="containsText" text="NUEVO">
      <formula>NOT(ISERROR(SEARCH("NUEVO",C732)))</formula>
    </cfRule>
  </conditionalFormatting>
  <conditionalFormatting sqref="E732">
    <cfRule type="containsText" dxfId="3183" priority="3792" operator="containsText" text="Sin Información">
      <formula>NOT(ISERROR(SEARCH("Sin Información",E732)))</formula>
    </cfRule>
  </conditionalFormatting>
  <conditionalFormatting sqref="E732:F732">
    <cfRule type="expression" dxfId="3182" priority="3791">
      <formula>E732&lt;&gt;""</formula>
    </cfRule>
  </conditionalFormatting>
  <conditionalFormatting sqref="C733:D733">
    <cfRule type="containsText" dxfId="3181" priority="3790" operator="containsText" text="NO+$D$4:$D$10">
      <formula>NOT(ISERROR(SEARCH("NO+$D$4:$D$10",C733)))</formula>
    </cfRule>
  </conditionalFormatting>
  <conditionalFormatting sqref="C733:D733">
    <cfRule type="containsText" dxfId="3180" priority="3788" operator="containsText" text="SI">
      <formula>NOT(ISERROR(SEARCH("SI",C733)))</formula>
    </cfRule>
    <cfRule type="containsText" dxfId="3179" priority="3789" operator="containsText" text="NO">
      <formula>NOT(ISERROR(SEARCH("NO",C733)))</formula>
    </cfRule>
  </conditionalFormatting>
  <conditionalFormatting sqref="C733:E733">
    <cfRule type="containsText" dxfId="3178" priority="3787" operator="containsText" text="NUEVO">
      <formula>NOT(ISERROR(SEARCH("NUEVO",C733)))</formula>
    </cfRule>
  </conditionalFormatting>
  <conditionalFormatting sqref="E733">
    <cfRule type="containsText" dxfId="3177" priority="3786" operator="containsText" text="Sin Información">
      <formula>NOT(ISERROR(SEARCH("Sin Información",E733)))</formula>
    </cfRule>
  </conditionalFormatting>
  <conditionalFormatting sqref="E733:F733">
    <cfRule type="expression" dxfId="3176" priority="3785">
      <formula>E733&lt;&gt;""</formula>
    </cfRule>
  </conditionalFormatting>
  <conditionalFormatting sqref="C734:D734">
    <cfRule type="containsText" dxfId="3175" priority="3784" operator="containsText" text="NO+$D$4:$D$10">
      <formula>NOT(ISERROR(SEARCH("NO+$D$4:$D$10",C734)))</formula>
    </cfRule>
  </conditionalFormatting>
  <conditionalFormatting sqref="C734:D734">
    <cfRule type="containsText" dxfId="3174" priority="3782" operator="containsText" text="SI">
      <formula>NOT(ISERROR(SEARCH("SI",C734)))</formula>
    </cfRule>
    <cfRule type="containsText" dxfId="3173" priority="3783" operator="containsText" text="NO">
      <formula>NOT(ISERROR(SEARCH("NO",C734)))</formula>
    </cfRule>
  </conditionalFormatting>
  <conditionalFormatting sqref="C734:D734">
    <cfRule type="containsText" dxfId="3172" priority="3781" operator="containsText" text="NUEVO">
      <formula>NOT(ISERROR(SEARCH("NUEVO",C734)))</formula>
    </cfRule>
  </conditionalFormatting>
  <conditionalFormatting sqref="F734">
    <cfRule type="expression" dxfId="3171" priority="3780">
      <formula>F734&lt;&gt;""</formula>
    </cfRule>
  </conditionalFormatting>
  <conditionalFormatting sqref="E734">
    <cfRule type="containsText" dxfId="3170" priority="3779" operator="containsText" text="NUEVO">
      <formula>NOT(ISERROR(SEARCH("NUEVO",E734)))</formula>
    </cfRule>
  </conditionalFormatting>
  <conditionalFormatting sqref="E734">
    <cfRule type="containsText" dxfId="3169" priority="3778" operator="containsText" text="Sin Información">
      <formula>NOT(ISERROR(SEARCH("Sin Información",E734)))</formula>
    </cfRule>
  </conditionalFormatting>
  <conditionalFormatting sqref="E734">
    <cfRule type="expression" dxfId="3168" priority="3777">
      <formula>E734&lt;&gt;""</formula>
    </cfRule>
  </conditionalFormatting>
  <conditionalFormatting sqref="C735:D735">
    <cfRule type="containsText" dxfId="3167" priority="3776" operator="containsText" text="NO+$D$4:$D$10">
      <formula>NOT(ISERROR(SEARCH("NO+$D$4:$D$10",C735)))</formula>
    </cfRule>
  </conditionalFormatting>
  <conditionalFormatting sqref="C735:D735">
    <cfRule type="containsText" dxfId="3166" priority="3774" operator="containsText" text="SI">
      <formula>NOT(ISERROR(SEARCH("SI",C735)))</formula>
    </cfRule>
    <cfRule type="containsText" dxfId="3165" priority="3775" operator="containsText" text="NO">
      <formula>NOT(ISERROR(SEARCH("NO",C735)))</formula>
    </cfRule>
  </conditionalFormatting>
  <conditionalFormatting sqref="C735:D735">
    <cfRule type="containsText" dxfId="3164" priority="3773" operator="containsText" text="NUEVO">
      <formula>NOT(ISERROR(SEARCH("NUEVO",C735)))</formula>
    </cfRule>
  </conditionalFormatting>
  <conditionalFormatting sqref="F735">
    <cfRule type="expression" dxfId="3163" priority="3772">
      <formula>F735&lt;&gt;""</formula>
    </cfRule>
  </conditionalFormatting>
  <conditionalFormatting sqref="E735">
    <cfRule type="containsText" dxfId="3162" priority="3770" operator="containsText" text="Sin Información">
      <formula>NOT(ISERROR(SEARCH("Sin Información",E735)))</formula>
    </cfRule>
  </conditionalFormatting>
  <conditionalFormatting sqref="E735">
    <cfRule type="containsText" dxfId="3161" priority="3771" operator="containsText" text="NUEVO">
      <formula>NOT(ISERROR(SEARCH("NUEVO",E735)))</formula>
    </cfRule>
  </conditionalFormatting>
  <conditionalFormatting sqref="E735">
    <cfRule type="expression" dxfId="3160" priority="3769">
      <formula>E735&lt;&gt;""</formula>
    </cfRule>
  </conditionalFormatting>
  <conditionalFormatting sqref="E735">
    <cfRule type="containsText" dxfId="3159" priority="3768" operator="containsText" text="Sin información">
      <formula>NOT(ISERROR(SEARCH("Sin información",E735)))</formula>
    </cfRule>
  </conditionalFormatting>
  <conditionalFormatting sqref="E735">
    <cfRule type="expression" dxfId="3158" priority="3767">
      <formula>E735&lt;&gt;""</formula>
    </cfRule>
  </conditionalFormatting>
  <conditionalFormatting sqref="C736:D736">
    <cfRule type="containsText" dxfId="3157" priority="3766" operator="containsText" text="NO+$D$4:$D$10">
      <formula>NOT(ISERROR(SEARCH("NO+$D$4:$D$10",C736)))</formula>
    </cfRule>
  </conditionalFormatting>
  <conditionalFormatting sqref="C736:D736">
    <cfRule type="containsText" dxfId="3156" priority="3764" operator="containsText" text="SI">
      <formula>NOT(ISERROR(SEARCH("SI",C736)))</formula>
    </cfRule>
    <cfRule type="containsText" dxfId="3155" priority="3765" operator="containsText" text="NO">
      <formula>NOT(ISERROR(SEARCH("NO",C736)))</formula>
    </cfRule>
  </conditionalFormatting>
  <conditionalFormatting sqref="C736:D736">
    <cfRule type="containsText" dxfId="3154" priority="3763" operator="containsText" text="NUEVO">
      <formula>NOT(ISERROR(SEARCH("NUEVO",C736)))</formula>
    </cfRule>
  </conditionalFormatting>
  <conditionalFormatting sqref="F736">
    <cfRule type="expression" dxfId="3153" priority="3762">
      <formula>F736&lt;&gt;""</formula>
    </cfRule>
  </conditionalFormatting>
  <conditionalFormatting sqref="E736">
    <cfRule type="containsText" dxfId="3152" priority="3761" operator="containsText" text="NUEVO">
      <formula>NOT(ISERROR(SEARCH("NUEVO",E736)))</formula>
    </cfRule>
  </conditionalFormatting>
  <conditionalFormatting sqref="E736">
    <cfRule type="containsText" dxfId="3151" priority="3760" operator="containsText" text="Sin Información">
      <formula>NOT(ISERROR(SEARCH("Sin Información",E736)))</formula>
    </cfRule>
  </conditionalFormatting>
  <conditionalFormatting sqref="E736">
    <cfRule type="expression" dxfId="3150" priority="3759">
      <formula>E736&lt;&gt;""</formula>
    </cfRule>
  </conditionalFormatting>
  <conditionalFormatting sqref="C737:D737">
    <cfRule type="containsText" dxfId="3149" priority="3758" operator="containsText" text="NO+$D$4:$D$10">
      <formula>NOT(ISERROR(SEARCH("NO+$D$4:$D$10",C737)))</formula>
    </cfRule>
  </conditionalFormatting>
  <conditionalFormatting sqref="C737:D737">
    <cfRule type="containsText" dxfId="3148" priority="3756" operator="containsText" text="SI">
      <formula>NOT(ISERROR(SEARCH("SI",C737)))</formula>
    </cfRule>
    <cfRule type="containsText" dxfId="3147" priority="3757" operator="containsText" text="NO">
      <formula>NOT(ISERROR(SEARCH("NO",C737)))</formula>
    </cfRule>
  </conditionalFormatting>
  <conditionalFormatting sqref="C737:E737">
    <cfRule type="containsText" dxfId="3146" priority="3755" operator="containsText" text="NUEVO">
      <formula>NOT(ISERROR(SEARCH("NUEVO",C737)))</formula>
    </cfRule>
  </conditionalFormatting>
  <conditionalFormatting sqref="E737">
    <cfRule type="containsText" dxfId="3145" priority="3754" operator="containsText" text="Sin Información">
      <formula>NOT(ISERROR(SEARCH("Sin Información",E737)))</formula>
    </cfRule>
  </conditionalFormatting>
  <conditionalFormatting sqref="E737:F737">
    <cfRule type="expression" dxfId="3144" priority="3753">
      <formula>E737&lt;&gt;""</formula>
    </cfRule>
  </conditionalFormatting>
  <conditionalFormatting sqref="C738:D738">
    <cfRule type="containsText" dxfId="3143" priority="3752" operator="containsText" text="NO+$D$4:$D$10">
      <formula>NOT(ISERROR(SEARCH("NO+$D$4:$D$10",C738)))</formula>
    </cfRule>
  </conditionalFormatting>
  <conditionalFormatting sqref="C738:D738">
    <cfRule type="containsText" dxfId="3142" priority="3750" operator="containsText" text="SI">
      <formula>NOT(ISERROR(SEARCH("SI",C738)))</formula>
    </cfRule>
    <cfRule type="containsText" dxfId="3141" priority="3751" operator="containsText" text="NO">
      <formula>NOT(ISERROR(SEARCH("NO",C738)))</formula>
    </cfRule>
  </conditionalFormatting>
  <conditionalFormatting sqref="C738:D738">
    <cfRule type="containsText" dxfId="3140" priority="3749" operator="containsText" text="NUEVO">
      <formula>NOT(ISERROR(SEARCH("NUEVO",C738)))</formula>
    </cfRule>
  </conditionalFormatting>
  <conditionalFormatting sqref="F738">
    <cfRule type="expression" dxfId="3139" priority="3748">
      <formula>F738&lt;&gt;""</formula>
    </cfRule>
  </conditionalFormatting>
  <conditionalFormatting sqref="E738">
    <cfRule type="containsText" dxfId="3138" priority="3747" operator="containsText" text="NUEVO">
      <formula>NOT(ISERROR(SEARCH("NUEVO",E738)))</formula>
    </cfRule>
  </conditionalFormatting>
  <conditionalFormatting sqref="E738">
    <cfRule type="containsText" dxfId="3137" priority="3746" operator="containsText" text="Sin Información">
      <formula>NOT(ISERROR(SEARCH("Sin Información",E738)))</formula>
    </cfRule>
  </conditionalFormatting>
  <conditionalFormatting sqref="E738">
    <cfRule type="expression" dxfId="3136" priority="3745">
      <formula>E738&lt;&gt;""</formula>
    </cfRule>
  </conditionalFormatting>
  <conditionalFormatting sqref="C739:D739">
    <cfRule type="containsText" dxfId="3135" priority="3744" operator="containsText" text="NO+$D$4:$D$10">
      <formula>NOT(ISERROR(SEARCH("NO+$D$4:$D$10",C739)))</formula>
    </cfRule>
  </conditionalFormatting>
  <conditionalFormatting sqref="C739:D739">
    <cfRule type="containsText" dxfId="3134" priority="3742" operator="containsText" text="SI">
      <formula>NOT(ISERROR(SEARCH("SI",C739)))</formula>
    </cfRule>
    <cfRule type="containsText" dxfId="3133" priority="3743" operator="containsText" text="NO">
      <formula>NOT(ISERROR(SEARCH("NO",C739)))</formula>
    </cfRule>
  </conditionalFormatting>
  <conditionalFormatting sqref="C739:D739">
    <cfRule type="containsText" dxfId="3132" priority="3741" operator="containsText" text="NUEVO">
      <formula>NOT(ISERROR(SEARCH("NUEVO",C739)))</formula>
    </cfRule>
  </conditionalFormatting>
  <conditionalFormatting sqref="F739">
    <cfRule type="expression" dxfId="3131" priority="3740">
      <formula>F739&lt;&gt;""</formula>
    </cfRule>
  </conditionalFormatting>
  <conditionalFormatting sqref="E739">
    <cfRule type="containsText" dxfId="3130" priority="3739" operator="containsText" text="NUEVO">
      <formula>NOT(ISERROR(SEARCH("NUEVO",E739)))</formula>
    </cfRule>
  </conditionalFormatting>
  <conditionalFormatting sqref="E739">
    <cfRule type="containsText" dxfId="3129" priority="3738" operator="containsText" text="Sin Información">
      <formula>NOT(ISERROR(SEARCH("Sin Información",E739)))</formula>
    </cfRule>
  </conditionalFormatting>
  <conditionalFormatting sqref="E739">
    <cfRule type="expression" dxfId="3128" priority="3737">
      <formula>E739&lt;&gt;""</formula>
    </cfRule>
  </conditionalFormatting>
  <conditionalFormatting sqref="C740:D740">
    <cfRule type="containsText" dxfId="3127" priority="3728" operator="containsText" text="NO+$D$4:$D$10">
      <formula>NOT(ISERROR(SEARCH("NO+$D$4:$D$10",C740)))</formula>
    </cfRule>
  </conditionalFormatting>
  <conditionalFormatting sqref="C740:D740">
    <cfRule type="containsText" dxfId="3126" priority="3726" operator="containsText" text="SI">
      <formula>NOT(ISERROR(SEARCH("SI",C740)))</formula>
    </cfRule>
    <cfRule type="containsText" dxfId="3125" priority="3727" operator="containsText" text="NO">
      <formula>NOT(ISERROR(SEARCH("NO",C740)))</formula>
    </cfRule>
  </conditionalFormatting>
  <conditionalFormatting sqref="C740:D740">
    <cfRule type="containsText" dxfId="3124" priority="3725" operator="containsText" text="NUEVO">
      <formula>NOT(ISERROR(SEARCH("NUEVO",C740)))</formula>
    </cfRule>
  </conditionalFormatting>
  <conditionalFormatting sqref="F740">
    <cfRule type="expression" dxfId="3123" priority="3724">
      <formula>F740&lt;&gt;""</formula>
    </cfRule>
  </conditionalFormatting>
  <conditionalFormatting sqref="E740">
    <cfRule type="containsText" dxfId="3122" priority="3723" operator="containsText" text="NUEVO">
      <formula>NOT(ISERROR(SEARCH("NUEVO",E740)))</formula>
    </cfRule>
  </conditionalFormatting>
  <conditionalFormatting sqref="E740">
    <cfRule type="containsText" dxfId="3121" priority="3722" operator="containsText" text="Sin Información">
      <formula>NOT(ISERROR(SEARCH("Sin Información",E740)))</formula>
    </cfRule>
  </conditionalFormatting>
  <conditionalFormatting sqref="E740">
    <cfRule type="expression" dxfId="3120" priority="3721">
      <formula>E740&lt;&gt;""</formula>
    </cfRule>
  </conditionalFormatting>
  <conditionalFormatting sqref="C741:D741">
    <cfRule type="containsText" dxfId="3119" priority="3720" operator="containsText" text="NO+$D$4:$D$10">
      <formula>NOT(ISERROR(SEARCH("NO+$D$4:$D$10",C741)))</formula>
    </cfRule>
  </conditionalFormatting>
  <conditionalFormatting sqref="C741:D741">
    <cfRule type="containsText" dxfId="3118" priority="3718" operator="containsText" text="SI">
      <formula>NOT(ISERROR(SEARCH("SI",C741)))</formula>
    </cfRule>
    <cfRule type="containsText" dxfId="3117" priority="3719" operator="containsText" text="NO">
      <formula>NOT(ISERROR(SEARCH("NO",C741)))</formula>
    </cfRule>
  </conditionalFormatting>
  <conditionalFormatting sqref="C741:D741">
    <cfRule type="containsText" dxfId="3116" priority="3717" operator="containsText" text="NUEVO">
      <formula>NOT(ISERROR(SEARCH("NUEVO",C741)))</formula>
    </cfRule>
  </conditionalFormatting>
  <conditionalFormatting sqref="F741">
    <cfRule type="expression" dxfId="3115" priority="3716">
      <formula>F741&lt;&gt;""</formula>
    </cfRule>
  </conditionalFormatting>
  <conditionalFormatting sqref="E741">
    <cfRule type="containsText" dxfId="3114" priority="3715" operator="containsText" text="NUEVO">
      <formula>NOT(ISERROR(SEARCH("NUEVO",E741)))</formula>
    </cfRule>
  </conditionalFormatting>
  <conditionalFormatting sqref="E741">
    <cfRule type="containsText" dxfId="3113" priority="3714" operator="containsText" text="Sin Información">
      <formula>NOT(ISERROR(SEARCH("Sin Información",E741)))</formula>
    </cfRule>
  </conditionalFormatting>
  <conditionalFormatting sqref="E741">
    <cfRule type="expression" dxfId="3112" priority="3713">
      <formula>E741&lt;&gt;""</formula>
    </cfRule>
  </conditionalFormatting>
  <conditionalFormatting sqref="C742:D742">
    <cfRule type="containsText" dxfId="3111" priority="3712" operator="containsText" text="NO+$D$4:$D$10">
      <formula>NOT(ISERROR(SEARCH("NO+$D$4:$D$10",C742)))</formula>
    </cfRule>
  </conditionalFormatting>
  <conditionalFormatting sqref="C742:D742">
    <cfRule type="containsText" dxfId="3110" priority="3710" operator="containsText" text="SI">
      <formula>NOT(ISERROR(SEARCH("SI",C742)))</formula>
    </cfRule>
    <cfRule type="containsText" dxfId="3109" priority="3711" operator="containsText" text="NO">
      <formula>NOT(ISERROR(SEARCH("NO",C742)))</formula>
    </cfRule>
  </conditionalFormatting>
  <conditionalFormatting sqref="C742:D742">
    <cfRule type="containsText" dxfId="3108" priority="3709" operator="containsText" text="NUEVO">
      <formula>NOT(ISERROR(SEARCH("NUEVO",C742)))</formula>
    </cfRule>
  </conditionalFormatting>
  <conditionalFormatting sqref="F742">
    <cfRule type="expression" dxfId="3107" priority="3708">
      <formula>F742&lt;&gt;""</formula>
    </cfRule>
  </conditionalFormatting>
  <conditionalFormatting sqref="E742">
    <cfRule type="containsText" dxfId="3106" priority="3707" operator="containsText" text="NUEVO">
      <formula>NOT(ISERROR(SEARCH("NUEVO",E742)))</formula>
    </cfRule>
  </conditionalFormatting>
  <conditionalFormatting sqref="E742">
    <cfRule type="containsText" dxfId="3105" priority="3706" operator="containsText" text="Sin Información">
      <formula>NOT(ISERROR(SEARCH("Sin Información",E742)))</formula>
    </cfRule>
  </conditionalFormatting>
  <conditionalFormatting sqref="E742">
    <cfRule type="expression" dxfId="3104" priority="3705">
      <formula>E742&lt;&gt;""</formula>
    </cfRule>
  </conditionalFormatting>
  <conditionalFormatting sqref="C743:D743">
    <cfRule type="containsText" dxfId="3103" priority="3704" operator="containsText" text="NO+$D$4:$D$10">
      <formula>NOT(ISERROR(SEARCH("NO+$D$4:$D$10",C743)))</formula>
    </cfRule>
  </conditionalFormatting>
  <conditionalFormatting sqref="C743:D743">
    <cfRule type="containsText" dxfId="3102" priority="3702" operator="containsText" text="SI">
      <formula>NOT(ISERROR(SEARCH("SI",C743)))</formula>
    </cfRule>
    <cfRule type="containsText" dxfId="3101" priority="3703" operator="containsText" text="NO">
      <formula>NOT(ISERROR(SEARCH("NO",C743)))</formula>
    </cfRule>
  </conditionalFormatting>
  <conditionalFormatting sqref="C743:D743">
    <cfRule type="containsText" dxfId="3100" priority="3701" operator="containsText" text="NUEVO">
      <formula>NOT(ISERROR(SEARCH("NUEVO",C743)))</formula>
    </cfRule>
  </conditionalFormatting>
  <conditionalFormatting sqref="F743">
    <cfRule type="expression" dxfId="3099" priority="3700">
      <formula>F743&lt;&gt;""</formula>
    </cfRule>
  </conditionalFormatting>
  <conditionalFormatting sqref="E743">
    <cfRule type="containsText" dxfId="3098" priority="3699" operator="containsText" text="NUEVO">
      <formula>NOT(ISERROR(SEARCH("NUEVO",E743)))</formula>
    </cfRule>
  </conditionalFormatting>
  <conditionalFormatting sqref="E743">
    <cfRule type="containsText" dxfId="3097" priority="3698" operator="containsText" text="Sin Información">
      <formula>NOT(ISERROR(SEARCH("Sin Información",E743)))</formula>
    </cfRule>
  </conditionalFormatting>
  <conditionalFormatting sqref="E743">
    <cfRule type="expression" dxfId="3096" priority="3697">
      <formula>E743&lt;&gt;""</formula>
    </cfRule>
  </conditionalFormatting>
  <conditionalFormatting sqref="C744:D744">
    <cfRule type="containsText" dxfId="3095" priority="3696" operator="containsText" text="NO+$D$4:$D$10">
      <formula>NOT(ISERROR(SEARCH("NO+$D$4:$D$10",C744)))</formula>
    </cfRule>
  </conditionalFormatting>
  <conditionalFormatting sqref="C744:D744">
    <cfRule type="containsText" dxfId="3094" priority="3694" operator="containsText" text="SI">
      <formula>NOT(ISERROR(SEARCH("SI",C744)))</formula>
    </cfRule>
    <cfRule type="containsText" dxfId="3093" priority="3695" operator="containsText" text="NO">
      <formula>NOT(ISERROR(SEARCH("NO",C744)))</formula>
    </cfRule>
  </conditionalFormatting>
  <conditionalFormatting sqref="C744:D744">
    <cfRule type="containsText" dxfId="3092" priority="3693" operator="containsText" text="NUEVO">
      <formula>NOT(ISERROR(SEARCH("NUEVO",C744)))</formula>
    </cfRule>
  </conditionalFormatting>
  <conditionalFormatting sqref="F744">
    <cfRule type="expression" dxfId="3091" priority="3692">
      <formula>F744&lt;&gt;""</formula>
    </cfRule>
  </conditionalFormatting>
  <conditionalFormatting sqref="E744">
    <cfRule type="containsText" dxfId="3090" priority="3691" operator="containsText" text="NUEVO">
      <formula>NOT(ISERROR(SEARCH("NUEVO",E744)))</formula>
    </cfRule>
  </conditionalFormatting>
  <conditionalFormatting sqref="E744">
    <cfRule type="containsText" dxfId="3089" priority="3690" operator="containsText" text="Sin Información">
      <formula>NOT(ISERROR(SEARCH("Sin Información",E744)))</formula>
    </cfRule>
  </conditionalFormatting>
  <conditionalFormatting sqref="E744">
    <cfRule type="expression" dxfId="3088" priority="3689">
      <formula>E744&lt;&gt;""</formula>
    </cfRule>
  </conditionalFormatting>
  <conditionalFormatting sqref="C745:D745">
    <cfRule type="containsText" dxfId="3087" priority="3688" operator="containsText" text="NO+$D$4:$D$10">
      <formula>NOT(ISERROR(SEARCH("NO+$D$4:$D$10",C745)))</formula>
    </cfRule>
  </conditionalFormatting>
  <conditionalFormatting sqref="C745:D745">
    <cfRule type="containsText" dxfId="3086" priority="3686" operator="containsText" text="SI">
      <formula>NOT(ISERROR(SEARCH("SI",C745)))</formula>
    </cfRule>
    <cfRule type="containsText" dxfId="3085" priority="3687" operator="containsText" text="NO">
      <formula>NOT(ISERROR(SEARCH("NO",C745)))</formula>
    </cfRule>
  </conditionalFormatting>
  <conditionalFormatting sqref="C745:D745">
    <cfRule type="containsText" dxfId="3084" priority="3685" operator="containsText" text="NUEVO">
      <formula>NOT(ISERROR(SEARCH("NUEVO",C745)))</formula>
    </cfRule>
  </conditionalFormatting>
  <conditionalFormatting sqref="F745">
    <cfRule type="expression" dxfId="3083" priority="3684">
      <formula>F745&lt;&gt;""</formula>
    </cfRule>
  </conditionalFormatting>
  <conditionalFormatting sqref="E745">
    <cfRule type="containsText" dxfId="3082" priority="3683" operator="containsText" text="NUEVO">
      <formula>NOT(ISERROR(SEARCH("NUEVO",E745)))</formula>
    </cfRule>
  </conditionalFormatting>
  <conditionalFormatting sqref="E745">
    <cfRule type="containsText" dxfId="3081" priority="3682" operator="containsText" text="Sin Información">
      <formula>NOT(ISERROR(SEARCH("Sin Información",E745)))</formula>
    </cfRule>
  </conditionalFormatting>
  <conditionalFormatting sqref="E745">
    <cfRule type="expression" dxfId="3080" priority="3681">
      <formula>E745&lt;&gt;""</formula>
    </cfRule>
  </conditionalFormatting>
  <conditionalFormatting sqref="C746:D746">
    <cfRule type="containsText" dxfId="3079" priority="3680" operator="containsText" text="NO+$D$4:$D$10">
      <formula>NOT(ISERROR(SEARCH("NO+$D$4:$D$10",C746)))</formula>
    </cfRule>
  </conditionalFormatting>
  <conditionalFormatting sqref="C746:D746">
    <cfRule type="containsText" dxfId="3078" priority="3678" operator="containsText" text="SI">
      <formula>NOT(ISERROR(SEARCH("SI",C746)))</formula>
    </cfRule>
    <cfRule type="containsText" dxfId="3077" priority="3679" operator="containsText" text="NO">
      <formula>NOT(ISERROR(SEARCH("NO",C746)))</formula>
    </cfRule>
  </conditionalFormatting>
  <conditionalFormatting sqref="C746:E746">
    <cfRule type="containsText" dxfId="3076" priority="3677" operator="containsText" text="NUEVO">
      <formula>NOT(ISERROR(SEARCH("NUEVO",C746)))</formula>
    </cfRule>
  </conditionalFormatting>
  <conditionalFormatting sqref="E746">
    <cfRule type="containsText" dxfId="3075" priority="3676" operator="containsText" text="Sin Información">
      <formula>NOT(ISERROR(SEARCH("Sin Información",E746)))</formula>
    </cfRule>
  </conditionalFormatting>
  <conditionalFormatting sqref="E746:F746">
    <cfRule type="expression" dxfId="3074" priority="3675">
      <formula>E746&lt;&gt;""</formula>
    </cfRule>
  </conditionalFormatting>
  <conditionalFormatting sqref="C1128:D1128">
    <cfRule type="containsText" dxfId="3073" priority="3654" operator="containsText" text="NO+$D$4:$D$10">
      <formula>NOT(ISERROR(SEARCH("NO+$D$4:$D$10",C1128)))</formula>
    </cfRule>
  </conditionalFormatting>
  <conditionalFormatting sqref="C1128:D1128">
    <cfRule type="containsText" dxfId="3072" priority="3652" operator="containsText" text="SI">
      <formula>NOT(ISERROR(SEARCH("SI",C1128)))</formula>
    </cfRule>
    <cfRule type="containsText" dxfId="3071" priority="3653" operator="containsText" text="NO">
      <formula>NOT(ISERROR(SEARCH("NO",C1128)))</formula>
    </cfRule>
  </conditionalFormatting>
  <conditionalFormatting sqref="C1128:D1128">
    <cfRule type="containsText" dxfId="3070" priority="3651" operator="containsText" text="NUEVO">
      <formula>NOT(ISERROR(SEARCH("NUEVO",C1128)))</formula>
    </cfRule>
  </conditionalFormatting>
  <conditionalFormatting sqref="F1128">
    <cfRule type="expression" dxfId="3069" priority="3650">
      <formula>F1128&lt;&gt;""</formula>
    </cfRule>
  </conditionalFormatting>
  <conditionalFormatting sqref="E1128">
    <cfRule type="containsText" dxfId="3068" priority="3649" operator="containsText" text="NUEVO">
      <formula>NOT(ISERROR(SEARCH("NUEVO",E1128)))</formula>
    </cfRule>
  </conditionalFormatting>
  <conditionalFormatting sqref="E1128">
    <cfRule type="containsText" dxfId="3067" priority="3648" operator="containsText" text="Sin Información">
      <formula>NOT(ISERROR(SEARCH("Sin Información",E1128)))</formula>
    </cfRule>
  </conditionalFormatting>
  <conditionalFormatting sqref="E1128">
    <cfRule type="expression" dxfId="3066" priority="3647">
      <formula>E1128&lt;&gt;""</formula>
    </cfRule>
  </conditionalFormatting>
  <conditionalFormatting sqref="C1129:D1129">
    <cfRule type="containsText" dxfId="3065" priority="3638" operator="containsText" text="NO+$D$4:$D$10">
      <formula>NOT(ISERROR(SEARCH("NO+$D$4:$D$10",C1129)))</formula>
    </cfRule>
  </conditionalFormatting>
  <conditionalFormatting sqref="C1129:D1129">
    <cfRule type="containsText" dxfId="3064" priority="3636" operator="containsText" text="SI">
      <formula>NOT(ISERROR(SEARCH("SI",C1129)))</formula>
    </cfRule>
    <cfRule type="containsText" dxfId="3063" priority="3637" operator="containsText" text="NO">
      <formula>NOT(ISERROR(SEARCH("NO",C1129)))</formula>
    </cfRule>
  </conditionalFormatting>
  <conditionalFormatting sqref="C1129:E1129">
    <cfRule type="containsText" dxfId="3062" priority="3635" operator="containsText" text="NUEVO">
      <formula>NOT(ISERROR(SEARCH("NUEVO",C1129)))</formula>
    </cfRule>
  </conditionalFormatting>
  <conditionalFormatting sqref="E1129">
    <cfRule type="containsText" dxfId="3061" priority="3634" operator="containsText" text="Sin Información">
      <formula>NOT(ISERROR(SEARCH("Sin Información",E1129)))</formula>
    </cfRule>
  </conditionalFormatting>
  <conditionalFormatting sqref="E1129:F1129">
    <cfRule type="expression" dxfId="3060" priority="3633">
      <formula>E1129&lt;&gt;""</formula>
    </cfRule>
  </conditionalFormatting>
  <conditionalFormatting sqref="C1130:D1130">
    <cfRule type="containsText" dxfId="3059" priority="3632" operator="containsText" text="NO+$D$4:$D$10">
      <formula>NOT(ISERROR(SEARCH("NO+$D$4:$D$10",C1130)))</formula>
    </cfRule>
  </conditionalFormatting>
  <conditionalFormatting sqref="C1130:D1130">
    <cfRule type="containsText" dxfId="3058" priority="3630" operator="containsText" text="SI">
      <formula>NOT(ISERROR(SEARCH("SI",C1130)))</formula>
    </cfRule>
    <cfRule type="containsText" dxfId="3057" priority="3631" operator="containsText" text="NO">
      <formula>NOT(ISERROR(SEARCH("NO",C1130)))</formula>
    </cfRule>
  </conditionalFormatting>
  <conditionalFormatting sqref="C1130:E1130">
    <cfRule type="containsText" dxfId="3056" priority="3629" operator="containsText" text="NUEVO">
      <formula>NOT(ISERROR(SEARCH("NUEVO",C1130)))</formula>
    </cfRule>
  </conditionalFormatting>
  <conditionalFormatting sqref="E1130">
    <cfRule type="containsText" dxfId="3055" priority="3628" operator="containsText" text="Sin Información">
      <formula>NOT(ISERROR(SEARCH("Sin Información",E1130)))</formula>
    </cfRule>
  </conditionalFormatting>
  <conditionalFormatting sqref="E1130:F1130">
    <cfRule type="expression" dxfId="3054" priority="3627">
      <formula>E1130&lt;&gt;""</formula>
    </cfRule>
  </conditionalFormatting>
  <conditionalFormatting sqref="C1131:D1131">
    <cfRule type="containsText" dxfId="3053" priority="3626" operator="containsText" text="NO+$D$4:$D$10">
      <formula>NOT(ISERROR(SEARCH("NO+$D$4:$D$10",C1131)))</formula>
    </cfRule>
  </conditionalFormatting>
  <conditionalFormatting sqref="C1131:D1131">
    <cfRule type="containsText" dxfId="3052" priority="3624" operator="containsText" text="SI">
      <formula>NOT(ISERROR(SEARCH("SI",C1131)))</formula>
    </cfRule>
    <cfRule type="containsText" dxfId="3051" priority="3625" operator="containsText" text="NO">
      <formula>NOT(ISERROR(SEARCH("NO",C1131)))</formula>
    </cfRule>
  </conditionalFormatting>
  <conditionalFormatting sqref="C1131:E1131">
    <cfRule type="containsText" dxfId="3050" priority="3623" operator="containsText" text="NUEVO">
      <formula>NOT(ISERROR(SEARCH("NUEVO",C1131)))</formula>
    </cfRule>
  </conditionalFormatting>
  <conditionalFormatting sqref="E1131">
    <cfRule type="containsText" dxfId="3049" priority="3622" operator="containsText" text="Sin Información">
      <formula>NOT(ISERROR(SEARCH("Sin Información",E1131)))</formula>
    </cfRule>
  </conditionalFormatting>
  <conditionalFormatting sqref="E1131:F1131">
    <cfRule type="expression" dxfId="3048" priority="3621">
      <formula>E1131&lt;&gt;""</formula>
    </cfRule>
  </conditionalFormatting>
  <conditionalFormatting sqref="C1132:D1132">
    <cfRule type="containsText" dxfId="3047" priority="3620" operator="containsText" text="NO+$D$4:$D$10">
      <formula>NOT(ISERROR(SEARCH("NO+$D$4:$D$10",C1132)))</formula>
    </cfRule>
  </conditionalFormatting>
  <conditionalFormatting sqref="C1132:D1132">
    <cfRule type="containsText" dxfId="3046" priority="3618" operator="containsText" text="SI">
      <formula>NOT(ISERROR(SEARCH("SI",C1132)))</formula>
    </cfRule>
    <cfRule type="containsText" dxfId="3045" priority="3619" operator="containsText" text="NO">
      <formula>NOT(ISERROR(SEARCH("NO",C1132)))</formula>
    </cfRule>
  </conditionalFormatting>
  <conditionalFormatting sqref="C1132:E1132">
    <cfRule type="containsText" dxfId="3044" priority="3617" operator="containsText" text="NUEVO">
      <formula>NOT(ISERROR(SEARCH("NUEVO",C1132)))</formula>
    </cfRule>
  </conditionalFormatting>
  <conditionalFormatting sqref="E1132">
    <cfRule type="containsText" dxfId="3043" priority="3616" operator="containsText" text="Sin Información">
      <formula>NOT(ISERROR(SEARCH("Sin Información",E1132)))</formula>
    </cfRule>
  </conditionalFormatting>
  <conditionalFormatting sqref="E1132:F1132">
    <cfRule type="expression" dxfId="3042" priority="3615">
      <formula>E1132&lt;&gt;""</formula>
    </cfRule>
  </conditionalFormatting>
  <conditionalFormatting sqref="C1133:D1133">
    <cfRule type="containsText" dxfId="3041" priority="3614" operator="containsText" text="NO+$D$4:$D$10">
      <formula>NOT(ISERROR(SEARCH("NO+$D$4:$D$10",C1133)))</formula>
    </cfRule>
  </conditionalFormatting>
  <conditionalFormatting sqref="C1133:D1133">
    <cfRule type="containsText" dxfId="3040" priority="3612" operator="containsText" text="SI">
      <formula>NOT(ISERROR(SEARCH("SI",C1133)))</formula>
    </cfRule>
    <cfRule type="containsText" dxfId="3039" priority="3613" operator="containsText" text="NO">
      <formula>NOT(ISERROR(SEARCH("NO",C1133)))</formula>
    </cfRule>
  </conditionalFormatting>
  <conditionalFormatting sqref="C1133:E1133">
    <cfRule type="containsText" dxfId="3038" priority="3611" operator="containsText" text="NUEVO">
      <formula>NOT(ISERROR(SEARCH("NUEVO",C1133)))</formula>
    </cfRule>
  </conditionalFormatting>
  <conditionalFormatting sqref="E1133">
    <cfRule type="containsText" dxfId="3037" priority="3610" operator="containsText" text="Sin Información">
      <formula>NOT(ISERROR(SEARCH("Sin Información",E1133)))</formula>
    </cfRule>
  </conditionalFormatting>
  <conditionalFormatting sqref="E1133:F1133">
    <cfRule type="expression" dxfId="3036" priority="3609">
      <formula>E1133&lt;&gt;""</formula>
    </cfRule>
  </conditionalFormatting>
  <conditionalFormatting sqref="C1134:D1134">
    <cfRule type="containsText" dxfId="3035" priority="3608" operator="containsText" text="NO+$D$4:$D$10">
      <formula>NOT(ISERROR(SEARCH("NO+$D$4:$D$10",C1134)))</formula>
    </cfRule>
  </conditionalFormatting>
  <conditionalFormatting sqref="C1134:D1134">
    <cfRule type="containsText" dxfId="3034" priority="3606" operator="containsText" text="SI">
      <formula>NOT(ISERROR(SEARCH("SI",C1134)))</formula>
    </cfRule>
    <cfRule type="containsText" dxfId="3033" priority="3607" operator="containsText" text="NO">
      <formula>NOT(ISERROR(SEARCH("NO",C1134)))</formula>
    </cfRule>
  </conditionalFormatting>
  <conditionalFormatting sqref="C1134:E1134">
    <cfRule type="containsText" dxfId="3032" priority="3605" operator="containsText" text="NUEVO">
      <formula>NOT(ISERROR(SEARCH("NUEVO",C1134)))</formula>
    </cfRule>
  </conditionalFormatting>
  <conditionalFormatting sqref="E1134">
    <cfRule type="containsText" dxfId="3031" priority="3604" operator="containsText" text="Sin Información">
      <formula>NOT(ISERROR(SEARCH("Sin Información",E1134)))</formula>
    </cfRule>
  </conditionalFormatting>
  <conditionalFormatting sqref="E1134:F1134">
    <cfRule type="expression" dxfId="3030" priority="3603">
      <formula>E1134&lt;&gt;""</formula>
    </cfRule>
  </conditionalFormatting>
  <conditionalFormatting sqref="C1135:D1135">
    <cfRule type="containsText" dxfId="3029" priority="3602" operator="containsText" text="NO+$D$4:$D$10">
      <formula>NOT(ISERROR(SEARCH("NO+$D$4:$D$10",C1135)))</formula>
    </cfRule>
  </conditionalFormatting>
  <conditionalFormatting sqref="C1135:D1135">
    <cfRule type="containsText" dxfId="3028" priority="3600" operator="containsText" text="SI">
      <formula>NOT(ISERROR(SEARCH("SI",C1135)))</formula>
    </cfRule>
    <cfRule type="containsText" dxfId="3027" priority="3601" operator="containsText" text="NO">
      <formula>NOT(ISERROR(SEARCH("NO",C1135)))</formula>
    </cfRule>
  </conditionalFormatting>
  <conditionalFormatting sqref="C1135:E1135">
    <cfRule type="containsText" dxfId="3026" priority="3599" operator="containsText" text="NUEVO">
      <formula>NOT(ISERROR(SEARCH("NUEVO",C1135)))</formula>
    </cfRule>
  </conditionalFormatting>
  <conditionalFormatting sqref="E1135">
    <cfRule type="containsText" dxfId="3025" priority="3598" operator="containsText" text="Sin Información">
      <formula>NOT(ISERROR(SEARCH("Sin Información",E1135)))</formula>
    </cfRule>
  </conditionalFormatting>
  <conditionalFormatting sqref="E1135:F1135">
    <cfRule type="expression" dxfId="3024" priority="3597">
      <formula>E1135&lt;&gt;""</formula>
    </cfRule>
  </conditionalFormatting>
  <conditionalFormatting sqref="C1136:D1136">
    <cfRule type="containsText" dxfId="3023" priority="3590" operator="containsText" text="NO+$D$4:$D$10">
      <formula>NOT(ISERROR(SEARCH("NO+$D$4:$D$10",C1136)))</formula>
    </cfRule>
  </conditionalFormatting>
  <conditionalFormatting sqref="C1136:D1136">
    <cfRule type="containsText" dxfId="3022" priority="3588" operator="containsText" text="SI">
      <formula>NOT(ISERROR(SEARCH("SI",C1136)))</formula>
    </cfRule>
    <cfRule type="containsText" dxfId="3021" priority="3589" operator="containsText" text="NO">
      <formula>NOT(ISERROR(SEARCH("NO",C1136)))</formula>
    </cfRule>
  </conditionalFormatting>
  <conditionalFormatting sqref="C1136:E1136">
    <cfRule type="containsText" dxfId="3020" priority="3587" operator="containsText" text="NUEVO">
      <formula>NOT(ISERROR(SEARCH("NUEVO",C1136)))</formula>
    </cfRule>
  </conditionalFormatting>
  <conditionalFormatting sqref="E1136">
    <cfRule type="containsText" dxfId="3019" priority="3586" operator="containsText" text="Sin Información">
      <formula>NOT(ISERROR(SEARCH("Sin Información",E1136)))</formula>
    </cfRule>
  </conditionalFormatting>
  <conditionalFormatting sqref="E1136:F1136">
    <cfRule type="expression" dxfId="3018" priority="3585">
      <formula>E1136&lt;&gt;""</formula>
    </cfRule>
  </conditionalFormatting>
  <conditionalFormatting sqref="C1137:D1137">
    <cfRule type="containsText" dxfId="3017" priority="3584" operator="containsText" text="NO+$D$4:$D$10">
      <formula>NOT(ISERROR(SEARCH("NO+$D$4:$D$10",C1137)))</formula>
    </cfRule>
  </conditionalFormatting>
  <conditionalFormatting sqref="C1137:D1137">
    <cfRule type="containsText" dxfId="3016" priority="3582" operator="containsText" text="SI">
      <formula>NOT(ISERROR(SEARCH("SI",C1137)))</formula>
    </cfRule>
    <cfRule type="containsText" dxfId="3015" priority="3583" operator="containsText" text="NO">
      <formula>NOT(ISERROR(SEARCH("NO",C1137)))</formula>
    </cfRule>
  </conditionalFormatting>
  <conditionalFormatting sqref="C1137:E1137">
    <cfRule type="containsText" dxfId="3014" priority="3581" operator="containsText" text="NUEVO">
      <formula>NOT(ISERROR(SEARCH("NUEVO",C1137)))</formula>
    </cfRule>
  </conditionalFormatting>
  <conditionalFormatting sqref="E1137">
    <cfRule type="containsText" dxfId="3013" priority="3580" operator="containsText" text="Sin Información">
      <formula>NOT(ISERROR(SEARCH("Sin Información",E1137)))</formula>
    </cfRule>
  </conditionalFormatting>
  <conditionalFormatting sqref="E1137:F1137">
    <cfRule type="expression" dxfId="3012" priority="3579">
      <formula>E1137&lt;&gt;""</formula>
    </cfRule>
  </conditionalFormatting>
  <conditionalFormatting sqref="C1138:D1138">
    <cfRule type="containsText" dxfId="3011" priority="3578" operator="containsText" text="NO+$D$4:$D$10">
      <formula>NOT(ISERROR(SEARCH("NO+$D$4:$D$10",C1138)))</formula>
    </cfRule>
  </conditionalFormatting>
  <conditionalFormatting sqref="C1138:D1138">
    <cfRule type="containsText" dxfId="3010" priority="3576" operator="containsText" text="SI">
      <formula>NOT(ISERROR(SEARCH("SI",C1138)))</formula>
    </cfRule>
    <cfRule type="containsText" dxfId="3009" priority="3577" operator="containsText" text="NO">
      <formula>NOT(ISERROR(SEARCH("NO",C1138)))</formula>
    </cfRule>
  </conditionalFormatting>
  <conditionalFormatting sqref="C1138:E1138">
    <cfRule type="containsText" dxfId="3008" priority="3575" operator="containsText" text="NUEVO">
      <formula>NOT(ISERROR(SEARCH("NUEVO",C1138)))</formula>
    </cfRule>
  </conditionalFormatting>
  <conditionalFormatting sqref="E1138">
    <cfRule type="containsText" dxfId="3007" priority="3574" operator="containsText" text="Sin Información">
      <formula>NOT(ISERROR(SEARCH("Sin Información",E1138)))</formula>
    </cfRule>
  </conditionalFormatting>
  <conditionalFormatting sqref="F1138">
    <cfRule type="containsText" dxfId="3006" priority="3573" operator="containsText" text="NO+$D$4:$D$10">
      <formula>NOT(ISERROR(SEARCH("NO+$D$4:$D$10",F1138)))</formula>
    </cfRule>
  </conditionalFormatting>
  <conditionalFormatting sqref="F1138">
    <cfRule type="containsText" dxfId="3005" priority="3571" operator="containsText" text="SI">
      <formula>NOT(ISERROR(SEARCH("SI",F1138)))</formula>
    </cfRule>
    <cfRule type="containsText" dxfId="3004" priority="3572" operator="containsText" text="NO">
      <formula>NOT(ISERROR(SEARCH("NO",F1138)))</formula>
    </cfRule>
  </conditionalFormatting>
  <conditionalFormatting sqref="F1138">
    <cfRule type="containsText" dxfId="3003" priority="3570" operator="containsText" text="NUEVO">
      <formula>NOT(ISERROR(SEARCH("NUEVO",F1138)))</formula>
    </cfRule>
  </conditionalFormatting>
  <conditionalFormatting sqref="E1138:F1138">
    <cfRule type="expression" dxfId="3002" priority="3569">
      <formula>E1138&lt;&gt;""</formula>
    </cfRule>
  </conditionalFormatting>
  <conditionalFormatting sqref="C1139:D1139">
    <cfRule type="containsText" dxfId="3001" priority="3562" operator="containsText" text="NO+$D$4:$D$10">
      <formula>NOT(ISERROR(SEARCH("NO+$D$4:$D$10",C1139)))</formula>
    </cfRule>
  </conditionalFormatting>
  <conditionalFormatting sqref="C1139:D1139">
    <cfRule type="containsText" dxfId="3000" priority="3560" operator="containsText" text="SI">
      <formula>NOT(ISERROR(SEARCH("SI",C1139)))</formula>
    </cfRule>
    <cfRule type="containsText" dxfId="2999" priority="3561" operator="containsText" text="NO">
      <formula>NOT(ISERROR(SEARCH("NO",C1139)))</formula>
    </cfRule>
  </conditionalFormatting>
  <conditionalFormatting sqref="C1139:E1139">
    <cfRule type="containsText" dxfId="2998" priority="3559" operator="containsText" text="NUEVO">
      <formula>NOT(ISERROR(SEARCH("NUEVO",C1139)))</formula>
    </cfRule>
  </conditionalFormatting>
  <conditionalFormatting sqref="E1139">
    <cfRule type="containsText" dxfId="2997" priority="3558" operator="containsText" text="Sin Información">
      <formula>NOT(ISERROR(SEARCH("Sin Información",E1139)))</formula>
    </cfRule>
  </conditionalFormatting>
  <conditionalFormatting sqref="E1139:F1139">
    <cfRule type="expression" dxfId="2996" priority="3557">
      <formula>E1139&lt;&gt;""</formula>
    </cfRule>
  </conditionalFormatting>
  <conditionalFormatting sqref="C1140:D1140">
    <cfRule type="containsText" dxfId="2995" priority="3556" operator="containsText" text="NO+$D$4:$D$10">
      <formula>NOT(ISERROR(SEARCH("NO+$D$4:$D$10",C1140)))</formula>
    </cfRule>
  </conditionalFormatting>
  <conditionalFormatting sqref="C1140:D1140">
    <cfRule type="containsText" dxfId="2994" priority="3554" operator="containsText" text="SI">
      <formula>NOT(ISERROR(SEARCH("SI",C1140)))</formula>
    </cfRule>
    <cfRule type="containsText" dxfId="2993" priority="3555" operator="containsText" text="NO">
      <formula>NOT(ISERROR(SEARCH("NO",C1140)))</formula>
    </cfRule>
  </conditionalFormatting>
  <conditionalFormatting sqref="C1140:E1140">
    <cfRule type="containsText" dxfId="2992" priority="3553" operator="containsText" text="NUEVO">
      <formula>NOT(ISERROR(SEARCH("NUEVO",C1140)))</formula>
    </cfRule>
  </conditionalFormatting>
  <conditionalFormatting sqref="E1140">
    <cfRule type="containsText" dxfId="2991" priority="3552" operator="containsText" text="Sin Información">
      <formula>NOT(ISERROR(SEARCH("Sin Información",E1140)))</formula>
    </cfRule>
  </conditionalFormatting>
  <conditionalFormatting sqref="E1140:F1140">
    <cfRule type="expression" dxfId="2990" priority="3551">
      <formula>E1140&lt;&gt;""</formula>
    </cfRule>
  </conditionalFormatting>
  <conditionalFormatting sqref="C1141:D1141">
    <cfRule type="containsText" dxfId="2989" priority="3544" operator="containsText" text="NO+$D$4:$D$10">
      <formula>NOT(ISERROR(SEARCH("NO+$D$4:$D$10",C1141)))</formula>
    </cfRule>
  </conditionalFormatting>
  <conditionalFormatting sqref="C1141:D1141">
    <cfRule type="containsText" dxfId="2988" priority="3542" operator="containsText" text="SI">
      <formula>NOT(ISERROR(SEARCH("SI",C1141)))</formula>
    </cfRule>
    <cfRule type="containsText" dxfId="2987" priority="3543" operator="containsText" text="NO">
      <formula>NOT(ISERROR(SEARCH("NO",C1141)))</formula>
    </cfRule>
  </conditionalFormatting>
  <conditionalFormatting sqref="C1141:E1141">
    <cfRule type="containsText" dxfId="2986" priority="3541" operator="containsText" text="NUEVO">
      <formula>NOT(ISERROR(SEARCH("NUEVO",C1141)))</formula>
    </cfRule>
  </conditionalFormatting>
  <conditionalFormatting sqref="E1141">
    <cfRule type="containsText" dxfId="2985" priority="3540" operator="containsText" text="Sin Información">
      <formula>NOT(ISERROR(SEARCH("Sin Información",E1141)))</formula>
    </cfRule>
  </conditionalFormatting>
  <conditionalFormatting sqref="E1141:F1141">
    <cfRule type="expression" dxfId="2984" priority="3539">
      <formula>E1141&lt;&gt;""</formula>
    </cfRule>
  </conditionalFormatting>
  <conditionalFormatting sqref="C1142:D1142">
    <cfRule type="containsText" dxfId="2983" priority="3532" operator="containsText" text="NO+$D$4:$D$10">
      <formula>NOT(ISERROR(SEARCH("NO+$D$4:$D$10",C1142)))</formula>
    </cfRule>
  </conditionalFormatting>
  <conditionalFormatting sqref="C1142:D1142">
    <cfRule type="containsText" dxfId="2982" priority="3530" operator="containsText" text="SI">
      <formula>NOT(ISERROR(SEARCH("SI",C1142)))</formula>
    </cfRule>
    <cfRule type="containsText" dxfId="2981" priority="3531" operator="containsText" text="NO">
      <formula>NOT(ISERROR(SEARCH("NO",C1142)))</formula>
    </cfRule>
  </conditionalFormatting>
  <conditionalFormatting sqref="C1142:E1142">
    <cfRule type="containsText" dxfId="2980" priority="3529" operator="containsText" text="NUEVO">
      <formula>NOT(ISERROR(SEARCH("NUEVO",C1142)))</formula>
    </cfRule>
  </conditionalFormatting>
  <conditionalFormatting sqref="E1142">
    <cfRule type="containsText" dxfId="2979" priority="3528" operator="containsText" text="Sin Información">
      <formula>NOT(ISERROR(SEARCH("Sin Información",E1142)))</formula>
    </cfRule>
  </conditionalFormatting>
  <conditionalFormatting sqref="E1142:F1142">
    <cfRule type="expression" dxfId="2978" priority="3527">
      <formula>E1142&lt;&gt;""</formula>
    </cfRule>
  </conditionalFormatting>
  <conditionalFormatting sqref="C1143:D1143">
    <cfRule type="containsText" dxfId="2977" priority="3526" operator="containsText" text="NO+$D$4:$D$10">
      <formula>NOT(ISERROR(SEARCH("NO+$D$4:$D$10",C1143)))</formula>
    </cfRule>
  </conditionalFormatting>
  <conditionalFormatting sqref="C1143:D1143">
    <cfRule type="containsText" dxfId="2976" priority="3524" operator="containsText" text="SI">
      <formula>NOT(ISERROR(SEARCH("SI",C1143)))</formula>
    </cfRule>
    <cfRule type="containsText" dxfId="2975" priority="3525" operator="containsText" text="NO">
      <formula>NOT(ISERROR(SEARCH("NO",C1143)))</formula>
    </cfRule>
  </conditionalFormatting>
  <conditionalFormatting sqref="C1143:E1143">
    <cfRule type="containsText" dxfId="2974" priority="3523" operator="containsText" text="NUEVO">
      <formula>NOT(ISERROR(SEARCH("NUEVO",C1143)))</formula>
    </cfRule>
  </conditionalFormatting>
  <conditionalFormatting sqref="E1143">
    <cfRule type="containsText" dxfId="2973" priority="3522" operator="containsText" text="Sin Información">
      <formula>NOT(ISERROR(SEARCH("Sin Información",E1143)))</formula>
    </cfRule>
  </conditionalFormatting>
  <conditionalFormatting sqref="E1143:F1143">
    <cfRule type="expression" dxfId="2972" priority="3521">
      <formula>E1143&lt;&gt;""</formula>
    </cfRule>
  </conditionalFormatting>
  <conditionalFormatting sqref="C1144:D1144">
    <cfRule type="containsText" dxfId="2971" priority="3520" operator="containsText" text="NO+$D$4:$D$10">
      <formula>NOT(ISERROR(SEARCH("NO+$D$4:$D$10",C1144)))</formula>
    </cfRule>
  </conditionalFormatting>
  <conditionalFormatting sqref="C1144:D1144">
    <cfRule type="containsText" dxfId="2970" priority="3518" operator="containsText" text="SI">
      <formula>NOT(ISERROR(SEARCH("SI",C1144)))</formula>
    </cfRule>
    <cfRule type="containsText" dxfId="2969" priority="3519" operator="containsText" text="NO">
      <formula>NOT(ISERROR(SEARCH("NO",C1144)))</formula>
    </cfRule>
  </conditionalFormatting>
  <conditionalFormatting sqref="C1144:E1144">
    <cfRule type="containsText" dxfId="2968" priority="3517" operator="containsText" text="NUEVO">
      <formula>NOT(ISERROR(SEARCH("NUEVO",C1144)))</formula>
    </cfRule>
  </conditionalFormatting>
  <conditionalFormatting sqref="E1144">
    <cfRule type="containsText" dxfId="2967" priority="3516" operator="containsText" text="Sin Información">
      <formula>NOT(ISERROR(SEARCH("Sin Información",E1144)))</formula>
    </cfRule>
  </conditionalFormatting>
  <conditionalFormatting sqref="E1144:F1144">
    <cfRule type="expression" dxfId="2966" priority="3515">
      <formula>E1144&lt;&gt;""</formula>
    </cfRule>
  </conditionalFormatting>
  <conditionalFormatting sqref="C1145:D1145">
    <cfRule type="containsText" dxfId="2965" priority="3514" operator="containsText" text="NO+$D$4:$D$10">
      <formula>NOT(ISERROR(SEARCH("NO+$D$4:$D$10",C1145)))</formula>
    </cfRule>
  </conditionalFormatting>
  <conditionalFormatting sqref="C1145:D1145">
    <cfRule type="containsText" dxfId="2964" priority="3512" operator="containsText" text="SI">
      <formula>NOT(ISERROR(SEARCH("SI",C1145)))</formula>
    </cfRule>
    <cfRule type="containsText" dxfId="2963" priority="3513" operator="containsText" text="NO">
      <formula>NOT(ISERROR(SEARCH("NO",C1145)))</formula>
    </cfRule>
  </conditionalFormatting>
  <conditionalFormatting sqref="C1145:E1145">
    <cfRule type="containsText" dxfId="2962" priority="3511" operator="containsText" text="NUEVO">
      <formula>NOT(ISERROR(SEARCH("NUEVO",C1145)))</formula>
    </cfRule>
  </conditionalFormatting>
  <conditionalFormatting sqref="E1145">
    <cfRule type="containsText" dxfId="2961" priority="3510" operator="containsText" text="Sin Información">
      <formula>NOT(ISERROR(SEARCH("Sin Información",E1145)))</formula>
    </cfRule>
  </conditionalFormatting>
  <conditionalFormatting sqref="E1145:F1145">
    <cfRule type="expression" dxfId="2960" priority="3509">
      <formula>E1145&lt;&gt;""</formula>
    </cfRule>
  </conditionalFormatting>
  <conditionalFormatting sqref="C1146:D1146">
    <cfRule type="containsText" dxfId="2959" priority="3508" operator="containsText" text="NO+$D$4:$D$10">
      <formula>NOT(ISERROR(SEARCH("NO+$D$4:$D$10",C1146)))</formula>
    </cfRule>
  </conditionalFormatting>
  <conditionalFormatting sqref="C1146:D1146">
    <cfRule type="containsText" dxfId="2958" priority="3506" operator="containsText" text="SI">
      <formula>NOT(ISERROR(SEARCH("SI",C1146)))</formula>
    </cfRule>
    <cfRule type="containsText" dxfId="2957" priority="3507" operator="containsText" text="NO">
      <formula>NOT(ISERROR(SEARCH("NO",C1146)))</formula>
    </cfRule>
  </conditionalFormatting>
  <conditionalFormatting sqref="C1146:E1146">
    <cfRule type="containsText" dxfId="2956" priority="3505" operator="containsText" text="NUEVO">
      <formula>NOT(ISERROR(SEARCH("NUEVO",C1146)))</formula>
    </cfRule>
  </conditionalFormatting>
  <conditionalFormatting sqref="E1146">
    <cfRule type="containsText" dxfId="2955" priority="3504" operator="containsText" text="Sin Información">
      <formula>NOT(ISERROR(SEARCH("Sin Información",E1146)))</formula>
    </cfRule>
  </conditionalFormatting>
  <conditionalFormatting sqref="E1146:F1146">
    <cfRule type="expression" dxfId="2954" priority="3503">
      <formula>E1146&lt;&gt;""</formula>
    </cfRule>
  </conditionalFormatting>
  <conditionalFormatting sqref="C1147:D1147">
    <cfRule type="containsText" dxfId="2953" priority="3502" operator="containsText" text="NO+$D$4:$D$10">
      <formula>NOT(ISERROR(SEARCH("NO+$D$4:$D$10",C1147)))</formula>
    </cfRule>
  </conditionalFormatting>
  <conditionalFormatting sqref="C1147:D1147">
    <cfRule type="containsText" dxfId="2952" priority="3500" operator="containsText" text="SI">
      <formula>NOT(ISERROR(SEARCH("SI",C1147)))</formula>
    </cfRule>
    <cfRule type="containsText" dxfId="2951" priority="3501" operator="containsText" text="NO">
      <formula>NOT(ISERROR(SEARCH("NO",C1147)))</formula>
    </cfRule>
  </conditionalFormatting>
  <conditionalFormatting sqref="C1147:D1147">
    <cfRule type="containsText" dxfId="2950" priority="3499" operator="containsText" text="NUEVO">
      <formula>NOT(ISERROR(SEARCH("NUEVO",C1147)))</formula>
    </cfRule>
  </conditionalFormatting>
  <conditionalFormatting sqref="F1147">
    <cfRule type="expression" dxfId="2949" priority="3498">
      <formula>F1147&lt;&gt;""</formula>
    </cfRule>
  </conditionalFormatting>
  <conditionalFormatting sqref="E1147">
    <cfRule type="containsText" dxfId="2948" priority="3497" operator="containsText" text="NUEVO">
      <formula>NOT(ISERROR(SEARCH("NUEVO",E1147)))</formula>
    </cfRule>
  </conditionalFormatting>
  <conditionalFormatting sqref="E1147">
    <cfRule type="containsText" dxfId="2947" priority="3496" operator="containsText" text="Sin Información">
      <formula>NOT(ISERROR(SEARCH("Sin Información",E1147)))</formula>
    </cfRule>
  </conditionalFormatting>
  <conditionalFormatting sqref="E1147">
    <cfRule type="expression" dxfId="2946" priority="3495">
      <formula>E1147&lt;&gt;""</formula>
    </cfRule>
  </conditionalFormatting>
  <conditionalFormatting sqref="C1516:D1516">
    <cfRule type="containsText" dxfId="2945" priority="3494" operator="containsText" text="NO+$D$4:$D$10">
      <formula>NOT(ISERROR(SEARCH("NO+$D$4:$D$10",C1516)))</formula>
    </cfRule>
  </conditionalFormatting>
  <conditionalFormatting sqref="C1516:D1516">
    <cfRule type="containsText" dxfId="2944" priority="3492" operator="containsText" text="SI">
      <formula>NOT(ISERROR(SEARCH("SI",C1516)))</formula>
    </cfRule>
    <cfRule type="containsText" dxfId="2943" priority="3493" operator="containsText" text="NO">
      <formula>NOT(ISERROR(SEARCH("NO",C1516)))</formula>
    </cfRule>
  </conditionalFormatting>
  <conditionalFormatting sqref="C1516:D1516">
    <cfRule type="containsText" dxfId="2942" priority="3491" operator="containsText" text="NUEVO">
      <formula>NOT(ISERROR(SEARCH("NUEVO",C1516)))</formula>
    </cfRule>
  </conditionalFormatting>
  <conditionalFormatting sqref="F1516">
    <cfRule type="expression" dxfId="2941" priority="3490">
      <formula>F1516&lt;&gt;""</formula>
    </cfRule>
  </conditionalFormatting>
  <conditionalFormatting sqref="E1516">
    <cfRule type="containsText" dxfId="2940" priority="3489" operator="containsText" text="NUEVO">
      <formula>NOT(ISERROR(SEARCH("NUEVO",E1516)))</formula>
    </cfRule>
  </conditionalFormatting>
  <conditionalFormatting sqref="E1516">
    <cfRule type="containsText" dxfId="2939" priority="3488" operator="containsText" text="Sin Información">
      <formula>NOT(ISERROR(SEARCH("Sin Información",E1516)))</formula>
    </cfRule>
  </conditionalFormatting>
  <conditionalFormatting sqref="E1516">
    <cfRule type="expression" dxfId="2938" priority="3487">
      <formula>E1516&lt;&gt;""</formula>
    </cfRule>
  </conditionalFormatting>
  <conditionalFormatting sqref="C1517:D1517">
    <cfRule type="containsText" dxfId="2937" priority="3470" operator="containsText" text="NO+$D$4:$D$10">
      <formula>NOT(ISERROR(SEARCH("NO+$D$4:$D$10",C1517)))</formula>
    </cfRule>
  </conditionalFormatting>
  <conditionalFormatting sqref="C1517:D1517">
    <cfRule type="containsText" dxfId="2936" priority="3468" operator="containsText" text="SI">
      <formula>NOT(ISERROR(SEARCH("SI",C1517)))</formula>
    </cfRule>
    <cfRule type="containsText" dxfId="2935" priority="3469" operator="containsText" text="NO">
      <formula>NOT(ISERROR(SEARCH("NO",C1517)))</formula>
    </cfRule>
  </conditionalFormatting>
  <conditionalFormatting sqref="C1517:D1517">
    <cfRule type="containsText" dxfId="2934" priority="3467" operator="containsText" text="NUEVO">
      <formula>NOT(ISERROR(SEARCH("NUEVO",C1517)))</formula>
    </cfRule>
  </conditionalFormatting>
  <conditionalFormatting sqref="F1517">
    <cfRule type="expression" dxfId="2933" priority="3466">
      <formula>F1517&lt;&gt;""</formula>
    </cfRule>
  </conditionalFormatting>
  <conditionalFormatting sqref="E1517">
    <cfRule type="containsText" dxfId="2932" priority="3465" operator="containsText" text="NUEVO">
      <formula>NOT(ISERROR(SEARCH("NUEVO",E1517)))</formula>
    </cfRule>
  </conditionalFormatting>
  <conditionalFormatting sqref="E1517">
    <cfRule type="containsText" dxfId="2931" priority="3464" operator="containsText" text="Sin Información">
      <formula>NOT(ISERROR(SEARCH("Sin Información",E1517)))</formula>
    </cfRule>
  </conditionalFormatting>
  <conditionalFormatting sqref="E1517">
    <cfRule type="expression" dxfId="2930" priority="3463">
      <formula>E1517&lt;&gt;""</formula>
    </cfRule>
  </conditionalFormatting>
  <conditionalFormatting sqref="C1518:D1518">
    <cfRule type="containsText" dxfId="2929" priority="3462" operator="containsText" text="NO+$D$4:$D$10">
      <formula>NOT(ISERROR(SEARCH("NO+$D$4:$D$10",C1518)))</formula>
    </cfRule>
  </conditionalFormatting>
  <conditionalFormatting sqref="C1518:D1518">
    <cfRule type="containsText" dxfId="2928" priority="3460" operator="containsText" text="SI">
      <formula>NOT(ISERROR(SEARCH("SI",C1518)))</formula>
    </cfRule>
    <cfRule type="containsText" dxfId="2927" priority="3461" operator="containsText" text="NO">
      <formula>NOT(ISERROR(SEARCH("NO",C1518)))</formula>
    </cfRule>
  </conditionalFormatting>
  <conditionalFormatting sqref="C1518:D1518">
    <cfRule type="containsText" dxfId="2926" priority="3459" operator="containsText" text="NUEVO">
      <formula>NOT(ISERROR(SEARCH("NUEVO",C1518)))</formula>
    </cfRule>
  </conditionalFormatting>
  <conditionalFormatting sqref="F1518">
    <cfRule type="expression" dxfId="2925" priority="3458">
      <formula>F1518&lt;&gt;""</formula>
    </cfRule>
  </conditionalFormatting>
  <conditionalFormatting sqref="E1518">
    <cfRule type="containsText" dxfId="2924" priority="3457" operator="containsText" text="NUEVO">
      <formula>NOT(ISERROR(SEARCH("NUEVO",E1518)))</formula>
    </cfRule>
  </conditionalFormatting>
  <conditionalFormatting sqref="E1518">
    <cfRule type="containsText" dxfId="2923" priority="3456" operator="containsText" text="Sin Información">
      <formula>NOT(ISERROR(SEARCH("Sin Información",E1518)))</formula>
    </cfRule>
  </conditionalFormatting>
  <conditionalFormatting sqref="E1518">
    <cfRule type="expression" dxfId="2922" priority="3455">
      <formula>E1518&lt;&gt;""</formula>
    </cfRule>
  </conditionalFormatting>
  <conditionalFormatting sqref="C1519:D1519">
    <cfRule type="containsText" dxfId="2921" priority="3446" operator="containsText" text="NO+$D$4:$D$10">
      <formula>NOT(ISERROR(SEARCH("NO+$D$4:$D$10",C1519)))</formula>
    </cfRule>
  </conditionalFormatting>
  <conditionalFormatting sqref="C1519:D1519">
    <cfRule type="containsText" dxfId="2920" priority="3444" operator="containsText" text="SI">
      <formula>NOT(ISERROR(SEARCH("SI",C1519)))</formula>
    </cfRule>
    <cfRule type="containsText" dxfId="2919" priority="3445" operator="containsText" text="NO">
      <formula>NOT(ISERROR(SEARCH("NO",C1519)))</formula>
    </cfRule>
  </conditionalFormatting>
  <conditionalFormatting sqref="C1519:E1519">
    <cfRule type="containsText" dxfId="2918" priority="3443" operator="containsText" text="NUEVO">
      <formula>NOT(ISERROR(SEARCH("NUEVO",C1519)))</formula>
    </cfRule>
  </conditionalFormatting>
  <conditionalFormatting sqref="E1519">
    <cfRule type="containsText" dxfId="2917" priority="3442" operator="containsText" text="Sin Información">
      <formula>NOT(ISERROR(SEARCH("Sin Información",E1519)))</formula>
    </cfRule>
  </conditionalFormatting>
  <conditionalFormatting sqref="E1519:F1519">
    <cfRule type="expression" dxfId="2916" priority="3441">
      <formula>E1519&lt;&gt;""</formula>
    </cfRule>
  </conditionalFormatting>
  <conditionalFormatting sqref="C1520:D1520">
    <cfRule type="containsText" dxfId="2915" priority="3440" operator="containsText" text="NO+$D$4:$D$10">
      <formula>NOT(ISERROR(SEARCH("NO+$D$4:$D$10",C1520)))</formula>
    </cfRule>
  </conditionalFormatting>
  <conditionalFormatting sqref="C1520:D1520">
    <cfRule type="containsText" dxfId="2914" priority="3438" operator="containsText" text="SI">
      <formula>NOT(ISERROR(SEARCH("SI",C1520)))</formula>
    </cfRule>
    <cfRule type="containsText" dxfId="2913" priority="3439" operator="containsText" text="NO">
      <formula>NOT(ISERROR(SEARCH("NO",C1520)))</formula>
    </cfRule>
  </conditionalFormatting>
  <conditionalFormatting sqref="C1520:E1520">
    <cfRule type="containsText" dxfId="2912" priority="3437" operator="containsText" text="NUEVO">
      <formula>NOT(ISERROR(SEARCH("NUEVO",C1520)))</formula>
    </cfRule>
  </conditionalFormatting>
  <conditionalFormatting sqref="E1520">
    <cfRule type="containsText" dxfId="2911" priority="3436" operator="containsText" text="Sin Información">
      <formula>NOT(ISERROR(SEARCH("Sin Información",E1520)))</formula>
    </cfRule>
  </conditionalFormatting>
  <conditionalFormatting sqref="E1520:F1520">
    <cfRule type="expression" dxfId="2910" priority="3435">
      <formula>E1520&lt;&gt;""</formula>
    </cfRule>
  </conditionalFormatting>
  <conditionalFormatting sqref="C1521:D1521">
    <cfRule type="containsText" dxfId="2909" priority="3428" operator="containsText" text="NO+$D$4:$D$10">
      <formula>NOT(ISERROR(SEARCH("NO+$D$4:$D$10",C1521)))</formula>
    </cfRule>
  </conditionalFormatting>
  <conditionalFormatting sqref="C1521:D1521">
    <cfRule type="containsText" dxfId="2908" priority="3426" operator="containsText" text="SI">
      <formula>NOT(ISERROR(SEARCH("SI",C1521)))</formula>
    </cfRule>
    <cfRule type="containsText" dxfId="2907" priority="3427" operator="containsText" text="NO">
      <formula>NOT(ISERROR(SEARCH("NO",C1521)))</formula>
    </cfRule>
  </conditionalFormatting>
  <conditionalFormatting sqref="C1521:D1521">
    <cfRule type="containsText" dxfId="2906" priority="3425" operator="containsText" text="NUEVO">
      <formula>NOT(ISERROR(SEARCH("NUEVO",C1521)))</formula>
    </cfRule>
  </conditionalFormatting>
  <conditionalFormatting sqref="F1521">
    <cfRule type="expression" dxfId="2905" priority="3424">
      <formula>F1521&lt;&gt;""</formula>
    </cfRule>
  </conditionalFormatting>
  <conditionalFormatting sqref="E1521">
    <cfRule type="containsText" dxfId="2904" priority="3423" operator="containsText" text="NUEVO">
      <formula>NOT(ISERROR(SEARCH("NUEVO",E1521)))</formula>
    </cfRule>
  </conditionalFormatting>
  <conditionalFormatting sqref="E1521">
    <cfRule type="containsText" dxfId="2903" priority="3422" operator="containsText" text="Sin Información">
      <formula>NOT(ISERROR(SEARCH("Sin Información",E1521)))</formula>
    </cfRule>
  </conditionalFormatting>
  <conditionalFormatting sqref="E1521">
    <cfRule type="expression" dxfId="2902" priority="3421">
      <formula>E1521&lt;&gt;""</formula>
    </cfRule>
  </conditionalFormatting>
  <conditionalFormatting sqref="C1522:D1522">
    <cfRule type="containsText" dxfId="2901" priority="3412" operator="containsText" text="NO+$D$4:$D$10">
      <formula>NOT(ISERROR(SEARCH("NO+$D$4:$D$10",C1522)))</formula>
    </cfRule>
  </conditionalFormatting>
  <conditionalFormatting sqref="C1522:D1522">
    <cfRule type="containsText" dxfId="2900" priority="3410" operator="containsText" text="SI">
      <formula>NOT(ISERROR(SEARCH("SI",C1522)))</formula>
    </cfRule>
    <cfRule type="containsText" dxfId="2899" priority="3411" operator="containsText" text="NO">
      <formula>NOT(ISERROR(SEARCH("NO",C1522)))</formula>
    </cfRule>
  </conditionalFormatting>
  <conditionalFormatting sqref="C1522:D1522">
    <cfRule type="containsText" dxfId="2898" priority="3409" operator="containsText" text="NUEVO">
      <formula>NOT(ISERROR(SEARCH("NUEVO",C1522)))</formula>
    </cfRule>
  </conditionalFormatting>
  <conditionalFormatting sqref="F1522">
    <cfRule type="expression" dxfId="2897" priority="3408">
      <formula>F1522&lt;&gt;""</formula>
    </cfRule>
  </conditionalFormatting>
  <conditionalFormatting sqref="E1522">
    <cfRule type="containsText" dxfId="2896" priority="3407" operator="containsText" text="NUEVO">
      <formula>NOT(ISERROR(SEARCH("NUEVO",E1522)))</formula>
    </cfRule>
  </conditionalFormatting>
  <conditionalFormatting sqref="E1522">
    <cfRule type="containsText" dxfId="2895" priority="3406" operator="containsText" text="Sin Información">
      <formula>NOT(ISERROR(SEARCH("Sin Información",E1522)))</formula>
    </cfRule>
  </conditionalFormatting>
  <conditionalFormatting sqref="E1522">
    <cfRule type="expression" dxfId="2894" priority="3405">
      <formula>E1522&lt;&gt;""</formula>
    </cfRule>
  </conditionalFormatting>
  <conditionalFormatting sqref="C1523:D1523">
    <cfRule type="containsText" dxfId="2893" priority="3404" operator="containsText" text="NO+$D$4:$D$10">
      <formula>NOT(ISERROR(SEARCH("NO+$D$4:$D$10",C1523)))</formula>
    </cfRule>
  </conditionalFormatting>
  <conditionalFormatting sqref="C1523:D1523">
    <cfRule type="containsText" dxfId="2892" priority="3402" operator="containsText" text="SI">
      <formula>NOT(ISERROR(SEARCH("SI",C1523)))</formula>
    </cfRule>
    <cfRule type="containsText" dxfId="2891" priority="3403" operator="containsText" text="NO">
      <formula>NOT(ISERROR(SEARCH("NO",C1523)))</formula>
    </cfRule>
  </conditionalFormatting>
  <conditionalFormatting sqref="C1523:D1523">
    <cfRule type="containsText" dxfId="2890" priority="3401" operator="containsText" text="NUEVO">
      <formula>NOT(ISERROR(SEARCH("NUEVO",C1523)))</formula>
    </cfRule>
  </conditionalFormatting>
  <conditionalFormatting sqref="F1523">
    <cfRule type="expression" dxfId="2889" priority="3400">
      <formula>F1523&lt;&gt;""</formula>
    </cfRule>
  </conditionalFormatting>
  <conditionalFormatting sqref="E1523">
    <cfRule type="containsText" dxfId="2888" priority="3399" operator="containsText" text="NUEVO">
      <formula>NOT(ISERROR(SEARCH("NUEVO",E1523)))</formula>
    </cfRule>
  </conditionalFormatting>
  <conditionalFormatting sqref="E1523">
    <cfRule type="containsText" dxfId="2887" priority="3398" operator="containsText" text="Sin Información">
      <formula>NOT(ISERROR(SEARCH("Sin Información",E1523)))</formula>
    </cfRule>
  </conditionalFormatting>
  <conditionalFormatting sqref="E1523">
    <cfRule type="expression" dxfId="2886" priority="3397">
      <formula>E1523&lt;&gt;""</formula>
    </cfRule>
  </conditionalFormatting>
  <conditionalFormatting sqref="C1553:D1553">
    <cfRule type="containsText" dxfId="2885" priority="3390" operator="containsText" text="NO+$D$4:$D$10">
      <formula>NOT(ISERROR(SEARCH("NO+$D$4:$D$10",C1553)))</formula>
    </cfRule>
  </conditionalFormatting>
  <conditionalFormatting sqref="C1553:D1553">
    <cfRule type="containsText" dxfId="2884" priority="3388" operator="containsText" text="SI">
      <formula>NOT(ISERROR(SEARCH("SI",C1553)))</formula>
    </cfRule>
    <cfRule type="containsText" dxfId="2883" priority="3389" operator="containsText" text="NO">
      <formula>NOT(ISERROR(SEARCH("NO",C1553)))</formula>
    </cfRule>
  </conditionalFormatting>
  <conditionalFormatting sqref="C1553:D1553">
    <cfRule type="containsText" dxfId="2882" priority="3387" operator="containsText" text="NUEVO">
      <formula>NOT(ISERROR(SEARCH("NUEVO",C1553)))</formula>
    </cfRule>
  </conditionalFormatting>
  <conditionalFormatting sqref="F1553">
    <cfRule type="expression" dxfId="2881" priority="3386">
      <formula>F1553&lt;&gt;""</formula>
    </cfRule>
  </conditionalFormatting>
  <conditionalFormatting sqref="E1553">
    <cfRule type="containsText" dxfId="2880" priority="3385" operator="containsText" text="NUEVO">
      <formula>NOT(ISERROR(SEARCH("NUEVO",E1553)))</formula>
    </cfRule>
  </conditionalFormatting>
  <conditionalFormatting sqref="E1553">
    <cfRule type="containsText" dxfId="2879" priority="3384" operator="containsText" text="Sin Información">
      <formula>NOT(ISERROR(SEARCH("Sin Información",E1553)))</formula>
    </cfRule>
  </conditionalFormatting>
  <conditionalFormatting sqref="E1553">
    <cfRule type="expression" dxfId="2878" priority="3383">
      <formula>E1553&lt;&gt;""</formula>
    </cfRule>
  </conditionalFormatting>
  <conditionalFormatting sqref="C1554:D1554">
    <cfRule type="containsText" dxfId="2877" priority="3382" operator="containsText" text="NO+$D$4:$D$10">
      <formula>NOT(ISERROR(SEARCH("NO+$D$4:$D$10",C1554)))</formula>
    </cfRule>
  </conditionalFormatting>
  <conditionalFormatting sqref="C1554:D1554">
    <cfRule type="containsText" dxfId="2876" priority="3380" operator="containsText" text="SI">
      <formula>NOT(ISERROR(SEARCH("SI",C1554)))</formula>
    </cfRule>
    <cfRule type="containsText" dxfId="2875" priority="3381" operator="containsText" text="NO">
      <formula>NOT(ISERROR(SEARCH("NO",C1554)))</formula>
    </cfRule>
  </conditionalFormatting>
  <conditionalFormatting sqref="C1554:D1554">
    <cfRule type="containsText" dxfId="2874" priority="3379" operator="containsText" text="NUEVO">
      <formula>NOT(ISERROR(SEARCH("NUEVO",C1554)))</formula>
    </cfRule>
  </conditionalFormatting>
  <conditionalFormatting sqref="F1554">
    <cfRule type="expression" dxfId="2873" priority="3378">
      <formula>F1554&lt;&gt;""</formula>
    </cfRule>
  </conditionalFormatting>
  <conditionalFormatting sqref="E1554">
    <cfRule type="containsText" dxfId="2872" priority="3377" operator="containsText" text="NUEVO">
      <formula>NOT(ISERROR(SEARCH("NUEVO",E1554)))</formula>
    </cfRule>
  </conditionalFormatting>
  <conditionalFormatting sqref="E1554">
    <cfRule type="containsText" dxfId="2871" priority="3376" operator="containsText" text="Sin Información">
      <formula>NOT(ISERROR(SEARCH("Sin Información",E1554)))</formula>
    </cfRule>
  </conditionalFormatting>
  <conditionalFormatting sqref="E1554">
    <cfRule type="expression" dxfId="2870" priority="3375">
      <formula>E1554&lt;&gt;""</formula>
    </cfRule>
  </conditionalFormatting>
  <conditionalFormatting sqref="C1555:D1555">
    <cfRule type="containsText" dxfId="2869" priority="3360" operator="containsText" text="NO+$D$4:$D$10">
      <formula>NOT(ISERROR(SEARCH("NO+$D$4:$D$10",C1555)))</formula>
    </cfRule>
  </conditionalFormatting>
  <conditionalFormatting sqref="C1555:D1555">
    <cfRule type="containsText" dxfId="2868" priority="3358" operator="containsText" text="SI">
      <formula>NOT(ISERROR(SEARCH("SI",C1555)))</formula>
    </cfRule>
    <cfRule type="containsText" dxfId="2867" priority="3359" operator="containsText" text="NO">
      <formula>NOT(ISERROR(SEARCH("NO",C1555)))</formula>
    </cfRule>
  </conditionalFormatting>
  <conditionalFormatting sqref="C1555:D1555">
    <cfRule type="containsText" dxfId="2866" priority="3357" operator="containsText" text="NUEVO">
      <formula>NOT(ISERROR(SEARCH("NUEVO",C1555)))</formula>
    </cfRule>
  </conditionalFormatting>
  <conditionalFormatting sqref="F1555">
    <cfRule type="expression" dxfId="2865" priority="3356">
      <formula>F1555&lt;&gt;""</formula>
    </cfRule>
  </conditionalFormatting>
  <conditionalFormatting sqref="E1555">
    <cfRule type="containsText" dxfId="2864" priority="3355" operator="containsText" text="NUEVO">
      <formula>NOT(ISERROR(SEARCH("NUEVO",E1555)))</formula>
    </cfRule>
  </conditionalFormatting>
  <conditionalFormatting sqref="E1555">
    <cfRule type="containsText" dxfId="2863" priority="3354" operator="containsText" text="Sin Información">
      <formula>NOT(ISERROR(SEARCH("Sin Información",E1555)))</formula>
    </cfRule>
  </conditionalFormatting>
  <conditionalFormatting sqref="E1555">
    <cfRule type="expression" dxfId="2862" priority="3353">
      <formula>E1555&lt;&gt;""</formula>
    </cfRule>
  </conditionalFormatting>
  <conditionalFormatting sqref="C1556:D1556">
    <cfRule type="containsText" dxfId="2861" priority="3352" operator="containsText" text="NO+$D$4:$D$10">
      <formula>NOT(ISERROR(SEARCH("NO+$D$4:$D$10",C1556)))</formula>
    </cfRule>
  </conditionalFormatting>
  <conditionalFormatting sqref="C1556:D1556">
    <cfRule type="containsText" dxfId="2860" priority="3350" operator="containsText" text="SI">
      <formula>NOT(ISERROR(SEARCH("SI",C1556)))</formula>
    </cfRule>
    <cfRule type="containsText" dxfId="2859" priority="3351" operator="containsText" text="NO">
      <formula>NOT(ISERROR(SEARCH("NO",C1556)))</formula>
    </cfRule>
  </conditionalFormatting>
  <conditionalFormatting sqref="C1556:D1556">
    <cfRule type="containsText" dxfId="2858" priority="3349" operator="containsText" text="NUEVO">
      <formula>NOT(ISERROR(SEARCH("NUEVO",C1556)))</formula>
    </cfRule>
  </conditionalFormatting>
  <conditionalFormatting sqref="F1556">
    <cfRule type="expression" dxfId="2857" priority="3348">
      <formula>F1556&lt;&gt;""</formula>
    </cfRule>
  </conditionalFormatting>
  <conditionalFormatting sqref="E1556">
    <cfRule type="containsText" dxfId="2856" priority="3347" operator="containsText" text="NUEVO">
      <formula>NOT(ISERROR(SEARCH("NUEVO",E1556)))</formula>
    </cfRule>
  </conditionalFormatting>
  <conditionalFormatting sqref="E1556">
    <cfRule type="containsText" dxfId="2855" priority="3346" operator="containsText" text="Sin Información">
      <formula>NOT(ISERROR(SEARCH("Sin Información",E1556)))</formula>
    </cfRule>
  </conditionalFormatting>
  <conditionalFormatting sqref="E1556">
    <cfRule type="expression" dxfId="2854" priority="3345">
      <formula>E1556&lt;&gt;""</formula>
    </cfRule>
  </conditionalFormatting>
  <conditionalFormatting sqref="C1557:D1557">
    <cfRule type="containsText" dxfId="2853" priority="3344" operator="containsText" text="NO+$D$4:$D$10">
      <formula>NOT(ISERROR(SEARCH("NO+$D$4:$D$10",C1557)))</formula>
    </cfRule>
  </conditionalFormatting>
  <conditionalFormatting sqref="C1557:D1557">
    <cfRule type="containsText" dxfId="2852" priority="3342" operator="containsText" text="SI">
      <formula>NOT(ISERROR(SEARCH("SI",C1557)))</formula>
    </cfRule>
    <cfRule type="containsText" dxfId="2851" priority="3343" operator="containsText" text="NO">
      <formula>NOT(ISERROR(SEARCH("NO",C1557)))</formula>
    </cfRule>
  </conditionalFormatting>
  <conditionalFormatting sqref="C1557:D1557">
    <cfRule type="containsText" dxfId="2850" priority="3341" operator="containsText" text="NUEVO">
      <formula>NOT(ISERROR(SEARCH("NUEVO",C1557)))</formula>
    </cfRule>
  </conditionalFormatting>
  <conditionalFormatting sqref="F1557">
    <cfRule type="expression" dxfId="2849" priority="3340">
      <formula>F1557&lt;&gt;""</formula>
    </cfRule>
  </conditionalFormatting>
  <conditionalFormatting sqref="E1557">
    <cfRule type="containsText" dxfId="2848" priority="3339" operator="containsText" text="NUEVO">
      <formula>NOT(ISERROR(SEARCH("NUEVO",E1557)))</formula>
    </cfRule>
  </conditionalFormatting>
  <conditionalFormatting sqref="E1557">
    <cfRule type="containsText" dxfId="2847" priority="3338" operator="containsText" text="Sin Información">
      <formula>NOT(ISERROR(SEARCH("Sin Información",E1557)))</formula>
    </cfRule>
  </conditionalFormatting>
  <conditionalFormatting sqref="E1557">
    <cfRule type="expression" dxfId="2846" priority="3337">
      <formula>E1557&lt;&gt;""</formula>
    </cfRule>
  </conditionalFormatting>
  <conditionalFormatting sqref="C1629:D1629">
    <cfRule type="containsText" dxfId="2845" priority="3328" operator="containsText" text="NO+$D$4:$D$10">
      <formula>NOT(ISERROR(SEARCH("NO+$D$4:$D$10",C1629)))</formula>
    </cfRule>
  </conditionalFormatting>
  <conditionalFormatting sqref="C1629:D1629">
    <cfRule type="containsText" dxfId="2844" priority="3326" operator="containsText" text="SI">
      <formula>NOT(ISERROR(SEARCH("SI",C1629)))</formula>
    </cfRule>
    <cfRule type="containsText" dxfId="2843" priority="3327" operator="containsText" text="NO">
      <formula>NOT(ISERROR(SEARCH("NO",C1629)))</formula>
    </cfRule>
  </conditionalFormatting>
  <conditionalFormatting sqref="C1629:E1629">
    <cfRule type="containsText" dxfId="2842" priority="3325" operator="containsText" text="NUEVO">
      <formula>NOT(ISERROR(SEARCH("NUEVO",C1629)))</formula>
    </cfRule>
  </conditionalFormatting>
  <conditionalFormatting sqref="E1629">
    <cfRule type="containsText" dxfId="2841" priority="3324" operator="containsText" text="Sin Información">
      <formula>NOT(ISERROR(SEARCH("Sin Información",E1629)))</formula>
    </cfRule>
  </conditionalFormatting>
  <conditionalFormatting sqref="E1629:F1629">
    <cfRule type="expression" dxfId="2840" priority="3323">
      <formula>E1629&lt;&gt;""</formula>
    </cfRule>
  </conditionalFormatting>
  <conditionalFormatting sqref="C1630:D1630">
    <cfRule type="containsText" dxfId="2839" priority="3316" operator="containsText" text="NO+$D$4:$D$10">
      <formula>NOT(ISERROR(SEARCH("NO+$D$4:$D$10",C1630)))</formula>
    </cfRule>
  </conditionalFormatting>
  <conditionalFormatting sqref="C1630:D1630">
    <cfRule type="containsText" dxfId="2838" priority="3314" operator="containsText" text="SI">
      <formula>NOT(ISERROR(SEARCH("SI",C1630)))</formula>
    </cfRule>
    <cfRule type="containsText" dxfId="2837" priority="3315" operator="containsText" text="NO">
      <formula>NOT(ISERROR(SEARCH("NO",C1630)))</formula>
    </cfRule>
  </conditionalFormatting>
  <conditionalFormatting sqref="C1630:D1630">
    <cfRule type="containsText" dxfId="2836" priority="3313" operator="containsText" text="NUEVO">
      <formula>NOT(ISERROR(SEARCH("NUEVO",C1630)))</formula>
    </cfRule>
  </conditionalFormatting>
  <conditionalFormatting sqref="F1630">
    <cfRule type="expression" dxfId="2835" priority="3312">
      <formula>F1630&lt;&gt;""</formula>
    </cfRule>
  </conditionalFormatting>
  <conditionalFormatting sqref="E1630">
    <cfRule type="containsText" dxfId="2834" priority="3311" operator="containsText" text="NUEVO">
      <formula>NOT(ISERROR(SEARCH("NUEVO",E1630)))</formula>
    </cfRule>
  </conditionalFormatting>
  <conditionalFormatting sqref="E1630">
    <cfRule type="containsText" dxfId="2833" priority="3310" operator="containsText" text="Sin Información">
      <formula>NOT(ISERROR(SEARCH("Sin Información",E1630)))</formula>
    </cfRule>
  </conditionalFormatting>
  <conditionalFormatting sqref="E1630">
    <cfRule type="expression" dxfId="2832" priority="3309">
      <formula>E1630&lt;&gt;""</formula>
    </cfRule>
  </conditionalFormatting>
  <conditionalFormatting sqref="C1631:D1631">
    <cfRule type="containsText" dxfId="2831" priority="3308" operator="containsText" text="NO+$D$4:$D$10">
      <formula>NOT(ISERROR(SEARCH("NO+$D$4:$D$10",C1631)))</formula>
    </cfRule>
  </conditionalFormatting>
  <conditionalFormatting sqref="C1631:D1631">
    <cfRule type="containsText" dxfId="2830" priority="3306" operator="containsText" text="SI">
      <formula>NOT(ISERROR(SEARCH("SI",C1631)))</formula>
    </cfRule>
    <cfRule type="containsText" dxfId="2829" priority="3307" operator="containsText" text="NO">
      <formula>NOT(ISERROR(SEARCH("NO",C1631)))</formula>
    </cfRule>
  </conditionalFormatting>
  <conditionalFormatting sqref="C1631:D1631">
    <cfRule type="containsText" dxfId="2828" priority="3305" operator="containsText" text="NUEVO">
      <formula>NOT(ISERROR(SEARCH("NUEVO",C1631)))</formula>
    </cfRule>
  </conditionalFormatting>
  <conditionalFormatting sqref="F1631">
    <cfRule type="expression" dxfId="2827" priority="3304">
      <formula>F1631&lt;&gt;""</formula>
    </cfRule>
  </conditionalFormatting>
  <conditionalFormatting sqref="E1631">
    <cfRule type="containsText" dxfId="2826" priority="3303" operator="containsText" text="NUEVO">
      <formula>NOT(ISERROR(SEARCH("NUEVO",E1631)))</formula>
    </cfRule>
  </conditionalFormatting>
  <conditionalFormatting sqref="E1631">
    <cfRule type="containsText" dxfId="2825" priority="3302" operator="containsText" text="Sin Información">
      <formula>NOT(ISERROR(SEARCH("Sin Información",E1631)))</formula>
    </cfRule>
  </conditionalFormatting>
  <conditionalFormatting sqref="E1631">
    <cfRule type="expression" dxfId="2824" priority="3301">
      <formula>E1631&lt;&gt;""</formula>
    </cfRule>
  </conditionalFormatting>
  <conditionalFormatting sqref="C1632:D1632">
    <cfRule type="containsText" dxfId="2823" priority="3288" operator="containsText" text="NO+$D$4:$D$10">
      <formula>NOT(ISERROR(SEARCH("NO+$D$4:$D$10",C1632)))</formula>
    </cfRule>
  </conditionalFormatting>
  <conditionalFormatting sqref="C1632:D1632">
    <cfRule type="containsText" dxfId="2822" priority="3286" operator="containsText" text="SI">
      <formula>NOT(ISERROR(SEARCH("SI",C1632)))</formula>
    </cfRule>
    <cfRule type="containsText" dxfId="2821" priority="3287" operator="containsText" text="NO">
      <formula>NOT(ISERROR(SEARCH("NO",C1632)))</formula>
    </cfRule>
  </conditionalFormatting>
  <conditionalFormatting sqref="C1632:E1632">
    <cfRule type="containsText" dxfId="2820" priority="3285" operator="containsText" text="NUEVO">
      <formula>NOT(ISERROR(SEARCH("NUEVO",C1632)))</formula>
    </cfRule>
  </conditionalFormatting>
  <conditionalFormatting sqref="E1632">
    <cfRule type="containsText" dxfId="2819" priority="3284" operator="containsText" text="Sin Información">
      <formula>NOT(ISERROR(SEARCH("Sin Información",E1632)))</formula>
    </cfRule>
  </conditionalFormatting>
  <conditionalFormatting sqref="E1632:F1632">
    <cfRule type="expression" dxfId="2818" priority="3283">
      <formula>E1632&lt;&gt;""</formula>
    </cfRule>
  </conditionalFormatting>
  <conditionalFormatting sqref="E1125">
    <cfRule type="containsText" dxfId="2817" priority="33550" operator="containsText" text="NUEVO">
      <formula>NOT(ISERROR(SEARCH("NUEVO",E2287)))</formula>
    </cfRule>
  </conditionalFormatting>
  <conditionalFormatting sqref="E242">
    <cfRule type="containsText" dxfId="2816" priority="34824" operator="containsText" text="NUEVO">
      <formula>NOT(ISERROR(SEARCH("NUEVO",#REF!)))</formula>
    </cfRule>
  </conditionalFormatting>
  <conditionalFormatting sqref="E242">
    <cfRule type="containsText" dxfId="2815" priority="34825" operator="containsText" text="Sin Información">
      <formula>NOT(ISERROR(SEARCH("Sin Información",#REF!)))</formula>
    </cfRule>
  </conditionalFormatting>
  <conditionalFormatting sqref="C178:D178">
    <cfRule type="containsText" dxfId="2814" priority="3268" operator="containsText" text="NO+$D$4:$D$10">
      <formula>NOT(ISERROR(SEARCH("NO+$D$4:$D$10",C178)))</formula>
    </cfRule>
  </conditionalFormatting>
  <conditionalFormatting sqref="C178:D178">
    <cfRule type="containsText" dxfId="2813" priority="3266" operator="containsText" text="SI">
      <formula>NOT(ISERROR(SEARCH("SI",C178)))</formula>
    </cfRule>
    <cfRule type="containsText" dxfId="2812" priority="3267" operator="containsText" text="NO">
      <formula>NOT(ISERROR(SEARCH("NO",C178)))</formula>
    </cfRule>
  </conditionalFormatting>
  <conditionalFormatting sqref="E178">
    <cfRule type="containsText" dxfId="2811" priority="3265" operator="containsText" text="Sin información">
      <formula>NOT(ISERROR(SEARCH("Sin información",E178)))</formula>
    </cfRule>
  </conditionalFormatting>
  <conditionalFormatting sqref="C178:E178">
    <cfRule type="containsText" dxfId="2810" priority="3264" operator="containsText" text="NUEVO">
      <formula>NOT(ISERROR(SEARCH("NUEVO",C178)))</formula>
    </cfRule>
  </conditionalFormatting>
  <conditionalFormatting sqref="E178:F178">
    <cfRule type="expression" dxfId="2809" priority="3263">
      <formula>E178&lt;&gt;""</formula>
    </cfRule>
  </conditionalFormatting>
  <conditionalFormatting sqref="C179:D179">
    <cfRule type="containsText" dxfId="2808" priority="3262" operator="containsText" text="NO+$D$4:$D$10">
      <formula>NOT(ISERROR(SEARCH("NO+$D$4:$D$10",C179)))</formula>
    </cfRule>
  </conditionalFormatting>
  <conditionalFormatting sqref="C179:D179">
    <cfRule type="containsText" dxfId="2807" priority="3260" operator="containsText" text="SI">
      <formula>NOT(ISERROR(SEARCH("SI",C179)))</formula>
    </cfRule>
    <cfRule type="containsText" dxfId="2806" priority="3261" operator="containsText" text="NO">
      <formula>NOT(ISERROR(SEARCH("NO",C179)))</formula>
    </cfRule>
  </conditionalFormatting>
  <conditionalFormatting sqref="C179:D179">
    <cfRule type="containsText" dxfId="2805" priority="3259" operator="containsText" text="NUEVO">
      <formula>NOT(ISERROR(SEARCH("NUEVO",C179)))</formula>
    </cfRule>
  </conditionalFormatting>
  <conditionalFormatting sqref="F179">
    <cfRule type="expression" dxfId="2804" priority="3258">
      <formula>F179&lt;&gt;""</formula>
    </cfRule>
  </conditionalFormatting>
  <conditionalFormatting sqref="E179">
    <cfRule type="containsText" dxfId="2803" priority="3257" operator="containsText" text="Sin información">
      <formula>NOT(ISERROR(SEARCH("Sin información",E179)))</formula>
    </cfRule>
  </conditionalFormatting>
  <conditionalFormatting sqref="E179">
    <cfRule type="containsText" dxfId="2802" priority="3256" operator="containsText" text="NUEVO">
      <formula>NOT(ISERROR(SEARCH("NUEVO",E179)))</formula>
    </cfRule>
  </conditionalFormatting>
  <conditionalFormatting sqref="E179">
    <cfRule type="expression" dxfId="2801" priority="3255">
      <formula>E179&lt;&gt;""</formula>
    </cfRule>
  </conditionalFormatting>
  <conditionalFormatting sqref="E179">
    <cfRule type="expression" dxfId="2800" priority="3254">
      <formula>E179&lt;&gt;""</formula>
    </cfRule>
  </conditionalFormatting>
  <conditionalFormatting sqref="C180:D180">
    <cfRule type="containsText" dxfId="2799" priority="3253" operator="containsText" text="NO+$D$4:$D$10">
      <formula>NOT(ISERROR(SEARCH("NO+$D$4:$D$10",C180)))</formula>
    </cfRule>
  </conditionalFormatting>
  <conditionalFormatting sqref="C180:D180">
    <cfRule type="containsText" dxfId="2798" priority="3251" operator="containsText" text="SI">
      <formula>NOT(ISERROR(SEARCH("SI",C180)))</formula>
    </cfRule>
    <cfRule type="containsText" dxfId="2797" priority="3252" operator="containsText" text="NO">
      <formula>NOT(ISERROR(SEARCH("NO",C180)))</formula>
    </cfRule>
  </conditionalFormatting>
  <conditionalFormatting sqref="C180:D180">
    <cfRule type="containsText" dxfId="2796" priority="3250" operator="containsText" text="NUEVO">
      <formula>NOT(ISERROR(SEARCH("NUEVO",C180)))</formula>
    </cfRule>
  </conditionalFormatting>
  <conditionalFormatting sqref="F180">
    <cfRule type="expression" dxfId="2795" priority="3249">
      <formula>F180&lt;&gt;""</formula>
    </cfRule>
  </conditionalFormatting>
  <conditionalFormatting sqref="E180">
    <cfRule type="containsText" dxfId="2794" priority="3248" operator="containsText" text="Sin información">
      <formula>NOT(ISERROR(SEARCH("Sin información",E180)))</formula>
    </cfRule>
  </conditionalFormatting>
  <conditionalFormatting sqref="E180">
    <cfRule type="containsText" dxfId="2793" priority="3247" operator="containsText" text="NUEVO">
      <formula>NOT(ISERROR(SEARCH("NUEVO",E180)))</formula>
    </cfRule>
  </conditionalFormatting>
  <conditionalFormatting sqref="E180">
    <cfRule type="expression" dxfId="2792" priority="3246">
      <formula>E180&lt;&gt;""</formula>
    </cfRule>
  </conditionalFormatting>
  <conditionalFormatting sqref="E180">
    <cfRule type="expression" dxfId="2791" priority="3245">
      <formula>E180&lt;&gt;""</formula>
    </cfRule>
  </conditionalFormatting>
  <conditionalFormatting sqref="C181:D181">
    <cfRule type="containsText" dxfId="2790" priority="3238" operator="containsText" text="NO+$D$4:$D$10">
      <formula>NOT(ISERROR(SEARCH("NO+$D$4:$D$10",C181)))</formula>
    </cfRule>
  </conditionalFormatting>
  <conditionalFormatting sqref="C181:D181">
    <cfRule type="containsText" dxfId="2789" priority="3236" operator="containsText" text="SI">
      <formula>NOT(ISERROR(SEARCH("SI",C181)))</formula>
    </cfRule>
    <cfRule type="containsText" dxfId="2788" priority="3237" operator="containsText" text="NO">
      <formula>NOT(ISERROR(SEARCH("NO",C181)))</formula>
    </cfRule>
  </conditionalFormatting>
  <conditionalFormatting sqref="E181">
    <cfRule type="containsText" dxfId="2787" priority="3235" operator="containsText" text="Sin información">
      <formula>NOT(ISERROR(SEARCH("Sin información",E181)))</formula>
    </cfRule>
  </conditionalFormatting>
  <conditionalFormatting sqref="C181:E181">
    <cfRule type="containsText" dxfId="2786" priority="3234" operator="containsText" text="NUEVO">
      <formula>NOT(ISERROR(SEARCH("NUEVO",C181)))</formula>
    </cfRule>
  </conditionalFormatting>
  <conditionalFormatting sqref="E181">
    <cfRule type="expression" dxfId="2785" priority="3233">
      <formula>E181&lt;&gt;""</formula>
    </cfRule>
  </conditionalFormatting>
  <conditionalFormatting sqref="F181">
    <cfRule type="expression" dxfId="2784" priority="3232">
      <formula>F181&lt;&gt;""</formula>
    </cfRule>
  </conditionalFormatting>
  <conditionalFormatting sqref="C182:D182">
    <cfRule type="containsText" dxfId="2783" priority="3231" operator="containsText" text="NO+$D$4:$D$10">
      <formula>NOT(ISERROR(SEARCH("NO+$D$4:$D$10",C182)))</formula>
    </cfRule>
  </conditionalFormatting>
  <conditionalFormatting sqref="C182:D182">
    <cfRule type="containsText" dxfId="2782" priority="3229" operator="containsText" text="SI">
      <formula>NOT(ISERROR(SEARCH("SI",C182)))</formula>
    </cfRule>
    <cfRule type="containsText" dxfId="2781" priority="3230" operator="containsText" text="NO">
      <formula>NOT(ISERROR(SEARCH("NO",C182)))</formula>
    </cfRule>
  </conditionalFormatting>
  <conditionalFormatting sqref="C182:D182">
    <cfRule type="containsText" dxfId="2780" priority="3228" operator="containsText" text="NUEVO">
      <formula>NOT(ISERROR(SEARCH("NUEVO",C182)))</formula>
    </cfRule>
  </conditionalFormatting>
  <conditionalFormatting sqref="F182">
    <cfRule type="expression" dxfId="2779" priority="3227">
      <formula>F182&lt;&gt;""</formula>
    </cfRule>
  </conditionalFormatting>
  <conditionalFormatting sqref="E182">
    <cfRule type="expression" dxfId="2778" priority="3226">
      <formula>E182&lt;&gt;""</formula>
    </cfRule>
  </conditionalFormatting>
  <conditionalFormatting sqref="E182">
    <cfRule type="containsText" dxfId="2777" priority="3225" operator="containsText" text="Sin información">
      <formula>NOT(ISERROR(SEARCH("Sin información",E182)))</formula>
    </cfRule>
  </conditionalFormatting>
  <conditionalFormatting sqref="E182">
    <cfRule type="containsText" dxfId="2776" priority="3224" operator="containsText" text="NUEVO">
      <formula>NOT(ISERROR(SEARCH("NUEVO",E182)))</formula>
    </cfRule>
  </conditionalFormatting>
  <conditionalFormatting sqref="C183:D183">
    <cfRule type="containsText" dxfId="2775" priority="3223" operator="containsText" text="NO+$D$4:$D$10">
      <formula>NOT(ISERROR(SEARCH("NO+$D$4:$D$10",C183)))</formula>
    </cfRule>
  </conditionalFormatting>
  <conditionalFormatting sqref="C183:D183">
    <cfRule type="containsText" dxfId="2774" priority="3221" operator="containsText" text="SI">
      <formula>NOT(ISERROR(SEARCH("SI",C183)))</formula>
    </cfRule>
    <cfRule type="containsText" dxfId="2773" priority="3222" operator="containsText" text="NO">
      <formula>NOT(ISERROR(SEARCH("NO",C183)))</formula>
    </cfRule>
  </conditionalFormatting>
  <conditionalFormatting sqref="C183:D183">
    <cfRule type="containsText" dxfId="2772" priority="3220" operator="containsText" text="NUEVO">
      <formula>NOT(ISERROR(SEARCH("NUEVO",C183)))</formula>
    </cfRule>
  </conditionalFormatting>
  <conditionalFormatting sqref="F183">
    <cfRule type="expression" dxfId="2771" priority="3219">
      <formula>F183&lt;&gt;""</formula>
    </cfRule>
  </conditionalFormatting>
  <conditionalFormatting sqref="E183">
    <cfRule type="expression" dxfId="2770" priority="3218">
      <formula>E183&lt;&gt;""</formula>
    </cfRule>
  </conditionalFormatting>
  <conditionalFormatting sqref="E183">
    <cfRule type="containsText" dxfId="2769" priority="3217" operator="containsText" text="Sin información">
      <formula>NOT(ISERROR(SEARCH("Sin información",E183)))</formula>
    </cfRule>
  </conditionalFormatting>
  <conditionalFormatting sqref="E183">
    <cfRule type="containsText" dxfId="2768" priority="3216" operator="containsText" text="NUEVO">
      <formula>NOT(ISERROR(SEARCH("NUEVO",E183)))</formula>
    </cfRule>
  </conditionalFormatting>
  <conditionalFormatting sqref="C417:D417">
    <cfRule type="containsText" dxfId="2767" priority="3215" operator="containsText" text="NO+$D$4:$D$10">
      <formula>NOT(ISERROR(SEARCH("NO+$D$4:$D$10",C417)))</formula>
    </cfRule>
  </conditionalFormatting>
  <conditionalFormatting sqref="C417:D417">
    <cfRule type="containsText" dxfId="2766" priority="3213" operator="containsText" text="SI">
      <formula>NOT(ISERROR(SEARCH("SI",C417)))</formula>
    </cfRule>
    <cfRule type="containsText" dxfId="2765" priority="3214" operator="containsText" text="NO">
      <formula>NOT(ISERROR(SEARCH("NO",C417)))</formula>
    </cfRule>
  </conditionalFormatting>
  <conditionalFormatting sqref="C417:E417">
    <cfRule type="containsText" dxfId="2764" priority="3212" operator="containsText" text="NUEVO">
      <formula>NOT(ISERROR(SEARCH("NUEVO",C417)))</formula>
    </cfRule>
  </conditionalFormatting>
  <conditionalFormatting sqref="E417">
    <cfRule type="containsText" dxfId="2763" priority="3211" operator="containsText" text="Sin Información">
      <formula>NOT(ISERROR(SEARCH("Sin Información",E417)))</formula>
    </cfRule>
  </conditionalFormatting>
  <conditionalFormatting sqref="E417">
    <cfRule type="expression" dxfId="2762" priority="3210">
      <formula>E417&lt;&gt;""</formula>
    </cfRule>
  </conditionalFormatting>
  <conditionalFormatting sqref="F417">
    <cfRule type="expression" dxfId="2761" priority="3209">
      <formula>F417&lt;&gt;""</formula>
    </cfRule>
  </conditionalFormatting>
  <conditionalFormatting sqref="C418:D418">
    <cfRule type="containsText" dxfId="2760" priority="3208" operator="containsText" text="NO+$D$4:$D$10">
      <formula>NOT(ISERROR(SEARCH("NO+$D$4:$D$10",C418)))</formula>
    </cfRule>
  </conditionalFormatting>
  <conditionalFormatting sqref="C418:D418">
    <cfRule type="containsText" dxfId="2759" priority="3206" operator="containsText" text="SI">
      <formula>NOT(ISERROR(SEARCH("SI",C418)))</formula>
    </cfRule>
    <cfRule type="containsText" dxfId="2758" priority="3207" operator="containsText" text="NO">
      <formula>NOT(ISERROR(SEARCH("NO",C418)))</formula>
    </cfRule>
  </conditionalFormatting>
  <conditionalFormatting sqref="C418:E418">
    <cfRule type="containsText" dxfId="2757" priority="3205" operator="containsText" text="NUEVO">
      <formula>NOT(ISERROR(SEARCH("NUEVO",C418)))</formula>
    </cfRule>
  </conditionalFormatting>
  <conditionalFormatting sqref="E418">
    <cfRule type="containsText" dxfId="2756" priority="3204" operator="containsText" text="Sin Información">
      <formula>NOT(ISERROR(SEARCH("Sin Información",E418)))</formula>
    </cfRule>
  </conditionalFormatting>
  <conditionalFormatting sqref="E418">
    <cfRule type="expression" dxfId="2755" priority="3203">
      <formula>E418&lt;&gt;""</formula>
    </cfRule>
  </conditionalFormatting>
  <conditionalFormatting sqref="F418">
    <cfRule type="expression" dxfId="2754" priority="3202">
      <formula>F418&lt;&gt;""</formula>
    </cfRule>
  </conditionalFormatting>
  <conditionalFormatting sqref="C419:D419">
    <cfRule type="containsText" dxfId="2753" priority="3201" operator="containsText" text="NO+$D$4:$D$10">
      <formula>NOT(ISERROR(SEARCH("NO+$D$4:$D$10",C419)))</formula>
    </cfRule>
  </conditionalFormatting>
  <conditionalFormatting sqref="C419:D419">
    <cfRule type="containsText" dxfId="2752" priority="3199" operator="containsText" text="SI">
      <formula>NOT(ISERROR(SEARCH("SI",C419)))</formula>
    </cfRule>
    <cfRule type="containsText" dxfId="2751" priority="3200" operator="containsText" text="NO">
      <formula>NOT(ISERROR(SEARCH("NO",C419)))</formula>
    </cfRule>
  </conditionalFormatting>
  <conditionalFormatting sqref="C419:D419">
    <cfRule type="containsText" dxfId="2750" priority="3198" operator="containsText" text="NUEVO">
      <formula>NOT(ISERROR(SEARCH("NUEVO",C419)))</formula>
    </cfRule>
  </conditionalFormatting>
  <conditionalFormatting sqref="F419">
    <cfRule type="expression" dxfId="2749" priority="3197">
      <formula>F419&lt;&gt;""</formula>
    </cfRule>
  </conditionalFormatting>
  <conditionalFormatting sqref="E419">
    <cfRule type="containsText" dxfId="2748" priority="3196" operator="containsText" text="NUEVO">
      <formula>NOT(ISERROR(SEARCH("NUEVO",E419)))</formula>
    </cfRule>
  </conditionalFormatting>
  <conditionalFormatting sqref="E419">
    <cfRule type="containsText" dxfId="2747" priority="3195" operator="containsText" text="Sin Información">
      <formula>NOT(ISERROR(SEARCH("Sin Información",E419)))</formula>
    </cfRule>
  </conditionalFormatting>
  <conditionalFormatting sqref="E419">
    <cfRule type="expression" dxfId="2746" priority="3194">
      <formula>E419&lt;&gt;""</formula>
    </cfRule>
  </conditionalFormatting>
  <conditionalFormatting sqref="C420:D420">
    <cfRule type="containsText" dxfId="2745" priority="3193" operator="containsText" text="NO+$D$4:$D$10">
      <formula>NOT(ISERROR(SEARCH("NO+$D$4:$D$10",C420)))</formula>
    </cfRule>
  </conditionalFormatting>
  <conditionalFormatting sqref="C420:D420">
    <cfRule type="containsText" dxfId="2744" priority="3191" operator="containsText" text="SI">
      <formula>NOT(ISERROR(SEARCH("SI",C420)))</formula>
    </cfRule>
    <cfRule type="containsText" dxfId="2743" priority="3192" operator="containsText" text="NO">
      <formula>NOT(ISERROR(SEARCH("NO",C420)))</formula>
    </cfRule>
  </conditionalFormatting>
  <conditionalFormatting sqref="C420:E420">
    <cfRule type="containsText" dxfId="2742" priority="3190" operator="containsText" text="NUEVO">
      <formula>NOT(ISERROR(SEARCH("NUEVO",C420)))</formula>
    </cfRule>
  </conditionalFormatting>
  <conditionalFormatting sqref="E420">
    <cfRule type="containsText" dxfId="2741" priority="3189" operator="containsText" text="Sin Información">
      <formula>NOT(ISERROR(SEARCH("Sin Información",E420)))</formula>
    </cfRule>
  </conditionalFormatting>
  <conditionalFormatting sqref="E420:F420">
    <cfRule type="expression" dxfId="2740" priority="3188">
      <formula>E420&lt;&gt;""</formula>
    </cfRule>
  </conditionalFormatting>
  <conditionalFormatting sqref="C421:D421">
    <cfRule type="containsText" dxfId="2739" priority="3187" operator="containsText" text="NO+$D$4:$D$10">
      <formula>NOT(ISERROR(SEARCH("NO+$D$4:$D$10",C421)))</formula>
    </cfRule>
  </conditionalFormatting>
  <conditionalFormatting sqref="C421:D421">
    <cfRule type="containsText" dxfId="2738" priority="3185" operator="containsText" text="SI">
      <formula>NOT(ISERROR(SEARCH("SI",C421)))</formula>
    </cfRule>
    <cfRule type="containsText" dxfId="2737" priority="3186" operator="containsText" text="NO">
      <formula>NOT(ISERROR(SEARCH("NO",C421)))</formula>
    </cfRule>
  </conditionalFormatting>
  <conditionalFormatting sqref="C421:E421">
    <cfRule type="containsText" dxfId="2736" priority="3184" operator="containsText" text="NUEVO">
      <formula>NOT(ISERROR(SEARCH("NUEVO",C421)))</formula>
    </cfRule>
  </conditionalFormatting>
  <conditionalFormatting sqref="E421">
    <cfRule type="containsText" dxfId="2735" priority="3183" operator="containsText" text="Sin Información">
      <formula>NOT(ISERROR(SEARCH("Sin Información",E421)))</formula>
    </cfRule>
  </conditionalFormatting>
  <conditionalFormatting sqref="E421:F421">
    <cfRule type="expression" dxfId="2734" priority="3182">
      <formula>E421&lt;&gt;""</formula>
    </cfRule>
  </conditionalFormatting>
  <conditionalFormatting sqref="C422:D422">
    <cfRule type="containsText" dxfId="2733" priority="3181" operator="containsText" text="NO+$D$4:$D$10">
      <formula>NOT(ISERROR(SEARCH("NO+$D$4:$D$10",C422)))</formula>
    </cfRule>
  </conditionalFormatting>
  <conditionalFormatting sqref="C422:D422">
    <cfRule type="containsText" dxfId="2732" priority="3179" operator="containsText" text="SI">
      <formula>NOT(ISERROR(SEARCH("SI",C422)))</formula>
    </cfRule>
    <cfRule type="containsText" dxfId="2731" priority="3180" operator="containsText" text="NO">
      <formula>NOT(ISERROR(SEARCH("NO",C422)))</formula>
    </cfRule>
  </conditionalFormatting>
  <conditionalFormatting sqref="C422:E422">
    <cfRule type="containsText" dxfId="2730" priority="3178" operator="containsText" text="NUEVO">
      <formula>NOT(ISERROR(SEARCH("NUEVO",C422)))</formula>
    </cfRule>
  </conditionalFormatting>
  <conditionalFormatting sqref="E422">
    <cfRule type="containsText" dxfId="2729" priority="3177" operator="containsText" text="Sin Información">
      <formula>NOT(ISERROR(SEARCH("Sin Información",E422)))</formula>
    </cfRule>
  </conditionalFormatting>
  <conditionalFormatting sqref="E422">
    <cfRule type="expression" dxfId="2728" priority="3176">
      <formula>E422&lt;&gt;""</formula>
    </cfRule>
  </conditionalFormatting>
  <conditionalFormatting sqref="F422">
    <cfRule type="expression" dxfId="2727" priority="3175">
      <formula>F422&lt;&gt;""</formula>
    </cfRule>
  </conditionalFormatting>
  <conditionalFormatting sqref="C423:D423">
    <cfRule type="containsText" dxfId="2726" priority="3174" operator="containsText" text="NO+$D$4:$D$10">
      <formula>NOT(ISERROR(SEARCH("NO+$D$4:$D$10",C423)))</formula>
    </cfRule>
  </conditionalFormatting>
  <conditionalFormatting sqref="C423:D423">
    <cfRule type="containsText" dxfId="2725" priority="3172" operator="containsText" text="SI">
      <formula>NOT(ISERROR(SEARCH("SI",C423)))</formula>
    </cfRule>
    <cfRule type="containsText" dxfId="2724" priority="3173" operator="containsText" text="NO">
      <formula>NOT(ISERROR(SEARCH("NO",C423)))</formula>
    </cfRule>
  </conditionalFormatting>
  <conditionalFormatting sqref="C423:E423">
    <cfRule type="containsText" dxfId="2723" priority="3171" operator="containsText" text="NUEVO">
      <formula>NOT(ISERROR(SEARCH("NUEVO",C423)))</formula>
    </cfRule>
  </conditionalFormatting>
  <conditionalFormatting sqref="E423">
    <cfRule type="containsText" dxfId="2722" priority="3170" operator="containsText" text="Sin Información">
      <formula>NOT(ISERROR(SEARCH("Sin Información",E423)))</formula>
    </cfRule>
  </conditionalFormatting>
  <conditionalFormatting sqref="E423">
    <cfRule type="expression" dxfId="2721" priority="3169">
      <formula>E423&lt;&gt;""</formula>
    </cfRule>
  </conditionalFormatting>
  <conditionalFormatting sqref="F423">
    <cfRule type="expression" dxfId="2720" priority="3168">
      <formula>F423&lt;&gt;""</formula>
    </cfRule>
  </conditionalFormatting>
  <conditionalFormatting sqref="C424:D424">
    <cfRule type="containsText" dxfId="2719" priority="3167" operator="containsText" text="NO+$D$4:$D$10">
      <formula>NOT(ISERROR(SEARCH("NO+$D$4:$D$10",C424)))</formula>
    </cfRule>
  </conditionalFormatting>
  <conditionalFormatting sqref="C424:D424">
    <cfRule type="containsText" dxfId="2718" priority="3165" operator="containsText" text="SI">
      <formula>NOT(ISERROR(SEARCH("SI",C424)))</formula>
    </cfRule>
    <cfRule type="containsText" dxfId="2717" priority="3166" operator="containsText" text="NO">
      <formula>NOT(ISERROR(SEARCH("NO",C424)))</formula>
    </cfRule>
  </conditionalFormatting>
  <conditionalFormatting sqref="C424:E424">
    <cfRule type="containsText" dxfId="2716" priority="3164" operator="containsText" text="NUEVO">
      <formula>NOT(ISERROR(SEARCH("NUEVO",C424)))</formula>
    </cfRule>
  </conditionalFormatting>
  <conditionalFormatting sqref="E424">
    <cfRule type="containsText" dxfId="2715" priority="3163" operator="containsText" text="Sin Información">
      <formula>NOT(ISERROR(SEARCH("Sin Información",E424)))</formula>
    </cfRule>
  </conditionalFormatting>
  <conditionalFormatting sqref="E424">
    <cfRule type="expression" dxfId="2714" priority="3162">
      <formula>E424&lt;&gt;""</formula>
    </cfRule>
  </conditionalFormatting>
  <conditionalFormatting sqref="F424">
    <cfRule type="expression" dxfId="2713" priority="3161">
      <formula>F424&lt;&gt;""</formula>
    </cfRule>
  </conditionalFormatting>
  <conditionalFormatting sqref="C425:D425">
    <cfRule type="containsText" dxfId="2712" priority="3136" operator="containsText" text="NO+$D$4:$D$10">
      <formula>NOT(ISERROR(SEARCH("NO+$D$4:$D$10",C425)))</formula>
    </cfRule>
  </conditionalFormatting>
  <conditionalFormatting sqref="C425:D425">
    <cfRule type="containsText" dxfId="2711" priority="3134" operator="containsText" text="SI">
      <formula>NOT(ISERROR(SEARCH("SI",C425)))</formula>
    </cfRule>
    <cfRule type="containsText" dxfId="2710" priority="3135" operator="containsText" text="NO">
      <formula>NOT(ISERROR(SEARCH("NO",C425)))</formula>
    </cfRule>
  </conditionalFormatting>
  <conditionalFormatting sqref="C425:E425">
    <cfRule type="containsText" dxfId="2709" priority="3133" operator="containsText" text="NUEVO">
      <formula>NOT(ISERROR(SEARCH("NUEVO",C425)))</formula>
    </cfRule>
  </conditionalFormatting>
  <conditionalFormatting sqref="E425">
    <cfRule type="containsText" dxfId="2708" priority="3132" operator="containsText" text="Sin Información">
      <formula>NOT(ISERROR(SEARCH("Sin Información",E425)))</formula>
    </cfRule>
  </conditionalFormatting>
  <conditionalFormatting sqref="E425">
    <cfRule type="containsText" dxfId="2707" priority="3131" operator="containsText" text="Sin información">
      <formula>NOT(ISERROR(SEARCH("Sin información",E425)))</formula>
    </cfRule>
  </conditionalFormatting>
  <conditionalFormatting sqref="E425">
    <cfRule type="containsText" dxfId="2706" priority="3130" operator="containsText" text="NUEVO">
      <formula>NOT(ISERROR(SEARCH("NUEVO",E425)))</formula>
    </cfRule>
  </conditionalFormatting>
  <conditionalFormatting sqref="E425">
    <cfRule type="containsText" dxfId="2705" priority="3129" operator="containsText" text="Sin Información">
      <formula>NOT(ISERROR(SEARCH("Sin Información",E425)))</formula>
    </cfRule>
  </conditionalFormatting>
  <conditionalFormatting sqref="E425:F425">
    <cfRule type="expression" dxfId="2704" priority="3128">
      <formula>E425&lt;&gt;""</formula>
    </cfRule>
  </conditionalFormatting>
  <conditionalFormatting sqref="C426:D426">
    <cfRule type="containsText" dxfId="2703" priority="3127" operator="containsText" text="NO+$D$4:$D$10">
      <formula>NOT(ISERROR(SEARCH("NO+$D$4:$D$10",C426)))</formula>
    </cfRule>
  </conditionalFormatting>
  <conditionalFormatting sqref="C426:D426">
    <cfRule type="containsText" dxfId="2702" priority="3125" operator="containsText" text="SI">
      <formula>NOT(ISERROR(SEARCH("SI",C426)))</formula>
    </cfRule>
    <cfRule type="containsText" dxfId="2701" priority="3126" operator="containsText" text="NO">
      <formula>NOT(ISERROR(SEARCH("NO",C426)))</formula>
    </cfRule>
  </conditionalFormatting>
  <conditionalFormatting sqref="C426:D426">
    <cfRule type="containsText" dxfId="2700" priority="3124" operator="containsText" text="NUEVO">
      <formula>NOT(ISERROR(SEARCH("NUEVO",C426)))</formula>
    </cfRule>
  </conditionalFormatting>
  <conditionalFormatting sqref="E426">
    <cfRule type="containsText" dxfId="2699" priority="3122" operator="containsText" text="Sin Información">
      <formula>NOT(ISERROR(SEARCH("Sin Información",E426)))</formula>
    </cfRule>
  </conditionalFormatting>
  <conditionalFormatting sqref="E426">
    <cfRule type="containsText" dxfId="2698" priority="3123" operator="containsText" text="NUEVO">
      <formula>NOT(ISERROR(SEARCH("NUEVO",E426)))</formula>
    </cfRule>
  </conditionalFormatting>
  <conditionalFormatting sqref="E426:F426">
    <cfRule type="expression" dxfId="2697" priority="3121">
      <formula>E426&lt;&gt;""</formula>
    </cfRule>
  </conditionalFormatting>
  <conditionalFormatting sqref="E426">
    <cfRule type="containsText" dxfId="2696" priority="3120" operator="containsText" text="NUEVO">
      <formula>NOT(ISERROR(SEARCH("NUEVO",E426)))</formula>
    </cfRule>
  </conditionalFormatting>
  <conditionalFormatting sqref="E426">
    <cfRule type="containsText" dxfId="2695" priority="3119" operator="containsText" text="Sin Información">
      <formula>NOT(ISERROR(SEARCH("Sin Información",E426)))</formula>
    </cfRule>
  </conditionalFormatting>
  <conditionalFormatting sqref="C427:D427">
    <cfRule type="containsText" dxfId="2694" priority="3118" operator="containsText" text="NO+$D$4:$D$10">
      <formula>NOT(ISERROR(SEARCH("NO+$D$4:$D$10",C427)))</formula>
    </cfRule>
  </conditionalFormatting>
  <conditionalFormatting sqref="C427:D427">
    <cfRule type="containsText" dxfId="2693" priority="3116" operator="containsText" text="SI">
      <formula>NOT(ISERROR(SEARCH("SI",C427)))</formula>
    </cfRule>
    <cfRule type="containsText" dxfId="2692" priority="3117" operator="containsText" text="NO">
      <formula>NOT(ISERROR(SEARCH("NO",C427)))</formula>
    </cfRule>
  </conditionalFormatting>
  <conditionalFormatting sqref="C427:D427">
    <cfRule type="containsText" dxfId="2691" priority="3115" operator="containsText" text="NUEVO">
      <formula>NOT(ISERROR(SEARCH("NUEVO",C427)))</formula>
    </cfRule>
  </conditionalFormatting>
  <conditionalFormatting sqref="E427">
    <cfRule type="containsText" dxfId="2690" priority="3114" operator="containsText" text="NUEVO">
      <formula>NOT(ISERROR(SEARCH("NUEVO",E427)))</formula>
    </cfRule>
  </conditionalFormatting>
  <conditionalFormatting sqref="E427">
    <cfRule type="containsText" dxfId="2689" priority="3113" operator="containsText" text="Sin Información">
      <formula>NOT(ISERROR(SEARCH("Sin Información",E427)))</formula>
    </cfRule>
  </conditionalFormatting>
  <conditionalFormatting sqref="E427">
    <cfRule type="expression" dxfId="2688" priority="3112">
      <formula>E427&lt;&gt;""</formula>
    </cfRule>
  </conditionalFormatting>
  <conditionalFormatting sqref="F427">
    <cfRule type="expression" dxfId="2687" priority="3111">
      <formula>F427&lt;&gt;""</formula>
    </cfRule>
  </conditionalFormatting>
  <conditionalFormatting sqref="C428:D428">
    <cfRule type="containsText" dxfId="2686" priority="3110" operator="containsText" text="NO+$D$4:$D$10">
      <formula>NOT(ISERROR(SEARCH("NO+$D$4:$D$10",C428)))</formula>
    </cfRule>
  </conditionalFormatting>
  <conditionalFormatting sqref="C428:D428">
    <cfRule type="containsText" dxfId="2685" priority="3108" operator="containsText" text="SI">
      <formula>NOT(ISERROR(SEARCH("SI",C428)))</formula>
    </cfRule>
    <cfRule type="containsText" dxfId="2684" priority="3109" operator="containsText" text="NO">
      <formula>NOT(ISERROR(SEARCH("NO",C428)))</formula>
    </cfRule>
  </conditionalFormatting>
  <conditionalFormatting sqref="C428:D428">
    <cfRule type="containsText" dxfId="2683" priority="3107" operator="containsText" text="NUEVO">
      <formula>NOT(ISERROR(SEARCH("NUEVO",C428)))</formula>
    </cfRule>
  </conditionalFormatting>
  <conditionalFormatting sqref="E428">
    <cfRule type="containsText" dxfId="2682" priority="3106" operator="containsText" text="NUEVO">
      <formula>NOT(ISERROR(SEARCH("NUEVO",E428)))</formula>
    </cfRule>
  </conditionalFormatting>
  <conditionalFormatting sqref="E428">
    <cfRule type="containsText" dxfId="2681" priority="3105" operator="containsText" text="Sin Información">
      <formula>NOT(ISERROR(SEARCH("Sin Información",E428)))</formula>
    </cfRule>
  </conditionalFormatting>
  <conditionalFormatting sqref="E428">
    <cfRule type="expression" dxfId="2680" priority="3104">
      <formula>E428&lt;&gt;""</formula>
    </cfRule>
  </conditionalFormatting>
  <conditionalFormatting sqref="F428">
    <cfRule type="expression" dxfId="2679" priority="3103">
      <formula>F428&lt;&gt;""</formula>
    </cfRule>
  </conditionalFormatting>
  <conditionalFormatting sqref="C429:D429">
    <cfRule type="containsText" dxfId="2678" priority="3102" operator="containsText" text="NO+$D$4:$D$10">
      <formula>NOT(ISERROR(SEARCH("NO+$D$4:$D$10",C429)))</formula>
    </cfRule>
  </conditionalFormatting>
  <conditionalFormatting sqref="C429:D429">
    <cfRule type="containsText" dxfId="2677" priority="3100" operator="containsText" text="SI">
      <formula>NOT(ISERROR(SEARCH("SI",C429)))</formula>
    </cfRule>
    <cfRule type="containsText" dxfId="2676" priority="3101" operator="containsText" text="NO">
      <formula>NOT(ISERROR(SEARCH("NO",C429)))</formula>
    </cfRule>
  </conditionalFormatting>
  <conditionalFormatting sqref="C429:D429">
    <cfRule type="containsText" dxfId="2675" priority="3099" operator="containsText" text="NUEVO">
      <formula>NOT(ISERROR(SEARCH("NUEVO",C429)))</formula>
    </cfRule>
  </conditionalFormatting>
  <conditionalFormatting sqref="F429">
    <cfRule type="expression" dxfId="2674" priority="3098">
      <formula>F429&lt;&gt;""</formula>
    </cfRule>
  </conditionalFormatting>
  <conditionalFormatting sqref="E429">
    <cfRule type="containsText" dxfId="2673" priority="3097" operator="containsText" text="NUEVO">
      <formula>NOT(ISERROR(SEARCH("NUEVO",E429)))</formula>
    </cfRule>
  </conditionalFormatting>
  <conditionalFormatting sqref="E429">
    <cfRule type="containsText" dxfId="2672" priority="3096" operator="containsText" text="Sin Información">
      <formula>NOT(ISERROR(SEARCH("Sin Información",E429)))</formula>
    </cfRule>
  </conditionalFormatting>
  <conditionalFormatting sqref="E429">
    <cfRule type="expression" dxfId="2671" priority="3095">
      <formula>E429&lt;&gt;""</formula>
    </cfRule>
  </conditionalFormatting>
  <conditionalFormatting sqref="C430:D430">
    <cfRule type="containsText" dxfId="2670" priority="3094" operator="containsText" text="NO+$D$4:$D$10">
      <formula>NOT(ISERROR(SEARCH("NO+$D$4:$D$10",C430)))</formula>
    </cfRule>
  </conditionalFormatting>
  <conditionalFormatting sqref="C430:D430">
    <cfRule type="containsText" dxfId="2669" priority="3092" operator="containsText" text="SI">
      <formula>NOT(ISERROR(SEARCH("SI",C430)))</formula>
    </cfRule>
    <cfRule type="containsText" dxfId="2668" priority="3093" operator="containsText" text="NO">
      <formula>NOT(ISERROR(SEARCH("NO",C430)))</formula>
    </cfRule>
  </conditionalFormatting>
  <conditionalFormatting sqref="C430:D430">
    <cfRule type="containsText" dxfId="2667" priority="3091" operator="containsText" text="NUEVO">
      <formula>NOT(ISERROR(SEARCH("NUEVO",C430)))</formula>
    </cfRule>
  </conditionalFormatting>
  <conditionalFormatting sqref="E430">
    <cfRule type="containsText" dxfId="2666" priority="3090" operator="containsText" text="NUEVO">
      <formula>NOT(ISERROR(SEARCH("NUEVO",E430)))</formula>
    </cfRule>
  </conditionalFormatting>
  <conditionalFormatting sqref="E430">
    <cfRule type="containsText" dxfId="2665" priority="3089" operator="containsText" text="Sin Información">
      <formula>NOT(ISERROR(SEARCH("Sin Información",E430)))</formula>
    </cfRule>
  </conditionalFormatting>
  <conditionalFormatting sqref="E430">
    <cfRule type="expression" dxfId="2664" priority="3088">
      <formula>E430&lt;&gt;""</formula>
    </cfRule>
  </conditionalFormatting>
  <conditionalFormatting sqref="F430">
    <cfRule type="expression" dxfId="2663" priority="3087">
      <formula>F430&lt;&gt;""</formula>
    </cfRule>
  </conditionalFormatting>
  <conditionalFormatting sqref="C431:D431">
    <cfRule type="containsText" dxfId="2662" priority="3086" operator="containsText" text="NO+$D$4:$D$10">
      <formula>NOT(ISERROR(SEARCH("NO+$D$4:$D$10",C431)))</formula>
    </cfRule>
  </conditionalFormatting>
  <conditionalFormatting sqref="C431:D431">
    <cfRule type="containsText" dxfId="2661" priority="3084" operator="containsText" text="SI">
      <formula>NOT(ISERROR(SEARCH("SI",C431)))</formula>
    </cfRule>
    <cfRule type="containsText" dxfId="2660" priority="3085" operator="containsText" text="NO">
      <formula>NOT(ISERROR(SEARCH("NO",C431)))</formula>
    </cfRule>
  </conditionalFormatting>
  <conditionalFormatting sqref="C431:D431">
    <cfRule type="containsText" dxfId="2659" priority="3083" operator="containsText" text="NUEVO">
      <formula>NOT(ISERROR(SEARCH("NUEVO",C431)))</formula>
    </cfRule>
  </conditionalFormatting>
  <conditionalFormatting sqref="E431">
    <cfRule type="containsText" dxfId="2658" priority="3082" operator="containsText" text="NUEVO">
      <formula>NOT(ISERROR(SEARCH("NUEVO",E431)))</formula>
    </cfRule>
  </conditionalFormatting>
  <conditionalFormatting sqref="E431">
    <cfRule type="containsText" dxfId="2657" priority="3081" operator="containsText" text="Sin Información">
      <formula>NOT(ISERROR(SEARCH("Sin Información",E431)))</formula>
    </cfRule>
  </conditionalFormatting>
  <conditionalFormatting sqref="E431">
    <cfRule type="expression" dxfId="2656" priority="3080">
      <formula>E431&lt;&gt;""</formula>
    </cfRule>
  </conditionalFormatting>
  <conditionalFormatting sqref="F431">
    <cfRule type="expression" dxfId="2655" priority="3079">
      <formula>F431&lt;&gt;""</formula>
    </cfRule>
  </conditionalFormatting>
  <conditionalFormatting sqref="C432:D432">
    <cfRule type="containsText" dxfId="2654" priority="3078" operator="containsText" text="NO+$D$4:$D$10">
      <formula>NOT(ISERROR(SEARCH("NO+$D$4:$D$10",C432)))</formula>
    </cfRule>
  </conditionalFormatting>
  <conditionalFormatting sqref="C432:D432">
    <cfRule type="containsText" dxfId="2653" priority="3076" operator="containsText" text="SI">
      <formula>NOT(ISERROR(SEARCH("SI",C432)))</formula>
    </cfRule>
    <cfRule type="containsText" dxfId="2652" priority="3077" operator="containsText" text="NO">
      <formula>NOT(ISERROR(SEARCH("NO",C432)))</formula>
    </cfRule>
  </conditionalFormatting>
  <conditionalFormatting sqref="C432:D432">
    <cfRule type="containsText" dxfId="2651" priority="3075" operator="containsText" text="NUEVO">
      <formula>NOT(ISERROR(SEARCH("NUEVO",C432)))</formula>
    </cfRule>
  </conditionalFormatting>
  <conditionalFormatting sqref="F432">
    <cfRule type="expression" dxfId="2650" priority="3074">
      <formula>F432&lt;&gt;""</formula>
    </cfRule>
  </conditionalFormatting>
  <conditionalFormatting sqref="E432">
    <cfRule type="containsText" dxfId="2649" priority="3073" operator="containsText" text="NUEVO">
      <formula>NOT(ISERROR(SEARCH("NUEVO",E432)))</formula>
    </cfRule>
  </conditionalFormatting>
  <conditionalFormatting sqref="E432">
    <cfRule type="containsText" dxfId="2648" priority="3072" operator="containsText" text="Sin Información">
      <formula>NOT(ISERROR(SEARCH("Sin Información",E432)))</formula>
    </cfRule>
  </conditionalFormatting>
  <conditionalFormatting sqref="E432">
    <cfRule type="expression" dxfId="2647" priority="3071">
      <formula>E432&lt;&gt;""</formula>
    </cfRule>
  </conditionalFormatting>
  <conditionalFormatting sqref="C433:D433">
    <cfRule type="containsText" dxfId="2646" priority="3070" operator="containsText" text="NO+$D$4:$D$10">
      <formula>NOT(ISERROR(SEARCH("NO+$D$4:$D$10",C433)))</formula>
    </cfRule>
  </conditionalFormatting>
  <conditionalFormatting sqref="C433:D433">
    <cfRule type="containsText" dxfId="2645" priority="3068" operator="containsText" text="SI">
      <formula>NOT(ISERROR(SEARCH("SI",C433)))</formula>
    </cfRule>
    <cfRule type="containsText" dxfId="2644" priority="3069" operator="containsText" text="NO">
      <formula>NOT(ISERROR(SEARCH("NO",C433)))</formula>
    </cfRule>
  </conditionalFormatting>
  <conditionalFormatting sqref="C433:D433">
    <cfRule type="containsText" dxfId="2643" priority="3067" operator="containsText" text="NUEVO">
      <formula>NOT(ISERROR(SEARCH("NUEVO",C433)))</formula>
    </cfRule>
  </conditionalFormatting>
  <conditionalFormatting sqref="E433">
    <cfRule type="containsText" dxfId="2642" priority="3066" operator="containsText" text="NUEVO">
      <formula>NOT(ISERROR(SEARCH("NUEVO",E433)))</formula>
    </cfRule>
  </conditionalFormatting>
  <conditionalFormatting sqref="E433">
    <cfRule type="containsText" dxfId="2641" priority="3065" operator="containsText" text="Sin Información">
      <formula>NOT(ISERROR(SEARCH("Sin Información",E433)))</formula>
    </cfRule>
  </conditionalFormatting>
  <conditionalFormatting sqref="E433">
    <cfRule type="expression" dxfId="2640" priority="3064">
      <formula>E433&lt;&gt;""</formula>
    </cfRule>
  </conditionalFormatting>
  <conditionalFormatting sqref="F433">
    <cfRule type="expression" dxfId="2639" priority="3063">
      <formula>F433&lt;&gt;""</formula>
    </cfRule>
  </conditionalFormatting>
  <conditionalFormatting sqref="C1148:D1148">
    <cfRule type="containsText" dxfId="2638" priority="3062" operator="containsText" text="NO+$D$4:$D$10">
      <formula>NOT(ISERROR(SEARCH("NO+$D$4:$D$10",C1148)))</formula>
    </cfRule>
  </conditionalFormatting>
  <conditionalFormatting sqref="C1148:D1148">
    <cfRule type="containsText" dxfId="2637" priority="3060" operator="containsText" text="SI">
      <formula>NOT(ISERROR(SEARCH("SI",C1148)))</formula>
    </cfRule>
    <cfRule type="containsText" dxfId="2636" priority="3061" operator="containsText" text="NO">
      <formula>NOT(ISERROR(SEARCH("NO",C1148)))</formula>
    </cfRule>
  </conditionalFormatting>
  <conditionalFormatting sqref="C1148:E1148">
    <cfRule type="containsText" dxfId="2635" priority="3059" operator="containsText" text="NUEVO">
      <formula>NOT(ISERROR(SEARCH("NUEVO",C1148)))</formula>
    </cfRule>
  </conditionalFormatting>
  <conditionalFormatting sqref="E1148">
    <cfRule type="containsText" dxfId="2634" priority="3058" operator="containsText" text="Sin Información">
      <formula>NOT(ISERROR(SEARCH("Sin Información",E1148)))</formula>
    </cfRule>
  </conditionalFormatting>
  <conditionalFormatting sqref="E1148">
    <cfRule type="expression" dxfId="2633" priority="3057">
      <formula>E1148&lt;&gt;""</formula>
    </cfRule>
  </conditionalFormatting>
  <conditionalFormatting sqref="F1148">
    <cfRule type="expression" dxfId="2632" priority="3056">
      <formula>F1148&lt;&gt;""</formula>
    </cfRule>
  </conditionalFormatting>
  <conditionalFormatting sqref="C1149:D1149">
    <cfRule type="containsText" dxfId="2631" priority="3055" operator="containsText" text="NO+$D$4:$D$10">
      <formula>NOT(ISERROR(SEARCH("NO+$D$4:$D$10",C1149)))</formula>
    </cfRule>
  </conditionalFormatting>
  <conditionalFormatting sqref="C1149:D1149">
    <cfRule type="containsText" dxfId="2630" priority="3053" operator="containsText" text="SI">
      <formula>NOT(ISERROR(SEARCH("SI",C1149)))</formula>
    </cfRule>
    <cfRule type="containsText" dxfId="2629" priority="3054" operator="containsText" text="NO">
      <formula>NOT(ISERROR(SEARCH("NO",C1149)))</formula>
    </cfRule>
  </conditionalFormatting>
  <conditionalFormatting sqref="C1149:E1149">
    <cfRule type="containsText" dxfId="2628" priority="3052" operator="containsText" text="NUEVO">
      <formula>NOT(ISERROR(SEARCH("NUEVO",C1149)))</formula>
    </cfRule>
  </conditionalFormatting>
  <conditionalFormatting sqref="E1149">
    <cfRule type="containsText" dxfId="2627" priority="3051" operator="containsText" text="Sin Información">
      <formula>NOT(ISERROR(SEARCH("Sin Información",E1149)))</formula>
    </cfRule>
  </conditionalFormatting>
  <conditionalFormatting sqref="E1149">
    <cfRule type="expression" dxfId="2626" priority="3050">
      <formula>E1149&lt;&gt;""</formula>
    </cfRule>
  </conditionalFormatting>
  <conditionalFormatting sqref="F1149">
    <cfRule type="expression" dxfId="2625" priority="3049">
      <formula>F1149&lt;&gt;""</formula>
    </cfRule>
  </conditionalFormatting>
  <conditionalFormatting sqref="C1150:D1150">
    <cfRule type="containsText" dxfId="2624" priority="3048" operator="containsText" text="NO+$D$4:$D$10">
      <formula>NOT(ISERROR(SEARCH("NO+$D$4:$D$10",C1150)))</formula>
    </cfRule>
  </conditionalFormatting>
  <conditionalFormatting sqref="C1150:D1150">
    <cfRule type="containsText" dxfId="2623" priority="3046" operator="containsText" text="SI">
      <formula>NOT(ISERROR(SEARCH("SI",C1150)))</formula>
    </cfRule>
    <cfRule type="containsText" dxfId="2622" priority="3047" operator="containsText" text="NO">
      <formula>NOT(ISERROR(SEARCH("NO",C1150)))</formula>
    </cfRule>
  </conditionalFormatting>
  <conditionalFormatting sqref="C1150:E1150">
    <cfRule type="containsText" dxfId="2621" priority="3045" operator="containsText" text="NUEVO">
      <formula>NOT(ISERROR(SEARCH("NUEVO",C1150)))</formula>
    </cfRule>
  </conditionalFormatting>
  <conditionalFormatting sqref="E1150">
    <cfRule type="containsText" dxfId="2620" priority="3044" operator="containsText" text="Sin Información">
      <formula>NOT(ISERROR(SEARCH("Sin Información",E1150)))</formula>
    </cfRule>
  </conditionalFormatting>
  <conditionalFormatting sqref="E1150">
    <cfRule type="expression" dxfId="2619" priority="3043">
      <formula>E1150&lt;&gt;""</formula>
    </cfRule>
  </conditionalFormatting>
  <conditionalFormatting sqref="F1150">
    <cfRule type="expression" dxfId="2618" priority="3042">
      <formula>F1150&lt;&gt;""</formula>
    </cfRule>
  </conditionalFormatting>
  <conditionalFormatting sqref="C1151:D1151">
    <cfRule type="containsText" dxfId="2617" priority="3041" operator="containsText" text="NO+$D$4:$D$10">
      <formula>NOT(ISERROR(SEARCH("NO+$D$4:$D$10",C1151)))</formula>
    </cfRule>
  </conditionalFormatting>
  <conditionalFormatting sqref="C1151:D1151">
    <cfRule type="containsText" dxfId="2616" priority="3039" operator="containsText" text="SI">
      <formula>NOT(ISERROR(SEARCH("SI",C1151)))</formula>
    </cfRule>
    <cfRule type="containsText" dxfId="2615" priority="3040" operator="containsText" text="NO">
      <formula>NOT(ISERROR(SEARCH("NO",C1151)))</formula>
    </cfRule>
  </conditionalFormatting>
  <conditionalFormatting sqref="C1151:D1151">
    <cfRule type="containsText" dxfId="2614" priority="3038" operator="containsText" text="NUEVO">
      <formula>NOT(ISERROR(SEARCH("NUEVO",C1151)))</formula>
    </cfRule>
  </conditionalFormatting>
  <conditionalFormatting sqref="F1151">
    <cfRule type="expression" dxfId="2613" priority="3037">
      <formula>F1151&lt;&gt;""</formula>
    </cfRule>
  </conditionalFormatting>
  <conditionalFormatting sqref="E1151">
    <cfRule type="containsText" dxfId="2612" priority="3036" operator="containsText" text="NUEVO">
      <formula>NOT(ISERROR(SEARCH("NUEVO",E1151)))</formula>
    </cfRule>
  </conditionalFormatting>
  <conditionalFormatting sqref="E1151">
    <cfRule type="containsText" dxfId="2611" priority="3035" operator="containsText" text="Sin Información">
      <formula>NOT(ISERROR(SEARCH("Sin Información",E1151)))</formula>
    </cfRule>
  </conditionalFormatting>
  <conditionalFormatting sqref="E1151">
    <cfRule type="expression" dxfId="2610" priority="3034">
      <formula>E1151&lt;&gt;""</formula>
    </cfRule>
  </conditionalFormatting>
  <conditionalFormatting sqref="C1152:D1152">
    <cfRule type="containsText" dxfId="2609" priority="3033" operator="containsText" text="NO+$D$4:$D$10">
      <formula>NOT(ISERROR(SEARCH("NO+$D$4:$D$10",C1152)))</formula>
    </cfRule>
  </conditionalFormatting>
  <conditionalFormatting sqref="C1152:D1152">
    <cfRule type="containsText" dxfId="2608" priority="3031" operator="containsText" text="SI">
      <formula>NOT(ISERROR(SEARCH("SI",C1152)))</formula>
    </cfRule>
    <cfRule type="containsText" dxfId="2607" priority="3032" operator="containsText" text="NO">
      <formula>NOT(ISERROR(SEARCH("NO",C1152)))</formula>
    </cfRule>
  </conditionalFormatting>
  <conditionalFormatting sqref="C1152:D1152">
    <cfRule type="containsText" dxfId="2606" priority="3030" operator="containsText" text="NUEVO">
      <formula>NOT(ISERROR(SEARCH("NUEVO",C1152)))</formula>
    </cfRule>
  </conditionalFormatting>
  <conditionalFormatting sqref="F1152">
    <cfRule type="expression" dxfId="2605" priority="3029">
      <formula>F1152&lt;&gt;""</formula>
    </cfRule>
  </conditionalFormatting>
  <conditionalFormatting sqref="E1152">
    <cfRule type="containsText" dxfId="2604" priority="3028" operator="containsText" text="NUEVO">
      <formula>NOT(ISERROR(SEARCH("NUEVO",E1152)))</formula>
    </cfRule>
  </conditionalFormatting>
  <conditionalFormatting sqref="E1152">
    <cfRule type="containsText" dxfId="2603" priority="3027" operator="containsText" text="Sin Información">
      <formula>NOT(ISERROR(SEARCH("Sin Información",E1152)))</formula>
    </cfRule>
  </conditionalFormatting>
  <conditionalFormatting sqref="E1152">
    <cfRule type="expression" dxfId="2602" priority="3026">
      <formula>E1152&lt;&gt;""</formula>
    </cfRule>
  </conditionalFormatting>
  <conditionalFormatting sqref="C1153:D1153">
    <cfRule type="containsText" dxfId="2601" priority="3025" operator="containsText" text="NO+$D$4:$D$10">
      <formula>NOT(ISERROR(SEARCH("NO+$D$4:$D$10",C1153)))</formula>
    </cfRule>
  </conditionalFormatting>
  <conditionalFormatting sqref="C1153:D1153">
    <cfRule type="containsText" dxfId="2600" priority="3023" operator="containsText" text="SI">
      <formula>NOT(ISERROR(SEARCH("SI",C1153)))</formula>
    </cfRule>
    <cfRule type="containsText" dxfId="2599" priority="3024" operator="containsText" text="NO">
      <formula>NOT(ISERROR(SEARCH("NO",C1153)))</formula>
    </cfRule>
  </conditionalFormatting>
  <conditionalFormatting sqref="C1153:D1153">
    <cfRule type="containsText" dxfId="2598" priority="3022" operator="containsText" text="NUEVO">
      <formula>NOT(ISERROR(SEARCH("NUEVO",C1153)))</formula>
    </cfRule>
  </conditionalFormatting>
  <conditionalFormatting sqref="F1153">
    <cfRule type="expression" dxfId="2597" priority="3021">
      <formula>F1153&lt;&gt;""</formula>
    </cfRule>
  </conditionalFormatting>
  <conditionalFormatting sqref="E1153">
    <cfRule type="containsText" dxfId="2596" priority="3020" operator="containsText" text="NUEVO">
      <formula>NOT(ISERROR(SEARCH("NUEVO",E1153)))</formula>
    </cfRule>
  </conditionalFormatting>
  <conditionalFormatting sqref="E1153">
    <cfRule type="containsText" dxfId="2595" priority="3019" operator="containsText" text="Sin Información">
      <formula>NOT(ISERROR(SEARCH("Sin Información",E1153)))</formula>
    </cfRule>
  </conditionalFormatting>
  <conditionalFormatting sqref="E1153">
    <cfRule type="expression" dxfId="2594" priority="3018">
      <formula>E1153&lt;&gt;""</formula>
    </cfRule>
  </conditionalFormatting>
  <conditionalFormatting sqref="C1154:D1154">
    <cfRule type="containsText" dxfId="2593" priority="3017" operator="containsText" text="NO+$D$4:$D$10">
      <formula>NOT(ISERROR(SEARCH("NO+$D$4:$D$10",C1154)))</formula>
    </cfRule>
  </conditionalFormatting>
  <conditionalFormatting sqref="C1154:D1154">
    <cfRule type="containsText" dxfId="2592" priority="3015" operator="containsText" text="SI">
      <formula>NOT(ISERROR(SEARCH("SI",C1154)))</formula>
    </cfRule>
    <cfRule type="containsText" dxfId="2591" priority="3016" operator="containsText" text="NO">
      <formula>NOT(ISERROR(SEARCH("NO",C1154)))</formula>
    </cfRule>
  </conditionalFormatting>
  <conditionalFormatting sqref="C1154:E1154">
    <cfRule type="containsText" dxfId="2590" priority="3014" operator="containsText" text="NUEVO">
      <formula>NOT(ISERROR(SEARCH("NUEVO",C1154)))</formula>
    </cfRule>
  </conditionalFormatting>
  <conditionalFormatting sqref="E1154">
    <cfRule type="containsText" dxfId="2589" priority="3013" operator="containsText" text="Sin Información">
      <formula>NOT(ISERROR(SEARCH("Sin Información",E1154)))</formula>
    </cfRule>
  </conditionalFormatting>
  <conditionalFormatting sqref="E1154:F1154">
    <cfRule type="expression" dxfId="2588" priority="3012">
      <formula>E1154&lt;&gt;""</formula>
    </cfRule>
  </conditionalFormatting>
  <conditionalFormatting sqref="C1155:D1155">
    <cfRule type="containsText" dxfId="2587" priority="3011" operator="containsText" text="NO+$D$4:$D$10">
      <formula>NOT(ISERROR(SEARCH("NO+$D$4:$D$10",C1155)))</formula>
    </cfRule>
  </conditionalFormatting>
  <conditionalFormatting sqref="C1155:D1155">
    <cfRule type="containsText" dxfId="2586" priority="3009" operator="containsText" text="SI">
      <formula>NOT(ISERROR(SEARCH("SI",C1155)))</formula>
    </cfRule>
    <cfRule type="containsText" dxfId="2585" priority="3010" operator="containsText" text="NO">
      <formula>NOT(ISERROR(SEARCH("NO",C1155)))</formula>
    </cfRule>
  </conditionalFormatting>
  <conditionalFormatting sqref="C1155:D1155">
    <cfRule type="containsText" dxfId="2584" priority="3008" operator="containsText" text="NUEVO">
      <formula>NOT(ISERROR(SEARCH("NUEVO",C1155)))</formula>
    </cfRule>
  </conditionalFormatting>
  <conditionalFormatting sqref="E1155">
    <cfRule type="containsText" dxfId="2583" priority="3007" operator="containsText" text="NUEVO">
      <formula>NOT(ISERROR(SEARCH("NUEVO",E1155)))</formula>
    </cfRule>
  </conditionalFormatting>
  <conditionalFormatting sqref="E1155">
    <cfRule type="containsText" dxfId="2582" priority="3006" operator="containsText" text="Sin Información">
      <formula>NOT(ISERROR(SEARCH("Sin Información",E1155)))</formula>
    </cfRule>
  </conditionalFormatting>
  <conditionalFormatting sqref="E1155">
    <cfRule type="expression" dxfId="2581" priority="3005">
      <formula>E1155&lt;&gt;""</formula>
    </cfRule>
  </conditionalFormatting>
  <conditionalFormatting sqref="F1155">
    <cfRule type="expression" dxfId="2580" priority="3004">
      <formula>F1155&lt;&gt;""</formula>
    </cfRule>
  </conditionalFormatting>
  <conditionalFormatting sqref="C1156:D1156">
    <cfRule type="containsText" dxfId="2579" priority="3003" operator="containsText" text="NO+$D$4:$D$10">
      <formula>NOT(ISERROR(SEARCH("NO+$D$4:$D$10",C1156)))</formula>
    </cfRule>
  </conditionalFormatting>
  <conditionalFormatting sqref="C1156:D1156">
    <cfRule type="containsText" dxfId="2578" priority="3001" operator="containsText" text="SI">
      <formula>NOT(ISERROR(SEARCH("SI",C1156)))</formula>
    </cfRule>
    <cfRule type="containsText" dxfId="2577" priority="3002" operator="containsText" text="NO">
      <formula>NOT(ISERROR(SEARCH("NO",C1156)))</formula>
    </cfRule>
  </conditionalFormatting>
  <conditionalFormatting sqref="C1156:D1156">
    <cfRule type="containsText" dxfId="2576" priority="3000" operator="containsText" text="NUEVO">
      <formula>NOT(ISERROR(SEARCH("NUEVO",C1156)))</formula>
    </cfRule>
  </conditionalFormatting>
  <conditionalFormatting sqref="F1156">
    <cfRule type="expression" dxfId="2575" priority="2999">
      <formula>F1156&lt;&gt;""</formula>
    </cfRule>
  </conditionalFormatting>
  <conditionalFormatting sqref="E1156">
    <cfRule type="containsText" dxfId="2574" priority="2998" operator="containsText" text="NUEVO">
      <formula>NOT(ISERROR(SEARCH("NUEVO",E1156)))</formula>
    </cfRule>
  </conditionalFormatting>
  <conditionalFormatting sqref="E1156">
    <cfRule type="containsText" dxfId="2573" priority="2997" operator="containsText" text="Sin Información">
      <formula>NOT(ISERROR(SEARCH("Sin Información",E1156)))</formula>
    </cfRule>
  </conditionalFormatting>
  <conditionalFormatting sqref="E1156">
    <cfRule type="expression" dxfId="2572" priority="2996">
      <formula>E1156&lt;&gt;""</formula>
    </cfRule>
  </conditionalFormatting>
  <conditionalFormatting sqref="C1157:D1157">
    <cfRule type="containsText" dxfId="2571" priority="2995" operator="containsText" text="NO+$D$4:$D$10">
      <formula>NOT(ISERROR(SEARCH("NO+$D$4:$D$10",C1157)))</formula>
    </cfRule>
  </conditionalFormatting>
  <conditionalFormatting sqref="C1157:D1157">
    <cfRule type="containsText" dxfId="2570" priority="2993" operator="containsText" text="SI">
      <formula>NOT(ISERROR(SEARCH("SI",C1157)))</formula>
    </cfRule>
    <cfRule type="containsText" dxfId="2569" priority="2994" operator="containsText" text="NO">
      <formula>NOT(ISERROR(SEARCH("NO",C1157)))</formula>
    </cfRule>
  </conditionalFormatting>
  <conditionalFormatting sqref="C1157:D1157">
    <cfRule type="containsText" dxfId="2568" priority="2992" operator="containsText" text="NUEVO">
      <formula>NOT(ISERROR(SEARCH("NUEVO",C1157)))</formula>
    </cfRule>
  </conditionalFormatting>
  <conditionalFormatting sqref="F1157">
    <cfRule type="expression" dxfId="2567" priority="2991">
      <formula>F1157&lt;&gt;""</formula>
    </cfRule>
  </conditionalFormatting>
  <conditionalFormatting sqref="E1157">
    <cfRule type="containsText" dxfId="2566" priority="2990" operator="containsText" text="NUEVO">
      <formula>NOT(ISERROR(SEARCH("NUEVO",E1157)))</formula>
    </cfRule>
  </conditionalFormatting>
  <conditionalFormatting sqref="E1157">
    <cfRule type="containsText" dxfId="2565" priority="2989" operator="containsText" text="Sin Información">
      <formula>NOT(ISERROR(SEARCH("Sin Información",E1157)))</formula>
    </cfRule>
  </conditionalFormatting>
  <conditionalFormatting sqref="E1157">
    <cfRule type="expression" dxfId="2564" priority="2988">
      <formula>E1157&lt;&gt;""</formula>
    </cfRule>
  </conditionalFormatting>
  <conditionalFormatting sqref="C1158:D1158">
    <cfRule type="containsText" dxfId="2563" priority="2987" operator="containsText" text="NO+$D$4:$D$10">
      <formula>NOT(ISERROR(SEARCH("NO+$D$4:$D$10",C1158)))</formula>
    </cfRule>
  </conditionalFormatting>
  <conditionalFormatting sqref="C1158:D1158">
    <cfRule type="containsText" dxfId="2562" priority="2985" operator="containsText" text="SI">
      <formula>NOT(ISERROR(SEARCH("SI",C1158)))</formula>
    </cfRule>
    <cfRule type="containsText" dxfId="2561" priority="2986" operator="containsText" text="NO">
      <formula>NOT(ISERROR(SEARCH("NO",C1158)))</formula>
    </cfRule>
  </conditionalFormatting>
  <conditionalFormatting sqref="C1158:D1158">
    <cfRule type="containsText" dxfId="2560" priority="2984" operator="containsText" text="NUEVO">
      <formula>NOT(ISERROR(SEARCH("NUEVO",C1158)))</formula>
    </cfRule>
  </conditionalFormatting>
  <conditionalFormatting sqref="F1158">
    <cfRule type="expression" dxfId="2559" priority="2983">
      <formula>F1158&lt;&gt;""</formula>
    </cfRule>
  </conditionalFormatting>
  <conditionalFormatting sqref="E1158">
    <cfRule type="containsText" dxfId="2558" priority="2982" operator="containsText" text="NUEVO">
      <formula>NOT(ISERROR(SEARCH("NUEVO",E1158)))</formula>
    </cfRule>
  </conditionalFormatting>
  <conditionalFormatting sqref="E1158">
    <cfRule type="containsText" dxfId="2557" priority="2981" operator="containsText" text="Sin Información">
      <formula>NOT(ISERROR(SEARCH("Sin Información",E1158)))</formula>
    </cfRule>
  </conditionalFormatting>
  <conditionalFormatting sqref="E1158">
    <cfRule type="expression" dxfId="2556" priority="2980">
      <formula>E1158&lt;&gt;""</formula>
    </cfRule>
  </conditionalFormatting>
  <conditionalFormatting sqref="C1494:D1494">
    <cfRule type="containsText" dxfId="2555" priority="2979" operator="containsText" text="NO+$D$4:$D$10">
      <formula>NOT(ISERROR(SEARCH("NO+$D$4:$D$10",C1494)))</formula>
    </cfRule>
  </conditionalFormatting>
  <conditionalFormatting sqref="C1494:D1494">
    <cfRule type="containsText" dxfId="2554" priority="2977" operator="containsText" text="SI">
      <formula>NOT(ISERROR(SEARCH("SI",C1494)))</formula>
    </cfRule>
    <cfRule type="containsText" dxfId="2553" priority="2978" operator="containsText" text="NO">
      <formula>NOT(ISERROR(SEARCH("NO",C1494)))</formula>
    </cfRule>
  </conditionalFormatting>
  <conditionalFormatting sqref="C1494:E1494">
    <cfRule type="containsText" dxfId="2552" priority="2976" operator="containsText" text="NUEVO">
      <formula>NOT(ISERROR(SEARCH("NUEVO",C1494)))</formula>
    </cfRule>
  </conditionalFormatting>
  <conditionalFormatting sqref="E1494">
    <cfRule type="containsText" dxfId="2551" priority="2975" operator="containsText" text="Sin Información">
      <formula>NOT(ISERROR(SEARCH("Sin Información",E1494)))</formula>
    </cfRule>
  </conditionalFormatting>
  <conditionalFormatting sqref="E1494:F1494">
    <cfRule type="expression" dxfId="2550" priority="2974">
      <formula>E1494&lt;&gt;""</formula>
    </cfRule>
  </conditionalFormatting>
  <conditionalFormatting sqref="C1495:D1495">
    <cfRule type="containsText" dxfId="2549" priority="2973" operator="containsText" text="NO+$D$4:$D$10">
      <formula>NOT(ISERROR(SEARCH("NO+$D$4:$D$10",C1495)))</formula>
    </cfRule>
  </conditionalFormatting>
  <conditionalFormatting sqref="C1495:D1495">
    <cfRule type="containsText" dxfId="2548" priority="2971" operator="containsText" text="SI">
      <formula>NOT(ISERROR(SEARCH("SI",C1495)))</formula>
    </cfRule>
    <cfRule type="containsText" dxfId="2547" priority="2972" operator="containsText" text="NO">
      <formula>NOT(ISERROR(SEARCH("NO",C1495)))</formula>
    </cfRule>
  </conditionalFormatting>
  <conditionalFormatting sqref="C1495:D1495">
    <cfRule type="containsText" dxfId="2546" priority="2970" operator="containsText" text="NUEVO">
      <formula>NOT(ISERROR(SEARCH("NUEVO",C1495)))</formula>
    </cfRule>
  </conditionalFormatting>
  <conditionalFormatting sqref="F1495">
    <cfRule type="expression" dxfId="2545" priority="2969">
      <formula>F1495&lt;&gt;""</formula>
    </cfRule>
  </conditionalFormatting>
  <conditionalFormatting sqref="E1495">
    <cfRule type="containsText" dxfId="2544" priority="2968" operator="containsText" text="NUEVO">
      <formula>NOT(ISERROR(SEARCH("NUEVO",E1495)))</formula>
    </cfRule>
  </conditionalFormatting>
  <conditionalFormatting sqref="E1495">
    <cfRule type="containsText" dxfId="2543" priority="2967" operator="containsText" text="Sin Información">
      <formula>NOT(ISERROR(SEARCH("Sin Información",E1495)))</formula>
    </cfRule>
  </conditionalFormatting>
  <conditionalFormatting sqref="E1495">
    <cfRule type="expression" dxfId="2542" priority="2966">
      <formula>E1495&lt;&gt;""</formula>
    </cfRule>
  </conditionalFormatting>
  <conditionalFormatting sqref="C1496:D1496">
    <cfRule type="containsText" dxfId="2541" priority="2952" operator="containsText" text="NO+$D$4:$D$10">
      <formula>NOT(ISERROR(SEARCH("NO+$D$4:$D$10",C1496)))</formula>
    </cfRule>
  </conditionalFormatting>
  <conditionalFormatting sqref="C1496:D1496">
    <cfRule type="containsText" dxfId="2540" priority="2950" operator="containsText" text="SI">
      <formula>NOT(ISERROR(SEARCH("SI",C1496)))</formula>
    </cfRule>
    <cfRule type="containsText" dxfId="2539" priority="2951" operator="containsText" text="NO">
      <formula>NOT(ISERROR(SEARCH("NO",C1496)))</formula>
    </cfRule>
  </conditionalFormatting>
  <conditionalFormatting sqref="C1496:D1496">
    <cfRule type="containsText" dxfId="2538" priority="2949" operator="containsText" text="NUEVO">
      <formula>NOT(ISERROR(SEARCH("NUEVO",C1496)))</formula>
    </cfRule>
  </conditionalFormatting>
  <conditionalFormatting sqref="F1496">
    <cfRule type="expression" dxfId="2537" priority="2948">
      <formula>F1496&lt;&gt;""</formula>
    </cfRule>
  </conditionalFormatting>
  <conditionalFormatting sqref="E1496">
    <cfRule type="containsText" dxfId="2536" priority="2947" operator="containsText" text="NUEVO">
      <formula>NOT(ISERROR(SEARCH("NUEVO",E1496)))</formula>
    </cfRule>
  </conditionalFormatting>
  <conditionalFormatting sqref="E1496">
    <cfRule type="containsText" dxfId="2535" priority="2946" operator="containsText" text="Sin Información">
      <formula>NOT(ISERROR(SEARCH("Sin Información",E1496)))</formula>
    </cfRule>
  </conditionalFormatting>
  <conditionalFormatting sqref="E1496">
    <cfRule type="expression" dxfId="2534" priority="2945">
      <formula>E1496&lt;&gt;""</formula>
    </cfRule>
  </conditionalFormatting>
  <conditionalFormatting sqref="C1497:D1497">
    <cfRule type="containsText" dxfId="2533" priority="2928" operator="containsText" text="NO+$D$4:$D$10">
      <formula>NOT(ISERROR(SEARCH("NO+$D$4:$D$10",C1497)))</formula>
    </cfRule>
  </conditionalFormatting>
  <conditionalFormatting sqref="C1497:D1497">
    <cfRule type="containsText" dxfId="2532" priority="2926" operator="containsText" text="SI">
      <formula>NOT(ISERROR(SEARCH("SI",C1497)))</formula>
    </cfRule>
    <cfRule type="containsText" dxfId="2531" priority="2927" operator="containsText" text="NO">
      <formula>NOT(ISERROR(SEARCH("NO",C1497)))</formula>
    </cfRule>
  </conditionalFormatting>
  <conditionalFormatting sqref="C1497:E1497">
    <cfRule type="containsText" dxfId="2530" priority="2925" operator="containsText" text="NUEVO">
      <formula>NOT(ISERROR(SEARCH("NUEVO",C1497)))</formula>
    </cfRule>
  </conditionalFormatting>
  <conditionalFormatting sqref="E1497">
    <cfRule type="containsText" dxfId="2529" priority="2924" operator="containsText" text="Sin Información">
      <formula>NOT(ISERROR(SEARCH("Sin Información",E1497)))</formula>
    </cfRule>
  </conditionalFormatting>
  <conditionalFormatting sqref="E1497:F1497">
    <cfRule type="expression" dxfId="2528" priority="2923">
      <formula>E1497&lt;&gt;""</formula>
    </cfRule>
  </conditionalFormatting>
  <conditionalFormatting sqref="C1498:D1498">
    <cfRule type="containsText" dxfId="2527" priority="2922" operator="containsText" text="NO+$D$4:$D$10">
      <formula>NOT(ISERROR(SEARCH("NO+$D$4:$D$10",C1498)))</formula>
    </cfRule>
  </conditionalFormatting>
  <conditionalFormatting sqref="C1498:D1498">
    <cfRule type="containsText" dxfId="2526" priority="2920" operator="containsText" text="SI">
      <formula>NOT(ISERROR(SEARCH("SI",C1498)))</formula>
    </cfRule>
    <cfRule type="containsText" dxfId="2525" priority="2921" operator="containsText" text="NO">
      <formula>NOT(ISERROR(SEARCH("NO",C1498)))</formula>
    </cfRule>
  </conditionalFormatting>
  <conditionalFormatting sqref="C1498:E1498">
    <cfRule type="containsText" dxfId="2524" priority="2919" operator="containsText" text="NUEVO">
      <formula>NOT(ISERROR(SEARCH("NUEVO",C1498)))</formula>
    </cfRule>
  </conditionalFormatting>
  <conditionalFormatting sqref="E1498">
    <cfRule type="containsText" dxfId="2523" priority="2918" operator="containsText" text="Sin Información">
      <formula>NOT(ISERROR(SEARCH("Sin Información",E1498)))</formula>
    </cfRule>
  </conditionalFormatting>
  <conditionalFormatting sqref="E1498:F1498">
    <cfRule type="expression" dxfId="2522" priority="2917">
      <formula>E1498&lt;&gt;""</formula>
    </cfRule>
  </conditionalFormatting>
  <conditionalFormatting sqref="C1499:D1499">
    <cfRule type="containsText" dxfId="2521" priority="2916" operator="containsText" text="NO+$D$4:$D$10">
      <formula>NOT(ISERROR(SEARCH("NO+$D$4:$D$10",C1499)))</formula>
    </cfRule>
  </conditionalFormatting>
  <conditionalFormatting sqref="C1499:D1499">
    <cfRule type="containsText" dxfId="2520" priority="2914" operator="containsText" text="SI">
      <formula>NOT(ISERROR(SEARCH("SI",C1499)))</formula>
    </cfRule>
    <cfRule type="containsText" dxfId="2519" priority="2915" operator="containsText" text="NO">
      <formula>NOT(ISERROR(SEARCH("NO",C1499)))</formula>
    </cfRule>
  </conditionalFormatting>
  <conditionalFormatting sqref="C1499:D1499">
    <cfRule type="containsText" dxfId="2518" priority="2913" operator="containsText" text="NUEVO">
      <formula>NOT(ISERROR(SEARCH("NUEVO",C1499)))</formula>
    </cfRule>
  </conditionalFormatting>
  <conditionalFormatting sqref="F1499">
    <cfRule type="expression" dxfId="2517" priority="2912">
      <formula>F1499&lt;&gt;""</formula>
    </cfRule>
  </conditionalFormatting>
  <conditionalFormatting sqref="E1499">
    <cfRule type="containsText" dxfId="2516" priority="2911" operator="containsText" text="NUEVO">
      <formula>NOT(ISERROR(SEARCH("NUEVO",E1499)))</formula>
    </cfRule>
  </conditionalFormatting>
  <conditionalFormatting sqref="E1499">
    <cfRule type="containsText" dxfId="2515" priority="2910" operator="containsText" text="Sin Información">
      <formula>NOT(ISERROR(SEARCH("Sin Información",E1499)))</formula>
    </cfRule>
  </conditionalFormatting>
  <conditionalFormatting sqref="E1499">
    <cfRule type="expression" dxfId="2514" priority="2909">
      <formula>E1499&lt;&gt;""</formula>
    </cfRule>
  </conditionalFormatting>
  <conditionalFormatting sqref="C1500:D1500">
    <cfRule type="containsText" dxfId="2513" priority="2908" operator="containsText" text="NO+$D$4:$D$10">
      <formula>NOT(ISERROR(SEARCH("NO+$D$4:$D$10",C1500)))</formula>
    </cfRule>
  </conditionalFormatting>
  <conditionalFormatting sqref="C1500:D1500">
    <cfRule type="containsText" dxfId="2512" priority="2906" operator="containsText" text="SI">
      <formula>NOT(ISERROR(SEARCH("SI",C1500)))</formula>
    </cfRule>
    <cfRule type="containsText" dxfId="2511" priority="2907" operator="containsText" text="NO">
      <formula>NOT(ISERROR(SEARCH("NO",C1500)))</formula>
    </cfRule>
  </conditionalFormatting>
  <conditionalFormatting sqref="C1500:E1500">
    <cfRule type="containsText" dxfId="2510" priority="2905" operator="containsText" text="NUEVO">
      <formula>NOT(ISERROR(SEARCH("NUEVO",C1500)))</formula>
    </cfRule>
  </conditionalFormatting>
  <conditionalFormatting sqref="E1500">
    <cfRule type="containsText" dxfId="2509" priority="2904" operator="containsText" text="Sin Información">
      <formula>NOT(ISERROR(SEARCH("Sin Información",E1500)))</formula>
    </cfRule>
  </conditionalFormatting>
  <conditionalFormatting sqref="E1500:F1500">
    <cfRule type="expression" dxfId="2508" priority="2903">
      <formula>E1500&lt;&gt;""</formula>
    </cfRule>
  </conditionalFormatting>
  <conditionalFormatting sqref="C1501:D1501">
    <cfRule type="containsText" dxfId="2507" priority="2886" operator="containsText" text="NO+$D$4:$D$10">
      <formula>NOT(ISERROR(SEARCH("NO+$D$4:$D$10",C1501)))</formula>
    </cfRule>
  </conditionalFormatting>
  <conditionalFormatting sqref="C1501:D1501">
    <cfRule type="containsText" dxfId="2506" priority="2884" operator="containsText" text="SI">
      <formula>NOT(ISERROR(SEARCH("SI",C1501)))</formula>
    </cfRule>
    <cfRule type="containsText" dxfId="2505" priority="2885" operator="containsText" text="NO">
      <formula>NOT(ISERROR(SEARCH("NO",C1501)))</formula>
    </cfRule>
  </conditionalFormatting>
  <conditionalFormatting sqref="C1501:D1501">
    <cfRule type="containsText" dxfId="2504" priority="2883" operator="containsText" text="NUEVO">
      <formula>NOT(ISERROR(SEARCH("NUEVO",C1501)))</formula>
    </cfRule>
  </conditionalFormatting>
  <conditionalFormatting sqref="F1501">
    <cfRule type="expression" dxfId="2503" priority="2882">
      <formula>F1501&lt;&gt;""</formula>
    </cfRule>
  </conditionalFormatting>
  <conditionalFormatting sqref="E1501">
    <cfRule type="containsText" dxfId="2502" priority="2881" operator="containsText" text="NUEVO">
      <formula>NOT(ISERROR(SEARCH("NUEVO",E1501)))</formula>
    </cfRule>
  </conditionalFormatting>
  <conditionalFormatting sqref="E1501">
    <cfRule type="containsText" dxfId="2501" priority="2880" operator="containsText" text="Sin Información">
      <formula>NOT(ISERROR(SEARCH("Sin Información",E1501)))</formula>
    </cfRule>
  </conditionalFormatting>
  <conditionalFormatting sqref="E1501">
    <cfRule type="expression" dxfId="2500" priority="2879">
      <formula>E1501&lt;&gt;""</formula>
    </cfRule>
  </conditionalFormatting>
  <conditionalFormatting sqref="C1502:D1502">
    <cfRule type="containsText" dxfId="2499" priority="2878" operator="containsText" text="NO+$D$4:$D$10">
      <formula>NOT(ISERROR(SEARCH("NO+$D$4:$D$10",C1502)))</formula>
    </cfRule>
  </conditionalFormatting>
  <conditionalFormatting sqref="C1502:D1502">
    <cfRule type="containsText" dxfId="2498" priority="2876" operator="containsText" text="SI">
      <formula>NOT(ISERROR(SEARCH("SI",C1502)))</formula>
    </cfRule>
    <cfRule type="containsText" dxfId="2497" priority="2877" operator="containsText" text="NO">
      <formula>NOT(ISERROR(SEARCH("NO",C1502)))</formula>
    </cfRule>
  </conditionalFormatting>
  <conditionalFormatting sqref="C1502:E1502">
    <cfRule type="containsText" dxfId="2496" priority="2875" operator="containsText" text="NUEVO">
      <formula>NOT(ISERROR(SEARCH("NUEVO",C1502)))</formula>
    </cfRule>
  </conditionalFormatting>
  <conditionalFormatting sqref="E1502">
    <cfRule type="containsText" dxfId="2495" priority="2874" operator="containsText" text="Sin Información">
      <formula>NOT(ISERROR(SEARCH("Sin Información",E1502)))</formula>
    </cfRule>
  </conditionalFormatting>
  <conditionalFormatting sqref="E1502:F1502">
    <cfRule type="expression" dxfId="2494" priority="2873">
      <formula>E1502&lt;&gt;""</formula>
    </cfRule>
  </conditionalFormatting>
  <conditionalFormatting sqref="C1503:D1503">
    <cfRule type="containsText" dxfId="2493" priority="2866" operator="containsText" text="NO+$D$4:$D$10">
      <formula>NOT(ISERROR(SEARCH("NO+$D$4:$D$10",C1503)))</formula>
    </cfRule>
  </conditionalFormatting>
  <conditionalFormatting sqref="C1503:D1503">
    <cfRule type="containsText" dxfId="2492" priority="2864" operator="containsText" text="SI">
      <formula>NOT(ISERROR(SEARCH("SI",C1503)))</formula>
    </cfRule>
    <cfRule type="containsText" dxfId="2491" priority="2865" operator="containsText" text="NO">
      <formula>NOT(ISERROR(SEARCH("NO",C1503)))</formula>
    </cfRule>
  </conditionalFormatting>
  <conditionalFormatting sqref="C1503:D1503">
    <cfRule type="containsText" dxfId="2490" priority="2863" operator="containsText" text="NUEVO">
      <formula>NOT(ISERROR(SEARCH("NUEVO",C1503)))</formula>
    </cfRule>
  </conditionalFormatting>
  <conditionalFormatting sqref="F1503">
    <cfRule type="expression" dxfId="2489" priority="2862">
      <formula>F1503&lt;&gt;""</formula>
    </cfRule>
  </conditionalFormatting>
  <conditionalFormatting sqref="E1503">
    <cfRule type="containsText" dxfId="2488" priority="2861" operator="containsText" text="NUEVO">
      <formula>NOT(ISERROR(SEARCH("NUEVO",E1503)))</formula>
    </cfRule>
  </conditionalFormatting>
  <conditionalFormatting sqref="E1503">
    <cfRule type="containsText" dxfId="2487" priority="2860" operator="containsText" text="Sin Información">
      <formula>NOT(ISERROR(SEARCH("Sin Información",E1503)))</formula>
    </cfRule>
  </conditionalFormatting>
  <conditionalFormatting sqref="E1503">
    <cfRule type="expression" dxfId="2486" priority="2859">
      <formula>E1503&lt;&gt;""</formula>
    </cfRule>
  </conditionalFormatting>
  <conditionalFormatting sqref="C1504:D1504">
    <cfRule type="containsText" dxfId="2485" priority="2858" operator="containsText" text="NO+$D$4:$D$10">
      <formula>NOT(ISERROR(SEARCH("NO+$D$4:$D$10",C1504)))</formula>
    </cfRule>
  </conditionalFormatting>
  <conditionalFormatting sqref="C1504:D1504">
    <cfRule type="containsText" dxfId="2484" priority="2856" operator="containsText" text="SI">
      <formula>NOT(ISERROR(SEARCH("SI",C1504)))</formula>
    </cfRule>
    <cfRule type="containsText" dxfId="2483" priority="2857" operator="containsText" text="NO">
      <formula>NOT(ISERROR(SEARCH("NO",C1504)))</formula>
    </cfRule>
  </conditionalFormatting>
  <conditionalFormatting sqref="C1504:D1504">
    <cfRule type="containsText" dxfId="2482" priority="2855" operator="containsText" text="NUEVO">
      <formula>NOT(ISERROR(SEARCH("NUEVO",C1504)))</formula>
    </cfRule>
  </conditionalFormatting>
  <conditionalFormatting sqref="F1504">
    <cfRule type="expression" dxfId="2481" priority="2854">
      <formula>F1504&lt;&gt;""</formula>
    </cfRule>
  </conditionalFormatting>
  <conditionalFormatting sqref="E1504">
    <cfRule type="containsText" dxfId="2480" priority="2853" operator="containsText" text="NUEVO">
      <formula>NOT(ISERROR(SEARCH("NUEVO",E1504)))</formula>
    </cfRule>
  </conditionalFormatting>
  <conditionalFormatting sqref="E1504">
    <cfRule type="containsText" dxfId="2479" priority="2852" operator="containsText" text="Sin Información">
      <formula>NOT(ISERROR(SEARCH("Sin Información",E1504)))</formula>
    </cfRule>
  </conditionalFormatting>
  <conditionalFormatting sqref="E1504">
    <cfRule type="expression" dxfId="2478" priority="2851">
      <formula>E1504&lt;&gt;""</formula>
    </cfRule>
  </conditionalFormatting>
  <conditionalFormatting sqref="C184:D184">
    <cfRule type="containsText" dxfId="2477" priority="2850" operator="containsText" text="NO+$D$4:$D$10">
      <formula>NOT(ISERROR(SEARCH("NO+$D$4:$D$10",C184)))</formula>
    </cfRule>
  </conditionalFormatting>
  <conditionalFormatting sqref="C184:D184">
    <cfRule type="containsText" dxfId="2476" priority="2848" operator="containsText" text="SI">
      <formula>NOT(ISERROR(SEARCH("SI",C184)))</formula>
    </cfRule>
    <cfRule type="containsText" dxfId="2475" priority="2849" operator="containsText" text="NO">
      <formula>NOT(ISERROR(SEARCH("NO",C184)))</formula>
    </cfRule>
  </conditionalFormatting>
  <conditionalFormatting sqref="C184:D184">
    <cfRule type="containsText" dxfId="2474" priority="2847" operator="containsText" text="NUEVO">
      <formula>NOT(ISERROR(SEARCH("NUEVO",C184)))</formula>
    </cfRule>
  </conditionalFormatting>
  <conditionalFormatting sqref="E184">
    <cfRule type="containsText" dxfId="2473" priority="2846" operator="containsText" text="Sin información">
      <formula>NOT(ISERROR(SEARCH("Sin información",E184)))</formula>
    </cfRule>
  </conditionalFormatting>
  <conditionalFormatting sqref="E184">
    <cfRule type="containsText" dxfId="2472" priority="2845" operator="containsText" text="NUEVO">
      <formula>NOT(ISERROR(SEARCH("NUEVO",E184)))</formula>
    </cfRule>
  </conditionalFormatting>
  <conditionalFormatting sqref="E184:F184">
    <cfRule type="expression" dxfId="2471" priority="2844">
      <formula>E184&lt;&gt;""</formula>
    </cfRule>
  </conditionalFormatting>
  <conditionalFormatting sqref="E184">
    <cfRule type="containsText" dxfId="2470" priority="2843" operator="containsText" text="Sin información">
      <formula>NOT(ISERROR(SEARCH("Sin información",E184)))</formula>
    </cfRule>
  </conditionalFormatting>
  <conditionalFormatting sqref="E184">
    <cfRule type="containsText" dxfId="2469" priority="2842" operator="containsText" text="NUEVO">
      <formula>NOT(ISERROR(SEARCH("NUEVO",E184)))</formula>
    </cfRule>
  </conditionalFormatting>
  <conditionalFormatting sqref="E184">
    <cfRule type="expression" dxfId="2468" priority="2841">
      <formula>E184&lt;&gt;""</formula>
    </cfRule>
  </conditionalFormatting>
  <conditionalFormatting sqref="C185:D185">
    <cfRule type="containsText" dxfId="2467" priority="2840" operator="containsText" text="NO+$D$4:$D$10">
      <formula>NOT(ISERROR(SEARCH("NO+$D$4:$D$10",C185)))</formula>
    </cfRule>
  </conditionalFormatting>
  <conditionalFormatting sqref="C185:D185">
    <cfRule type="containsText" dxfId="2466" priority="2838" operator="containsText" text="SI">
      <formula>NOT(ISERROR(SEARCH("SI",C185)))</formula>
    </cfRule>
    <cfRule type="containsText" dxfId="2465" priority="2839" operator="containsText" text="NO">
      <formula>NOT(ISERROR(SEARCH("NO",C185)))</formula>
    </cfRule>
  </conditionalFormatting>
  <conditionalFormatting sqref="E185">
    <cfRule type="containsText" dxfId="2464" priority="2837" operator="containsText" text="Sin información">
      <formula>NOT(ISERROR(SEARCH("Sin información",E185)))</formula>
    </cfRule>
  </conditionalFormatting>
  <conditionalFormatting sqref="C185:E185">
    <cfRule type="containsText" dxfId="2463" priority="2836" operator="containsText" text="NUEVO">
      <formula>NOT(ISERROR(SEARCH("NUEVO",C185)))</formula>
    </cfRule>
  </conditionalFormatting>
  <conditionalFormatting sqref="E185:F185">
    <cfRule type="expression" dxfId="2462" priority="2835">
      <formula>E185&lt;&gt;""</formula>
    </cfRule>
  </conditionalFormatting>
  <conditionalFormatting sqref="C186:D186">
    <cfRule type="containsText" dxfId="2461" priority="2834" operator="containsText" text="NO+$D$4:$D$10">
      <formula>NOT(ISERROR(SEARCH("NO+$D$4:$D$10",C186)))</formula>
    </cfRule>
  </conditionalFormatting>
  <conditionalFormatting sqref="C186:D186">
    <cfRule type="containsText" dxfId="2460" priority="2832" operator="containsText" text="SI">
      <formula>NOT(ISERROR(SEARCH("SI",C186)))</formula>
    </cfRule>
    <cfRule type="containsText" dxfId="2459" priority="2833" operator="containsText" text="NO">
      <formula>NOT(ISERROR(SEARCH("NO",C186)))</formula>
    </cfRule>
  </conditionalFormatting>
  <conditionalFormatting sqref="E186">
    <cfRule type="containsText" dxfId="2458" priority="2831" operator="containsText" text="Sin información">
      <formula>NOT(ISERROR(SEARCH("Sin información",E186)))</formula>
    </cfRule>
  </conditionalFormatting>
  <conditionalFormatting sqref="C186:E186">
    <cfRule type="containsText" dxfId="2457" priority="2830" operator="containsText" text="NUEVO">
      <formula>NOT(ISERROR(SEARCH("NUEVO",C186)))</formula>
    </cfRule>
  </conditionalFormatting>
  <conditionalFormatting sqref="E186:F186">
    <cfRule type="expression" dxfId="2456" priority="2829">
      <formula>E186&lt;&gt;""</formula>
    </cfRule>
  </conditionalFormatting>
  <conditionalFormatting sqref="C187:D187">
    <cfRule type="containsText" dxfId="2455" priority="2828" operator="containsText" text="NO+$D$4:$D$10">
      <formula>NOT(ISERROR(SEARCH("NO+$D$4:$D$10",C187)))</formula>
    </cfRule>
  </conditionalFormatting>
  <conditionalFormatting sqref="C187:D187">
    <cfRule type="containsText" dxfId="2454" priority="2826" operator="containsText" text="SI">
      <formula>NOT(ISERROR(SEARCH("SI",C187)))</formula>
    </cfRule>
    <cfRule type="containsText" dxfId="2453" priority="2827" operator="containsText" text="NO">
      <formula>NOT(ISERROR(SEARCH("NO",C187)))</formula>
    </cfRule>
  </conditionalFormatting>
  <conditionalFormatting sqref="E187">
    <cfRule type="containsText" dxfId="2452" priority="2825" operator="containsText" text="Sin información">
      <formula>NOT(ISERROR(SEARCH("Sin información",E187)))</formula>
    </cfRule>
  </conditionalFormatting>
  <conditionalFormatting sqref="C187:E187">
    <cfRule type="containsText" dxfId="2451" priority="2824" operator="containsText" text="NUEVO">
      <formula>NOT(ISERROR(SEARCH("NUEVO",C187)))</formula>
    </cfRule>
  </conditionalFormatting>
  <conditionalFormatting sqref="E187:F187">
    <cfRule type="expression" dxfId="2450" priority="2823">
      <formula>E187&lt;&gt;""</formula>
    </cfRule>
  </conditionalFormatting>
  <conditionalFormatting sqref="E187">
    <cfRule type="expression" dxfId="2449" priority="2822">
      <formula>E187&lt;&gt;""</formula>
    </cfRule>
  </conditionalFormatting>
  <conditionalFormatting sqref="E187">
    <cfRule type="expression" dxfId="2448" priority="2821">
      <formula>E187&lt;&gt;""</formula>
    </cfRule>
  </conditionalFormatting>
  <conditionalFormatting sqref="E187">
    <cfRule type="expression" dxfId="2447" priority="2820">
      <formula>E187&lt;&gt;""</formula>
    </cfRule>
  </conditionalFormatting>
  <conditionalFormatting sqref="C747:D747">
    <cfRule type="containsText" dxfId="2446" priority="2783" operator="containsText" text="NO+$D$4:$D$10">
      <formula>NOT(ISERROR(SEARCH("NO+$D$4:$D$10",C747)))</formula>
    </cfRule>
  </conditionalFormatting>
  <conditionalFormatting sqref="C747:D747">
    <cfRule type="containsText" dxfId="2445" priority="2781" operator="containsText" text="SI">
      <formula>NOT(ISERROR(SEARCH("SI",C747)))</formula>
    </cfRule>
    <cfRule type="containsText" dxfId="2444" priority="2782" operator="containsText" text="NO">
      <formula>NOT(ISERROR(SEARCH("NO",C747)))</formula>
    </cfRule>
  </conditionalFormatting>
  <conditionalFormatting sqref="C747:D747">
    <cfRule type="containsText" dxfId="2443" priority="2780" operator="containsText" text="NUEVO">
      <formula>NOT(ISERROR(SEARCH("NUEVO",C747)))</formula>
    </cfRule>
  </conditionalFormatting>
  <conditionalFormatting sqref="E747:F747">
    <cfRule type="expression" dxfId="2442" priority="2779">
      <formula>E747&lt;&gt;""</formula>
    </cfRule>
  </conditionalFormatting>
  <conditionalFormatting sqref="E747">
    <cfRule type="containsText" dxfId="2441" priority="2778" operator="containsText" text="NUEVO">
      <formula>NOT(ISERROR(SEARCH("NUEVO",E747)))</formula>
    </cfRule>
  </conditionalFormatting>
  <conditionalFormatting sqref="E747">
    <cfRule type="containsText" dxfId="2440" priority="2777" operator="containsText" text="Sin Información">
      <formula>NOT(ISERROR(SEARCH("Sin Información",E747)))</formula>
    </cfRule>
  </conditionalFormatting>
  <conditionalFormatting sqref="E747">
    <cfRule type="containsText" dxfId="2439" priority="2784" operator="containsText" text="Sin Información">
      <formula>NOT(ISERROR(SEARCH("Sin Información",E1232)))</formula>
    </cfRule>
  </conditionalFormatting>
  <conditionalFormatting sqref="E747">
    <cfRule type="containsText" dxfId="2438" priority="2785" operator="containsText" text="NUEVO">
      <formula>NOT(ISERROR(SEARCH("NUEVO",E1232)))</formula>
    </cfRule>
  </conditionalFormatting>
  <conditionalFormatting sqref="C748:D748">
    <cfRule type="containsText" dxfId="2437" priority="2776" operator="containsText" text="NO+$D$4:$D$10">
      <formula>NOT(ISERROR(SEARCH("NO+$D$4:$D$10",C748)))</formula>
    </cfRule>
  </conditionalFormatting>
  <conditionalFormatting sqref="C748:D748">
    <cfRule type="containsText" dxfId="2436" priority="2774" operator="containsText" text="SI">
      <formula>NOT(ISERROR(SEARCH("SI",C748)))</formula>
    </cfRule>
    <cfRule type="containsText" dxfId="2435" priority="2775" operator="containsText" text="NO">
      <formula>NOT(ISERROR(SEARCH("NO",C748)))</formula>
    </cfRule>
  </conditionalFormatting>
  <conditionalFormatting sqref="C748:D748">
    <cfRule type="containsText" dxfId="2434" priority="2773" operator="containsText" text="NUEVO">
      <formula>NOT(ISERROR(SEARCH("NUEVO",C748)))</formula>
    </cfRule>
  </conditionalFormatting>
  <conditionalFormatting sqref="E748">
    <cfRule type="containsText" dxfId="2433" priority="2772" operator="containsText" text="NUEVO">
      <formula>NOT(ISERROR(SEARCH("NUEVO",E748)))</formula>
    </cfRule>
  </conditionalFormatting>
  <conditionalFormatting sqref="E748">
    <cfRule type="containsText" dxfId="2432" priority="2771" operator="containsText" text="Sin Información">
      <formula>NOT(ISERROR(SEARCH("Sin Información",E748)))</formula>
    </cfRule>
  </conditionalFormatting>
  <conditionalFormatting sqref="E748:F748">
    <cfRule type="expression" dxfId="2431" priority="2770">
      <formula>E748&lt;&gt;""</formula>
    </cfRule>
  </conditionalFormatting>
  <conditionalFormatting sqref="E748">
    <cfRule type="containsText" dxfId="2430" priority="2769" operator="containsText" text="NUEVO">
      <formula>NOT(ISERROR(SEARCH("NUEVO",E748)))</formula>
    </cfRule>
  </conditionalFormatting>
  <conditionalFormatting sqref="E748">
    <cfRule type="containsText" dxfId="2429" priority="2768" operator="containsText" text="Sin Información">
      <formula>NOT(ISERROR(SEARCH("Sin Información",E748)))</formula>
    </cfRule>
  </conditionalFormatting>
  <conditionalFormatting sqref="C749:D749">
    <cfRule type="containsText" dxfId="2428" priority="2767" operator="containsText" text="NO+$D$4:$D$10">
      <formula>NOT(ISERROR(SEARCH("NO+$D$4:$D$10",C749)))</formula>
    </cfRule>
  </conditionalFormatting>
  <conditionalFormatting sqref="C749:D749">
    <cfRule type="containsText" dxfId="2427" priority="2765" operator="containsText" text="SI">
      <formula>NOT(ISERROR(SEARCH("SI",C749)))</formula>
    </cfRule>
    <cfRule type="containsText" dxfId="2426" priority="2766" operator="containsText" text="NO">
      <formula>NOT(ISERROR(SEARCH("NO",C749)))</formula>
    </cfRule>
  </conditionalFormatting>
  <conditionalFormatting sqref="C749:D749">
    <cfRule type="containsText" dxfId="2425" priority="2764" operator="containsText" text="NUEVO">
      <formula>NOT(ISERROR(SEARCH("NUEVO",C749)))</formula>
    </cfRule>
  </conditionalFormatting>
  <conditionalFormatting sqref="F749">
    <cfRule type="expression" dxfId="2424" priority="2763">
      <formula>F749&lt;&gt;""</formula>
    </cfRule>
  </conditionalFormatting>
  <conditionalFormatting sqref="E749">
    <cfRule type="containsText" dxfId="2423" priority="2761" operator="containsText" text="Sin Información">
      <formula>NOT(ISERROR(SEARCH("Sin Información",E749)))</formula>
    </cfRule>
  </conditionalFormatting>
  <conditionalFormatting sqref="E749">
    <cfRule type="containsText" dxfId="2422" priority="2762" operator="containsText" text="NUEVO">
      <formula>NOT(ISERROR(SEARCH("NUEVO",E749)))</formula>
    </cfRule>
  </conditionalFormatting>
  <conditionalFormatting sqref="E749">
    <cfRule type="expression" dxfId="2421" priority="2760">
      <formula>E749&lt;&gt;""</formula>
    </cfRule>
  </conditionalFormatting>
  <conditionalFormatting sqref="E749">
    <cfRule type="containsText" dxfId="2420" priority="2759" operator="containsText" text="Sin información">
      <formula>NOT(ISERROR(SEARCH("Sin información",E749)))</formula>
    </cfRule>
  </conditionalFormatting>
  <conditionalFormatting sqref="E749">
    <cfRule type="expression" dxfId="2419" priority="2758">
      <formula>E749&lt;&gt;""</formula>
    </cfRule>
  </conditionalFormatting>
  <conditionalFormatting sqref="C750:D750">
    <cfRule type="containsText" dxfId="2418" priority="2757" operator="containsText" text="NO+$D$4:$D$10">
      <formula>NOT(ISERROR(SEARCH("NO+$D$4:$D$10",C750)))</formula>
    </cfRule>
  </conditionalFormatting>
  <conditionalFormatting sqref="C750:D750">
    <cfRule type="containsText" dxfId="2417" priority="2755" operator="containsText" text="SI">
      <formula>NOT(ISERROR(SEARCH("SI",C750)))</formula>
    </cfRule>
    <cfRule type="containsText" dxfId="2416" priority="2756" operator="containsText" text="NO">
      <formula>NOT(ISERROR(SEARCH("NO",C750)))</formula>
    </cfRule>
  </conditionalFormatting>
  <conditionalFormatting sqref="C750:D750">
    <cfRule type="containsText" dxfId="2415" priority="2754" operator="containsText" text="NUEVO">
      <formula>NOT(ISERROR(SEARCH("NUEVO",C750)))</formula>
    </cfRule>
  </conditionalFormatting>
  <conditionalFormatting sqref="E750">
    <cfRule type="containsText" dxfId="2414" priority="2752" operator="containsText" text="Sin Información">
      <formula>NOT(ISERROR(SEARCH("Sin Información",E750)))</formula>
    </cfRule>
  </conditionalFormatting>
  <conditionalFormatting sqref="E750">
    <cfRule type="containsText" dxfId="2413" priority="2753" operator="containsText" text="NUEVO">
      <formula>NOT(ISERROR(SEARCH("NUEVO",E750)))</formula>
    </cfRule>
  </conditionalFormatting>
  <conditionalFormatting sqref="F750">
    <cfRule type="expression" dxfId="2412" priority="2751">
      <formula>F750&lt;&gt;""</formula>
    </cfRule>
  </conditionalFormatting>
  <conditionalFormatting sqref="C751:D751">
    <cfRule type="containsText" dxfId="2411" priority="2750" operator="containsText" text="NO+$D$4:$D$10">
      <formula>NOT(ISERROR(SEARCH("NO+$D$4:$D$10",C751)))</formula>
    </cfRule>
  </conditionalFormatting>
  <conditionalFormatting sqref="C751:D751">
    <cfRule type="containsText" dxfId="2410" priority="2748" operator="containsText" text="SI">
      <formula>NOT(ISERROR(SEARCH("SI",C751)))</formula>
    </cfRule>
    <cfRule type="containsText" dxfId="2409" priority="2749" operator="containsText" text="NO">
      <formula>NOT(ISERROR(SEARCH("NO",C751)))</formula>
    </cfRule>
  </conditionalFormatting>
  <conditionalFormatting sqref="C751:E751">
    <cfRule type="containsText" dxfId="2408" priority="2747" operator="containsText" text="NUEVO">
      <formula>NOT(ISERROR(SEARCH("NUEVO",C751)))</formula>
    </cfRule>
  </conditionalFormatting>
  <conditionalFormatting sqref="E751">
    <cfRule type="containsText" dxfId="2407" priority="2746" operator="containsText" text="Sin Información">
      <formula>NOT(ISERROR(SEARCH("Sin Información",E751)))</formula>
    </cfRule>
  </conditionalFormatting>
  <conditionalFormatting sqref="E751:F751">
    <cfRule type="expression" dxfId="2406" priority="2745">
      <formula>E751&lt;&gt;""</formula>
    </cfRule>
  </conditionalFormatting>
  <conditionalFormatting sqref="C752:D752">
    <cfRule type="containsText" dxfId="2405" priority="2744" operator="containsText" text="NO+$D$4:$D$10">
      <formula>NOT(ISERROR(SEARCH("NO+$D$4:$D$10",C752)))</formula>
    </cfRule>
  </conditionalFormatting>
  <conditionalFormatting sqref="C752:D752">
    <cfRule type="containsText" dxfId="2404" priority="2742" operator="containsText" text="SI">
      <formula>NOT(ISERROR(SEARCH("SI",C752)))</formula>
    </cfRule>
    <cfRule type="containsText" dxfId="2403" priority="2743" operator="containsText" text="NO">
      <formula>NOT(ISERROR(SEARCH("NO",C752)))</formula>
    </cfRule>
  </conditionalFormatting>
  <conditionalFormatting sqref="C752:E752">
    <cfRule type="containsText" dxfId="2402" priority="2741" operator="containsText" text="NUEVO">
      <formula>NOT(ISERROR(SEARCH("NUEVO",C752)))</formula>
    </cfRule>
  </conditionalFormatting>
  <conditionalFormatting sqref="E752">
    <cfRule type="containsText" dxfId="2401" priority="2740" operator="containsText" text="Sin Información">
      <formula>NOT(ISERROR(SEARCH("Sin Información",E752)))</formula>
    </cfRule>
  </conditionalFormatting>
  <conditionalFormatting sqref="E752:F752">
    <cfRule type="expression" dxfId="2400" priority="2739">
      <formula>E752&lt;&gt;""</formula>
    </cfRule>
  </conditionalFormatting>
  <conditionalFormatting sqref="C753:D753">
    <cfRule type="containsText" dxfId="2399" priority="2738" operator="containsText" text="NO+$D$4:$D$10">
      <formula>NOT(ISERROR(SEARCH("NO+$D$4:$D$10",C753)))</formula>
    </cfRule>
  </conditionalFormatting>
  <conditionalFormatting sqref="C753:D753">
    <cfRule type="containsText" dxfId="2398" priority="2736" operator="containsText" text="SI">
      <formula>NOT(ISERROR(SEARCH("SI",C753)))</formula>
    </cfRule>
    <cfRule type="containsText" dxfId="2397" priority="2737" operator="containsText" text="NO">
      <formula>NOT(ISERROR(SEARCH("NO",C753)))</formula>
    </cfRule>
  </conditionalFormatting>
  <conditionalFormatting sqref="C753:D753">
    <cfRule type="containsText" dxfId="2396" priority="2735" operator="containsText" text="NUEVO">
      <formula>NOT(ISERROR(SEARCH("NUEVO",C753)))</formula>
    </cfRule>
  </conditionalFormatting>
  <conditionalFormatting sqref="E753">
    <cfRule type="containsText" dxfId="2395" priority="2734" operator="containsText" text="NUEVO">
      <formula>NOT(ISERROR(SEARCH("NUEVO",E753)))</formula>
    </cfRule>
  </conditionalFormatting>
  <conditionalFormatting sqref="E753">
    <cfRule type="containsText" dxfId="2394" priority="2733" operator="containsText" text="Sin Información">
      <formula>NOT(ISERROR(SEARCH("Sin Información",E753)))</formula>
    </cfRule>
  </conditionalFormatting>
  <conditionalFormatting sqref="E753">
    <cfRule type="expression" dxfId="2393" priority="2732">
      <formula>E753&lt;&gt;""</formula>
    </cfRule>
  </conditionalFormatting>
  <conditionalFormatting sqref="F753">
    <cfRule type="expression" dxfId="2392" priority="2731">
      <formula>F753&lt;&gt;""</formula>
    </cfRule>
  </conditionalFormatting>
  <conditionalFormatting sqref="C754:D754">
    <cfRule type="containsText" dxfId="2391" priority="2730" operator="containsText" text="NO+$D$4:$D$10">
      <formula>NOT(ISERROR(SEARCH("NO+$D$4:$D$10",C754)))</formula>
    </cfRule>
  </conditionalFormatting>
  <conditionalFormatting sqref="C754:D754">
    <cfRule type="containsText" dxfId="2390" priority="2728" operator="containsText" text="SI">
      <formula>NOT(ISERROR(SEARCH("SI",C754)))</formula>
    </cfRule>
    <cfRule type="containsText" dxfId="2389" priority="2729" operator="containsText" text="NO">
      <formula>NOT(ISERROR(SEARCH("NO",C754)))</formula>
    </cfRule>
  </conditionalFormatting>
  <conditionalFormatting sqref="C754:D754">
    <cfRule type="containsText" dxfId="2388" priority="2727" operator="containsText" text="NUEVO">
      <formula>NOT(ISERROR(SEARCH("NUEVO",C754)))</formula>
    </cfRule>
  </conditionalFormatting>
  <conditionalFormatting sqref="F754">
    <cfRule type="expression" dxfId="2387" priority="2726">
      <formula>F754&lt;&gt;""</formula>
    </cfRule>
  </conditionalFormatting>
  <conditionalFormatting sqref="E754">
    <cfRule type="containsText" dxfId="2386" priority="2725" operator="containsText" text="NUEVO">
      <formula>NOT(ISERROR(SEARCH("NUEVO",E754)))</formula>
    </cfRule>
  </conditionalFormatting>
  <conditionalFormatting sqref="E754">
    <cfRule type="containsText" dxfId="2385" priority="2724" operator="containsText" text="Sin Información">
      <formula>NOT(ISERROR(SEARCH("Sin Información",E754)))</formula>
    </cfRule>
  </conditionalFormatting>
  <conditionalFormatting sqref="E754">
    <cfRule type="expression" dxfId="2384" priority="2723">
      <formula>E754&lt;&gt;""</formula>
    </cfRule>
  </conditionalFormatting>
  <conditionalFormatting sqref="C755:D755">
    <cfRule type="containsText" dxfId="2383" priority="2722" operator="containsText" text="NO+$D$4:$D$10">
      <formula>NOT(ISERROR(SEARCH("NO+$D$4:$D$10",C755)))</formula>
    </cfRule>
  </conditionalFormatting>
  <conditionalFormatting sqref="C755:D755">
    <cfRule type="containsText" dxfId="2382" priority="2720" operator="containsText" text="SI">
      <formula>NOT(ISERROR(SEARCH("SI",C755)))</formula>
    </cfRule>
    <cfRule type="containsText" dxfId="2381" priority="2721" operator="containsText" text="NO">
      <formula>NOT(ISERROR(SEARCH("NO",C755)))</formula>
    </cfRule>
  </conditionalFormatting>
  <conditionalFormatting sqref="C755:D755">
    <cfRule type="containsText" dxfId="2380" priority="2719" operator="containsText" text="NUEVO">
      <formula>NOT(ISERROR(SEARCH("NUEVO",C755)))</formula>
    </cfRule>
  </conditionalFormatting>
  <conditionalFormatting sqref="E755">
    <cfRule type="containsText" dxfId="2379" priority="2718" operator="containsText" text="NUEVO">
      <formula>NOT(ISERROR(SEARCH("NUEVO",E755)))</formula>
    </cfRule>
  </conditionalFormatting>
  <conditionalFormatting sqref="E755">
    <cfRule type="containsText" dxfId="2378" priority="2717" operator="containsText" text="Sin Información">
      <formula>NOT(ISERROR(SEARCH("Sin Información",E755)))</formula>
    </cfRule>
  </conditionalFormatting>
  <conditionalFormatting sqref="E755">
    <cfRule type="expression" dxfId="2377" priority="2716">
      <formula>E755&lt;&gt;""</formula>
    </cfRule>
  </conditionalFormatting>
  <conditionalFormatting sqref="F755">
    <cfRule type="expression" dxfId="2376" priority="2715">
      <formula>F755&lt;&gt;""</formula>
    </cfRule>
  </conditionalFormatting>
  <conditionalFormatting sqref="C756:D756">
    <cfRule type="containsText" dxfId="2375" priority="2714" operator="containsText" text="NO+$D$4:$D$10">
      <formula>NOT(ISERROR(SEARCH("NO+$D$4:$D$10",C756)))</formula>
    </cfRule>
  </conditionalFormatting>
  <conditionalFormatting sqref="C756:D756">
    <cfRule type="containsText" dxfId="2374" priority="2712" operator="containsText" text="SI">
      <formula>NOT(ISERROR(SEARCH("SI",C756)))</formula>
    </cfRule>
    <cfRule type="containsText" dxfId="2373" priority="2713" operator="containsText" text="NO">
      <formula>NOT(ISERROR(SEARCH("NO",C756)))</formula>
    </cfRule>
  </conditionalFormatting>
  <conditionalFormatting sqref="C756:D756">
    <cfRule type="containsText" dxfId="2372" priority="2711" operator="containsText" text="NUEVO">
      <formula>NOT(ISERROR(SEARCH("NUEVO",C756)))</formula>
    </cfRule>
  </conditionalFormatting>
  <conditionalFormatting sqref="E756">
    <cfRule type="containsText" dxfId="2371" priority="2710" operator="containsText" text="NUEVO">
      <formula>NOT(ISERROR(SEARCH("NUEVO",E756)))</formula>
    </cfRule>
  </conditionalFormatting>
  <conditionalFormatting sqref="E756">
    <cfRule type="containsText" dxfId="2370" priority="2709" operator="containsText" text="Sin Información">
      <formula>NOT(ISERROR(SEARCH("Sin Información",E756)))</formula>
    </cfRule>
  </conditionalFormatting>
  <conditionalFormatting sqref="E756">
    <cfRule type="expression" dxfId="2369" priority="2708">
      <formula>E756&lt;&gt;""</formula>
    </cfRule>
  </conditionalFormatting>
  <conditionalFormatting sqref="E756">
    <cfRule type="containsText" dxfId="2368" priority="2707" operator="containsText" text="NUEVO">
      <formula>NOT(ISERROR(SEARCH("NUEVO",E756)))</formula>
    </cfRule>
  </conditionalFormatting>
  <conditionalFormatting sqref="E756">
    <cfRule type="containsText" dxfId="2367" priority="2706" operator="containsText" text="Sin Información">
      <formula>NOT(ISERROR(SEARCH("Sin Información",E756)))</formula>
    </cfRule>
  </conditionalFormatting>
  <conditionalFormatting sqref="E756">
    <cfRule type="expression" dxfId="2366" priority="2705">
      <formula>E756&lt;&gt;""</formula>
    </cfRule>
  </conditionalFormatting>
  <conditionalFormatting sqref="F756">
    <cfRule type="expression" dxfId="2365" priority="2704">
      <formula>F756&lt;&gt;""</formula>
    </cfRule>
  </conditionalFormatting>
  <conditionalFormatting sqref="C757:D757">
    <cfRule type="containsText" dxfId="2364" priority="2703" operator="containsText" text="NO+$D$4:$D$10">
      <formula>NOT(ISERROR(SEARCH("NO+$D$4:$D$10",C757)))</formula>
    </cfRule>
  </conditionalFormatting>
  <conditionalFormatting sqref="C757:D757">
    <cfRule type="containsText" dxfId="2363" priority="2701" operator="containsText" text="SI">
      <formula>NOT(ISERROR(SEARCH("SI",C757)))</formula>
    </cfRule>
    <cfRule type="containsText" dxfId="2362" priority="2702" operator="containsText" text="NO">
      <formula>NOT(ISERROR(SEARCH("NO",C757)))</formula>
    </cfRule>
  </conditionalFormatting>
  <conditionalFormatting sqref="C757:D757">
    <cfRule type="containsText" dxfId="2361" priority="2700" operator="containsText" text="NUEVO">
      <formula>NOT(ISERROR(SEARCH("NUEVO",C757)))</formula>
    </cfRule>
  </conditionalFormatting>
  <conditionalFormatting sqref="F757">
    <cfRule type="expression" dxfId="2360" priority="2699">
      <formula>F757&lt;&gt;""</formula>
    </cfRule>
  </conditionalFormatting>
  <conditionalFormatting sqref="E757">
    <cfRule type="containsText" dxfId="2359" priority="2698" operator="containsText" text="NUEVO">
      <formula>NOT(ISERROR(SEARCH("NUEVO",E757)))</formula>
    </cfRule>
  </conditionalFormatting>
  <conditionalFormatting sqref="E757">
    <cfRule type="containsText" dxfId="2358" priority="2697" operator="containsText" text="Sin Información">
      <formula>NOT(ISERROR(SEARCH("Sin Información",E757)))</formula>
    </cfRule>
  </conditionalFormatting>
  <conditionalFormatting sqref="E757">
    <cfRule type="expression" dxfId="2357" priority="2696">
      <formula>E757&lt;&gt;""</formula>
    </cfRule>
  </conditionalFormatting>
  <conditionalFormatting sqref="C758:D758">
    <cfRule type="containsText" dxfId="2356" priority="2695" operator="containsText" text="NO+$D$4:$D$10">
      <formula>NOT(ISERROR(SEARCH("NO+$D$4:$D$10",C758)))</formula>
    </cfRule>
  </conditionalFormatting>
  <conditionalFormatting sqref="C758:D758">
    <cfRule type="containsText" dxfId="2355" priority="2693" operator="containsText" text="SI">
      <formula>NOT(ISERROR(SEARCH("SI",C758)))</formula>
    </cfRule>
    <cfRule type="containsText" dxfId="2354" priority="2694" operator="containsText" text="NO">
      <formula>NOT(ISERROR(SEARCH("NO",C758)))</formula>
    </cfRule>
  </conditionalFormatting>
  <conditionalFormatting sqref="C758:D758">
    <cfRule type="containsText" dxfId="2353" priority="2692" operator="containsText" text="NUEVO">
      <formula>NOT(ISERROR(SEARCH("NUEVO",C758)))</formula>
    </cfRule>
  </conditionalFormatting>
  <conditionalFormatting sqref="F758">
    <cfRule type="expression" dxfId="2352" priority="2691">
      <formula>F758&lt;&gt;""</formula>
    </cfRule>
  </conditionalFormatting>
  <conditionalFormatting sqref="E758">
    <cfRule type="containsText" dxfId="2351" priority="2690" operator="containsText" text="NUEVO">
      <formula>NOT(ISERROR(SEARCH("NUEVO",E758)))</formula>
    </cfRule>
  </conditionalFormatting>
  <conditionalFormatting sqref="E758">
    <cfRule type="containsText" dxfId="2350" priority="2689" operator="containsText" text="Sin Información">
      <formula>NOT(ISERROR(SEARCH("Sin Información",E758)))</formula>
    </cfRule>
  </conditionalFormatting>
  <conditionalFormatting sqref="E758">
    <cfRule type="expression" dxfId="2349" priority="2688">
      <formula>E758&lt;&gt;""</formula>
    </cfRule>
  </conditionalFormatting>
  <conditionalFormatting sqref="C759:D759">
    <cfRule type="containsText" dxfId="2348" priority="2687" operator="containsText" text="NO+$D$4:$D$10">
      <formula>NOT(ISERROR(SEARCH("NO+$D$4:$D$10",C759)))</formula>
    </cfRule>
  </conditionalFormatting>
  <conditionalFormatting sqref="C759:D759">
    <cfRule type="containsText" dxfId="2347" priority="2685" operator="containsText" text="SI">
      <formula>NOT(ISERROR(SEARCH("SI",C759)))</formula>
    </cfRule>
    <cfRule type="containsText" dxfId="2346" priority="2686" operator="containsText" text="NO">
      <formula>NOT(ISERROR(SEARCH("NO",C759)))</formula>
    </cfRule>
  </conditionalFormatting>
  <conditionalFormatting sqref="C759:E759">
    <cfRule type="containsText" dxfId="2345" priority="2684" operator="containsText" text="NUEVO">
      <formula>NOT(ISERROR(SEARCH("NUEVO",C759)))</formula>
    </cfRule>
  </conditionalFormatting>
  <conditionalFormatting sqref="E759">
    <cfRule type="containsText" dxfId="2344" priority="2683" operator="containsText" text="Sin Información">
      <formula>NOT(ISERROR(SEARCH("Sin Información",E759)))</formula>
    </cfRule>
  </conditionalFormatting>
  <conditionalFormatting sqref="E759:F759">
    <cfRule type="expression" dxfId="2343" priority="2682">
      <formula>E759&lt;&gt;""</formula>
    </cfRule>
  </conditionalFormatting>
  <conditionalFormatting sqref="C760:D760">
    <cfRule type="containsText" dxfId="2342" priority="2681" operator="containsText" text="NO+$D$4:$D$10">
      <formula>NOT(ISERROR(SEARCH("NO+$D$4:$D$10",C760)))</formula>
    </cfRule>
  </conditionalFormatting>
  <conditionalFormatting sqref="C760:D760">
    <cfRule type="containsText" dxfId="2341" priority="2679" operator="containsText" text="SI">
      <formula>NOT(ISERROR(SEARCH("SI",C760)))</formula>
    </cfRule>
    <cfRule type="containsText" dxfId="2340" priority="2680" operator="containsText" text="NO">
      <formula>NOT(ISERROR(SEARCH("NO",C760)))</formula>
    </cfRule>
  </conditionalFormatting>
  <conditionalFormatting sqref="C760:D760">
    <cfRule type="containsText" dxfId="2339" priority="2678" operator="containsText" text="NUEVO">
      <formula>NOT(ISERROR(SEARCH("NUEVO",C760)))</formula>
    </cfRule>
  </conditionalFormatting>
  <conditionalFormatting sqref="F760">
    <cfRule type="expression" dxfId="2338" priority="2677">
      <formula>F760&lt;&gt;""</formula>
    </cfRule>
  </conditionalFormatting>
  <conditionalFormatting sqref="E760">
    <cfRule type="containsText" dxfId="2337" priority="2675" operator="containsText" text="Sin Información">
      <formula>NOT(ISERROR(SEARCH("Sin Información",E760)))</formula>
    </cfRule>
  </conditionalFormatting>
  <conditionalFormatting sqref="E760">
    <cfRule type="containsText" dxfId="2336" priority="2676" operator="containsText" text="NUEVO">
      <formula>NOT(ISERROR(SEARCH("NUEVO",E760)))</formula>
    </cfRule>
  </conditionalFormatting>
  <conditionalFormatting sqref="E760">
    <cfRule type="expression" dxfId="2335" priority="2674">
      <formula>E760&lt;&gt;""</formula>
    </cfRule>
  </conditionalFormatting>
  <conditionalFormatting sqref="E760">
    <cfRule type="containsText" dxfId="2334" priority="2673" operator="containsText" text="Sin información">
      <formula>NOT(ISERROR(SEARCH("Sin información",E760)))</formula>
    </cfRule>
  </conditionalFormatting>
  <conditionalFormatting sqref="E760">
    <cfRule type="expression" dxfId="2333" priority="2672">
      <formula>E760&lt;&gt;""</formula>
    </cfRule>
  </conditionalFormatting>
  <conditionalFormatting sqref="C761:D761">
    <cfRule type="containsText" dxfId="2332" priority="2671" operator="containsText" text="NO+$D$4:$D$10">
      <formula>NOT(ISERROR(SEARCH("NO+$D$4:$D$10",C761)))</formula>
    </cfRule>
  </conditionalFormatting>
  <conditionalFormatting sqref="C761:D761">
    <cfRule type="containsText" dxfId="2331" priority="2669" operator="containsText" text="SI">
      <formula>NOT(ISERROR(SEARCH("SI",C761)))</formula>
    </cfRule>
    <cfRule type="containsText" dxfId="2330" priority="2670" operator="containsText" text="NO">
      <formula>NOT(ISERROR(SEARCH("NO",C761)))</formula>
    </cfRule>
  </conditionalFormatting>
  <conditionalFormatting sqref="C761:E761">
    <cfRule type="containsText" dxfId="2329" priority="2668" operator="containsText" text="NUEVO">
      <formula>NOT(ISERROR(SEARCH("NUEVO",C761)))</formula>
    </cfRule>
  </conditionalFormatting>
  <conditionalFormatting sqref="E761">
    <cfRule type="containsText" dxfId="2328" priority="2667" operator="containsText" text="Sin Información">
      <formula>NOT(ISERROR(SEARCH("Sin Información",E761)))</formula>
    </cfRule>
  </conditionalFormatting>
  <conditionalFormatting sqref="E761:F761">
    <cfRule type="expression" dxfId="2327" priority="2666">
      <formula>E761&lt;&gt;""</formula>
    </cfRule>
  </conditionalFormatting>
  <conditionalFormatting sqref="C762:D762">
    <cfRule type="containsText" dxfId="2326" priority="2653" operator="containsText" text="NO+$D$4:$D$10">
      <formula>NOT(ISERROR(SEARCH("NO+$D$4:$D$10",C762)))</formula>
    </cfRule>
  </conditionalFormatting>
  <conditionalFormatting sqref="C762:D762">
    <cfRule type="containsText" dxfId="2325" priority="2651" operator="containsText" text="SI">
      <formula>NOT(ISERROR(SEARCH("SI",C762)))</formula>
    </cfRule>
    <cfRule type="containsText" dxfId="2324" priority="2652" operator="containsText" text="NO">
      <formula>NOT(ISERROR(SEARCH("NO",C762)))</formula>
    </cfRule>
  </conditionalFormatting>
  <conditionalFormatting sqref="C762:D762">
    <cfRule type="containsText" dxfId="2323" priority="2650" operator="containsText" text="NUEVO">
      <formula>NOT(ISERROR(SEARCH("NUEVO",C762)))</formula>
    </cfRule>
  </conditionalFormatting>
  <conditionalFormatting sqref="F762">
    <cfRule type="expression" dxfId="2322" priority="2649">
      <formula>F762&lt;&gt;""</formula>
    </cfRule>
  </conditionalFormatting>
  <conditionalFormatting sqref="E762">
    <cfRule type="containsText" dxfId="2321" priority="2648" operator="containsText" text="NUEVO">
      <formula>NOT(ISERROR(SEARCH("NUEVO",E762)))</formula>
    </cfRule>
  </conditionalFormatting>
  <conditionalFormatting sqref="E762">
    <cfRule type="containsText" dxfId="2320" priority="2647" operator="containsText" text="Sin Información">
      <formula>NOT(ISERROR(SEARCH("Sin Información",E762)))</formula>
    </cfRule>
  </conditionalFormatting>
  <conditionalFormatting sqref="E762">
    <cfRule type="expression" dxfId="2319" priority="2646">
      <formula>E762&lt;&gt;""</formula>
    </cfRule>
  </conditionalFormatting>
  <conditionalFormatting sqref="C763:D763">
    <cfRule type="containsText" dxfId="2318" priority="2645" operator="containsText" text="NO+$D$4:$D$10">
      <formula>NOT(ISERROR(SEARCH("NO+$D$4:$D$10",C763)))</formula>
    </cfRule>
  </conditionalFormatting>
  <conditionalFormatting sqref="C763:D763">
    <cfRule type="containsText" dxfId="2317" priority="2643" operator="containsText" text="SI">
      <formula>NOT(ISERROR(SEARCH("SI",C763)))</formula>
    </cfRule>
    <cfRule type="containsText" dxfId="2316" priority="2644" operator="containsText" text="NO">
      <formula>NOT(ISERROR(SEARCH("NO",C763)))</formula>
    </cfRule>
  </conditionalFormatting>
  <conditionalFormatting sqref="E763">
    <cfRule type="containsText" dxfId="2315" priority="2642" operator="containsText" text="Sin información">
      <formula>NOT(ISERROR(SEARCH("Sin información",E763)))</formula>
    </cfRule>
  </conditionalFormatting>
  <conditionalFormatting sqref="C763:E763">
    <cfRule type="containsText" dxfId="2314" priority="2641" operator="containsText" text="NUEVO">
      <formula>NOT(ISERROR(SEARCH("NUEVO",C763)))</formula>
    </cfRule>
  </conditionalFormatting>
  <conditionalFormatting sqref="E763">
    <cfRule type="containsText" dxfId="2313" priority="2640" operator="containsText" text="Sin Información">
      <formula>NOT(ISERROR(SEARCH("Sin Información",E763)))</formula>
    </cfRule>
  </conditionalFormatting>
  <conditionalFormatting sqref="E763:F763">
    <cfRule type="expression" dxfId="2312" priority="2639">
      <formula>E763&lt;&gt;""</formula>
    </cfRule>
  </conditionalFormatting>
  <conditionalFormatting sqref="C764:D764">
    <cfRule type="containsText" dxfId="2311" priority="2621" operator="containsText" text="NO+$D$4:$D$10">
      <formula>NOT(ISERROR(SEARCH("NO+$D$4:$D$10",C764)))</formula>
    </cfRule>
  </conditionalFormatting>
  <conditionalFormatting sqref="C764:D764">
    <cfRule type="containsText" dxfId="2310" priority="2619" operator="containsText" text="SI">
      <formula>NOT(ISERROR(SEARCH("SI",C764)))</formula>
    </cfRule>
    <cfRule type="containsText" dxfId="2309" priority="2620" operator="containsText" text="NO">
      <formula>NOT(ISERROR(SEARCH("NO",C764)))</formula>
    </cfRule>
  </conditionalFormatting>
  <conditionalFormatting sqref="C764:D764">
    <cfRule type="containsText" dxfId="2308" priority="2618" operator="containsText" text="NUEVO">
      <formula>NOT(ISERROR(SEARCH("NUEVO",C764)))</formula>
    </cfRule>
  </conditionalFormatting>
  <conditionalFormatting sqref="E764">
    <cfRule type="containsText" dxfId="2307" priority="2617" operator="containsText" text="NUEVO">
      <formula>NOT(ISERROR(SEARCH("NUEVO",E764)))</formula>
    </cfRule>
  </conditionalFormatting>
  <conditionalFormatting sqref="E764">
    <cfRule type="containsText" dxfId="2306" priority="2616" operator="containsText" text="Sin Información">
      <formula>NOT(ISERROR(SEARCH("Sin Información",E764)))</formula>
    </cfRule>
  </conditionalFormatting>
  <conditionalFormatting sqref="E764">
    <cfRule type="expression" dxfId="2305" priority="2615">
      <formula>E764&lt;&gt;""</formula>
    </cfRule>
  </conditionalFormatting>
  <conditionalFormatting sqref="F764">
    <cfRule type="expression" dxfId="2304" priority="2614">
      <formula>F764&lt;&gt;""</formula>
    </cfRule>
  </conditionalFormatting>
  <conditionalFormatting sqref="C765:D765">
    <cfRule type="containsText" dxfId="2303" priority="2613" operator="containsText" text="NO+$D$4:$D$10">
      <formula>NOT(ISERROR(SEARCH("NO+$D$4:$D$10",C765)))</formula>
    </cfRule>
  </conditionalFormatting>
  <conditionalFormatting sqref="C765:D765">
    <cfRule type="containsText" dxfId="2302" priority="2611" operator="containsText" text="SI">
      <formula>NOT(ISERROR(SEARCH("SI",C765)))</formula>
    </cfRule>
    <cfRule type="containsText" dxfId="2301" priority="2612" operator="containsText" text="NO">
      <formula>NOT(ISERROR(SEARCH("NO",C765)))</formula>
    </cfRule>
  </conditionalFormatting>
  <conditionalFormatting sqref="C765:D765">
    <cfRule type="containsText" dxfId="2300" priority="2610" operator="containsText" text="NUEVO">
      <formula>NOT(ISERROR(SEARCH("NUEVO",C765)))</formula>
    </cfRule>
  </conditionalFormatting>
  <conditionalFormatting sqref="E765">
    <cfRule type="containsText" dxfId="2299" priority="2608" operator="containsText" text="NUEVO">
      <formula>NOT(ISERROR(SEARCH("NUEVO",E765)))</formula>
    </cfRule>
  </conditionalFormatting>
  <conditionalFormatting sqref="E765">
    <cfRule type="containsText" dxfId="2298" priority="2607" operator="containsText" text="Sin Información">
      <formula>NOT(ISERROR(SEARCH("Sin Información",E765)))</formula>
    </cfRule>
  </conditionalFormatting>
  <conditionalFormatting sqref="F765">
    <cfRule type="expression" dxfId="2297" priority="2609">
      <formula>F765&lt;&gt;""</formula>
    </cfRule>
  </conditionalFormatting>
  <conditionalFormatting sqref="E765">
    <cfRule type="expression" dxfId="2296" priority="2606">
      <formula>E765&lt;&gt;""</formula>
    </cfRule>
  </conditionalFormatting>
  <conditionalFormatting sqref="C766:D766">
    <cfRule type="containsText" dxfId="2295" priority="2605" operator="containsText" text="NO+$D$4:$D$10">
      <formula>NOT(ISERROR(SEARCH("NO+$D$4:$D$10",C766)))</formula>
    </cfRule>
  </conditionalFormatting>
  <conditionalFormatting sqref="C766:D766">
    <cfRule type="containsText" dxfId="2294" priority="2603" operator="containsText" text="SI">
      <formula>NOT(ISERROR(SEARCH("SI",C766)))</formula>
    </cfRule>
    <cfRule type="containsText" dxfId="2293" priority="2604" operator="containsText" text="NO">
      <formula>NOT(ISERROR(SEARCH("NO",C766)))</formula>
    </cfRule>
  </conditionalFormatting>
  <conditionalFormatting sqref="C766:E766">
    <cfRule type="containsText" dxfId="2292" priority="2602" operator="containsText" text="NUEVO">
      <formula>NOT(ISERROR(SEARCH("NUEVO",C766)))</formula>
    </cfRule>
  </conditionalFormatting>
  <conditionalFormatting sqref="E766">
    <cfRule type="containsText" dxfId="2291" priority="2601" operator="containsText" text="Sin Información">
      <formula>NOT(ISERROR(SEARCH("Sin Información",E766)))</formula>
    </cfRule>
  </conditionalFormatting>
  <conditionalFormatting sqref="E766:F766">
    <cfRule type="expression" dxfId="2290" priority="2600">
      <formula>E766&lt;&gt;""</formula>
    </cfRule>
  </conditionalFormatting>
  <conditionalFormatting sqref="E766">
    <cfRule type="containsText" dxfId="2289" priority="2598" operator="containsText" text="NUEVO">
      <formula>NOT(ISERROR(SEARCH("NUEVO",E766)))</formula>
    </cfRule>
  </conditionalFormatting>
  <conditionalFormatting sqref="E766">
    <cfRule type="containsText" dxfId="2288" priority="2597" operator="containsText" text="Sin Información">
      <formula>NOT(ISERROR(SEARCH("Sin Información",E766)))</formula>
    </cfRule>
  </conditionalFormatting>
  <conditionalFormatting sqref="F766">
    <cfRule type="expression" dxfId="2287" priority="2599">
      <formula>F766&lt;&gt;""</formula>
    </cfRule>
  </conditionalFormatting>
  <conditionalFormatting sqref="E766">
    <cfRule type="expression" dxfId="2286" priority="2596">
      <formula>E766&lt;&gt;""</formula>
    </cfRule>
  </conditionalFormatting>
  <conditionalFormatting sqref="C767:D769">
    <cfRule type="containsText" dxfId="2285" priority="2595" operator="containsText" text="NO+$D$4:$D$10">
      <formula>NOT(ISERROR(SEARCH("NO+$D$4:$D$10",C767)))</formula>
    </cfRule>
  </conditionalFormatting>
  <conditionalFormatting sqref="C767:D769">
    <cfRule type="containsText" dxfId="2284" priority="2593" operator="containsText" text="SI">
      <formula>NOT(ISERROR(SEARCH("SI",C767)))</formula>
    </cfRule>
    <cfRule type="containsText" dxfId="2283" priority="2594" operator="containsText" text="NO">
      <formula>NOT(ISERROR(SEARCH("NO",C767)))</formula>
    </cfRule>
  </conditionalFormatting>
  <conditionalFormatting sqref="C767:E767 C768:D769">
    <cfRule type="containsText" dxfId="2282" priority="2592" operator="containsText" text="NUEVO">
      <formula>NOT(ISERROR(SEARCH("NUEVO",C767)))</formula>
    </cfRule>
  </conditionalFormatting>
  <conditionalFormatting sqref="E767">
    <cfRule type="containsText" dxfId="2281" priority="2591" operator="containsText" text="Sin Información">
      <formula>NOT(ISERROR(SEARCH("Sin Información",E767)))</formula>
    </cfRule>
  </conditionalFormatting>
  <conditionalFormatting sqref="E767">
    <cfRule type="expression" dxfId="2280" priority="2590">
      <formula>E767&lt;&gt;""</formula>
    </cfRule>
  </conditionalFormatting>
  <conditionalFormatting sqref="F767">
    <cfRule type="expression" dxfId="2279" priority="2589">
      <formula>F767&lt;&gt;""</formula>
    </cfRule>
  </conditionalFormatting>
  <conditionalFormatting sqref="C770:D770">
    <cfRule type="containsText" dxfId="2278" priority="2588" operator="containsText" text="NO+$D$4:$D$10">
      <formula>NOT(ISERROR(SEARCH("NO+$D$4:$D$10",C770)))</formula>
    </cfRule>
  </conditionalFormatting>
  <conditionalFormatting sqref="C770:D770">
    <cfRule type="containsText" dxfId="2277" priority="2586" operator="containsText" text="SI">
      <formula>NOT(ISERROR(SEARCH("SI",C770)))</formula>
    </cfRule>
    <cfRule type="containsText" dxfId="2276" priority="2587" operator="containsText" text="NO">
      <formula>NOT(ISERROR(SEARCH("NO",C770)))</formula>
    </cfRule>
  </conditionalFormatting>
  <conditionalFormatting sqref="C770:D770">
    <cfRule type="containsText" dxfId="2275" priority="2585" operator="containsText" text="NUEVO">
      <formula>NOT(ISERROR(SEARCH("NUEVO",C770)))</formula>
    </cfRule>
  </conditionalFormatting>
  <conditionalFormatting sqref="F770">
    <cfRule type="expression" dxfId="2274" priority="2584">
      <formula>F770&lt;&gt;""</formula>
    </cfRule>
  </conditionalFormatting>
  <conditionalFormatting sqref="E770">
    <cfRule type="containsText" dxfId="2273" priority="2583" operator="containsText" text="NUEVO">
      <formula>NOT(ISERROR(SEARCH("NUEVO",E770)))</formula>
    </cfRule>
  </conditionalFormatting>
  <conditionalFormatting sqref="E770">
    <cfRule type="containsText" dxfId="2272" priority="2582" operator="containsText" text="Sin Información">
      <formula>NOT(ISERROR(SEARCH("Sin Información",E770)))</formula>
    </cfRule>
  </conditionalFormatting>
  <conditionalFormatting sqref="E770">
    <cfRule type="expression" dxfId="2271" priority="2581">
      <formula>E770&lt;&gt;""</formula>
    </cfRule>
  </conditionalFormatting>
  <conditionalFormatting sqref="C771:D771">
    <cfRule type="containsText" dxfId="2270" priority="2580" operator="containsText" text="NO+$D$4:$D$10">
      <formula>NOT(ISERROR(SEARCH("NO+$D$4:$D$10",C771)))</formula>
    </cfRule>
  </conditionalFormatting>
  <conditionalFormatting sqref="C771:D771">
    <cfRule type="containsText" dxfId="2269" priority="2578" operator="containsText" text="SI">
      <formula>NOT(ISERROR(SEARCH("SI",C771)))</formula>
    </cfRule>
    <cfRule type="containsText" dxfId="2268" priority="2579" operator="containsText" text="NO">
      <formula>NOT(ISERROR(SEARCH("NO",C771)))</formula>
    </cfRule>
  </conditionalFormatting>
  <conditionalFormatting sqref="C771:D771">
    <cfRule type="containsText" dxfId="2267" priority="2577" operator="containsText" text="NUEVO">
      <formula>NOT(ISERROR(SEARCH("NUEVO",C771)))</formula>
    </cfRule>
  </conditionalFormatting>
  <conditionalFormatting sqref="F771">
    <cfRule type="expression" dxfId="2266" priority="2576">
      <formula>F771&lt;&gt;""</formula>
    </cfRule>
  </conditionalFormatting>
  <conditionalFormatting sqref="E771">
    <cfRule type="containsText" dxfId="2265" priority="2575" operator="containsText" text="NUEVO">
      <formula>NOT(ISERROR(SEARCH("NUEVO",E771)))</formula>
    </cfRule>
  </conditionalFormatting>
  <conditionalFormatting sqref="E771">
    <cfRule type="containsText" dxfId="2264" priority="2574" operator="containsText" text="Sin Información">
      <formula>NOT(ISERROR(SEARCH("Sin Información",E771)))</formula>
    </cfRule>
  </conditionalFormatting>
  <conditionalFormatting sqref="E771">
    <cfRule type="expression" dxfId="2263" priority="2573">
      <formula>E771&lt;&gt;""</formula>
    </cfRule>
  </conditionalFormatting>
  <conditionalFormatting sqref="C1159:D1159">
    <cfRule type="containsText" dxfId="2262" priority="2572" operator="containsText" text="NO+$D$4:$D$10">
      <formula>NOT(ISERROR(SEARCH("NO+$D$4:$D$10",C1159)))</formula>
    </cfRule>
  </conditionalFormatting>
  <conditionalFormatting sqref="C1159:D1159">
    <cfRule type="containsText" dxfId="2261" priority="2570" operator="containsText" text="SI">
      <formula>NOT(ISERROR(SEARCH("SI",C1159)))</formula>
    </cfRule>
    <cfRule type="containsText" dxfId="2260" priority="2571" operator="containsText" text="NO">
      <formula>NOT(ISERROR(SEARCH("NO",C1159)))</formula>
    </cfRule>
  </conditionalFormatting>
  <conditionalFormatting sqref="C1159:D1159">
    <cfRule type="containsText" dxfId="2259" priority="2569" operator="containsText" text="NUEVO">
      <formula>NOT(ISERROR(SEARCH("NUEVO",C1159)))</formula>
    </cfRule>
  </conditionalFormatting>
  <conditionalFormatting sqref="E1159">
    <cfRule type="containsText" dxfId="2258" priority="2568" operator="containsText" text="NUEVO">
      <formula>NOT(ISERROR(SEARCH("NUEVO",E1159)))</formula>
    </cfRule>
  </conditionalFormatting>
  <conditionalFormatting sqref="E1159">
    <cfRule type="containsText" dxfId="2257" priority="2567" operator="containsText" text="Sin Información">
      <formula>NOT(ISERROR(SEARCH("Sin Información",E1159)))</formula>
    </cfRule>
  </conditionalFormatting>
  <conditionalFormatting sqref="E1159">
    <cfRule type="expression" dxfId="2256" priority="2566">
      <formula>E1159&lt;&gt;""</formula>
    </cfRule>
  </conditionalFormatting>
  <conditionalFormatting sqref="F1159">
    <cfRule type="containsText" dxfId="2255" priority="2565" operator="containsText" text="NO+$D$4:$D$10">
      <formula>NOT(ISERROR(SEARCH("NO+$D$4:$D$10",F1159)))</formula>
    </cfRule>
  </conditionalFormatting>
  <conditionalFormatting sqref="F1159">
    <cfRule type="containsText" dxfId="2254" priority="2563" operator="containsText" text="SI">
      <formula>NOT(ISERROR(SEARCH("SI",F1159)))</formula>
    </cfRule>
    <cfRule type="containsText" dxfId="2253" priority="2564" operator="containsText" text="NO">
      <formula>NOT(ISERROR(SEARCH("NO",F1159)))</formula>
    </cfRule>
  </conditionalFormatting>
  <conditionalFormatting sqref="F1159">
    <cfRule type="containsText" dxfId="2252" priority="2562" operator="containsText" text="NUEVO">
      <formula>NOT(ISERROR(SEARCH("NUEVO",F1159)))</formula>
    </cfRule>
  </conditionalFormatting>
  <conditionalFormatting sqref="F1159">
    <cfRule type="expression" dxfId="2251" priority="2561">
      <formula>F1159&lt;&gt;""</formula>
    </cfRule>
  </conditionalFormatting>
  <conditionalFormatting sqref="C1160:D1160">
    <cfRule type="containsText" dxfId="2250" priority="2560" operator="containsText" text="NO+$D$4:$D$10">
      <formula>NOT(ISERROR(SEARCH("NO+$D$4:$D$10",C1160)))</formula>
    </cfRule>
  </conditionalFormatting>
  <conditionalFormatting sqref="C1160:D1160">
    <cfRule type="containsText" dxfId="2249" priority="2558" operator="containsText" text="SI">
      <formula>NOT(ISERROR(SEARCH("SI",C1160)))</formula>
    </cfRule>
    <cfRule type="containsText" dxfId="2248" priority="2559" operator="containsText" text="NO">
      <formula>NOT(ISERROR(SEARCH("NO",C1160)))</formula>
    </cfRule>
  </conditionalFormatting>
  <conditionalFormatting sqref="C1160:E1160">
    <cfRule type="containsText" dxfId="2247" priority="2557" operator="containsText" text="NUEVO">
      <formula>NOT(ISERROR(SEARCH("NUEVO",C1160)))</formula>
    </cfRule>
  </conditionalFormatting>
  <conditionalFormatting sqref="E1160">
    <cfRule type="containsText" dxfId="2246" priority="2556" operator="containsText" text="Sin Información">
      <formula>NOT(ISERROR(SEARCH("Sin Información",E1160)))</formula>
    </cfRule>
  </conditionalFormatting>
  <conditionalFormatting sqref="E1160:F1160">
    <cfRule type="expression" dxfId="2245" priority="2555">
      <formula>E1160&lt;&gt;""</formula>
    </cfRule>
  </conditionalFormatting>
  <conditionalFormatting sqref="C1161:D1161">
    <cfRule type="containsText" dxfId="2244" priority="2548" operator="containsText" text="NO+$D$4:$D$10">
      <formula>NOT(ISERROR(SEARCH("NO+$D$4:$D$10",C1161)))</formula>
    </cfRule>
  </conditionalFormatting>
  <conditionalFormatting sqref="C1161:D1161">
    <cfRule type="containsText" dxfId="2243" priority="2546" operator="containsText" text="SI">
      <formula>NOT(ISERROR(SEARCH("SI",C1161)))</formula>
    </cfRule>
    <cfRule type="containsText" dxfId="2242" priority="2547" operator="containsText" text="NO">
      <formula>NOT(ISERROR(SEARCH("NO",C1161)))</formula>
    </cfRule>
  </conditionalFormatting>
  <conditionalFormatting sqref="C1161:D1161">
    <cfRule type="containsText" dxfId="2241" priority="2545" operator="containsText" text="NUEVO">
      <formula>NOT(ISERROR(SEARCH("NUEVO",C1161)))</formula>
    </cfRule>
  </conditionalFormatting>
  <conditionalFormatting sqref="E1161">
    <cfRule type="containsText" dxfId="2240" priority="2544" operator="containsText" text="NUEVO">
      <formula>NOT(ISERROR(SEARCH("NUEVO",E1161)))</formula>
    </cfRule>
  </conditionalFormatting>
  <conditionalFormatting sqref="E1161">
    <cfRule type="containsText" dxfId="2239" priority="2543" operator="containsText" text="Sin Información">
      <formula>NOT(ISERROR(SEARCH("Sin Información",E1161)))</formula>
    </cfRule>
  </conditionalFormatting>
  <conditionalFormatting sqref="E1161">
    <cfRule type="expression" dxfId="2238" priority="2542">
      <formula>E1161&lt;&gt;""</formula>
    </cfRule>
  </conditionalFormatting>
  <conditionalFormatting sqref="F1161">
    <cfRule type="expression" dxfId="2237" priority="2541">
      <formula>F1161&lt;&gt;""</formula>
    </cfRule>
  </conditionalFormatting>
  <conditionalFormatting sqref="C1162:D1162">
    <cfRule type="containsText" dxfId="2236" priority="2540" operator="containsText" text="NO+$D$4:$D$10">
      <formula>NOT(ISERROR(SEARCH("NO+$D$4:$D$10",C1162)))</formula>
    </cfRule>
  </conditionalFormatting>
  <conditionalFormatting sqref="C1162:D1162">
    <cfRule type="containsText" dxfId="2235" priority="2538" operator="containsText" text="SI">
      <formula>NOT(ISERROR(SEARCH("SI",C1162)))</formula>
    </cfRule>
    <cfRule type="containsText" dxfId="2234" priority="2539" operator="containsText" text="NO">
      <formula>NOT(ISERROR(SEARCH("NO",C1162)))</formula>
    </cfRule>
  </conditionalFormatting>
  <conditionalFormatting sqref="C1162:D1162">
    <cfRule type="containsText" dxfId="2233" priority="2537" operator="containsText" text="NUEVO">
      <formula>NOT(ISERROR(SEARCH("NUEVO",C1162)))</formula>
    </cfRule>
  </conditionalFormatting>
  <conditionalFormatting sqref="F1162">
    <cfRule type="expression" dxfId="2232" priority="2536">
      <formula>F1162&lt;&gt;""</formula>
    </cfRule>
  </conditionalFormatting>
  <conditionalFormatting sqref="E1162">
    <cfRule type="containsText" dxfId="2231" priority="2535" operator="containsText" text="NUEVO">
      <formula>NOT(ISERROR(SEARCH("NUEVO",E1162)))</formula>
    </cfRule>
  </conditionalFormatting>
  <conditionalFormatting sqref="E1162">
    <cfRule type="containsText" dxfId="2230" priority="2534" operator="containsText" text="Sin Información">
      <formula>NOT(ISERROR(SEARCH("Sin Información",E1162)))</formula>
    </cfRule>
  </conditionalFormatting>
  <conditionalFormatting sqref="E1162">
    <cfRule type="expression" dxfId="2229" priority="2533">
      <formula>E1162&lt;&gt;""</formula>
    </cfRule>
  </conditionalFormatting>
  <conditionalFormatting sqref="C1163:D1163">
    <cfRule type="containsText" dxfId="2228" priority="2532" operator="containsText" text="NO+$D$4:$D$10">
      <formula>NOT(ISERROR(SEARCH("NO+$D$4:$D$10",C1163)))</formula>
    </cfRule>
  </conditionalFormatting>
  <conditionalFormatting sqref="C1163:D1163">
    <cfRule type="containsText" dxfId="2227" priority="2530" operator="containsText" text="SI">
      <formula>NOT(ISERROR(SEARCH("SI",C1163)))</formula>
    </cfRule>
    <cfRule type="containsText" dxfId="2226" priority="2531" operator="containsText" text="NO">
      <formula>NOT(ISERROR(SEARCH("NO",C1163)))</formula>
    </cfRule>
  </conditionalFormatting>
  <conditionalFormatting sqref="C1163:D1163">
    <cfRule type="containsText" dxfId="2225" priority="2529" operator="containsText" text="NUEVO">
      <formula>NOT(ISERROR(SEARCH("NUEVO",C1163)))</formula>
    </cfRule>
  </conditionalFormatting>
  <conditionalFormatting sqref="E1163">
    <cfRule type="containsText" dxfId="2224" priority="2528" operator="containsText" text="NUEVO">
      <formula>NOT(ISERROR(SEARCH("NUEVO",E1163)))</formula>
    </cfRule>
  </conditionalFormatting>
  <conditionalFormatting sqref="E1163">
    <cfRule type="containsText" dxfId="2223" priority="2527" operator="containsText" text="Sin Información">
      <formula>NOT(ISERROR(SEARCH("Sin Información",E1163)))</formula>
    </cfRule>
  </conditionalFormatting>
  <conditionalFormatting sqref="E1163:F1163">
    <cfRule type="expression" dxfId="2222" priority="2526">
      <formula>E1163&lt;&gt;""</formula>
    </cfRule>
  </conditionalFormatting>
  <conditionalFormatting sqref="C1164:D1164">
    <cfRule type="containsText" dxfId="2221" priority="2525" operator="containsText" text="NO+$D$4:$D$10">
      <formula>NOT(ISERROR(SEARCH("NO+$D$4:$D$10",C1164)))</formula>
    </cfRule>
  </conditionalFormatting>
  <conditionalFormatting sqref="C1164:D1164">
    <cfRule type="containsText" dxfId="2220" priority="2523" operator="containsText" text="SI">
      <formula>NOT(ISERROR(SEARCH("SI",C1164)))</formula>
    </cfRule>
    <cfRule type="containsText" dxfId="2219" priority="2524" operator="containsText" text="NO">
      <formula>NOT(ISERROR(SEARCH("NO",C1164)))</formula>
    </cfRule>
  </conditionalFormatting>
  <conditionalFormatting sqref="C1164:D1164">
    <cfRule type="containsText" dxfId="2218" priority="2522" operator="containsText" text="NUEVO">
      <formula>NOT(ISERROR(SEARCH("NUEVO",C1164)))</formula>
    </cfRule>
  </conditionalFormatting>
  <conditionalFormatting sqref="F1164">
    <cfRule type="expression" dxfId="2217" priority="2521">
      <formula>F1164&lt;&gt;""</formula>
    </cfRule>
  </conditionalFormatting>
  <conditionalFormatting sqref="E1164">
    <cfRule type="containsText" dxfId="2216" priority="2520" operator="containsText" text="NUEVO">
      <formula>NOT(ISERROR(SEARCH("NUEVO",E1164)))</formula>
    </cfRule>
  </conditionalFormatting>
  <conditionalFormatting sqref="E1164">
    <cfRule type="containsText" dxfId="2215" priority="2519" operator="containsText" text="Sin Información">
      <formula>NOT(ISERROR(SEARCH("Sin Información",E1164)))</formula>
    </cfRule>
  </conditionalFormatting>
  <conditionalFormatting sqref="E1164">
    <cfRule type="expression" dxfId="2214" priority="2518">
      <formula>E1164&lt;&gt;""</formula>
    </cfRule>
  </conditionalFormatting>
  <conditionalFormatting sqref="E1164">
    <cfRule type="containsText" dxfId="2213" priority="2517" operator="containsText" text="NUEVO">
      <formula>NOT(ISERROR(SEARCH("NUEVO",E1164)))</formula>
    </cfRule>
  </conditionalFormatting>
  <conditionalFormatting sqref="E1164">
    <cfRule type="containsText" dxfId="2212" priority="2516" operator="containsText" text="Sin Información">
      <formula>NOT(ISERROR(SEARCH("Sin Información",E1164)))</formula>
    </cfRule>
  </conditionalFormatting>
  <conditionalFormatting sqref="E1164:F1164">
    <cfRule type="expression" dxfId="2211" priority="2515">
      <formula>E1164&lt;&gt;""</formula>
    </cfRule>
  </conditionalFormatting>
  <conditionalFormatting sqref="C1165:D1165">
    <cfRule type="containsText" dxfId="2210" priority="2514" operator="containsText" text="NO+$D$4:$D$10">
      <formula>NOT(ISERROR(SEARCH("NO+$D$4:$D$10",C1165)))</formula>
    </cfRule>
  </conditionalFormatting>
  <conditionalFormatting sqref="C1165:D1165">
    <cfRule type="containsText" dxfId="2209" priority="2512" operator="containsText" text="SI">
      <formula>NOT(ISERROR(SEARCH("SI",C1165)))</formula>
    </cfRule>
    <cfRule type="containsText" dxfId="2208" priority="2513" operator="containsText" text="NO">
      <formula>NOT(ISERROR(SEARCH("NO",C1165)))</formula>
    </cfRule>
  </conditionalFormatting>
  <conditionalFormatting sqref="C1165:D1165">
    <cfRule type="containsText" dxfId="2207" priority="2511" operator="containsText" text="NUEVO">
      <formula>NOT(ISERROR(SEARCH("NUEVO",C1165)))</formula>
    </cfRule>
  </conditionalFormatting>
  <conditionalFormatting sqref="F1165">
    <cfRule type="expression" dxfId="2206" priority="2510">
      <formula>F1165&lt;&gt;""</formula>
    </cfRule>
  </conditionalFormatting>
  <conditionalFormatting sqref="E1165">
    <cfRule type="containsText" dxfId="2205" priority="2509" operator="containsText" text="NUEVO">
      <formula>NOT(ISERROR(SEARCH("NUEVO",E1165)))</formula>
    </cfRule>
  </conditionalFormatting>
  <conditionalFormatting sqref="E1165">
    <cfRule type="containsText" dxfId="2204" priority="2508" operator="containsText" text="Sin Información">
      <formula>NOT(ISERROR(SEARCH("Sin Información",E1165)))</formula>
    </cfRule>
  </conditionalFormatting>
  <conditionalFormatting sqref="E1165">
    <cfRule type="expression" dxfId="2203" priority="2507">
      <formula>E1165&lt;&gt;""</formula>
    </cfRule>
  </conditionalFormatting>
  <conditionalFormatting sqref="C1166:D1166">
    <cfRule type="containsText" dxfId="2202" priority="2506" operator="containsText" text="NO+$D$4:$D$10">
      <formula>NOT(ISERROR(SEARCH("NO+$D$4:$D$10",C1166)))</formula>
    </cfRule>
  </conditionalFormatting>
  <conditionalFormatting sqref="C1166:D1166">
    <cfRule type="containsText" dxfId="2201" priority="2504" operator="containsText" text="SI">
      <formula>NOT(ISERROR(SEARCH("SI",C1166)))</formula>
    </cfRule>
    <cfRule type="containsText" dxfId="2200" priority="2505" operator="containsText" text="NO">
      <formula>NOT(ISERROR(SEARCH("NO",C1166)))</formula>
    </cfRule>
  </conditionalFormatting>
  <conditionalFormatting sqref="C1166:E1166">
    <cfRule type="containsText" dxfId="2199" priority="2503" operator="containsText" text="NUEVO">
      <formula>NOT(ISERROR(SEARCH("NUEVO",C1166)))</formula>
    </cfRule>
  </conditionalFormatting>
  <conditionalFormatting sqref="E1166">
    <cfRule type="containsText" dxfId="2198" priority="2502" operator="containsText" text="Sin Información">
      <formula>NOT(ISERROR(SEARCH("Sin Información",E1166)))</formula>
    </cfRule>
  </conditionalFormatting>
  <conditionalFormatting sqref="E1166:F1166">
    <cfRule type="expression" dxfId="2197" priority="2501">
      <formula>E1166&lt;&gt;""</formula>
    </cfRule>
  </conditionalFormatting>
  <conditionalFormatting sqref="C1167:D1167">
    <cfRule type="containsText" dxfId="2196" priority="2500" operator="containsText" text="NO+$D$4:$D$10">
      <formula>NOT(ISERROR(SEARCH("NO+$D$4:$D$10",C1167)))</formula>
    </cfRule>
  </conditionalFormatting>
  <conditionalFormatting sqref="C1167:D1167">
    <cfRule type="containsText" dxfId="2195" priority="2498" operator="containsText" text="SI">
      <formula>NOT(ISERROR(SEARCH("SI",C1167)))</formula>
    </cfRule>
    <cfRule type="containsText" dxfId="2194" priority="2499" operator="containsText" text="NO">
      <formula>NOT(ISERROR(SEARCH("NO",C1167)))</formula>
    </cfRule>
  </conditionalFormatting>
  <conditionalFormatting sqref="C1167:E1167">
    <cfRule type="containsText" dxfId="2193" priority="2497" operator="containsText" text="NUEVO">
      <formula>NOT(ISERROR(SEARCH("NUEVO",C1167)))</formula>
    </cfRule>
  </conditionalFormatting>
  <conditionalFormatting sqref="E1167">
    <cfRule type="containsText" dxfId="2192" priority="2496" operator="containsText" text="Sin Información">
      <formula>NOT(ISERROR(SEARCH("Sin Información",E1167)))</formula>
    </cfRule>
  </conditionalFormatting>
  <conditionalFormatting sqref="E1167:F1167">
    <cfRule type="expression" dxfId="2191" priority="2495">
      <formula>E1167&lt;&gt;""</formula>
    </cfRule>
  </conditionalFormatting>
  <conditionalFormatting sqref="C1168:D1168">
    <cfRule type="containsText" dxfId="2190" priority="2494" operator="containsText" text="NO+$D$4:$D$10">
      <formula>NOT(ISERROR(SEARCH("NO+$D$4:$D$10",C1168)))</formula>
    </cfRule>
  </conditionalFormatting>
  <conditionalFormatting sqref="C1168:D1168">
    <cfRule type="containsText" dxfId="2189" priority="2492" operator="containsText" text="SI">
      <formula>NOT(ISERROR(SEARCH("SI",C1168)))</formula>
    </cfRule>
    <cfRule type="containsText" dxfId="2188" priority="2493" operator="containsText" text="NO">
      <formula>NOT(ISERROR(SEARCH("NO",C1168)))</formula>
    </cfRule>
  </conditionalFormatting>
  <conditionalFormatting sqref="C1168:E1168">
    <cfRule type="containsText" dxfId="2187" priority="2491" operator="containsText" text="NUEVO">
      <formula>NOT(ISERROR(SEARCH("NUEVO",C1168)))</formula>
    </cfRule>
  </conditionalFormatting>
  <conditionalFormatting sqref="E1168">
    <cfRule type="containsText" dxfId="2186" priority="2490" operator="containsText" text="Sin Información">
      <formula>NOT(ISERROR(SEARCH("Sin Información",E1168)))</formula>
    </cfRule>
  </conditionalFormatting>
  <conditionalFormatting sqref="E1168:F1168">
    <cfRule type="expression" dxfId="2185" priority="2489">
      <formula>E1168&lt;&gt;""</formula>
    </cfRule>
  </conditionalFormatting>
  <conditionalFormatting sqref="C1169:D1169">
    <cfRule type="containsText" dxfId="2184" priority="2488" operator="containsText" text="NO+$D$4:$D$10">
      <formula>NOT(ISERROR(SEARCH("NO+$D$4:$D$10",C1169)))</formula>
    </cfRule>
  </conditionalFormatting>
  <conditionalFormatting sqref="C1169:D1169">
    <cfRule type="containsText" dxfId="2183" priority="2486" operator="containsText" text="SI">
      <formula>NOT(ISERROR(SEARCH("SI",C1169)))</formula>
    </cfRule>
    <cfRule type="containsText" dxfId="2182" priority="2487" operator="containsText" text="NO">
      <formula>NOT(ISERROR(SEARCH("NO",C1169)))</formula>
    </cfRule>
  </conditionalFormatting>
  <conditionalFormatting sqref="C1169:E1169">
    <cfRule type="containsText" dxfId="2181" priority="2485" operator="containsText" text="NUEVO">
      <formula>NOT(ISERROR(SEARCH("NUEVO",C1169)))</formula>
    </cfRule>
  </conditionalFormatting>
  <conditionalFormatting sqref="E1169">
    <cfRule type="containsText" dxfId="2180" priority="2484" operator="containsText" text="Sin Información">
      <formula>NOT(ISERROR(SEARCH("Sin Información",E1169)))</formula>
    </cfRule>
  </conditionalFormatting>
  <conditionalFormatting sqref="E1169:F1169">
    <cfRule type="expression" dxfId="2179" priority="2483">
      <formula>E1169&lt;&gt;""</formula>
    </cfRule>
  </conditionalFormatting>
  <conditionalFormatting sqref="C1170:D1170">
    <cfRule type="containsText" dxfId="2178" priority="2482" operator="containsText" text="NO+$D$4:$D$10">
      <formula>NOT(ISERROR(SEARCH("NO+$D$4:$D$10",C1170)))</formula>
    </cfRule>
  </conditionalFormatting>
  <conditionalFormatting sqref="C1170:D1170">
    <cfRule type="containsText" dxfId="2177" priority="2480" operator="containsText" text="SI">
      <formula>NOT(ISERROR(SEARCH("SI",C1170)))</formula>
    </cfRule>
    <cfRule type="containsText" dxfId="2176" priority="2481" operator="containsText" text="NO">
      <formula>NOT(ISERROR(SEARCH("NO",C1170)))</formula>
    </cfRule>
  </conditionalFormatting>
  <conditionalFormatting sqref="C1170:D1170">
    <cfRule type="containsText" dxfId="2175" priority="2479" operator="containsText" text="NUEVO">
      <formula>NOT(ISERROR(SEARCH("NUEVO",C1170)))</formula>
    </cfRule>
  </conditionalFormatting>
  <conditionalFormatting sqref="E1170">
    <cfRule type="containsText" dxfId="2174" priority="2478" operator="containsText" text="NUEVO">
      <formula>NOT(ISERROR(SEARCH("NUEVO",E1170)))</formula>
    </cfRule>
  </conditionalFormatting>
  <conditionalFormatting sqref="E1170">
    <cfRule type="containsText" dxfId="2173" priority="2477" operator="containsText" text="Sin Información">
      <formula>NOT(ISERROR(SEARCH("Sin Información",E1170)))</formula>
    </cfRule>
  </conditionalFormatting>
  <conditionalFormatting sqref="E1170:F1170">
    <cfRule type="expression" dxfId="2172" priority="2476">
      <formula>E1170&lt;&gt;""</formula>
    </cfRule>
  </conditionalFormatting>
  <conditionalFormatting sqref="C1171:D1171">
    <cfRule type="containsText" dxfId="2171" priority="2475" operator="containsText" text="NO+$D$4:$D$10">
      <formula>NOT(ISERROR(SEARCH("NO+$D$4:$D$10",C1171)))</formula>
    </cfRule>
  </conditionalFormatting>
  <conditionalFormatting sqref="C1171:D1171">
    <cfRule type="containsText" dxfId="2170" priority="2473" operator="containsText" text="SI">
      <formula>NOT(ISERROR(SEARCH("SI",C1171)))</formula>
    </cfRule>
    <cfRule type="containsText" dxfId="2169" priority="2474" operator="containsText" text="NO">
      <formula>NOT(ISERROR(SEARCH("NO",C1171)))</formula>
    </cfRule>
  </conditionalFormatting>
  <conditionalFormatting sqref="C1171:E1171">
    <cfRule type="containsText" dxfId="2168" priority="2472" operator="containsText" text="NUEVO">
      <formula>NOT(ISERROR(SEARCH("NUEVO",C1171)))</formula>
    </cfRule>
  </conditionalFormatting>
  <conditionalFormatting sqref="E1171">
    <cfRule type="containsText" dxfId="2167" priority="2471" operator="containsText" text="Sin Información">
      <formula>NOT(ISERROR(SEARCH("Sin Información",E1171)))</formula>
    </cfRule>
  </conditionalFormatting>
  <conditionalFormatting sqref="E1171">
    <cfRule type="expression" dxfId="2166" priority="2470">
      <formula>E1171&lt;&gt;""</formula>
    </cfRule>
  </conditionalFormatting>
  <conditionalFormatting sqref="F1171">
    <cfRule type="expression" dxfId="2165" priority="2469">
      <formula>F1171&lt;&gt;""</formula>
    </cfRule>
  </conditionalFormatting>
  <conditionalFormatting sqref="C1172:D1172">
    <cfRule type="containsText" dxfId="2164" priority="2468" operator="containsText" text="NO+$D$4:$D$10">
      <formula>NOT(ISERROR(SEARCH("NO+$D$4:$D$10",C1172)))</formula>
    </cfRule>
  </conditionalFormatting>
  <conditionalFormatting sqref="C1172:D1172">
    <cfRule type="containsText" dxfId="2163" priority="2466" operator="containsText" text="SI">
      <formula>NOT(ISERROR(SEARCH("SI",C1172)))</formula>
    </cfRule>
    <cfRule type="containsText" dxfId="2162" priority="2467" operator="containsText" text="NO">
      <formula>NOT(ISERROR(SEARCH("NO",C1172)))</formula>
    </cfRule>
  </conditionalFormatting>
  <conditionalFormatting sqref="C1172:E1172">
    <cfRule type="containsText" dxfId="2161" priority="2465" operator="containsText" text="NUEVO">
      <formula>NOT(ISERROR(SEARCH("NUEVO",C1172)))</formula>
    </cfRule>
  </conditionalFormatting>
  <conditionalFormatting sqref="E1172">
    <cfRule type="containsText" dxfId="2160" priority="2464" operator="containsText" text="Sin Información">
      <formula>NOT(ISERROR(SEARCH("Sin Información",E1172)))</formula>
    </cfRule>
  </conditionalFormatting>
  <conditionalFormatting sqref="E1172">
    <cfRule type="expression" dxfId="2159" priority="2463">
      <formula>E1172&lt;&gt;""</formula>
    </cfRule>
  </conditionalFormatting>
  <conditionalFormatting sqref="F1172">
    <cfRule type="expression" dxfId="2158" priority="2462">
      <formula>F1172&lt;&gt;""</formula>
    </cfRule>
  </conditionalFormatting>
  <conditionalFormatting sqref="C1173:D1173">
    <cfRule type="containsText" dxfId="2157" priority="2461" operator="containsText" text="NO+$D$4:$D$10">
      <formula>NOT(ISERROR(SEARCH("NO+$D$4:$D$10",C1173)))</formula>
    </cfRule>
  </conditionalFormatting>
  <conditionalFormatting sqref="C1173:D1173">
    <cfRule type="containsText" dxfId="2156" priority="2459" operator="containsText" text="SI">
      <formula>NOT(ISERROR(SEARCH("SI",C1173)))</formula>
    </cfRule>
    <cfRule type="containsText" dxfId="2155" priority="2460" operator="containsText" text="NO">
      <formula>NOT(ISERROR(SEARCH("NO",C1173)))</formula>
    </cfRule>
  </conditionalFormatting>
  <conditionalFormatting sqref="C1173:E1173">
    <cfRule type="containsText" dxfId="2154" priority="2458" operator="containsText" text="NUEVO">
      <formula>NOT(ISERROR(SEARCH("NUEVO",C1173)))</formula>
    </cfRule>
  </conditionalFormatting>
  <conditionalFormatting sqref="E1173">
    <cfRule type="containsText" dxfId="2153" priority="2457" operator="containsText" text="Sin Información">
      <formula>NOT(ISERROR(SEARCH("Sin Información",E1173)))</formula>
    </cfRule>
  </conditionalFormatting>
  <conditionalFormatting sqref="E1173">
    <cfRule type="expression" dxfId="2152" priority="2456">
      <formula>E1173&lt;&gt;""</formula>
    </cfRule>
  </conditionalFormatting>
  <conditionalFormatting sqref="F1173">
    <cfRule type="expression" dxfId="2151" priority="2455">
      <formula>F1173&lt;&gt;""</formula>
    </cfRule>
  </conditionalFormatting>
  <conditionalFormatting sqref="C1174:D1174">
    <cfRule type="containsText" dxfId="2150" priority="2454" operator="containsText" text="NO+$D$4:$D$10">
      <formula>NOT(ISERROR(SEARCH("NO+$D$4:$D$10",C1174)))</formula>
    </cfRule>
  </conditionalFormatting>
  <conditionalFormatting sqref="C1174:D1174">
    <cfRule type="containsText" dxfId="2149" priority="2452" operator="containsText" text="SI">
      <formula>NOT(ISERROR(SEARCH("SI",C1174)))</formula>
    </cfRule>
    <cfRule type="containsText" dxfId="2148" priority="2453" operator="containsText" text="NO">
      <formula>NOT(ISERROR(SEARCH("NO",C1174)))</formula>
    </cfRule>
  </conditionalFormatting>
  <conditionalFormatting sqref="C1174:E1174">
    <cfRule type="containsText" dxfId="2147" priority="2451" operator="containsText" text="NUEVO">
      <formula>NOT(ISERROR(SEARCH("NUEVO",C1174)))</formula>
    </cfRule>
  </conditionalFormatting>
  <conditionalFormatting sqref="E1174">
    <cfRule type="containsText" dxfId="2146" priority="2450" operator="containsText" text="Sin Información">
      <formula>NOT(ISERROR(SEARCH("Sin Información",E1174)))</formula>
    </cfRule>
  </conditionalFormatting>
  <conditionalFormatting sqref="E1174">
    <cfRule type="expression" dxfId="2145" priority="2449">
      <formula>E1174&lt;&gt;""</formula>
    </cfRule>
  </conditionalFormatting>
  <conditionalFormatting sqref="F1174">
    <cfRule type="expression" dxfId="2144" priority="2448">
      <formula>F1174&lt;&gt;""</formula>
    </cfRule>
  </conditionalFormatting>
  <conditionalFormatting sqref="C1175:D1175">
    <cfRule type="containsText" dxfId="2143" priority="2447" operator="containsText" text="NO+$D$4:$D$10">
      <formula>NOT(ISERROR(SEARCH("NO+$D$4:$D$10",C1175)))</formula>
    </cfRule>
  </conditionalFormatting>
  <conditionalFormatting sqref="C1175:D1175">
    <cfRule type="containsText" dxfId="2142" priority="2445" operator="containsText" text="SI">
      <formula>NOT(ISERROR(SEARCH("SI",C1175)))</formula>
    </cfRule>
    <cfRule type="containsText" dxfId="2141" priority="2446" operator="containsText" text="NO">
      <formula>NOT(ISERROR(SEARCH("NO",C1175)))</formula>
    </cfRule>
  </conditionalFormatting>
  <conditionalFormatting sqref="C1175:D1175">
    <cfRule type="containsText" dxfId="2140" priority="2444" operator="containsText" text="NUEVO">
      <formula>NOT(ISERROR(SEARCH("NUEVO",C1175)))</formula>
    </cfRule>
  </conditionalFormatting>
  <conditionalFormatting sqref="E1175">
    <cfRule type="containsText" dxfId="2139" priority="2443" operator="containsText" text="NUEVO">
      <formula>NOT(ISERROR(SEARCH("NUEVO",E1175)))</formula>
    </cfRule>
  </conditionalFormatting>
  <conditionalFormatting sqref="E1175">
    <cfRule type="containsText" dxfId="2138" priority="2442" operator="containsText" text="Sin Información">
      <formula>NOT(ISERROR(SEARCH("Sin Información",E1175)))</formula>
    </cfRule>
  </conditionalFormatting>
  <conditionalFormatting sqref="E1175">
    <cfRule type="expression" dxfId="2137" priority="2441">
      <formula>E1175&lt;&gt;""</formula>
    </cfRule>
  </conditionalFormatting>
  <conditionalFormatting sqref="F1175">
    <cfRule type="expression" dxfId="2136" priority="2440">
      <formula>F1175&lt;&gt;""</formula>
    </cfRule>
  </conditionalFormatting>
  <conditionalFormatting sqref="C1176:D1176">
    <cfRule type="containsText" dxfId="2135" priority="2439" operator="containsText" text="NO+$D$4:$D$10">
      <formula>NOT(ISERROR(SEARCH("NO+$D$4:$D$10",C1176)))</formula>
    </cfRule>
  </conditionalFormatting>
  <conditionalFormatting sqref="C1176:D1176">
    <cfRule type="containsText" dxfId="2134" priority="2437" operator="containsText" text="SI">
      <formula>NOT(ISERROR(SEARCH("SI",C1176)))</formula>
    </cfRule>
    <cfRule type="containsText" dxfId="2133" priority="2438" operator="containsText" text="NO">
      <formula>NOT(ISERROR(SEARCH("NO",C1176)))</formula>
    </cfRule>
  </conditionalFormatting>
  <conditionalFormatting sqref="C1176:D1176">
    <cfRule type="containsText" dxfId="2132" priority="2436" operator="containsText" text="NUEVO">
      <formula>NOT(ISERROR(SEARCH("NUEVO",C1176)))</formula>
    </cfRule>
  </conditionalFormatting>
  <conditionalFormatting sqref="F1176">
    <cfRule type="expression" dxfId="2131" priority="2435">
      <formula>F1176&lt;&gt;""</formula>
    </cfRule>
  </conditionalFormatting>
  <conditionalFormatting sqref="E1176">
    <cfRule type="containsText" dxfId="2130" priority="2434" operator="containsText" text="NUEVO">
      <formula>NOT(ISERROR(SEARCH("NUEVO",E1176)))</formula>
    </cfRule>
  </conditionalFormatting>
  <conditionalFormatting sqref="E1176">
    <cfRule type="containsText" dxfId="2129" priority="2433" operator="containsText" text="Sin Información">
      <formula>NOT(ISERROR(SEARCH("Sin Información",E1176)))</formula>
    </cfRule>
  </conditionalFormatting>
  <conditionalFormatting sqref="E1176">
    <cfRule type="expression" dxfId="2128" priority="2432">
      <formula>E1176&lt;&gt;""</formula>
    </cfRule>
  </conditionalFormatting>
  <conditionalFormatting sqref="C1177:D1177">
    <cfRule type="containsText" dxfId="2127" priority="2431" operator="containsText" text="NO+$D$4:$D$10">
      <formula>NOT(ISERROR(SEARCH("NO+$D$4:$D$10",C1177)))</formula>
    </cfRule>
  </conditionalFormatting>
  <conditionalFormatting sqref="C1177:D1177">
    <cfRule type="containsText" dxfId="2126" priority="2429" operator="containsText" text="SI">
      <formula>NOT(ISERROR(SEARCH("SI",C1177)))</formula>
    </cfRule>
    <cfRule type="containsText" dxfId="2125" priority="2430" operator="containsText" text="NO">
      <formula>NOT(ISERROR(SEARCH("NO",C1177)))</formula>
    </cfRule>
  </conditionalFormatting>
  <conditionalFormatting sqref="C1177:D1177">
    <cfRule type="containsText" dxfId="2124" priority="2428" operator="containsText" text="NUEVO">
      <formula>NOT(ISERROR(SEARCH("NUEVO",C1177)))</formula>
    </cfRule>
  </conditionalFormatting>
  <conditionalFormatting sqref="F1177">
    <cfRule type="expression" dxfId="2123" priority="2427">
      <formula>F1177&lt;&gt;""</formula>
    </cfRule>
  </conditionalFormatting>
  <conditionalFormatting sqref="E1177">
    <cfRule type="containsText" dxfId="2122" priority="2426" operator="containsText" text="NUEVO">
      <formula>NOT(ISERROR(SEARCH("NUEVO",E1177)))</formula>
    </cfRule>
  </conditionalFormatting>
  <conditionalFormatting sqref="E1177">
    <cfRule type="containsText" dxfId="2121" priority="2425" operator="containsText" text="Sin Información">
      <formula>NOT(ISERROR(SEARCH("Sin Información",E1177)))</formula>
    </cfRule>
  </conditionalFormatting>
  <conditionalFormatting sqref="E1177">
    <cfRule type="expression" dxfId="2120" priority="2424">
      <formula>E1177&lt;&gt;""</formula>
    </cfRule>
  </conditionalFormatting>
  <conditionalFormatting sqref="C1558:D1558">
    <cfRule type="containsText" dxfId="2119" priority="2423" operator="containsText" text="NO+$D$4:$D$10">
      <formula>NOT(ISERROR(SEARCH("NO+$D$4:$D$10",C1558)))</formula>
    </cfRule>
  </conditionalFormatting>
  <conditionalFormatting sqref="C1558:D1558">
    <cfRule type="containsText" dxfId="2118" priority="2421" operator="containsText" text="SI">
      <formula>NOT(ISERROR(SEARCH("SI",C1558)))</formula>
    </cfRule>
    <cfRule type="containsText" dxfId="2117" priority="2422" operator="containsText" text="NO">
      <formula>NOT(ISERROR(SEARCH("NO",C1558)))</formula>
    </cfRule>
  </conditionalFormatting>
  <conditionalFormatting sqref="C1558:D1558">
    <cfRule type="containsText" dxfId="2116" priority="2420" operator="containsText" text="NUEVO">
      <formula>NOT(ISERROR(SEARCH("NUEVO",C1558)))</formula>
    </cfRule>
  </conditionalFormatting>
  <conditionalFormatting sqref="F1558">
    <cfRule type="expression" dxfId="2115" priority="2419">
      <formula>F1558&lt;&gt;""</formula>
    </cfRule>
  </conditionalFormatting>
  <conditionalFormatting sqref="E1558">
    <cfRule type="containsText" dxfId="2114" priority="2418" operator="containsText" text="NUEVO">
      <formula>NOT(ISERROR(SEARCH("NUEVO",E1558)))</formula>
    </cfRule>
  </conditionalFormatting>
  <conditionalFormatting sqref="E1558">
    <cfRule type="containsText" dxfId="2113" priority="2417" operator="containsText" text="Sin Información">
      <formula>NOT(ISERROR(SEARCH("Sin Información",E1558)))</formula>
    </cfRule>
  </conditionalFormatting>
  <conditionalFormatting sqref="E1558">
    <cfRule type="expression" dxfId="2112" priority="2416">
      <formula>E1558&lt;&gt;""</formula>
    </cfRule>
  </conditionalFormatting>
  <conditionalFormatting sqref="C1559:D1559">
    <cfRule type="containsText" dxfId="2111" priority="2415" operator="containsText" text="NO+$D$4:$D$10">
      <formula>NOT(ISERROR(SEARCH("NO+$D$4:$D$10",C1559)))</formula>
    </cfRule>
  </conditionalFormatting>
  <conditionalFormatting sqref="C1559:D1559">
    <cfRule type="containsText" dxfId="2110" priority="2413" operator="containsText" text="SI">
      <formula>NOT(ISERROR(SEARCH("SI",C1559)))</formula>
    </cfRule>
    <cfRule type="containsText" dxfId="2109" priority="2414" operator="containsText" text="NO">
      <formula>NOT(ISERROR(SEARCH("NO",C1559)))</formula>
    </cfRule>
  </conditionalFormatting>
  <conditionalFormatting sqref="C1559:D1559">
    <cfRule type="containsText" dxfId="2108" priority="2412" operator="containsText" text="NUEVO">
      <formula>NOT(ISERROR(SEARCH("NUEVO",C1559)))</formula>
    </cfRule>
  </conditionalFormatting>
  <conditionalFormatting sqref="F1559">
    <cfRule type="expression" dxfId="2107" priority="2411">
      <formula>F1559&lt;&gt;""</formula>
    </cfRule>
  </conditionalFormatting>
  <conditionalFormatting sqref="E1559">
    <cfRule type="containsText" dxfId="2106" priority="2409" operator="containsText" text="Sin Información">
      <formula>NOT(ISERROR(SEARCH("Sin Información",E1559)))</formula>
    </cfRule>
  </conditionalFormatting>
  <conditionalFormatting sqref="E1559">
    <cfRule type="containsText" dxfId="2105" priority="2410" operator="containsText" text="NUEVO">
      <formula>NOT(ISERROR(SEARCH("NUEVO",E1559)))</formula>
    </cfRule>
  </conditionalFormatting>
  <conditionalFormatting sqref="E1559">
    <cfRule type="expression" dxfId="2104" priority="2408">
      <formula>E1559&lt;&gt;""</formula>
    </cfRule>
  </conditionalFormatting>
  <conditionalFormatting sqref="E1559">
    <cfRule type="containsText" dxfId="2103" priority="2407" operator="containsText" text="Sin información">
      <formula>NOT(ISERROR(SEARCH("Sin información",E1559)))</formula>
    </cfRule>
  </conditionalFormatting>
  <conditionalFormatting sqref="E1559">
    <cfRule type="expression" dxfId="2102" priority="2406">
      <formula>E1559&lt;&gt;""</formula>
    </cfRule>
  </conditionalFormatting>
  <conditionalFormatting sqref="E1559">
    <cfRule type="containsText" dxfId="2101" priority="2403" operator="containsText" text="Sin Información">
      <formula>NOT(ISERROR(SEARCH("Sin Información",E1559)))</formula>
    </cfRule>
  </conditionalFormatting>
  <conditionalFormatting sqref="F1559">
    <cfRule type="expression" dxfId="2100" priority="2405">
      <formula>F1559&lt;&gt;""</formula>
    </cfRule>
  </conditionalFormatting>
  <conditionalFormatting sqref="E1559">
    <cfRule type="containsText" dxfId="2099" priority="2404" operator="containsText" text="NUEVO">
      <formula>NOT(ISERROR(SEARCH("NUEVO",E1559)))</formula>
    </cfRule>
  </conditionalFormatting>
  <conditionalFormatting sqref="E1559">
    <cfRule type="expression" dxfId="2098" priority="2402">
      <formula>E1559&lt;&gt;""</formula>
    </cfRule>
  </conditionalFormatting>
  <conditionalFormatting sqref="C1560:D1560">
    <cfRule type="containsText" dxfId="2097" priority="2401" operator="containsText" text="NO+$D$4:$D$10">
      <formula>NOT(ISERROR(SEARCH("NO+$D$4:$D$10",C1560)))</formula>
    </cfRule>
  </conditionalFormatting>
  <conditionalFormatting sqref="C1560:D1560">
    <cfRule type="containsText" dxfId="2096" priority="2399" operator="containsText" text="SI">
      <formula>NOT(ISERROR(SEARCH("SI",C1560)))</formula>
    </cfRule>
    <cfRule type="containsText" dxfId="2095" priority="2400" operator="containsText" text="NO">
      <formula>NOT(ISERROR(SEARCH("NO",C1560)))</formula>
    </cfRule>
  </conditionalFormatting>
  <conditionalFormatting sqref="C1560:D1560">
    <cfRule type="containsText" dxfId="2094" priority="2398" operator="containsText" text="NUEVO">
      <formula>NOT(ISERROR(SEARCH("NUEVO",C1560)))</formula>
    </cfRule>
  </conditionalFormatting>
  <conditionalFormatting sqref="F1560">
    <cfRule type="expression" dxfId="2093" priority="2397">
      <formula>F1560&lt;&gt;""</formula>
    </cfRule>
  </conditionalFormatting>
  <conditionalFormatting sqref="E1560">
    <cfRule type="containsText" dxfId="2092" priority="2396" operator="containsText" text="NUEVO">
      <formula>NOT(ISERROR(SEARCH("NUEVO",E1560)))</formula>
    </cfRule>
  </conditionalFormatting>
  <conditionalFormatting sqref="E1560">
    <cfRule type="containsText" dxfId="2091" priority="2395" operator="containsText" text="Sin Información">
      <formula>NOT(ISERROR(SEARCH("Sin Información",E1560)))</formula>
    </cfRule>
  </conditionalFormatting>
  <conditionalFormatting sqref="E1560">
    <cfRule type="expression" dxfId="2090" priority="2394">
      <formula>E1560&lt;&gt;""</formula>
    </cfRule>
  </conditionalFormatting>
  <conditionalFormatting sqref="C1561:D1561">
    <cfRule type="containsText" dxfId="2089" priority="2393" operator="containsText" text="NO+$D$4:$D$10">
      <formula>NOT(ISERROR(SEARCH("NO+$D$4:$D$10",C1561)))</formula>
    </cfRule>
  </conditionalFormatting>
  <conditionalFormatting sqref="C1561:D1561">
    <cfRule type="containsText" dxfId="2088" priority="2391" operator="containsText" text="SI">
      <formula>NOT(ISERROR(SEARCH("SI",C1561)))</formula>
    </cfRule>
    <cfRule type="containsText" dxfId="2087" priority="2392" operator="containsText" text="NO">
      <formula>NOT(ISERROR(SEARCH("NO",C1561)))</formula>
    </cfRule>
  </conditionalFormatting>
  <conditionalFormatting sqref="C1561:E1561">
    <cfRule type="containsText" dxfId="2086" priority="2390" operator="containsText" text="NUEVO">
      <formula>NOT(ISERROR(SEARCH("NUEVO",C1561)))</formula>
    </cfRule>
  </conditionalFormatting>
  <conditionalFormatting sqref="E1561">
    <cfRule type="containsText" dxfId="2085" priority="2389" operator="containsText" text="Sin Información">
      <formula>NOT(ISERROR(SEARCH("Sin Información",E1561)))</formula>
    </cfRule>
  </conditionalFormatting>
  <conditionalFormatting sqref="E1561:F1561">
    <cfRule type="expression" dxfId="2084" priority="2388">
      <formula>E1561&lt;&gt;""</formula>
    </cfRule>
  </conditionalFormatting>
  <conditionalFormatting sqref="E1561">
    <cfRule type="containsText" dxfId="2083" priority="2387" operator="containsText" text="NUEVO">
      <formula>NOT(ISERROR(SEARCH("NUEVO",E1561)))</formula>
    </cfRule>
  </conditionalFormatting>
  <conditionalFormatting sqref="E1561">
    <cfRule type="containsText" dxfId="2082" priority="2386" operator="containsText" text="Sin Información">
      <formula>NOT(ISERROR(SEARCH("Sin Información",E1561)))</formula>
    </cfRule>
  </conditionalFormatting>
  <conditionalFormatting sqref="E1561">
    <cfRule type="expression" dxfId="2081" priority="2385">
      <formula>E1561&lt;&gt;""</formula>
    </cfRule>
  </conditionalFormatting>
  <conditionalFormatting sqref="C1562:D1562">
    <cfRule type="containsText" dxfId="2080" priority="2384" operator="containsText" text="NO+$D$4:$D$10">
      <formula>NOT(ISERROR(SEARCH("NO+$D$4:$D$10",C1562)))</formula>
    </cfRule>
  </conditionalFormatting>
  <conditionalFormatting sqref="C1562:D1562">
    <cfRule type="containsText" dxfId="2079" priority="2382" operator="containsText" text="SI">
      <formula>NOT(ISERROR(SEARCH("SI",C1562)))</formula>
    </cfRule>
    <cfRule type="containsText" dxfId="2078" priority="2383" operator="containsText" text="NO">
      <formula>NOT(ISERROR(SEARCH("NO",C1562)))</formula>
    </cfRule>
  </conditionalFormatting>
  <conditionalFormatting sqref="C1562:D1562">
    <cfRule type="containsText" dxfId="2077" priority="2381" operator="containsText" text="NUEVO">
      <formula>NOT(ISERROR(SEARCH("NUEVO",C1562)))</formula>
    </cfRule>
  </conditionalFormatting>
  <conditionalFormatting sqref="F1562">
    <cfRule type="expression" dxfId="2076" priority="2380">
      <formula>F1562&lt;&gt;""</formula>
    </cfRule>
  </conditionalFormatting>
  <conditionalFormatting sqref="E1562">
    <cfRule type="containsText" dxfId="2075" priority="2379" operator="containsText" text="Sin información">
      <formula>NOT(ISERROR(SEARCH("Sin información",E1562)))</formula>
    </cfRule>
  </conditionalFormatting>
  <conditionalFormatting sqref="E1562">
    <cfRule type="containsText" dxfId="2074" priority="2378" operator="containsText" text="NUEVO">
      <formula>NOT(ISERROR(SEARCH("NUEVO",E1562)))</formula>
    </cfRule>
  </conditionalFormatting>
  <conditionalFormatting sqref="E1562">
    <cfRule type="containsText" dxfId="2073" priority="2377" operator="containsText" text="Sin Información">
      <formula>NOT(ISERROR(SEARCH("Sin Información",E1562)))</formula>
    </cfRule>
  </conditionalFormatting>
  <conditionalFormatting sqref="E1562">
    <cfRule type="expression" dxfId="2072" priority="2376">
      <formula>E1562&lt;&gt;""</formula>
    </cfRule>
  </conditionalFormatting>
  <conditionalFormatting sqref="C1563:D1563">
    <cfRule type="containsText" dxfId="2071" priority="2375" operator="containsText" text="NO+$D$4:$D$10">
      <formula>NOT(ISERROR(SEARCH("NO+$D$4:$D$10",C1563)))</formula>
    </cfRule>
  </conditionalFormatting>
  <conditionalFormatting sqref="C1563:D1563">
    <cfRule type="containsText" dxfId="2070" priority="2373" operator="containsText" text="SI">
      <formula>NOT(ISERROR(SEARCH("SI",C1563)))</formula>
    </cfRule>
    <cfRule type="containsText" dxfId="2069" priority="2374" operator="containsText" text="NO">
      <formula>NOT(ISERROR(SEARCH("NO",C1563)))</formula>
    </cfRule>
  </conditionalFormatting>
  <conditionalFormatting sqref="C1563:D1563">
    <cfRule type="containsText" dxfId="2068" priority="2372" operator="containsText" text="NUEVO">
      <formula>NOT(ISERROR(SEARCH("NUEVO",C1563)))</formula>
    </cfRule>
  </conditionalFormatting>
  <conditionalFormatting sqref="F1563">
    <cfRule type="expression" dxfId="2067" priority="2371">
      <formula>F1563&lt;&gt;""</formula>
    </cfRule>
  </conditionalFormatting>
  <conditionalFormatting sqref="E1563">
    <cfRule type="containsText" dxfId="2066" priority="2370" operator="containsText" text="NUEVO">
      <formula>NOT(ISERROR(SEARCH("NUEVO",E1563)))</formula>
    </cfRule>
  </conditionalFormatting>
  <conditionalFormatting sqref="E1563">
    <cfRule type="containsText" dxfId="2065" priority="2369" operator="containsText" text="Sin Información">
      <formula>NOT(ISERROR(SEARCH("Sin Información",E1563)))</formula>
    </cfRule>
  </conditionalFormatting>
  <conditionalFormatting sqref="E1563">
    <cfRule type="expression" dxfId="2064" priority="2368">
      <formula>E1563&lt;&gt;""</formula>
    </cfRule>
  </conditionalFormatting>
  <conditionalFormatting sqref="C1564:D1564">
    <cfRule type="containsText" dxfId="2063" priority="2367" operator="containsText" text="NO+$D$4:$D$10">
      <formula>NOT(ISERROR(SEARCH("NO+$D$4:$D$10",C1564)))</formula>
    </cfRule>
  </conditionalFormatting>
  <conditionalFormatting sqref="C1564:D1564">
    <cfRule type="containsText" dxfId="2062" priority="2365" operator="containsText" text="SI">
      <formula>NOT(ISERROR(SEARCH("SI",C1564)))</formula>
    </cfRule>
    <cfRule type="containsText" dxfId="2061" priority="2366" operator="containsText" text="NO">
      <formula>NOT(ISERROR(SEARCH("NO",C1564)))</formula>
    </cfRule>
  </conditionalFormatting>
  <conditionalFormatting sqref="C1564:D1564">
    <cfRule type="containsText" dxfId="2060" priority="2364" operator="containsText" text="NUEVO">
      <formula>NOT(ISERROR(SEARCH("NUEVO",C1564)))</formula>
    </cfRule>
  </conditionalFormatting>
  <conditionalFormatting sqref="E1564">
    <cfRule type="containsText" dxfId="2059" priority="2363" operator="containsText" text="NUEVO">
      <formula>NOT(ISERROR(SEARCH("NUEVO",E1564)))</formula>
    </cfRule>
  </conditionalFormatting>
  <conditionalFormatting sqref="E1564">
    <cfRule type="containsText" dxfId="2058" priority="2362" operator="containsText" text="Sin Información">
      <formula>NOT(ISERROR(SEARCH("Sin Información",E1564)))</formula>
    </cfRule>
  </conditionalFormatting>
  <conditionalFormatting sqref="E1564">
    <cfRule type="expression" dxfId="2057" priority="2361">
      <formula>E1564&lt;&gt;""</formula>
    </cfRule>
  </conditionalFormatting>
  <conditionalFormatting sqref="F1564">
    <cfRule type="expression" dxfId="2056" priority="2360">
      <formula>F1564&lt;&gt;""</formula>
    </cfRule>
  </conditionalFormatting>
  <conditionalFormatting sqref="C1565:D1565">
    <cfRule type="containsText" dxfId="2055" priority="2359" operator="containsText" text="NO+$D$4:$D$10">
      <formula>NOT(ISERROR(SEARCH("NO+$D$4:$D$10",C1565)))</formula>
    </cfRule>
  </conditionalFormatting>
  <conditionalFormatting sqref="C1565:D1565">
    <cfRule type="containsText" dxfId="2054" priority="2357" operator="containsText" text="SI">
      <formula>NOT(ISERROR(SEARCH("SI",C1565)))</formula>
    </cfRule>
    <cfRule type="containsText" dxfId="2053" priority="2358" operator="containsText" text="NO">
      <formula>NOT(ISERROR(SEARCH("NO",C1565)))</formula>
    </cfRule>
  </conditionalFormatting>
  <conditionalFormatting sqref="C1565:E1565">
    <cfRule type="containsText" dxfId="2052" priority="2356" operator="containsText" text="NUEVO">
      <formula>NOT(ISERROR(SEARCH("NUEVO",C1565)))</formula>
    </cfRule>
  </conditionalFormatting>
  <conditionalFormatting sqref="E1565">
    <cfRule type="containsText" dxfId="2051" priority="2355" operator="containsText" text="Sin Información">
      <formula>NOT(ISERROR(SEARCH("Sin Información",E1565)))</formula>
    </cfRule>
  </conditionalFormatting>
  <conditionalFormatting sqref="E1565:F1565">
    <cfRule type="expression" dxfId="2050" priority="2354">
      <formula>E1565&lt;&gt;""</formula>
    </cfRule>
  </conditionalFormatting>
  <conditionalFormatting sqref="C1566:D1566">
    <cfRule type="containsText" dxfId="2049" priority="2347" operator="containsText" text="NO+$D$4:$D$10">
      <formula>NOT(ISERROR(SEARCH("NO+$D$4:$D$10",C1566)))</formula>
    </cfRule>
  </conditionalFormatting>
  <conditionalFormatting sqref="C1566:D1566">
    <cfRule type="containsText" dxfId="2048" priority="2345" operator="containsText" text="SI">
      <formula>NOT(ISERROR(SEARCH("SI",C1566)))</formula>
    </cfRule>
    <cfRule type="containsText" dxfId="2047" priority="2346" operator="containsText" text="NO">
      <formula>NOT(ISERROR(SEARCH("NO",C1566)))</formula>
    </cfRule>
  </conditionalFormatting>
  <conditionalFormatting sqref="C1566:D1566">
    <cfRule type="containsText" dxfId="2046" priority="2344" operator="containsText" text="NUEVO">
      <formula>NOT(ISERROR(SEARCH("NUEVO",C1566)))</formula>
    </cfRule>
  </conditionalFormatting>
  <conditionalFormatting sqref="F1566">
    <cfRule type="expression" dxfId="2045" priority="2343">
      <formula>F1566&lt;&gt;""</formula>
    </cfRule>
  </conditionalFormatting>
  <conditionalFormatting sqref="E1566">
    <cfRule type="containsText" dxfId="2044" priority="2342" operator="containsText" text="NUEVO">
      <formula>NOT(ISERROR(SEARCH("NUEVO",E1566)))</formula>
    </cfRule>
  </conditionalFormatting>
  <conditionalFormatting sqref="E1566">
    <cfRule type="containsText" dxfId="2043" priority="2341" operator="containsText" text="Sin Información">
      <formula>NOT(ISERROR(SEARCH("Sin Información",E1566)))</formula>
    </cfRule>
  </conditionalFormatting>
  <conditionalFormatting sqref="E1566">
    <cfRule type="expression" dxfId="2042" priority="2340">
      <formula>E1566&lt;&gt;""</formula>
    </cfRule>
  </conditionalFormatting>
  <conditionalFormatting sqref="C1567:D1567">
    <cfRule type="containsText" dxfId="2041" priority="2339" operator="containsText" text="NO+$D$4:$D$10">
      <formula>NOT(ISERROR(SEARCH("NO+$D$4:$D$10",C1567)))</formula>
    </cfRule>
  </conditionalFormatting>
  <conditionalFormatting sqref="C1567:D1567">
    <cfRule type="containsText" dxfId="2040" priority="2337" operator="containsText" text="SI">
      <formula>NOT(ISERROR(SEARCH("SI",C1567)))</formula>
    </cfRule>
    <cfRule type="containsText" dxfId="2039" priority="2338" operator="containsText" text="NO">
      <formula>NOT(ISERROR(SEARCH("NO",C1567)))</formula>
    </cfRule>
  </conditionalFormatting>
  <conditionalFormatting sqref="C1567:D1567">
    <cfRule type="containsText" dxfId="2038" priority="2336" operator="containsText" text="NUEVO">
      <formula>NOT(ISERROR(SEARCH("NUEVO",C1567)))</formula>
    </cfRule>
  </conditionalFormatting>
  <conditionalFormatting sqref="F1567">
    <cfRule type="expression" dxfId="2037" priority="2335">
      <formula>F1567&lt;&gt;""</formula>
    </cfRule>
  </conditionalFormatting>
  <conditionalFormatting sqref="E1567">
    <cfRule type="containsText" dxfId="2036" priority="2334" operator="containsText" text="NUEVO">
      <formula>NOT(ISERROR(SEARCH("NUEVO",E1567)))</formula>
    </cfRule>
  </conditionalFormatting>
  <conditionalFormatting sqref="E1567">
    <cfRule type="containsText" dxfId="2035" priority="2333" operator="containsText" text="Sin Información">
      <formula>NOT(ISERROR(SEARCH("Sin Información",E1567)))</formula>
    </cfRule>
  </conditionalFormatting>
  <conditionalFormatting sqref="E1567">
    <cfRule type="expression" dxfId="2034" priority="2332">
      <formula>E1567&lt;&gt;""</formula>
    </cfRule>
  </conditionalFormatting>
  <conditionalFormatting sqref="C1568:D1568">
    <cfRule type="containsText" dxfId="2033" priority="2331" operator="containsText" text="NO+$D$4:$D$10">
      <formula>NOT(ISERROR(SEARCH("NO+$D$4:$D$10",C1568)))</formula>
    </cfRule>
  </conditionalFormatting>
  <conditionalFormatting sqref="C1568:D1568">
    <cfRule type="containsText" dxfId="2032" priority="2329" operator="containsText" text="SI">
      <formula>NOT(ISERROR(SEARCH("SI",C1568)))</formula>
    </cfRule>
    <cfRule type="containsText" dxfId="2031" priority="2330" operator="containsText" text="NO">
      <formula>NOT(ISERROR(SEARCH("NO",C1568)))</formula>
    </cfRule>
  </conditionalFormatting>
  <conditionalFormatting sqref="C1568:D1568">
    <cfRule type="containsText" dxfId="2030" priority="2328" operator="containsText" text="NUEVO">
      <formula>NOT(ISERROR(SEARCH("NUEVO",C1568)))</formula>
    </cfRule>
  </conditionalFormatting>
  <conditionalFormatting sqref="F1568">
    <cfRule type="expression" dxfId="2029" priority="2327">
      <formula>F1568&lt;&gt;""</formula>
    </cfRule>
  </conditionalFormatting>
  <conditionalFormatting sqref="E1568">
    <cfRule type="containsText" dxfId="2028" priority="2326" operator="containsText" text="NUEVO">
      <formula>NOT(ISERROR(SEARCH("NUEVO",E1568)))</formula>
    </cfRule>
  </conditionalFormatting>
  <conditionalFormatting sqref="E1568">
    <cfRule type="containsText" dxfId="2027" priority="2325" operator="containsText" text="Sin Información">
      <formula>NOT(ISERROR(SEARCH("Sin Información",E1568)))</formula>
    </cfRule>
  </conditionalFormatting>
  <conditionalFormatting sqref="E1568">
    <cfRule type="expression" dxfId="2026" priority="2324">
      <formula>E1568&lt;&gt;""</formula>
    </cfRule>
  </conditionalFormatting>
  <conditionalFormatting sqref="C1569:D1569">
    <cfRule type="containsText" dxfId="2025" priority="2323" operator="containsText" text="NO+$D$4:$D$10">
      <formula>NOT(ISERROR(SEARCH("NO+$D$4:$D$10",C1569)))</formula>
    </cfRule>
  </conditionalFormatting>
  <conditionalFormatting sqref="C1569:D1569">
    <cfRule type="containsText" dxfId="2024" priority="2321" operator="containsText" text="SI">
      <formula>NOT(ISERROR(SEARCH("SI",C1569)))</formula>
    </cfRule>
    <cfRule type="containsText" dxfId="2023" priority="2322" operator="containsText" text="NO">
      <formula>NOT(ISERROR(SEARCH("NO",C1569)))</formula>
    </cfRule>
  </conditionalFormatting>
  <conditionalFormatting sqref="C1569:D1569">
    <cfRule type="containsText" dxfId="2022" priority="2320" operator="containsText" text="NUEVO">
      <formula>NOT(ISERROR(SEARCH("NUEVO",C1569)))</formula>
    </cfRule>
  </conditionalFormatting>
  <conditionalFormatting sqref="F1569">
    <cfRule type="expression" dxfId="2021" priority="2319">
      <formula>F1569&lt;&gt;""</formula>
    </cfRule>
  </conditionalFormatting>
  <conditionalFormatting sqref="E1569">
    <cfRule type="containsText" dxfId="2020" priority="2318" operator="containsText" text="NUEVO">
      <formula>NOT(ISERROR(SEARCH("NUEVO",E1569)))</formula>
    </cfRule>
  </conditionalFormatting>
  <conditionalFormatting sqref="E1569">
    <cfRule type="containsText" dxfId="2019" priority="2317" operator="containsText" text="Sin Información">
      <formula>NOT(ISERROR(SEARCH("Sin Información",E1569)))</formula>
    </cfRule>
  </conditionalFormatting>
  <conditionalFormatting sqref="E1569">
    <cfRule type="expression" dxfId="2018" priority="2316">
      <formula>E1569&lt;&gt;""</formula>
    </cfRule>
  </conditionalFormatting>
  <conditionalFormatting sqref="C1570:D1570">
    <cfRule type="containsText" dxfId="2017" priority="2315" operator="containsText" text="NO+$D$4:$D$10">
      <formula>NOT(ISERROR(SEARCH("NO+$D$4:$D$10",C1570)))</formula>
    </cfRule>
  </conditionalFormatting>
  <conditionalFormatting sqref="C1570:D1570">
    <cfRule type="containsText" dxfId="2016" priority="2313" operator="containsText" text="SI">
      <formula>NOT(ISERROR(SEARCH("SI",C1570)))</formula>
    </cfRule>
    <cfRule type="containsText" dxfId="2015" priority="2314" operator="containsText" text="NO">
      <formula>NOT(ISERROR(SEARCH("NO",C1570)))</formula>
    </cfRule>
  </conditionalFormatting>
  <conditionalFormatting sqref="C1570:D1570">
    <cfRule type="containsText" dxfId="2014" priority="2312" operator="containsText" text="NUEVO">
      <formula>NOT(ISERROR(SEARCH("NUEVO",C1570)))</formula>
    </cfRule>
  </conditionalFormatting>
  <conditionalFormatting sqref="F1570">
    <cfRule type="expression" dxfId="2013" priority="2311">
      <formula>F1570&lt;&gt;""</formula>
    </cfRule>
  </conditionalFormatting>
  <conditionalFormatting sqref="E1570">
    <cfRule type="containsText" dxfId="2012" priority="2310" operator="containsText" text="NUEVO">
      <formula>NOT(ISERROR(SEARCH("NUEVO",E1570)))</formula>
    </cfRule>
  </conditionalFormatting>
  <conditionalFormatting sqref="E1570">
    <cfRule type="containsText" dxfId="2011" priority="2309" operator="containsText" text="Sin Información">
      <formula>NOT(ISERROR(SEARCH("Sin Información",E1570)))</formula>
    </cfRule>
  </conditionalFormatting>
  <conditionalFormatting sqref="E1570">
    <cfRule type="expression" dxfId="2010" priority="2308">
      <formula>E1570&lt;&gt;""</formula>
    </cfRule>
  </conditionalFormatting>
  <conditionalFormatting sqref="C1573:D1573">
    <cfRule type="containsText" dxfId="2009" priority="2307" operator="containsText" text="NO+$D$4:$D$10">
      <formula>NOT(ISERROR(SEARCH("NO+$D$4:$D$10",C1573)))</formula>
    </cfRule>
  </conditionalFormatting>
  <conditionalFormatting sqref="C1573:D1573">
    <cfRule type="containsText" dxfId="2008" priority="2305" operator="containsText" text="SI">
      <formula>NOT(ISERROR(SEARCH("SI",C1573)))</formula>
    </cfRule>
    <cfRule type="containsText" dxfId="2007" priority="2306" operator="containsText" text="NO">
      <formula>NOT(ISERROR(SEARCH("NO",C1573)))</formula>
    </cfRule>
  </conditionalFormatting>
  <conditionalFormatting sqref="C1573:D1573">
    <cfRule type="containsText" dxfId="2006" priority="2304" operator="containsText" text="NUEVO">
      <formula>NOT(ISERROR(SEARCH("NUEVO",C1573)))</formula>
    </cfRule>
  </conditionalFormatting>
  <conditionalFormatting sqref="F1573">
    <cfRule type="expression" dxfId="2005" priority="2303">
      <formula>F1573&lt;&gt;""</formula>
    </cfRule>
  </conditionalFormatting>
  <conditionalFormatting sqref="E1573">
    <cfRule type="containsText" dxfId="2004" priority="2302" operator="containsText" text="NUEVO">
      <formula>NOT(ISERROR(SEARCH("NUEVO",E1573)))</formula>
    </cfRule>
  </conditionalFormatting>
  <conditionalFormatting sqref="E1573">
    <cfRule type="containsText" dxfId="2003" priority="2301" operator="containsText" text="Sin Información">
      <formula>NOT(ISERROR(SEARCH("Sin Información",E1573)))</formula>
    </cfRule>
  </conditionalFormatting>
  <conditionalFormatting sqref="E1573">
    <cfRule type="expression" dxfId="2002" priority="2300">
      <formula>E1573&lt;&gt;""</formula>
    </cfRule>
  </conditionalFormatting>
  <conditionalFormatting sqref="C1633:D1633">
    <cfRule type="containsText" dxfId="2001" priority="2299" operator="containsText" text="NO+$D$4:$D$10">
      <formula>NOT(ISERROR(SEARCH("NO+$D$4:$D$10",C1633)))</formula>
    </cfRule>
  </conditionalFormatting>
  <conditionalFormatting sqref="C1633:D1633">
    <cfRule type="containsText" dxfId="2000" priority="2297" operator="containsText" text="SI">
      <formula>NOT(ISERROR(SEARCH("SI",C1633)))</formula>
    </cfRule>
    <cfRule type="containsText" dxfId="1999" priority="2298" operator="containsText" text="NO">
      <formula>NOT(ISERROR(SEARCH("NO",C1633)))</formula>
    </cfRule>
  </conditionalFormatting>
  <conditionalFormatting sqref="C1633:D1633">
    <cfRule type="containsText" dxfId="1998" priority="2296" operator="containsText" text="NUEVO">
      <formula>NOT(ISERROR(SEARCH("NUEVO",C1633)))</formula>
    </cfRule>
  </conditionalFormatting>
  <conditionalFormatting sqref="F1633">
    <cfRule type="expression" dxfId="1997" priority="2295">
      <formula>F1633&lt;&gt;""</formula>
    </cfRule>
  </conditionalFormatting>
  <conditionalFormatting sqref="E1633">
    <cfRule type="containsText" dxfId="1996" priority="2294" operator="containsText" text="NUEVO">
      <formula>NOT(ISERROR(SEARCH("NUEVO",E1633)))</formula>
    </cfRule>
  </conditionalFormatting>
  <conditionalFormatting sqref="E1633">
    <cfRule type="containsText" dxfId="1995" priority="2293" operator="containsText" text="Sin Información">
      <formula>NOT(ISERROR(SEARCH("Sin Información",E1633)))</formula>
    </cfRule>
  </conditionalFormatting>
  <conditionalFormatting sqref="E1633">
    <cfRule type="expression" dxfId="1994" priority="2292">
      <formula>E1633&lt;&gt;""</formula>
    </cfRule>
  </conditionalFormatting>
  <conditionalFormatting sqref="C1634:D1634">
    <cfRule type="containsText" dxfId="1993" priority="2291" operator="containsText" text="NO+$D$4:$D$10">
      <formula>NOT(ISERROR(SEARCH("NO+$D$4:$D$10",C1634)))</formula>
    </cfRule>
  </conditionalFormatting>
  <conditionalFormatting sqref="C1634:D1634">
    <cfRule type="containsText" dxfId="1992" priority="2289" operator="containsText" text="SI">
      <formula>NOT(ISERROR(SEARCH("SI",C1634)))</formula>
    </cfRule>
    <cfRule type="containsText" dxfId="1991" priority="2290" operator="containsText" text="NO">
      <formula>NOT(ISERROR(SEARCH("NO",C1634)))</formula>
    </cfRule>
  </conditionalFormatting>
  <conditionalFormatting sqref="C1634:E1634">
    <cfRule type="containsText" dxfId="1990" priority="2288" operator="containsText" text="NUEVO">
      <formula>NOT(ISERROR(SEARCH("NUEVO",C1634)))</formula>
    </cfRule>
  </conditionalFormatting>
  <conditionalFormatting sqref="E1634">
    <cfRule type="containsText" dxfId="1989" priority="2287" operator="containsText" text="Sin Información">
      <formula>NOT(ISERROR(SEARCH("Sin Información",E1634)))</formula>
    </cfRule>
  </conditionalFormatting>
  <conditionalFormatting sqref="E1634">
    <cfRule type="expression" dxfId="1988" priority="2286">
      <formula>E1634&lt;&gt;""</formula>
    </cfRule>
  </conditionalFormatting>
  <conditionalFormatting sqref="F1634">
    <cfRule type="expression" dxfId="1987" priority="2285">
      <formula>F1634&lt;&gt;""</formula>
    </cfRule>
  </conditionalFormatting>
  <conditionalFormatting sqref="C1635:D1635">
    <cfRule type="containsText" dxfId="1986" priority="2284" operator="containsText" text="NO+$D$4:$D$10">
      <formula>NOT(ISERROR(SEARCH("NO+$D$4:$D$10",C1635)))</formula>
    </cfRule>
  </conditionalFormatting>
  <conditionalFormatting sqref="C1635:D1635">
    <cfRule type="containsText" dxfId="1985" priority="2282" operator="containsText" text="SI">
      <formula>NOT(ISERROR(SEARCH("SI",C1635)))</formula>
    </cfRule>
    <cfRule type="containsText" dxfId="1984" priority="2283" operator="containsText" text="NO">
      <formula>NOT(ISERROR(SEARCH("NO",C1635)))</formula>
    </cfRule>
  </conditionalFormatting>
  <conditionalFormatting sqref="C1635:D1635">
    <cfRule type="containsText" dxfId="1983" priority="2281" operator="containsText" text="NUEVO">
      <formula>NOT(ISERROR(SEARCH("NUEVO",C1635)))</formula>
    </cfRule>
  </conditionalFormatting>
  <conditionalFormatting sqref="F1635">
    <cfRule type="expression" dxfId="1982" priority="2280">
      <formula>F1635&lt;&gt;""</formula>
    </cfRule>
  </conditionalFormatting>
  <conditionalFormatting sqref="E1635">
    <cfRule type="containsText" dxfId="1981" priority="2279" operator="containsText" text="NUEVO">
      <formula>NOT(ISERROR(SEARCH("NUEVO",E1635)))</formula>
    </cfRule>
  </conditionalFormatting>
  <conditionalFormatting sqref="E1635">
    <cfRule type="containsText" dxfId="1980" priority="2278" operator="containsText" text="Sin Información">
      <formula>NOT(ISERROR(SEARCH("Sin Información",E1635)))</formula>
    </cfRule>
  </conditionalFormatting>
  <conditionalFormatting sqref="E1635">
    <cfRule type="expression" dxfId="1979" priority="2277">
      <formula>E1635&lt;&gt;""</formula>
    </cfRule>
  </conditionalFormatting>
  <conditionalFormatting sqref="C1636:D1636">
    <cfRule type="containsText" dxfId="1978" priority="2276" operator="containsText" text="NO+$D$4:$D$10">
      <formula>NOT(ISERROR(SEARCH("NO+$D$4:$D$10",C1636)))</formula>
    </cfRule>
  </conditionalFormatting>
  <conditionalFormatting sqref="C1636:D1636">
    <cfRule type="containsText" dxfId="1977" priority="2274" operator="containsText" text="SI">
      <formula>NOT(ISERROR(SEARCH("SI",C1636)))</formula>
    </cfRule>
    <cfRule type="containsText" dxfId="1976" priority="2275" operator="containsText" text="NO">
      <formula>NOT(ISERROR(SEARCH("NO",C1636)))</formula>
    </cfRule>
  </conditionalFormatting>
  <conditionalFormatting sqref="C1636:D1636">
    <cfRule type="containsText" dxfId="1975" priority="2273" operator="containsText" text="NUEVO">
      <formula>NOT(ISERROR(SEARCH("NUEVO",C1636)))</formula>
    </cfRule>
  </conditionalFormatting>
  <conditionalFormatting sqref="E1636">
    <cfRule type="containsText" dxfId="1974" priority="2271" operator="containsText" text="NUEVO">
      <formula>NOT(ISERROR(SEARCH("NUEVO",E1636)))</formula>
    </cfRule>
  </conditionalFormatting>
  <conditionalFormatting sqref="F1636">
    <cfRule type="expression" dxfId="1973" priority="2272">
      <formula>F1636&lt;&gt;""</formula>
    </cfRule>
  </conditionalFormatting>
  <conditionalFormatting sqref="E1636">
    <cfRule type="containsText" dxfId="1972" priority="2270" operator="containsText" text="Sin Información">
      <formula>NOT(ISERROR(SEARCH("Sin Información",E1636)))</formula>
    </cfRule>
  </conditionalFormatting>
  <conditionalFormatting sqref="E1636">
    <cfRule type="expression" dxfId="1971" priority="2269">
      <formula>E1636&lt;&gt;""</formula>
    </cfRule>
  </conditionalFormatting>
  <conditionalFormatting sqref="C1637:D1637">
    <cfRule type="containsText" dxfId="1970" priority="2268" operator="containsText" text="NO+$D$4:$D$10">
      <formula>NOT(ISERROR(SEARCH("NO+$D$4:$D$10",C1637)))</formula>
    </cfRule>
  </conditionalFormatting>
  <conditionalFormatting sqref="C1637:D1637">
    <cfRule type="containsText" dxfId="1969" priority="2266" operator="containsText" text="SI">
      <formula>NOT(ISERROR(SEARCH("SI",C1637)))</formula>
    </cfRule>
    <cfRule type="containsText" dxfId="1968" priority="2267" operator="containsText" text="NO">
      <formula>NOT(ISERROR(SEARCH("NO",C1637)))</formula>
    </cfRule>
  </conditionalFormatting>
  <conditionalFormatting sqref="C1637:D1637">
    <cfRule type="containsText" dxfId="1967" priority="2265" operator="containsText" text="NUEVO">
      <formula>NOT(ISERROR(SEARCH("NUEVO",C1637)))</formula>
    </cfRule>
  </conditionalFormatting>
  <conditionalFormatting sqref="F1637">
    <cfRule type="expression" dxfId="1966" priority="2264">
      <formula>F1637&lt;&gt;""</formula>
    </cfRule>
  </conditionalFormatting>
  <conditionalFormatting sqref="E1637">
    <cfRule type="containsText" dxfId="1965" priority="2263" operator="containsText" text="NUEVO">
      <formula>NOT(ISERROR(SEARCH("NUEVO",E1637)))</formula>
    </cfRule>
  </conditionalFormatting>
  <conditionalFormatting sqref="E1637">
    <cfRule type="containsText" dxfId="1964" priority="2262" operator="containsText" text="Sin Información">
      <formula>NOT(ISERROR(SEARCH("Sin Información",E1637)))</formula>
    </cfRule>
  </conditionalFormatting>
  <conditionalFormatting sqref="E1637">
    <cfRule type="expression" dxfId="1963" priority="2261">
      <formula>E1637&lt;&gt;""</formula>
    </cfRule>
  </conditionalFormatting>
  <conditionalFormatting sqref="C1638:D1638">
    <cfRule type="containsText" dxfId="1962" priority="2260" operator="containsText" text="NO+$D$4:$D$10">
      <formula>NOT(ISERROR(SEARCH("NO+$D$4:$D$10",C1638)))</formula>
    </cfRule>
  </conditionalFormatting>
  <conditionalFormatting sqref="C1638:D1638">
    <cfRule type="containsText" dxfId="1961" priority="2258" operator="containsText" text="SI">
      <formula>NOT(ISERROR(SEARCH("SI",C1638)))</formula>
    </cfRule>
    <cfRule type="containsText" dxfId="1960" priority="2259" operator="containsText" text="NO">
      <formula>NOT(ISERROR(SEARCH("NO",C1638)))</formula>
    </cfRule>
  </conditionalFormatting>
  <conditionalFormatting sqref="C1638:D1638">
    <cfRule type="containsText" dxfId="1959" priority="2257" operator="containsText" text="NUEVO">
      <formula>NOT(ISERROR(SEARCH("NUEVO",C1638)))</formula>
    </cfRule>
  </conditionalFormatting>
  <conditionalFormatting sqref="F1638">
    <cfRule type="expression" dxfId="1958" priority="2256">
      <formula>F1638&lt;&gt;""</formula>
    </cfRule>
  </conditionalFormatting>
  <conditionalFormatting sqref="E1638">
    <cfRule type="containsText" dxfId="1957" priority="2255" operator="containsText" text="NUEVO">
      <formula>NOT(ISERROR(SEARCH("NUEVO",E1638)))</formula>
    </cfRule>
  </conditionalFormatting>
  <conditionalFormatting sqref="E1638">
    <cfRule type="containsText" dxfId="1956" priority="2254" operator="containsText" text="Sin Información">
      <formula>NOT(ISERROR(SEARCH("Sin Información",E1638)))</formula>
    </cfRule>
  </conditionalFormatting>
  <conditionalFormatting sqref="E1638">
    <cfRule type="expression" dxfId="1955" priority="2253">
      <formula>E1638&lt;&gt;""</formula>
    </cfRule>
  </conditionalFormatting>
  <conditionalFormatting sqref="C1639:D1639">
    <cfRule type="containsText" dxfId="1954" priority="2252" operator="containsText" text="NO+$D$4:$D$10">
      <formula>NOT(ISERROR(SEARCH("NO+$D$4:$D$10",C1639)))</formula>
    </cfRule>
  </conditionalFormatting>
  <conditionalFormatting sqref="C1639:D1639">
    <cfRule type="containsText" dxfId="1953" priority="2250" operator="containsText" text="SI">
      <formula>NOT(ISERROR(SEARCH("SI",C1639)))</formula>
    </cfRule>
    <cfRule type="containsText" dxfId="1952" priority="2251" operator="containsText" text="NO">
      <formula>NOT(ISERROR(SEARCH("NO",C1639)))</formula>
    </cfRule>
  </conditionalFormatting>
  <conditionalFormatting sqref="C1639:D1639">
    <cfRule type="containsText" dxfId="1951" priority="2249" operator="containsText" text="NUEVO">
      <formula>NOT(ISERROR(SEARCH("NUEVO",C1639)))</formula>
    </cfRule>
  </conditionalFormatting>
  <conditionalFormatting sqref="F1639">
    <cfRule type="expression" dxfId="1950" priority="2248">
      <formula>F1639&lt;&gt;""</formula>
    </cfRule>
  </conditionalFormatting>
  <conditionalFormatting sqref="E1639">
    <cfRule type="containsText" dxfId="1949" priority="2247" operator="containsText" text="NUEVO">
      <formula>NOT(ISERROR(SEARCH("NUEVO",E1639)))</formula>
    </cfRule>
  </conditionalFormatting>
  <conditionalFormatting sqref="E1639">
    <cfRule type="containsText" dxfId="1948" priority="2246" operator="containsText" text="Sin Información">
      <formula>NOT(ISERROR(SEARCH("Sin Información",E1639)))</formula>
    </cfRule>
  </conditionalFormatting>
  <conditionalFormatting sqref="E1639">
    <cfRule type="expression" dxfId="1947" priority="2245">
      <formula>E1639&lt;&gt;""</formula>
    </cfRule>
  </conditionalFormatting>
  <conditionalFormatting sqref="C1640:D1640">
    <cfRule type="containsText" dxfId="1946" priority="2244" operator="containsText" text="NO+$D$4:$D$10">
      <formula>NOT(ISERROR(SEARCH("NO+$D$4:$D$10",C1640)))</formula>
    </cfRule>
  </conditionalFormatting>
  <conditionalFormatting sqref="C1640:D1640">
    <cfRule type="containsText" dxfId="1945" priority="2242" operator="containsText" text="SI">
      <formula>NOT(ISERROR(SEARCH("SI",C1640)))</formula>
    </cfRule>
    <cfRule type="containsText" dxfId="1944" priority="2243" operator="containsText" text="NO">
      <formula>NOT(ISERROR(SEARCH("NO",C1640)))</formula>
    </cfRule>
  </conditionalFormatting>
  <conditionalFormatting sqref="C1640:D1640">
    <cfRule type="containsText" dxfId="1943" priority="2241" operator="containsText" text="NUEVO">
      <formula>NOT(ISERROR(SEARCH("NUEVO",C1640)))</formula>
    </cfRule>
  </conditionalFormatting>
  <conditionalFormatting sqref="F1640">
    <cfRule type="expression" dxfId="1942" priority="2240">
      <formula>F1640&lt;&gt;""</formula>
    </cfRule>
  </conditionalFormatting>
  <conditionalFormatting sqref="E1640">
    <cfRule type="containsText" dxfId="1941" priority="2239" operator="containsText" text="NUEVO">
      <formula>NOT(ISERROR(SEARCH("NUEVO",E1640)))</formula>
    </cfRule>
  </conditionalFormatting>
  <conditionalFormatting sqref="E1640">
    <cfRule type="containsText" dxfId="1940" priority="2238" operator="containsText" text="Sin Información">
      <formula>NOT(ISERROR(SEARCH("Sin Información",E1640)))</formula>
    </cfRule>
  </conditionalFormatting>
  <conditionalFormatting sqref="E1640">
    <cfRule type="expression" dxfId="1939" priority="2237">
      <formula>E1640&lt;&gt;""</formula>
    </cfRule>
  </conditionalFormatting>
  <conditionalFormatting sqref="C188:D188">
    <cfRule type="containsText" dxfId="1938" priority="2236" operator="containsText" text="NO+$D$4:$D$10">
      <formula>NOT(ISERROR(SEARCH("NO+$D$4:$D$10",C188)))</formula>
    </cfRule>
  </conditionalFormatting>
  <conditionalFormatting sqref="C188:D188">
    <cfRule type="containsText" dxfId="1937" priority="2234" operator="containsText" text="SI">
      <formula>NOT(ISERROR(SEARCH("SI",C188)))</formula>
    </cfRule>
    <cfRule type="containsText" dxfId="1936" priority="2235" operator="containsText" text="NO">
      <formula>NOT(ISERROR(SEARCH("NO",C188)))</formula>
    </cfRule>
  </conditionalFormatting>
  <conditionalFormatting sqref="E188">
    <cfRule type="containsText" dxfId="1935" priority="2233" operator="containsText" text="Sin información">
      <formula>NOT(ISERROR(SEARCH("Sin información",E188)))</formula>
    </cfRule>
  </conditionalFormatting>
  <conditionalFormatting sqref="C188:E188">
    <cfRule type="containsText" dxfId="1934" priority="2232" operator="containsText" text="NUEVO">
      <formula>NOT(ISERROR(SEARCH("NUEVO",C188)))</formula>
    </cfRule>
  </conditionalFormatting>
  <conditionalFormatting sqref="E188:F188">
    <cfRule type="expression" dxfId="1933" priority="2231">
      <formula>E188&lt;&gt;""</formula>
    </cfRule>
  </conditionalFormatting>
  <conditionalFormatting sqref="C189:D189">
    <cfRule type="containsText" dxfId="1932" priority="2230" operator="containsText" text="NO+$D$4:$D$10">
      <formula>NOT(ISERROR(SEARCH("NO+$D$4:$D$10",C189)))</formula>
    </cfRule>
  </conditionalFormatting>
  <conditionalFormatting sqref="C189:D189">
    <cfRule type="containsText" dxfId="1931" priority="2228" operator="containsText" text="SI">
      <formula>NOT(ISERROR(SEARCH("SI",C189)))</formula>
    </cfRule>
    <cfRule type="containsText" dxfId="1930" priority="2229" operator="containsText" text="NO">
      <formula>NOT(ISERROR(SEARCH("NO",C189)))</formula>
    </cfRule>
  </conditionalFormatting>
  <conditionalFormatting sqref="E189">
    <cfRule type="containsText" dxfId="1929" priority="2227" operator="containsText" text="Sin información">
      <formula>NOT(ISERROR(SEARCH("Sin información",E189)))</formula>
    </cfRule>
  </conditionalFormatting>
  <conditionalFormatting sqref="C189:E189">
    <cfRule type="containsText" dxfId="1928" priority="2226" operator="containsText" text="NUEVO">
      <formula>NOT(ISERROR(SEARCH("NUEVO",C189)))</formula>
    </cfRule>
  </conditionalFormatting>
  <conditionalFormatting sqref="E189:F189">
    <cfRule type="expression" dxfId="1927" priority="2225">
      <formula>E189&lt;&gt;""</formula>
    </cfRule>
  </conditionalFormatting>
  <conditionalFormatting sqref="C190:D190">
    <cfRule type="containsText" dxfId="1926" priority="2224" operator="containsText" text="NO+$D$4:$D$10">
      <formula>NOT(ISERROR(SEARCH("NO+$D$4:$D$10",C190)))</formula>
    </cfRule>
  </conditionalFormatting>
  <conditionalFormatting sqref="C190:D190">
    <cfRule type="containsText" dxfId="1925" priority="2222" operator="containsText" text="SI">
      <formula>NOT(ISERROR(SEARCH("SI",C190)))</formula>
    </cfRule>
    <cfRule type="containsText" dxfId="1924" priority="2223" operator="containsText" text="NO">
      <formula>NOT(ISERROR(SEARCH("NO",C190)))</formula>
    </cfRule>
  </conditionalFormatting>
  <conditionalFormatting sqref="C190:D190">
    <cfRule type="containsText" dxfId="1923" priority="2221" operator="containsText" text="NUEVO">
      <formula>NOT(ISERROR(SEARCH("NUEVO",C190)))</formula>
    </cfRule>
  </conditionalFormatting>
  <conditionalFormatting sqref="E190">
    <cfRule type="containsText" dxfId="1922" priority="2219" operator="containsText" text="Sin información">
      <formula>NOT(ISERROR(SEARCH("Sin información",E190)))</formula>
    </cfRule>
  </conditionalFormatting>
  <conditionalFormatting sqref="F190">
    <cfRule type="expression" dxfId="1921" priority="2220">
      <formula>F190&lt;&gt;""</formula>
    </cfRule>
  </conditionalFormatting>
  <conditionalFormatting sqref="E190">
    <cfRule type="containsText" dxfId="1920" priority="2218" operator="containsText" text="NUEVO">
      <formula>NOT(ISERROR(SEARCH("NUEVO",E190)))</formula>
    </cfRule>
  </conditionalFormatting>
  <conditionalFormatting sqref="E190">
    <cfRule type="expression" dxfId="1919" priority="2217">
      <formula>E190&lt;&gt;""</formula>
    </cfRule>
  </conditionalFormatting>
  <conditionalFormatting sqref="C191:D191">
    <cfRule type="containsText" dxfId="1918" priority="2216" operator="containsText" text="NO+$D$4:$D$10">
      <formula>NOT(ISERROR(SEARCH("NO+$D$4:$D$10",C191)))</formula>
    </cfRule>
  </conditionalFormatting>
  <conditionalFormatting sqref="C191:D191">
    <cfRule type="containsText" dxfId="1917" priority="2214" operator="containsText" text="SI">
      <formula>NOT(ISERROR(SEARCH("SI",C191)))</formula>
    </cfRule>
    <cfRule type="containsText" dxfId="1916" priority="2215" operator="containsText" text="NO">
      <formula>NOT(ISERROR(SEARCH("NO",C191)))</formula>
    </cfRule>
  </conditionalFormatting>
  <conditionalFormatting sqref="C191:D191">
    <cfRule type="containsText" dxfId="1915" priority="2213" operator="containsText" text="NUEVO">
      <formula>NOT(ISERROR(SEARCH("NUEVO",C191)))</formula>
    </cfRule>
  </conditionalFormatting>
  <conditionalFormatting sqref="F191">
    <cfRule type="expression" dxfId="1914" priority="2212">
      <formula>F191&lt;&gt;""</formula>
    </cfRule>
  </conditionalFormatting>
  <conditionalFormatting sqref="E191">
    <cfRule type="containsText" dxfId="1913" priority="2211" operator="containsText" text="Sin información">
      <formula>NOT(ISERROR(SEARCH("Sin información",E191)))</formula>
    </cfRule>
  </conditionalFormatting>
  <conditionalFormatting sqref="E191">
    <cfRule type="containsText" dxfId="1912" priority="2210" operator="containsText" text="NUEVO">
      <formula>NOT(ISERROR(SEARCH("NUEVO",E191)))</formula>
    </cfRule>
  </conditionalFormatting>
  <conditionalFormatting sqref="E191">
    <cfRule type="expression" dxfId="1911" priority="2209">
      <formula>E191&lt;&gt;""</formula>
    </cfRule>
  </conditionalFormatting>
  <conditionalFormatting sqref="C192:D192">
    <cfRule type="containsText" dxfId="1910" priority="2208" operator="containsText" text="NO+$D$4:$D$10">
      <formula>NOT(ISERROR(SEARCH("NO+$D$4:$D$10",C192)))</formula>
    </cfRule>
  </conditionalFormatting>
  <conditionalFormatting sqref="C192:D192">
    <cfRule type="containsText" dxfId="1909" priority="2206" operator="containsText" text="SI">
      <formula>NOT(ISERROR(SEARCH("SI",C192)))</formula>
    </cfRule>
    <cfRule type="containsText" dxfId="1908" priority="2207" operator="containsText" text="NO">
      <formula>NOT(ISERROR(SEARCH("NO",C192)))</formula>
    </cfRule>
  </conditionalFormatting>
  <conditionalFormatting sqref="C192:D192">
    <cfRule type="containsText" dxfId="1907" priority="2205" operator="containsText" text="NUEVO">
      <formula>NOT(ISERROR(SEARCH("NUEVO",C192)))</formula>
    </cfRule>
  </conditionalFormatting>
  <conditionalFormatting sqref="E192">
    <cfRule type="containsText" dxfId="1906" priority="2203" operator="containsText" text="Sin información">
      <formula>NOT(ISERROR(SEARCH("Sin información",E1305)))</formula>
    </cfRule>
  </conditionalFormatting>
  <conditionalFormatting sqref="E192">
    <cfRule type="containsText" dxfId="1905" priority="2204" operator="containsText" text="NUEVO">
      <formula>NOT(ISERROR(SEARCH("NUEVO",E1305)))</formula>
    </cfRule>
  </conditionalFormatting>
  <conditionalFormatting sqref="E192">
    <cfRule type="containsText" dxfId="1904" priority="2202" operator="containsText" text="Sin Información">
      <formula>NOT(ISERROR(SEARCH("Sin Información",E1305)))</formula>
    </cfRule>
  </conditionalFormatting>
  <conditionalFormatting sqref="F192">
    <cfRule type="expression" dxfId="1903" priority="2201">
      <formula>F192&lt;&gt;""</formula>
    </cfRule>
  </conditionalFormatting>
  <conditionalFormatting sqref="C193:D193">
    <cfRule type="containsText" dxfId="1902" priority="2200" operator="containsText" text="NO+$D$4:$D$10">
      <formula>NOT(ISERROR(SEARCH("NO+$D$4:$D$10",C193)))</formula>
    </cfRule>
  </conditionalFormatting>
  <conditionalFormatting sqref="C193:D193">
    <cfRule type="containsText" dxfId="1901" priority="2198" operator="containsText" text="SI">
      <formula>NOT(ISERROR(SEARCH("SI",C193)))</formula>
    </cfRule>
    <cfRule type="containsText" dxfId="1900" priority="2199" operator="containsText" text="NO">
      <formula>NOT(ISERROR(SEARCH("NO",C193)))</formula>
    </cfRule>
  </conditionalFormatting>
  <conditionalFormatting sqref="C193:D193">
    <cfRule type="containsText" dxfId="1899" priority="2197" operator="containsText" text="NUEVO">
      <formula>NOT(ISERROR(SEARCH("NUEVO",C193)))</formula>
    </cfRule>
  </conditionalFormatting>
  <conditionalFormatting sqref="F193">
    <cfRule type="expression" dxfId="1898" priority="2196">
      <formula>F193&lt;&gt;""</formula>
    </cfRule>
  </conditionalFormatting>
  <conditionalFormatting sqref="E193">
    <cfRule type="expression" dxfId="1897" priority="2195">
      <formula>E193&lt;&gt;""</formula>
    </cfRule>
  </conditionalFormatting>
  <conditionalFormatting sqref="E193">
    <cfRule type="containsText" dxfId="1896" priority="2194" operator="containsText" text="Sin información">
      <formula>NOT(ISERROR(SEARCH("Sin información",E193)))</formula>
    </cfRule>
  </conditionalFormatting>
  <conditionalFormatting sqref="E193">
    <cfRule type="containsText" dxfId="1895" priority="2193" operator="containsText" text="NUEVO">
      <formula>NOT(ISERROR(SEARCH("NUEVO",E193)))</formula>
    </cfRule>
  </conditionalFormatting>
  <conditionalFormatting sqref="C194:D194">
    <cfRule type="containsText" dxfId="1894" priority="2192" operator="containsText" text="NO+$D$4:$D$10">
      <formula>NOT(ISERROR(SEARCH("NO+$D$4:$D$10",C194)))</formula>
    </cfRule>
  </conditionalFormatting>
  <conditionalFormatting sqref="C194:D194">
    <cfRule type="containsText" dxfId="1893" priority="2190" operator="containsText" text="SI">
      <formula>NOT(ISERROR(SEARCH("SI",C194)))</formula>
    </cfRule>
    <cfRule type="containsText" dxfId="1892" priority="2191" operator="containsText" text="NO">
      <formula>NOT(ISERROR(SEARCH("NO",C194)))</formula>
    </cfRule>
  </conditionalFormatting>
  <conditionalFormatting sqref="C194:D194">
    <cfRule type="containsText" dxfId="1891" priority="2189" operator="containsText" text="NUEVO">
      <formula>NOT(ISERROR(SEARCH("NUEVO",C194)))</formula>
    </cfRule>
  </conditionalFormatting>
  <conditionalFormatting sqref="E194">
    <cfRule type="containsText" dxfId="1890" priority="2186" operator="containsText" text="NUEVO">
      <formula>NOT(ISERROR(SEARCH("NUEVO",E194)))</formula>
    </cfRule>
  </conditionalFormatting>
  <conditionalFormatting sqref="F194">
    <cfRule type="expression" dxfId="1889" priority="2188">
      <formula>F194&lt;&gt;""</formula>
    </cfRule>
  </conditionalFormatting>
  <conditionalFormatting sqref="E194">
    <cfRule type="containsText" dxfId="1888" priority="2187" operator="containsText" text="Sin información">
      <formula>NOT(ISERROR(SEARCH("Sin información",E194)))</formula>
    </cfRule>
  </conditionalFormatting>
  <conditionalFormatting sqref="E194">
    <cfRule type="expression" dxfId="1887" priority="2185">
      <formula>E194&lt;&gt;""</formula>
    </cfRule>
  </conditionalFormatting>
  <conditionalFormatting sqref="C195:D195">
    <cfRule type="containsText" dxfId="1886" priority="2184" operator="containsText" text="NO+$D$4:$D$10">
      <formula>NOT(ISERROR(SEARCH("NO+$D$4:$D$10",C195)))</formula>
    </cfRule>
  </conditionalFormatting>
  <conditionalFormatting sqref="C195:D195">
    <cfRule type="containsText" dxfId="1885" priority="2182" operator="containsText" text="SI">
      <formula>NOT(ISERROR(SEARCH("SI",C195)))</formula>
    </cfRule>
    <cfRule type="containsText" dxfId="1884" priority="2183" operator="containsText" text="NO">
      <formula>NOT(ISERROR(SEARCH("NO",C195)))</formula>
    </cfRule>
  </conditionalFormatting>
  <conditionalFormatting sqref="C195:D195">
    <cfRule type="containsText" dxfId="1883" priority="2181" operator="containsText" text="NUEVO">
      <formula>NOT(ISERROR(SEARCH("NUEVO",C195)))</formula>
    </cfRule>
  </conditionalFormatting>
  <conditionalFormatting sqref="F195">
    <cfRule type="expression" dxfId="1882" priority="2180">
      <formula>F195&lt;&gt;""</formula>
    </cfRule>
  </conditionalFormatting>
  <conditionalFormatting sqref="E195">
    <cfRule type="expression" dxfId="1881" priority="2175">
      <formula>E195&lt;&gt;""</formula>
    </cfRule>
  </conditionalFormatting>
  <conditionalFormatting sqref="E195">
    <cfRule type="containsText" dxfId="1880" priority="2179" operator="containsText" text="Sin información">
      <formula>NOT(ISERROR(SEARCH("Sin información",E195)))</formula>
    </cfRule>
  </conditionalFormatting>
  <conditionalFormatting sqref="E195">
    <cfRule type="containsText" dxfId="1879" priority="2178" operator="containsText" text="NUEVO">
      <formula>NOT(ISERROR(SEARCH("NUEVO",E195)))</formula>
    </cfRule>
  </conditionalFormatting>
  <conditionalFormatting sqref="E195">
    <cfRule type="containsText" dxfId="1878" priority="2177" operator="containsText" text="Sin Información">
      <formula>NOT(ISERROR(SEARCH("Sin Información",E195)))</formula>
    </cfRule>
  </conditionalFormatting>
  <conditionalFormatting sqref="E195">
    <cfRule type="expression" dxfId="1877" priority="2176">
      <formula>E195&lt;&gt;""</formula>
    </cfRule>
  </conditionalFormatting>
  <conditionalFormatting sqref="C196:D196">
    <cfRule type="containsText" dxfId="1876" priority="2174" operator="containsText" text="NO+$D$4:$D$10">
      <formula>NOT(ISERROR(SEARCH("NO+$D$4:$D$10",C196)))</formula>
    </cfRule>
  </conditionalFormatting>
  <conditionalFormatting sqref="C196:D196">
    <cfRule type="containsText" dxfId="1875" priority="2172" operator="containsText" text="SI">
      <formula>NOT(ISERROR(SEARCH("SI",C196)))</formula>
    </cfRule>
    <cfRule type="containsText" dxfId="1874" priority="2173" operator="containsText" text="NO">
      <formula>NOT(ISERROR(SEARCH("NO",C196)))</formula>
    </cfRule>
  </conditionalFormatting>
  <conditionalFormatting sqref="C196:D196">
    <cfRule type="containsText" dxfId="1873" priority="2171" operator="containsText" text="NUEVO">
      <formula>NOT(ISERROR(SEARCH("NUEVO",C196)))</formula>
    </cfRule>
  </conditionalFormatting>
  <conditionalFormatting sqref="F196">
    <cfRule type="expression" dxfId="1872" priority="2170">
      <formula>F196&lt;&gt;""</formula>
    </cfRule>
  </conditionalFormatting>
  <conditionalFormatting sqref="E196">
    <cfRule type="containsText" dxfId="1871" priority="2169" operator="containsText" text="Sin información">
      <formula>NOT(ISERROR(SEARCH("Sin información",E196)))</formula>
    </cfRule>
  </conditionalFormatting>
  <conditionalFormatting sqref="E196">
    <cfRule type="containsText" dxfId="1870" priority="2168" operator="containsText" text="NUEVO">
      <formula>NOT(ISERROR(SEARCH("NUEVO",E196)))</formula>
    </cfRule>
  </conditionalFormatting>
  <conditionalFormatting sqref="E196">
    <cfRule type="containsText" dxfId="1869" priority="2167" operator="containsText" text="Sin Información">
      <formula>NOT(ISERROR(SEARCH("Sin Información",E196)))</formula>
    </cfRule>
  </conditionalFormatting>
  <conditionalFormatting sqref="E196">
    <cfRule type="expression" dxfId="1868" priority="2166">
      <formula>E196&lt;&gt;""</formula>
    </cfRule>
  </conditionalFormatting>
  <conditionalFormatting sqref="E196">
    <cfRule type="expression" dxfId="1867" priority="2165">
      <formula>E196&lt;&gt;""</formula>
    </cfRule>
  </conditionalFormatting>
  <conditionalFormatting sqref="C197:D197">
    <cfRule type="containsText" dxfId="1866" priority="2164" operator="containsText" text="NO+$D$4:$D$10">
      <formula>NOT(ISERROR(SEARCH("NO+$D$4:$D$10",C197)))</formula>
    </cfRule>
  </conditionalFormatting>
  <conditionalFormatting sqref="C197:D197">
    <cfRule type="containsText" dxfId="1865" priority="2162" operator="containsText" text="SI">
      <formula>NOT(ISERROR(SEARCH("SI",C197)))</formula>
    </cfRule>
    <cfRule type="containsText" dxfId="1864" priority="2163" operator="containsText" text="NO">
      <formula>NOT(ISERROR(SEARCH("NO",C197)))</formula>
    </cfRule>
  </conditionalFormatting>
  <conditionalFormatting sqref="C197:D197">
    <cfRule type="containsText" dxfId="1863" priority="2161" operator="containsText" text="NUEVO">
      <formula>NOT(ISERROR(SEARCH("NUEVO",C197)))</formula>
    </cfRule>
  </conditionalFormatting>
  <conditionalFormatting sqref="F197">
    <cfRule type="expression" dxfId="1862" priority="2160">
      <formula>F197&lt;&gt;""</formula>
    </cfRule>
  </conditionalFormatting>
  <conditionalFormatting sqref="E197">
    <cfRule type="containsText" dxfId="1861" priority="2159" operator="containsText" text="Sin información">
      <formula>NOT(ISERROR(SEARCH("Sin información",E197)))</formula>
    </cfRule>
  </conditionalFormatting>
  <conditionalFormatting sqref="E197">
    <cfRule type="containsText" dxfId="1860" priority="2158" operator="containsText" text="NUEVO">
      <formula>NOT(ISERROR(SEARCH("NUEVO",E197)))</formula>
    </cfRule>
  </conditionalFormatting>
  <conditionalFormatting sqref="E197">
    <cfRule type="containsText" dxfId="1859" priority="2157" operator="containsText" text="Sin Información">
      <formula>NOT(ISERROR(SEARCH("Sin Información",E197)))</formula>
    </cfRule>
  </conditionalFormatting>
  <conditionalFormatting sqref="E197">
    <cfRule type="expression" dxfId="1858" priority="2156">
      <formula>E197&lt;&gt;""</formula>
    </cfRule>
  </conditionalFormatting>
  <conditionalFormatting sqref="E197">
    <cfRule type="expression" dxfId="1857" priority="2155">
      <formula>E197&lt;&gt;""</formula>
    </cfRule>
  </conditionalFormatting>
  <conditionalFormatting sqref="C198:D198">
    <cfRule type="containsText" dxfId="1856" priority="2146" operator="containsText" text="NO+$D$4:$D$10">
      <formula>NOT(ISERROR(SEARCH("NO+$D$4:$D$10",C198)))</formula>
    </cfRule>
  </conditionalFormatting>
  <conditionalFormatting sqref="C198:D198">
    <cfRule type="containsText" dxfId="1855" priority="2144" operator="containsText" text="SI">
      <formula>NOT(ISERROR(SEARCH("SI",C198)))</formula>
    </cfRule>
    <cfRule type="containsText" dxfId="1854" priority="2145" operator="containsText" text="NO">
      <formula>NOT(ISERROR(SEARCH("NO",C198)))</formula>
    </cfRule>
  </conditionalFormatting>
  <conditionalFormatting sqref="C198:D198">
    <cfRule type="containsText" dxfId="1853" priority="2143" operator="containsText" text="NUEVO">
      <formula>NOT(ISERROR(SEARCH("NUEVO",C198)))</formula>
    </cfRule>
  </conditionalFormatting>
  <conditionalFormatting sqref="F198">
    <cfRule type="expression" dxfId="1852" priority="2142">
      <formula>F198&lt;&gt;""</formula>
    </cfRule>
  </conditionalFormatting>
  <conditionalFormatting sqref="E198">
    <cfRule type="expression" dxfId="1851" priority="2141">
      <formula>E198&lt;&gt;""</formula>
    </cfRule>
  </conditionalFormatting>
  <conditionalFormatting sqref="E198">
    <cfRule type="containsText" dxfId="1850" priority="2140" operator="containsText" text="Sin información">
      <formula>NOT(ISERROR(SEARCH("Sin información",E198)))</formula>
    </cfRule>
  </conditionalFormatting>
  <conditionalFormatting sqref="E198">
    <cfRule type="containsText" dxfId="1849" priority="2139" operator="containsText" text="NUEVO">
      <formula>NOT(ISERROR(SEARCH("NUEVO",E198)))</formula>
    </cfRule>
  </conditionalFormatting>
  <conditionalFormatting sqref="C199:D199">
    <cfRule type="containsText" dxfId="1848" priority="2138" operator="containsText" text="NO+$D$4:$D$10">
      <formula>NOT(ISERROR(SEARCH("NO+$D$4:$D$10",C199)))</formula>
    </cfRule>
  </conditionalFormatting>
  <conditionalFormatting sqref="C199:D199">
    <cfRule type="containsText" dxfId="1847" priority="2136" operator="containsText" text="SI">
      <formula>NOT(ISERROR(SEARCH("SI",C199)))</formula>
    </cfRule>
    <cfRule type="containsText" dxfId="1846" priority="2137" operator="containsText" text="NO">
      <formula>NOT(ISERROR(SEARCH("NO",C199)))</formula>
    </cfRule>
  </conditionalFormatting>
  <conditionalFormatting sqref="C199:D199">
    <cfRule type="containsText" dxfId="1845" priority="2135" operator="containsText" text="NUEVO">
      <formula>NOT(ISERROR(SEARCH("NUEVO",C199)))</formula>
    </cfRule>
  </conditionalFormatting>
  <conditionalFormatting sqref="E199">
    <cfRule type="expression" dxfId="1844" priority="2133">
      <formula>E199&lt;&gt;""</formula>
    </cfRule>
  </conditionalFormatting>
  <conditionalFormatting sqref="F199">
    <cfRule type="expression" dxfId="1843" priority="2134">
      <formula>F199&lt;&gt;""</formula>
    </cfRule>
  </conditionalFormatting>
  <conditionalFormatting sqref="E199">
    <cfRule type="containsText" dxfId="1842" priority="2132" operator="containsText" text="Sin información">
      <formula>NOT(ISERROR(SEARCH("Sin información",E199)))</formula>
    </cfRule>
  </conditionalFormatting>
  <conditionalFormatting sqref="E199">
    <cfRule type="containsText" dxfId="1841" priority="2131" operator="containsText" text="NUEVO">
      <formula>NOT(ISERROR(SEARCH("NUEVO",E199)))</formula>
    </cfRule>
  </conditionalFormatting>
  <conditionalFormatting sqref="C200:D200">
    <cfRule type="containsText" dxfId="1840" priority="2130" operator="containsText" text="NO+$D$4:$D$10">
      <formula>NOT(ISERROR(SEARCH("NO+$D$4:$D$10",C200)))</formula>
    </cfRule>
  </conditionalFormatting>
  <conditionalFormatting sqref="C200:D200">
    <cfRule type="containsText" dxfId="1839" priority="2128" operator="containsText" text="SI">
      <formula>NOT(ISERROR(SEARCH("SI",C200)))</formula>
    </cfRule>
    <cfRule type="containsText" dxfId="1838" priority="2129" operator="containsText" text="NO">
      <formula>NOT(ISERROR(SEARCH("NO",C200)))</formula>
    </cfRule>
  </conditionalFormatting>
  <conditionalFormatting sqref="C200:D200">
    <cfRule type="containsText" dxfId="1837" priority="2127" operator="containsText" text="NUEVO">
      <formula>NOT(ISERROR(SEARCH("NUEVO",C200)))</formula>
    </cfRule>
  </conditionalFormatting>
  <conditionalFormatting sqref="F200">
    <cfRule type="expression" dxfId="1836" priority="2126">
      <formula>F200&lt;&gt;""</formula>
    </cfRule>
  </conditionalFormatting>
  <conditionalFormatting sqref="E200">
    <cfRule type="expression" dxfId="1835" priority="2125">
      <formula>E200&lt;&gt;""</formula>
    </cfRule>
  </conditionalFormatting>
  <conditionalFormatting sqref="E200">
    <cfRule type="containsText" dxfId="1834" priority="2124" operator="containsText" text="Sin información">
      <formula>NOT(ISERROR(SEARCH("Sin información",E200)))</formula>
    </cfRule>
  </conditionalFormatting>
  <conditionalFormatting sqref="E200">
    <cfRule type="containsText" dxfId="1833" priority="2123" operator="containsText" text="NUEVO">
      <formula>NOT(ISERROR(SEARCH("NUEVO",E200)))</formula>
    </cfRule>
  </conditionalFormatting>
  <conditionalFormatting sqref="C541:D541">
    <cfRule type="containsText" dxfId="1832" priority="2116" operator="containsText" text="NO+$D$4:$D$10">
      <formula>NOT(ISERROR(SEARCH("NO+$D$4:$D$10",C541)))</formula>
    </cfRule>
  </conditionalFormatting>
  <conditionalFormatting sqref="C541:D541">
    <cfRule type="containsText" dxfId="1831" priority="2114" operator="containsText" text="SI">
      <formula>NOT(ISERROR(SEARCH("SI",C541)))</formula>
    </cfRule>
    <cfRule type="containsText" dxfId="1830" priority="2115" operator="containsText" text="NO">
      <formula>NOT(ISERROR(SEARCH("NO",C541)))</formula>
    </cfRule>
  </conditionalFormatting>
  <conditionalFormatting sqref="C541:E541">
    <cfRule type="containsText" dxfId="1829" priority="2113" operator="containsText" text="NUEVO">
      <formula>NOT(ISERROR(SEARCH("NUEVO",C541)))</formula>
    </cfRule>
  </conditionalFormatting>
  <conditionalFormatting sqref="E541">
    <cfRule type="containsText" dxfId="1828" priority="2112" operator="containsText" text="Sin Información">
      <formula>NOT(ISERROR(SEARCH("Sin Información",E541)))</formula>
    </cfRule>
  </conditionalFormatting>
  <conditionalFormatting sqref="E541:F541">
    <cfRule type="expression" dxfId="1827" priority="2111">
      <formula>E541&lt;&gt;""</formula>
    </cfRule>
  </conditionalFormatting>
  <conditionalFormatting sqref="C542:D542">
    <cfRule type="containsText" dxfId="1826" priority="2110" operator="containsText" text="NO+$D$4:$D$10">
      <formula>NOT(ISERROR(SEARCH("NO+$D$4:$D$10",C542)))</formula>
    </cfRule>
  </conditionalFormatting>
  <conditionalFormatting sqref="C542:D542">
    <cfRule type="containsText" dxfId="1825" priority="2108" operator="containsText" text="SI">
      <formula>NOT(ISERROR(SEARCH("SI",C542)))</formula>
    </cfRule>
    <cfRule type="containsText" dxfId="1824" priority="2109" operator="containsText" text="NO">
      <formula>NOT(ISERROR(SEARCH("NO",C542)))</formula>
    </cfRule>
  </conditionalFormatting>
  <conditionalFormatting sqref="C542:D542">
    <cfRule type="containsText" dxfId="1823" priority="2107" operator="containsText" text="NUEVO">
      <formula>NOT(ISERROR(SEARCH("NUEVO",C542)))</formula>
    </cfRule>
  </conditionalFormatting>
  <conditionalFormatting sqref="F542">
    <cfRule type="expression" dxfId="1822" priority="2106">
      <formula>F542&lt;&gt;""</formula>
    </cfRule>
  </conditionalFormatting>
  <conditionalFormatting sqref="E542">
    <cfRule type="containsText" dxfId="1821" priority="2104" operator="containsText" text="Sin Información">
      <formula>NOT(ISERROR(SEARCH("Sin Información",E542)))</formula>
    </cfRule>
  </conditionalFormatting>
  <conditionalFormatting sqref="E542">
    <cfRule type="containsText" dxfId="1820" priority="2105" operator="containsText" text="NUEVO">
      <formula>NOT(ISERROR(SEARCH("NUEVO",E542)))</formula>
    </cfRule>
  </conditionalFormatting>
  <conditionalFormatting sqref="E542">
    <cfRule type="expression" dxfId="1819" priority="2103">
      <formula>E542&lt;&gt;""</formula>
    </cfRule>
  </conditionalFormatting>
  <conditionalFormatting sqref="E542">
    <cfRule type="containsText" dxfId="1818" priority="2102" operator="containsText" text="Sin información">
      <formula>NOT(ISERROR(SEARCH("Sin información",E542)))</formula>
    </cfRule>
  </conditionalFormatting>
  <conditionalFormatting sqref="E542">
    <cfRule type="expression" dxfId="1817" priority="2101">
      <formula>E542&lt;&gt;""</formula>
    </cfRule>
  </conditionalFormatting>
  <conditionalFormatting sqref="C543:D543">
    <cfRule type="containsText" dxfId="1816" priority="2100" operator="containsText" text="NO+$D$4:$D$10">
      <formula>NOT(ISERROR(SEARCH("NO+$D$4:$D$10",C543)))</formula>
    </cfRule>
  </conditionalFormatting>
  <conditionalFormatting sqref="C543:D543">
    <cfRule type="containsText" dxfId="1815" priority="2098" operator="containsText" text="SI">
      <formula>NOT(ISERROR(SEARCH("SI",C543)))</formula>
    </cfRule>
    <cfRule type="containsText" dxfId="1814" priority="2099" operator="containsText" text="NO">
      <formula>NOT(ISERROR(SEARCH("NO",C543)))</formula>
    </cfRule>
  </conditionalFormatting>
  <conditionalFormatting sqref="C543:E543">
    <cfRule type="containsText" dxfId="1813" priority="2097" operator="containsText" text="NUEVO">
      <formula>NOT(ISERROR(SEARCH("NUEVO",C543)))</formula>
    </cfRule>
  </conditionalFormatting>
  <conditionalFormatting sqref="E543">
    <cfRule type="containsText" dxfId="1812" priority="2096" operator="containsText" text="Sin Información">
      <formula>NOT(ISERROR(SEARCH("Sin Información",E543)))</formula>
    </cfRule>
  </conditionalFormatting>
  <conditionalFormatting sqref="E543:F543">
    <cfRule type="expression" dxfId="1811" priority="2095">
      <formula>E543&lt;&gt;""</formula>
    </cfRule>
  </conditionalFormatting>
  <conditionalFormatting sqref="C544:D544">
    <cfRule type="containsText" dxfId="1810" priority="2094" operator="containsText" text="NO+$D$4:$D$10">
      <formula>NOT(ISERROR(SEARCH("NO+$D$4:$D$10",C544)))</formula>
    </cfRule>
  </conditionalFormatting>
  <conditionalFormatting sqref="C544:D544">
    <cfRule type="containsText" dxfId="1809" priority="2092" operator="containsText" text="SI">
      <formula>NOT(ISERROR(SEARCH("SI",C544)))</formula>
    </cfRule>
    <cfRule type="containsText" dxfId="1808" priority="2093" operator="containsText" text="NO">
      <formula>NOT(ISERROR(SEARCH("NO",C544)))</formula>
    </cfRule>
  </conditionalFormatting>
  <conditionalFormatting sqref="C544:E544">
    <cfRule type="containsText" dxfId="1807" priority="2091" operator="containsText" text="NUEVO">
      <formula>NOT(ISERROR(SEARCH("NUEVO",C544)))</formula>
    </cfRule>
  </conditionalFormatting>
  <conditionalFormatting sqref="E544">
    <cfRule type="containsText" dxfId="1806" priority="2090" operator="containsText" text="Sin Información">
      <formula>NOT(ISERROR(SEARCH("Sin Información",E544)))</formula>
    </cfRule>
  </conditionalFormatting>
  <conditionalFormatting sqref="E544">
    <cfRule type="expression" dxfId="1805" priority="2089">
      <formula>E544&lt;&gt;""</formula>
    </cfRule>
  </conditionalFormatting>
  <conditionalFormatting sqref="F544">
    <cfRule type="expression" dxfId="1804" priority="2088">
      <formula>F544&lt;&gt;""</formula>
    </cfRule>
  </conditionalFormatting>
  <conditionalFormatting sqref="C545:D545">
    <cfRule type="containsText" dxfId="1803" priority="2087" operator="containsText" text="NO+$D$4:$D$10">
      <formula>NOT(ISERROR(SEARCH("NO+$D$4:$D$10",C545)))</formula>
    </cfRule>
  </conditionalFormatting>
  <conditionalFormatting sqref="C545:D545">
    <cfRule type="containsText" dxfId="1802" priority="2085" operator="containsText" text="SI">
      <formula>NOT(ISERROR(SEARCH("SI",C545)))</formula>
    </cfRule>
    <cfRule type="containsText" dxfId="1801" priority="2086" operator="containsText" text="NO">
      <formula>NOT(ISERROR(SEARCH("NO",C545)))</formula>
    </cfRule>
  </conditionalFormatting>
  <conditionalFormatting sqref="C545:E545">
    <cfRule type="containsText" dxfId="1800" priority="2084" operator="containsText" text="NUEVO">
      <formula>NOT(ISERROR(SEARCH("NUEVO",C545)))</formula>
    </cfRule>
  </conditionalFormatting>
  <conditionalFormatting sqref="E545">
    <cfRule type="containsText" dxfId="1799" priority="2083" operator="containsText" text="Sin Información">
      <formula>NOT(ISERROR(SEARCH("Sin Información",E545)))</formula>
    </cfRule>
  </conditionalFormatting>
  <conditionalFormatting sqref="E545:F545">
    <cfRule type="expression" dxfId="1798" priority="2082">
      <formula>E545&lt;&gt;""</formula>
    </cfRule>
  </conditionalFormatting>
  <conditionalFormatting sqref="C546:D546">
    <cfRule type="containsText" dxfId="1797" priority="2081" operator="containsText" text="NO+$D$4:$D$10">
      <formula>NOT(ISERROR(SEARCH("NO+$D$4:$D$10",C546)))</formula>
    </cfRule>
  </conditionalFormatting>
  <conditionalFormatting sqref="C546:D546">
    <cfRule type="containsText" dxfId="1796" priority="2079" operator="containsText" text="SI">
      <formula>NOT(ISERROR(SEARCH("SI",C546)))</formula>
    </cfRule>
    <cfRule type="containsText" dxfId="1795" priority="2080" operator="containsText" text="NO">
      <formula>NOT(ISERROR(SEARCH("NO",C546)))</formula>
    </cfRule>
  </conditionalFormatting>
  <conditionalFormatting sqref="C546:D546">
    <cfRule type="containsText" dxfId="1794" priority="2078" operator="containsText" text="NUEVO">
      <formula>NOT(ISERROR(SEARCH("NUEVO",C546)))</formula>
    </cfRule>
  </conditionalFormatting>
  <conditionalFormatting sqref="E546">
    <cfRule type="containsText" dxfId="1793" priority="2077" operator="containsText" text="NUEVO">
      <formula>NOT(ISERROR(SEARCH("NUEVO",E546)))</formula>
    </cfRule>
  </conditionalFormatting>
  <conditionalFormatting sqref="E546">
    <cfRule type="containsText" dxfId="1792" priority="2076" operator="containsText" text="Sin Información">
      <formula>NOT(ISERROR(SEARCH("Sin Información",E546)))</formula>
    </cfRule>
  </conditionalFormatting>
  <conditionalFormatting sqref="E546:F546">
    <cfRule type="expression" dxfId="1791" priority="2075">
      <formula>E546&lt;&gt;""</formula>
    </cfRule>
  </conditionalFormatting>
  <conditionalFormatting sqref="E546">
    <cfRule type="containsText" dxfId="1790" priority="2074" operator="containsText" text="NUEVO">
      <formula>NOT(ISERROR(SEARCH("NUEVO",E546)))</formula>
    </cfRule>
  </conditionalFormatting>
  <conditionalFormatting sqref="E546">
    <cfRule type="containsText" dxfId="1789" priority="2073" operator="containsText" text="Sin Información">
      <formula>NOT(ISERROR(SEARCH("Sin Información",E546)))</formula>
    </cfRule>
  </conditionalFormatting>
  <conditionalFormatting sqref="C547:D547">
    <cfRule type="containsText" dxfId="1788" priority="2072" operator="containsText" text="NO+$D$4:$D$10">
      <formula>NOT(ISERROR(SEARCH("NO+$D$4:$D$10",C547)))</formula>
    </cfRule>
  </conditionalFormatting>
  <conditionalFormatting sqref="C547:D547">
    <cfRule type="containsText" dxfId="1787" priority="2070" operator="containsText" text="SI">
      <formula>NOT(ISERROR(SEARCH("SI",C547)))</formula>
    </cfRule>
    <cfRule type="containsText" dxfId="1786" priority="2071" operator="containsText" text="NO">
      <formula>NOT(ISERROR(SEARCH("NO",C547)))</formula>
    </cfRule>
  </conditionalFormatting>
  <conditionalFormatting sqref="C547:E547">
    <cfRule type="containsText" dxfId="1785" priority="2069" operator="containsText" text="NUEVO">
      <formula>NOT(ISERROR(SEARCH("NUEVO",C547)))</formula>
    </cfRule>
  </conditionalFormatting>
  <conditionalFormatting sqref="E547">
    <cfRule type="containsText" dxfId="1784" priority="2068" operator="containsText" text="Sin Información">
      <formula>NOT(ISERROR(SEARCH("Sin Información",E547)))</formula>
    </cfRule>
  </conditionalFormatting>
  <conditionalFormatting sqref="E547">
    <cfRule type="containsText" dxfId="1783" priority="2067" operator="containsText" text="NUEVO">
      <formula>NOT(ISERROR(SEARCH("NUEVO",E547)))</formula>
    </cfRule>
  </conditionalFormatting>
  <conditionalFormatting sqref="E547">
    <cfRule type="containsText" dxfId="1782" priority="2066" operator="containsText" text="Sin Información">
      <formula>NOT(ISERROR(SEARCH("Sin Información",E547)))</formula>
    </cfRule>
  </conditionalFormatting>
  <conditionalFormatting sqref="E547:F547">
    <cfRule type="expression" dxfId="1781" priority="2065">
      <formula>E547&lt;&gt;""</formula>
    </cfRule>
  </conditionalFormatting>
  <conditionalFormatting sqref="C548:D548">
    <cfRule type="containsText" dxfId="1780" priority="2062" operator="containsText" text="NO+$D$4:$D$10">
      <formula>NOT(ISERROR(SEARCH("NO+$D$4:$D$10",C548)))</formula>
    </cfRule>
  </conditionalFormatting>
  <conditionalFormatting sqref="C548:D548">
    <cfRule type="containsText" dxfId="1779" priority="2060" operator="containsText" text="SI">
      <formula>NOT(ISERROR(SEARCH("SI",C548)))</formula>
    </cfRule>
    <cfRule type="containsText" dxfId="1778" priority="2061" operator="containsText" text="NO">
      <formula>NOT(ISERROR(SEARCH("NO",C548)))</formula>
    </cfRule>
  </conditionalFormatting>
  <conditionalFormatting sqref="C548:E548">
    <cfRule type="containsText" dxfId="1777" priority="2059" operator="containsText" text="NUEVO">
      <formula>NOT(ISERROR(SEARCH("NUEVO",C548)))</formula>
    </cfRule>
  </conditionalFormatting>
  <conditionalFormatting sqref="E548">
    <cfRule type="containsText" dxfId="1776" priority="2058" operator="containsText" text="Sin Información">
      <formula>NOT(ISERROR(SEARCH("Sin Información",E548)))</formula>
    </cfRule>
  </conditionalFormatting>
  <conditionalFormatting sqref="E548">
    <cfRule type="containsText" dxfId="1775" priority="2063" operator="containsText" text="NUEVO">
      <formula>NOT(ISERROR(SEARCH("NUEVO",#REF!)))</formula>
    </cfRule>
  </conditionalFormatting>
  <conditionalFormatting sqref="E548">
    <cfRule type="containsText" dxfId="1774" priority="2064" operator="containsText" text="Sin Información">
      <formula>NOT(ISERROR(SEARCH("Sin Información",#REF!)))</formula>
    </cfRule>
  </conditionalFormatting>
  <conditionalFormatting sqref="E548:F548">
    <cfRule type="expression" dxfId="1773" priority="2057">
      <formula>E548&lt;&gt;""</formula>
    </cfRule>
  </conditionalFormatting>
  <conditionalFormatting sqref="C549:D549">
    <cfRule type="containsText" dxfId="1772" priority="2056" operator="containsText" text="NO+$D$4:$D$10">
      <formula>NOT(ISERROR(SEARCH("NO+$D$4:$D$10",C549)))</formula>
    </cfRule>
  </conditionalFormatting>
  <conditionalFormatting sqref="C549:D549">
    <cfRule type="containsText" dxfId="1771" priority="2054" operator="containsText" text="SI">
      <formula>NOT(ISERROR(SEARCH("SI",C549)))</formula>
    </cfRule>
    <cfRule type="containsText" dxfId="1770" priority="2055" operator="containsText" text="NO">
      <formula>NOT(ISERROR(SEARCH("NO",C549)))</formula>
    </cfRule>
  </conditionalFormatting>
  <conditionalFormatting sqref="C549:D549">
    <cfRule type="containsText" dxfId="1769" priority="2053" operator="containsText" text="NUEVO">
      <formula>NOT(ISERROR(SEARCH("NUEVO",C549)))</formula>
    </cfRule>
  </conditionalFormatting>
  <conditionalFormatting sqref="E549">
    <cfRule type="containsText" dxfId="1768" priority="2051" operator="containsText" text="Sin Información">
      <formula>NOT(ISERROR(SEARCH("Sin Información",E549)))</formula>
    </cfRule>
  </conditionalFormatting>
  <conditionalFormatting sqref="E549">
    <cfRule type="containsText" dxfId="1767" priority="2052" operator="containsText" text="NUEVO">
      <formula>NOT(ISERROR(SEARCH("NUEVO",E549)))</formula>
    </cfRule>
  </conditionalFormatting>
  <conditionalFormatting sqref="E549:F549">
    <cfRule type="expression" dxfId="1766" priority="2050">
      <formula>E549&lt;&gt;""</formula>
    </cfRule>
  </conditionalFormatting>
  <conditionalFormatting sqref="E549">
    <cfRule type="containsText" dxfId="1765" priority="2049" operator="containsText" text="NUEVO">
      <formula>NOT(ISERROR(SEARCH("NUEVO",E549)))</formula>
    </cfRule>
  </conditionalFormatting>
  <conditionalFormatting sqref="E549">
    <cfRule type="containsText" dxfId="1764" priority="2048" operator="containsText" text="Sin Información">
      <formula>NOT(ISERROR(SEARCH("Sin Información",E549)))</formula>
    </cfRule>
  </conditionalFormatting>
  <conditionalFormatting sqref="C550:D550">
    <cfRule type="containsText" dxfId="1763" priority="2047" operator="containsText" text="NO+$D$4:$D$10">
      <formula>NOT(ISERROR(SEARCH("NO+$D$4:$D$10",C550)))</formula>
    </cfRule>
  </conditionalFormatting>
  <conditionalFormatting sqref="C550:D550">
    <cfRule type="containsText" dxfId="1762" priority="2045" operator="containsText" text="SI">
      <formula>NOT(ISERROR(SEARCH("SI",C550)))</formula>
    </cfRule>
    <cfRule type="containsText" dxfId="1761" priority="2046" operator="containsText" text="NO">
      <formula>NOT(ISERROR(SEARCH("NO",C550)))</formula>
    </cfRule>
  </conditionalFormatting>
  <conditionalFormatting sqref="C550:D550">
    <cfRule type="containsText" dxfId="1760" priority="2044" operator="containsText" text="NUEVO">
      <formula>NOT(ISERROR(SEARCH("NUEVO",C550)))</formula>
    </cfRule>
  </conditionalFormatting>
  <conditionalFormatting sqref="F550">
    <cfRule type="expression" dxfId="1759" priority="2043">
      <formula>F550&lt;&gt;""</formula>
    </cfRule>
  </conditionalFormatting>
  <conditionalFormatting sqref="E550">
    <cfRule type="containsText" dxfId="1758" priority="2041" operator="containsText" text="Sin Información">
      <formula>NOT(ISERROR(SEARCH("Sin Información",E550)))</formula>
    </cfRule>
  </conditionalFormatting>
  <conditionalFormatting sqref="E550">
    <cfRule type="containsText" dxfId="1757" priority="2042" operator="containsText" text="NUEVO">
      <formula>NOT(ISERROR(SEARCH("NUEVO",E550)))</formula>
    </cfRule>
  </conditionalFormatting>
  <conditionalFormatting sqref="C551:D551">
    <cfRule type="containsText" dxfId="1756" priority="2040" operator="containsText" text="NO+$D$4:$D$10">
      <formula>NOT(ISERROR(SEARCH("NO+$D$4:$D$10",C551)))</formula>
    </cfRule>
  </conditionalFormatting>
  <conditionalFormatting sqref="C551:D551">
    <cfRule type="containsText" dxfId="1755" priority="2038" operator="containsText" text="SI">
      <formula>NOT(ISERROR(SEARCH("SI",C551)))</formula>
    </cfRule>
    <cfRule type="containsText" dxfId="1754" priority="2039" operator="containsText" text="NO">
      <formula>NOT(ISERROR(SEARCH("NO",C551)))</formula>
    </cfRule>
  </conditionalFormatting>
  <conditionalFormatting sqref="C551:E551">
    <cfRule type="containsText" dxfId="1753" priority="2037" operator="containsText" text="NUEVO">
      <formula>NOT(ISERROR(SEARCH("NUEVO",C551)))</formula>
    </cfRule>
  </conditionalFormatting>
  <conditionalFormatting sqref="E551">
    <cfRule type="containsText" dxfId="1752" priority="2036" operator="containsText" text="Sin Información">
      <formula>NOT(ISERROR(SEARCH("Sin Información",E551)))</formula>
    </cfRule>
  </conditionalFormatting>
  <conditionalFormatting sqref="E551:F551">
    <cfRule type="expression" dxfId="1751" priority="2035">
      <formula>E551&lt;&gt;""</formula>
    </cfRule>
  </conditionalFormatting>
  <conditionalFormatting sqref="C552:D552">
    <cfRule type="containsText" dxfId="1750" priority="2034" operator="containsText" text="NO+$D$4:$D$10">
      <formula>NOT(ISERROR(SEARCH("NO+$D$4:$D$10",C552)))</formula>
    </cfRule>
  </conditionalFormatting>
  <conditionalFormatting sqref="C552:D552">
    <cfRule type="containsText" dxfId="1749" priority="2032" operator="containsText" text="SI">
      <formula>NOT(ISERROR(SEARCH("SI",C552)))</formula>
    </cfRule>
    <cfRule type="containsText" dxfId="1748" priority="2033" operator="containsText" text="NO">
      <formula>NOT(ISERROR(SEARCH("NO",C552)))</formula>
    </cfRule>
  </conditionalFormatting>
  <conditionalFormatting sqref="C552:D552">
    <cfRule type="containsText" dxfId="1747" priority="2031" operator="containsText" text="NUEVO">
      <formula>NOT(ISERROR(SEARCH("NUEVO",C552)))</formula>
    </cfRule>
  </conditionalFormatting>
  <conditionalFormatting sqref="E552">
    <cfRule type="containsText" dxfId="1746" priority="2030" operator="containsText" text="NUEVO">
      <formula>NOT(ISERROR(SEARCH("NUEVO",E552)))</formula>
    </cfRule>
  </conditionalFormatting>
  <conditionalFormatting sqref="E552">
    <cfRule type="containsText" dxfId="1745" priority="2029" operator="containsText" text="Sin Información">
      <formula>NOT(ISERROR(SEARCH("Sin Información",E552)))</formula>
    </cfRule>
  </conditionalFormatting>
  <conditionalFormatting sqref="E552">
    <cfRule type="expression" dxfId="1744" priority="2028">
      <formula>E552&lt;&gt;""</formula>
    </cfRule>
  </conditionalFormatting>
  <conditionalFormatting sqref="F552">
    <cfRule type="expression" dxfId="1743" priority="2027">
      <formula>F552&lt;&gt;""</formula>
    </cfRule>
  </conditionalFormatting>
  <conditionalFormatting sqref="C553:D553">
    <cfRule type="containsText" dxfId="1742" priority="2026" operator="containsText" text="NO+$D$4:$D$10">
      <formula>NOT(ISERROR(SEARCH("NO+$D$4:$D$10",C553)))</formula>
    </cfRule>
  </conditionalFormatting>
  <conditionalFormatting sqref="C553:D553">
    <cfRule type="containsText" dxfId="1741" priority="2024" operator="containsText" text="SI">
      <formula>NOT(ISERROR(SEARCH("SI",C553)))</formula>
    </cfRule>
    <cfRule type="containsText" dxfId="1740" priority="2025" operator="containsText" text="NO">
      <formula>NOT(ISERROR(SEARCH("NO",C553)))</formula>
    </cfRule>
  </conditionalFormatting>
  <conditionalFormatting sqref="C553:D553">
    <cfRule type="containsText" dxfId="1739" priority="2023" operator="containsText" text="NUEVO">
      <formula>NOT(ISERROR(SEARCH("NUEVO",C553)))</formula>
    </cfRule>
  </conditionalFormatting>
  <conditionalFormatting sqref="E553">
    <cfRule type="containsText" dxfId="1738" priority="2022" operator="containsText" text="NUEVO">
      <formula>NOT(ISERROR(SEARCH("NUEVO",E553)))</formula>
    </cfRule>
  </conditionalFormatting>
  <conditionalFormatting sqref="E553">
    <cfRule type="containsText" dxfId="1737" priority="2021" operator="containsText" text="Sin Información">
      <formula>NOT(ISERROR(SEARCH("Sin Información",E553)))</formula>
    </cfRule>
  </conditionalFormatting>
  <conditionalFormatting sqref="E553:F553">
    <cfRule type="expression" dxfId="1736" priority="2020">
      <formula>E553&lt;&gt;""</formula>
    </cfRule>
  </conditionalFormatting>
  <conditionalFormatting sqref="E553">
    <cfRule type="containsText" dxfId="1735" priority="2019" operator="containsText" text="NUEVO">
      <formula>NOT(ISERROR(SEARCH("NUEVO",E553)))</formula>
    </cfRule>
  </conditionalFormatting>
  <conditionalFormatting sqref="E553">
    <cfRule type="containsText" dxfId="1734" priority="2018" operator="containsText" text="Sin Información">
      <formula>NOT(ISERROR(SEARCH("Sin Información",E553)))</formula>
    </cfRule>
  </conditionalFormatting>
  <conditionalFormatting sqref="C554:D554">
    <cfRule type="containsText" dxfId="1733" priority="2017" operator="containsText" text="NO+$D$4:$D$10">
      <formula>NOT(ISERROR(SEARCH("NO+$D$4:$D$10",C554)))</formula>
    </cfRule>
  </conditionalFormatting>
  <conditionalFormatting sqref="C554:D554">
    <cfRule type="containsText" dxfId="1732" priority="2015" operator="containsText" text="SI">
      <formula>NOT(ISERROR(SEARCH("SI",C554)))</formula>
    </cfRule>
    <cfRule type="containsText" dxfId="1731" priority="2016" operator="containsText" text="NO">
      <formula>NOT(ISERROR(SEARCH("NO",C554)))</formula>
    </cfRule>
  </conditionalFormatting>
  <conditionalFormatting sqref="C554:D554">
    <cfRule type="containsText" dxfId="1730" priority="2014" operator="containsText" text="NUEVO">
      <formula>NOT(ISERROR(SEARCH("NUEVO",C554)))</formula>
    </cfRule>
  </conditionalFormatting>
  <conditionalFormatting sqref="F554">
    <cfRule type="expression" dxfId="1729" priority="2013">
      <formula>F554&lt;&gt;""</formula>
    </cfRule>
  </conditionalFormatting>
  <conditionalFormatting sqref="E554">
    <cfRule type="containsText" dxfId="1728" priority="2012" operator="containsText" text="NUEVO">
      <formula>NOT(ISERROR(SEARCH("NUEVO",E554)))</formula>
    </cfRule>
  </conditionalFormatting>
  <conditionalFormatting sqref="E554">
    <cfRule type="containsText" dxfId="1727" priority="2011" operator="containsText" text="Sin Información">
      <formula>NOT(ISERROR(SEARCH("Sin Información",E554)))</formula>
    </cfRule>
  </conditionalFormatting>
  <conditionalFormatting sqref="E554">
    <cfRule type="expression" dxfId="1726" priority="2010">
      <formula>E554&lt;&gt;""</formula>
    </cfRule>
  </conditionalFormatting>
  <conditionalFormatting sqref="C555:D555">
    <cfRule type="containsText" dxfId="1725" priority="2009" operator="containsText" text="NO+$D$4:$D$10">
      <formula>NOT(ISERROR(SEARCH("NO+$D$4:$D$10",C555)))</formula>
    </cfRule>
  </conditionalFormatting>
  <conditionalFormatting sqref="C555:D555">
    <cfRule type="containsText" dxfId="1724" priority="2007" operator="containsText" text="SI">
      <formula>NOT(ISERROR(SEARCH("SI",C555)))</formula>
    </cfRule>
    <cfRule type="containsText" dxfId="1723" priority="2008" operator="containsText" text="NO">
      <formula>NOT(ISERROR(SEARCH("NO",C555)))</formula>
    </cfRule>
  </conditionalFormatting>
  <conditionalFormatting sqref="C555:D555">
    <cfRule type="containsText" dxfId="1722" priority="2006" operator="containsText" text="NUEVO">
      <formula>NOT(ISERROR(SEARCH("NUEVO",C555)))</formula>
    </cfRule>
  </conditionalFormatting>
  <conditionalFormatting sqref="F555">
    <cfRule type="expression" dxfId="1721" priority="2005">
      <formula>F555&lt;&gt;""</formula>
    </cfRule>
  </conditionalFormatting>
  <conditionalFormatting sqref="E555">
    <cfRule type="containsText" dxfId="1720" priority="2004" operator="containsText" text="NUEVO">
      <formula>NOT(ISERROR(SEARCH("NUEVO",E555)))</formula>
    </cfRule>
  </conditionalFormatting>
  <conditionalFormatting sqref="E555">
    <cfRule type="containsText" dxfId="1719" priority="2003" operator="containsText" text="Sin Información">
      <formula>NOT(ISERROR(SEARCH("Sin Información",E555)))</formula>
    </cfRule>
  </conditionalFormatting>
  <conditionalFormatting sqref="E555">
    <cfRule type="expression" dxfId="1718" priority="2002">
      <formula>E555&lt;&gt;""</formula>
    </cfRule>
  </conditionalFormatting>
  <conditionalFormatting sqref="C556:D556">
    <cfRule type="containsText" dxfId="1717" priority="2001" operator="containsText" text="NO+$D$4:$D$10">
      <formula>NOT(ISERROR(SEARCH("NO+$D$4:$D$10",C556)))</formula>
    </cfRule>
  </conditionalFormatting>
  <conditionalFormatting sqref="C556:D556">
    <cfRule type="containsText" dxfId="1716" priority="1999" operator="containsText" text="SI">
      <formula>NOT(ISERROR(SEARCH("SI",C556)))</formula>
    </cfRule>
    <cfRule type="containsText" dxfId="1715" priority="2000" operator="containsText" text="NO">
      <formula>NOT(ISERROR(SEARCH("NO",C556)))</formula>
    </cfRule>
  </conditionalFormatting>
  <conditionalFormatting sqref="C556:E556">
    <cfRule type="containsText" dxfId="1714" priority="1998" operator="containsText" text="NUEVO">
      <formula>NOT(ISERROR(SEARCH("NUEVO",C556)))</formula>
    </cfRule>
  </conditionalFormatting>
  <conditionalFormatting sqref="E556">
    <cfRule type="containsText" dxfId="1713" priority="1997" operator="containsText" text="Sin Información">
      <formula>NOT(ISERROR(SEARCH("Sin Información",E556)))</formula>
    </cfRule>
  </conditionalFormatting>
  <conditionalFormatting sqref="E556:F556">
    <cfRule type="expression" dxfId="1712" priority="1996">
      <formula>E556&lt;&gt;""</formula>
    </cfRule>
  </conditionalFormatting>
  <conditionalFormatting sqref="E556">
    <cfRule type="containsText" dxfId="1711" priority="1995" operator="containsText" text="NUEVO">
      <formula>NOT(ISERROR(SEARCH("NUEVO",E556)))</formula>
    </cfRule>
  </conditionalFormatting>
  <conditionalFormatting sqref="E556">
    <cfRule type="containsText" dxfId="1710" priority="1994" operator="containsText" text="Sin Información">
      <formula>NOT(ISERROR(SEARCH("Sin Información",E556)))</formula>
    </cfRule>
  </conditionalFormatting>
  <conditionalFormatting sqref="E556">
    <cfRule type="expression" dxfId="1709" priority="1993">
      <formula>E556&lt;&gt;""</formula>
    </cfRule>
  </conditionalFormatting>
  <conditionalFormatting sqref="F556">
    <cfRule type="expression" dxfId="1708" priority="1992">
      <formula>F556&lt;&gt;""</formula>
    </cfRule>
  </conditionalFormatting>
  <conditionalFormatting sqref="E556">
    <cfRule type="containsText" dxfId="1707" priority="1991" operator="containsText" text="NUEVO">
      <formula>NOT(ISERROR(SEARCH("NUEVO",E556)))</formula>
    </cfRule>
  </conditionalFormatting>
  <conditionalFormatting sqref="E556">
    <cfRule type="containsText" dxfId="1706" priority="1990" operator="containsText" text="Sin Información">
      <formula>NOT(ISERROR(SEARCH("Sin Información",E556)))</formula>
    </cfRule>
  </conditionalFormatting>
  <conditionalFormatting sqref="E556">
    <cfRule type="expression" dxfId="1705" priority="1989">
      <formula>E556&lt;&gt;""</formula>
    </cfRule>
  </conditionalFormatting>
  <conditionalFormatting sqref="C557:D557">
    <cfRule type="containsText" dxfId="1704" priority="1988" operator="containsText" text="NO+$D$4:$D$10">
      <formula>NOT(ISERROR(SEARCH("NO+$D$4:$D$10",C557)))</formula>
    </cfRule>
  </conditionalFormatting>
  <conditionalFormatting sqref="C557:D557">
    <cfRule type="containsText" dxfId="1703" priority="1986" operator="containsText" text="SI">
      <formula>NOT(ISERROR(SEARCH("SI",C557)))</formula>
    </cfRule>
    <cfRule type="containsText" dxfId="1702" priority="1987" operator="containsText" text="NO">
      <formula>NOT(ISERROR(SEARCH("NO",C557)))</formula>
    </cfRule>
  </conditionalFormatting>
  <conditionalFormatting sqref="C557:E557">
    <cfRule type="containsText" dxfId="1701" priority="1985" operator="containsText" text="NUEVO">
      <formula>NOT(ISERROR(SEARCH("NUEVO",C557)))</formula>
    </cfRule>
  </conditionalFormatting>
  <conditionalFormatting sqref="E557">
    <cfRule type="containsText" dxfId="1700" priority="1984" operator="containsText" text="Sin Información">
      <formula>NOT(ISERROR(SEARCH("Sin Información",E557)))</formula>
    </cfRule>
  </conditionalFormatting>
  <conditionalFormatting sqref="E557">
    <cfRule type="expression" dxfId="1699" priority="1983">
      <formula>E557&lt;&gt;""</formula>
    </cfRule>
  </conditionalFormatting>
  <conditionalFormatting sqref="E557">
    <cfRule type="containsText" dxfId="1698" priority="1982" operator="containsText" text="NUEVO">
      <formula>NOT(ISERROR(SEARCH("NUEVO",E557)))</formula>
    </cfRule>
  </conditionalFormatting>
  <conditionalFormatting sqref="E557">
    <cfRule type="containsText" dxfId="1697" priority="1981" operator="containsText" text="Sin Información">
      <formula>NOT(ISERROR(SEARCH("Sin Información",E557)))</formula>
    </cfRule>
  </conditionalFormatting>
  <conditionalFormatting sqref="E557">
    <cfRule type="expression" dxfId="1696" priority="1980">
      <formula>E557&lt;&gt;""</formula>
    </cfRule>
  </conditionalFormatting>
  <conditionalFormatting sqref="F557">
    <cfRule type="expression" dxfId="1695" priority="1979">
      <formula>F557&lt;&gt;""</formula>
    </cfRule>
  </conditionalFormatting>
  <conditionalFormatting sqref="C558:D558">
    <cfRule type="containsText" dxfId="1694" priority="1978" operator="containsText" text="NO+$D$4:$D$10">
      <formula>NOT(ISERROR(SEARCH("NO+$D$4:$D$10",C558)))</formula>
    </cfRule>
  </conditionalFormatting>
  <conditionalFormatting sqref="C558:D558">
    <cfRule type="containsText" dxfId="1693" priority="1976" operator="containsText" text="SI">
      <formula>NOT(ISERROR(SEARCH("SI",C558)))</formula>
    </cfRule>
    <cfRule type="containsText" dxfId="1692" priority="1977" operator="containsText" text="NO">
      <formula>NOT(ISERROR(SEARCH("NO",C558)))</formula>
    </cfRule>
  </conditionalFormatting>
  <conditionalFormatting sqref="C558:D558">
    <cfRule type="containsText" dxfId="1691" priority="1975" operator="containsText" text="NUEVO">
      <formula>NOT(ISERROR(SEARCH("NUEVO",C558)))</formula>
    </cfRule>
  </conditionalFormatting>
  <conditionalFormatting sqref="E558">
    <cfRule type="containsText" dxfId="1690" priority="1974" operator="containsText" text="NUEVO">
      <formula>NOT(ISERROR(SEARCH("NUEVO",E558)))</formula>
    </cfRule>
  </conditionalFormatting>
  <conditionalFormatting sqref="E558">
    <cfRule type="containsText" dxfId="1689" priority="1973" operator="containsText" text="Sin Información">
      <formula>NOT(ISERROR(SEARCH("Sin Información",E558)))</formula>
    </cfRule>
  </conditionalFormatting>
  <conditionalFormatting sqref="E558">
    <cfRule type="expression" dxfId="1688" priority="1972">
      <formula>E558&lt;&gt;""</formula>
    </cfRule>
  </conditionalFormatting>
  <conditionalFormatting sqref="F558">
    <cfRule type="expression" dxfId="1687" priority="1971">
      <formula>F558&lt;&gt;""</formula>
    </cfRule>
  </conditionalFormatting>
  <conditionalFormatting sqref="C559:D559">
    <cfRule type="containsText" dxfId="1686" priority="1970" operator="containsText" text="NO+$D$4:$D$10">
      <formula>NOT(ISERROR(SEARCH("NO+$D$4:$D$10",C559)))</formula>
    </cfRule>
  </conditionalFormatting>
  <conditionalFormatting sqref="C559:D559">
    <cfRule type="containsText" dxfId="1685" priority="1968" operator="containsText" text="SI">
      <formula>NOT(ISERROR(SEARCH("SI",C559)))</formula>
    </cfRule>
    <cfRule type="containsText" dxfId="1684" priority="1969" operator="containsText" text="NO">
      <formula>NOT(ISERROR(SEARCH("NO",C559)))</formula>
    </cfRule>
  </conditionalFormatting>
  <conditionalFormatting sqref="C559:D559">
    <cfRule type="containsText" dxfId="1683" priority="1967" operator="containsText" text="NUEVO">
      <formula>NOT(ISERROR(SEARCH("NUEVO",C559)))</formula>
    </cfRule>
  </conditionalFormatting>
  <conditionalFormatting sqref="E559">
    <cfRule type="containsText" dxfId="1682" priority="1965" operator="containsText" text="NUEVO">
      <formula>NOT(ISERROR(SEARCH("NUEVO",E559)))</formula>
    </cfRule>
  </conditionalFormatting>
  <conditionalFormatting sqref="E559">
    <cfRule type="containsText" dxfId="1681" priority="1964" operator="containsText" text="Sin Información">
      <formula>NOT(ISERROR(SEARCH("Sin Información",E559)))</formula>
    </cfRule>
  </conditionalFormatting>
  <conditionalFormatting sqref="F559">
    <cfRule type="expression" dxfId="1680" priority="1966">
      <formula>F559&lt;&gt;""</formula>
    </cfRule>
  </conditionalFormatting>
  <conditionalFormatting sqref="E559">
    <cfRule type="expression" dxfId="1679" priority="1963">
      <formula>E559&lt;&gt;""</formula>
    </cfRule>
  </conditionalFormatting>
  <conditionalFormatting sqref="C560:D560">
    <cfRule type="containsText" dxfId="1678" priority="1962" operator="containsText" text="NO+$D$4:$D$10">
      <formula>NOT(ISERROR(SEARCH("NO+$D$4:$D$10",C560)))</formula>
    </cfRule>
  </conditionalFormatting>
  <conditionalFormatting sqref="C560:D560">
    <cfRule type="containsText" dxfId="1677" priority="1960" operator="containsText" text="SI">
      <formula>NOT(ISERROR(SEARCH("SI",C560)))</formula>
    </cfRule>
    <cfRule type="containsText" dxfId="1676" priority="1961" operator="containsText" text="NO">
      <formula>NOT(ISERROR(SEARCH("NO",C560)))</formula>
    </cfRule>
  </conditionalFormatting>
  <conditionalFormatting sqref="C560:D560">
    <cfRule type="containsText" dxfId="1675" priority="1959" operator="containsText" text="NUEVO">
      <formula>NOT(ISERROR(SEARCH("NUEVO",C560)))</formula>
    </cfRule>
  </conditionalFormatting>
  <conditionalFormatting sqref="E560">
    <cfRule type="containsText" dxfId="1674" priority="1957" operator="containsText" text="NUEVO">
      <formula>NOT(ISERROR(SEARCH("NUEVO",E560)))</formula>
    </cfRule>
  </conditionalFormatting>
  <conditionalFormatting sqref="F560">
    <cfRule type="expression" dxfId="1673" priority="1958">
      <formula>F560&lt;&gt;""</formula>
    </cfRule>
  </conditionalFormatting>
  <conditionalFormatting sqref="E560">
    <cfRule type="containsText" dxfId="1672" priority="1956" operator="containsText" text="Sin Información">
      <formula>NOT(ISERROR(SEARCH("Sin Información",E560)))</formula>
    </cfRule>
  </conditionalFormatting>
  <conditionalFormatting sqref="E560">
    <cfRule type="expression" dxfId="1671" priority="1955">
      <formula>E560&lt;&gt;""</formula>
    </cfRule>
  </conditionalFormatting>
  <conditionalFormatting sqref="C561:D561">
    <cfRule type="containsText" dxfId="1670" priority="1954" operator="containsText" text="NO+$D$4:$D$10">
      <formula>NOT(ISERROR(SEARCH("NO+$D$4:$D$10",C561)))</formula>
    </cfRule>
  </conditionalFormatting>
  <conditionalFormatting sqref="C561:D561">
    <cfRule type="containsText" dxfId="1669" priority="1952" operator="containsText" text="SI">
      <formula>NOT(ISERROR(SEARCH("SI",C561)))</formula>
    </cfRule>
    <cfRule type="containsText" dxfId="1668" priority="1953" operator="containsText" text="NO">
      <formula>NOT(ISERROR(SEARCH("NO",C561)))</formula>
    </cfRule>
  </conditionalFormatting>
  <conditionalFormatting sqref="C561:D561">
    <cfRule type="containsText" dxfId="1667" priority="1951" operator="containsText" text="NUEVO">
      <formula>NOT(ISERROR(SEARCH("NUEVO",C561)))</formula>
    </cfRule>
  </conditionalFormatting>
  <conditionalFormatting sqref="F561">
    <cfRule type="expression" dxfId="1666" priority="1950">
      <formula>F561&lt;&gt;""</formula>
    </cfRule>
  </conditionalFormatting>
  <conditionalFormatting sqref="E561">
    <cfRule type="containsText" dxfId="1665" priority="1949" operator="containsText" text="NUEVO">
      <formula>NOT(ISERROR(SEARCH("NUEVO",E561)))</formula>
    </cfRule>
  </conditionalFormatting>
  <conditionalFormatting sqref="E561">
    <cfRule type="containsText" dxfId="1664" priority="1948" operator="containsText" text="Sin Información">
      <formula>NOT(ISERROR(SEARCH("Sin Información",E561)))</formula>
    </cfRule>
  </conditionalFormatting>
  <conditionalFormatting sqref="E561">
    <cfRule type="expression" dxfId="1663" priority="1947">
      <formula>E561&lt;&gt;""</formula>
    </cfRule>
  </conditionalFormatting>
  <conditionalFormatting sqref="C562:D562">
    <cfRule type="containsText" dxfId="1662" priority="1946" operator="containsText" text="NO+$D$4:$D$10">
      <formula>NOT(ISERROR(SEARCH("NO+$D$4:$D$10",C562)))</formula>
    </cfRule>
  </conditionalFormatting>
  <conditionalFormatting sqref="C562:D562">
    <cfRule type="containsText" dxfId="1661" priority="1944" operator="containsText" text="SI">
      <formula>NOT(ISERROR(SEARCH("SI",C562)))</formula>
    </cfRule>
    <cfRule type="containsText" dxfId="1660" priority="1945" operator="containsText" text="NO">
      <formula>NOT(ISERROR(SEARCH("NO",C562)))</formula>
    </cfRule>
  </conditionalFormatting>
  <conditionalFormatting sqref="C562:D562">
    <cfRule type="containsText" dxfId="1659" priority="1943" operator="containsText" text="NUEVO">
      <formula>NOT(ISERROR(SEARCH("NUEVO",C562)))</formula>
    </cfRule>
  </conditionalFormatting>
  <conditionalFormatting sqref="E562">
    <cfRule type="containsText" dxfId="1658" priority="1941" operator="containsText" text="NUEVO">
      <formula>NOT(ISERROR(SEARCH("NUEVO",E562)))</formula>
    </cfRule>
  </conditionalFormatting>
  <conditionalFormatting sqref="E562">
    <cfRule type="containsText" dxfId="1657" priority="1940" operator="containsText" text="Sin Información">
      <formula>NOT(ISERROR(SEARCH("Sin Información",E562)))</formula>
    </cfRule>
  </conditionalFormatting>
  <conditionalFormatting sqref="F562">
    <cfRule type="expression" dxfId="1656" priority="1942">
      <formula>F562&lt;&gt;""</formula>
    </cfRule>
  </conditionalFormatting>
  <conditionalFormatting sqref="E562">
    <cfRule type="expression" dxfId="1655" priority="1939">
      <formula>E562&lt;&gt;""</formula>
    </cfRule>
  </conditionalFormatting>
  <conditionalFormatting sqref="C563:D563">
    <cfRule type="containsText" dxfId="1654" priority="1938" operator="containsText" text="NO+$D$4:$D$10">
      <formula>NOT(ISERROR(SEARCH("NO+$D$4:$D$10",C563)))</formula>
    </cfRule>
  </conditionalFormatting>
  <conditionalFormatting sqref="C563:D563">
    <cfRule type="containsText" dxfId="1653" priority="1936" operator="containsText" text="SI">
      <formula>NOT(ISERROR(SEARCH("SI",C563)))</formula>
    </cfRule>
    <cfRule type="containsText" dxfId="1652" priority="1937" operator="containsText" text="NO">
      <formula>NOT(ISERROR(SEARCH("NO",C563)))</formula>
    </cfRule>
  </conditionalFormatting>
  <conditionalFormatting sqref="C563:E563">
    <cfRule type="containsText" dxfId="1651" priority="1935" operator="containsText" text="NUEVO">
      <formula>NOT(ISERROR(SEARCH("NUEVO",C563)))</formula>
    </cfRule>
  </conditionalFormatting>
  <conditionalFormatting sqref="E563">
    <cfRule type="containsText" dxfId="1650" priority="1934" operator="containsText" text="Sin Información">
      <formula>NOT(ISERROR(SEARCH("Sin Información",E563)))</formula>
    </cfRule>
  </conditionalFormatting>
  <conditionalFormatting sqref="E563:F563">
    <cfRule type="expression" dxfId="1649" priority="1933">
      <formula>E563&lt;&gt;""</formula>
    </cfRule>
  </conditionalFormatting>
  <conditionalFormatting sqref="C564:D564">
    <cfRule type="containsText" dxfId="1648" priority="1932" operator="containsText" text="NO+$D$4:$D$10">
      <formula>NOT(ISERROR(SEARCH("NO+$D$4:$D$10",C564)))</formula>
    </cfRule>
  </conditionalFormatting>
  <conditionalFormatting sqref="C564:D564">
    <cfRule type="containsText" dxfId="1647" priority="1930" operator="containsText" text="SI">
      <formula>NOT(ISERROR(SEARCH("SI",C564)))</formula>
    </cfRule>
    <cfRule type="containsText" dxfId="1646" priority="1931" operator="containsText" text="NO">
      <formula>NOT(ISERROR(SEARCH("NO",C564)))</formula>
    </cfRule>
  </conditionalFormatting>
  <conditionalFormatting sqref="C564:E564">
    <cfRule type="containsText" dxfId="1645" priority="1929" operator="containsText" text="NUEVO">
      <formula>NOT(ISERROR(SEARCH("NUEVO",C564)))</formula>
    </cfRule>
  </conditionalFormatting>
  <conditionalFormatting sqref="E564">
    <cfRule type="containsText" dxfId="1644" priority="1928" operator="containsText" text="Sin Información">
      <formula>NOT(ISERROR(SEARCH("Sin Información",E564)))</formula>
    </cfRule>
  </conditionalFormatting>
  <conditionalFormatting sqref="E564:F564">
    <cfRule type="expression" dxfId="1643" priority="1927">
      <formula>E564&lt;&gt;""</formula>
    </cfRule>
  </conditionalFormatting>
  <conditionalFormatting sqref="C565:D565">
    <cfRule type="containsText" dxfId="1642" priority="1926" operator="containsText" text="NO+$D$4:$D$10">
      <formula>NOT(ISERROR(SEARCH("NO+$D$4:$D$10",C565)))</formula>
    </cfRule>
  </conditionalFormatting>
  <conditionalFormatting sqref="C565:D565">
    <cfRule type="containsText" dxfId="1641" priority="1924" operator="containsText" text="SI">
      <formula>NOT(ISERROR(SEARCH("SI",C565)))</formula>
    </cfRule>
    <cfRule type="containsText" dxfId="1640" priority="1925" operator="containsText" text="NO">
      <formula>NOT(ISERROR(SEARCH("NO",C565)))</formula>
    </cfRule>
  </conditionalFormatting>
  <conditionalFormatting sqref="C565:D565">
    <cfRule type="containsText" dxfId="1639" priority="1923" operator="containsText" text="NUEVO">
      <formula>NOT(ISERROR(SEARCH("NUEVO",C565)))</formula>
    </cfRule>
  </conditionalFormatting>
  <conditionalFormatting sqref="F565">
    <cfRule type="expression" dxfId="1638" priority="1922">
      <formula>F565&lt;&gt;""</formula>
    </cfRule>
  </conditionalFormatting>
  <conditionalFormatting sqref="E565">
    <cfRule type="containsText" dxfId="1637" priority="1920" operator="containsText" text="Sin Información">
      <formula>NOT(ISERROR(SEARCH("Sin Información",E565)))</formula>
    </cfRule>
  </conditionalFormatting>
  <conditionalFormatting sqref="E565">
    <cfRule type="containsText" dxfId="1636" priority="1921" operator="containsText" text="NUEVO">
      <formula>NOT(ISERROR(SEARCH("NUEVO",E565)))</formula>
    </cfRule>
  </conditionalFormatting>
  <conditionalFormatting sqref="E565">
    <cfRule type="expression" dxfId="1635" priority="1919">
      <formula>E565&lt;&gt;""</formula>
    </cfRule>
  </conditionalFormatting>
  <conditionalFormatting sqref="E565">
    <cfRule type="containsText" dxfId="1634" priority="1918" operator="containsText" text="Sin información">
      <formula>NOT(ISERROR(SEARCH("Sin información",E565)))</formula>
    </cfRule>
  </conditionalFormatting>
  <conditionalFormatting sqref="E565">
    <cfRule type="expression" dxfId="1633" priority="1917">
      <formula>E565&lt;&gt;""</formula>
    </cfRule>
  </conditionalFormatting>
  <conditionalFormatting sqref="C566:D566">
    <cfRule type="containsText" dxfId="1632" priority="1916" operator="containsText" text="NO+$D$4:$D$10">
      <formula>NOT(ISERROR(SEARCH("NO+$D$4:$D$10",C566)))</formula>
    </cfRule>
  </conditionalFormatting>
  <conditionalFormatting sqref="C566:D566">
    <cfRule type="containsText" dxfId="1631" priority="1914" operator="containsText" text="SI">
      <formula>NOT(ISERROR(SEARCH("SI",C566)))</formula>
    </cfRule>
    <cfRule type="containsText" dxfId="1630" priority="1915" operator="containsText" text="NO">
      <formula>NOT(ISERROR(SEARCH("NO",C566)))</formula>
    </cfRule>
  </conditionalFormatting>
  <conditionalFormatting sqref="C566:E566">
    <cfRule type="containsText" dxfId="1629" priority="1913" operator="containsText" text="NUEVO">
      <formula>NOT(ISERROR(SEARCH("NUEVO",C566)))</formula>
    </cfRule>
  </conditionalFormatting>
  <conditionalFormatting sqref="E566">
    <cfRule type="containsText" dxfId="1628" priority="1912" operator="containsText" text="Sin Información">
      <formula>NOT(ISERROR(SEARCH("Sin Información",E566)))</formula>
    </cfRule>
  </conditionalFormatting>
  <conditionalFormatting sqref="E566:F566">
    <cfRule type="expression" dxfId="1627" priority="1911">
      <formula>E566&lt;&gt;""</formula>
    </cfRule>
  </conditionalFormatting>
  <conditionalFormatting sqref="C567:D567">
    <cfRule type="containsText" dxfId="1626" priority="1910" operator="containsText" text="NO+$D$4:$D$10">
      <formula>NOT(ISERROR(SEARCH("NO+$D$4:$D$10",C567)))</formula>
    </cfRule>
  </conditionalFormatting>
  <conditionalFormatting sqref="C567:D567">
    <cfRule type="containsText" dxfId="1625" priority="1908" operator="containsText" text="SI">
      <formula>NOT(ISERROR(SEARCH("SI",C567)))</formula>
    </cfRule>
    <cfRule type="containsText" dxfId="1624" priority="1909" operator="containsText" text="NO">
      <formula>NOT(ISERROR(SEARCH("NO",C567)))</formula>
    </cfRule>
  </conditionalFormatting>
  <conditionalFormatting sqref="C567:E567">
    <cfRule type="containsText" dxfId="1623" priority="1907" operator="containsText" text="NUEVO">
      <formula>NOT(ISERROR(SEARCH("NUEVO",C567)))</formula>
    </cfRule>
  </conditionalFormatting>
  <conditionalFormatting sqref="E567">
    <cfRule type="containsText" dxfId="1622" priority="1906" operator="containsText" text="Sin Información">
      <formula>NOT(ISERROR(SEARCH("Sin Información",E567)))</formula>
    </cfRule>
  </conditionalFormatting>
  <conditionalFormatting sqref="E567">
    <cfRule type="expression" dxfId="1621" priority="1905">
      <formula>E567&lt;&gt;""</formula>
    </cfRule>
  </conditionalFormatting>
  <conditionalFormatting sqref="F567">
    <cfRule type="expression" dxfId="1620" priority="1904">
      <formula>F567&lt;&gt;""</formula>
    </cfRule>
  </conditionalFormatting>
  <conditionalFormatting sqref="C568:D568">
    <cfRule type="containsText" dxfId="1619" priority="1903" operator="containsText" text="NO+$D$4:$D$10">
      <formula>NOT(ISERROR(SEARCH("NO+$D$4:$D$10",C568)))</formula>
    </cfRule>
  </conditionalFormatting>
  <conditionalFormatting sqref="C568:D568">
    <cfRule type="containsText" dxfId="1618" priority="1901" operator="containsText" text="SI">
      <formula>NOT(ISERROR(SEARCH("SI",C568)))</formula>
    </cfRule>
    <cfRule type="containsText" dxfId="1617" priority="1902" operator="containsText" text="NO">
      <formula>NOT(ISERROR(SEARCH("NO",C568)))</formula>
    </cfRule>
  </conditionalFormatting>
  <conditionalFormatting sqref="C568:E568">
    <cfRule type="containsText" dxfId="1616" priority="1900" operator="containsText" text="NUEVO">
      <formula>NOT(ISERROR(SEARCH("NUEVO",C568)))</formula>
    </cfRule>
  </conditionalFormatting>
  <conditionalFormatting sqref="E568">
    <cfRule type="containsText" dxfId="1615" priority="1899" operator="containsText" text="Sin Información">
      <formula>NOT(ISERROR(SEARCH("Sin Información",E568)))</formula>
    </cfRule>
  </conditionalFormatting>
  <conditionalFormatting sqref="E568:F568">
    <cfRule type="expression" dxfId="1614" priority="1898">
      <formula>E568&lt;&gt;""</formula>
    </cfRule>
  </conditionalFormatting>
  <conditionalFormatting sqref="C569:D569">
    <cfRule type="containsText" dxfId="1613" priority="1897" operator="containsText" text="NO+$D$4:$D$10">
      <formula>NOT(ISERROR(SEARCH("NO+$D$4:$D$10",C569)))</formula>
    </cfRule>
  </conditionalFormatting>
  <conditionalFormatting sqref="C569:D569">
    <cfRule type="containsText" dxfId="1612" priority="1895" operator="containsText" text="SI">
      <formula>NOT(ISERROR(SEARCH("SI",C569)))</formula>
    </cfRule>
    <cfRule type="containsText" dxfId="1611" priority="1896" operator="containsText" text="NO">
      <formula>NOT(ISERROR(SEARCH("NO",C569)))</formula>
    </cfRule>
  </conditionalFormatting>
  <conditionalFormatting sqref="C569:D569">
    <cfRule type="containsText" dxfId="1610" priority="1894" operator="containsText" text="NUEVO">
      <formula>NOT(ISERROR(SEARCH("NUEVO",C569)))</formula>
    </cfRule>
  </conditionalFormatting>
  <conditionalFormatting sqref="E569">
    <cfRule type="containsText" dxfId="1609" priority="1893" operator="containsText" text="NUEVO">
      <formula>NOT(ISERROR(SEARCH("NUEVO",E569)))</formula>
    </cfRule>
  </conditionalFormatting>
  <conditionalFormatting sqref="E569">
    <cfRule type="containsText" dxfId="1608" priority="1892" operator="containsText" text="Sin Información">
      <formula>NOT(ISERROR(SEARCH("Sin Información",E569)))</formula>
    </cfRule>
  </conditionalFormatting>
  <conditionalFormatting sqref="E569:F569">
    <cfRule type="expression" dxfId="1607" priority="1891">
      <formula>E569&lt;&gt;""</formula>
    </cfRule>
  </conditionalFormatting>
  <conditionalFormatting sqref="E569">
    <cfRule type="containsText" dxfId="1606" priority="1890" operator="containsText" text="NUEVO">
      <formula>NOT(ISERROR(SEARCH("NUEVO",E569)))</formula>
    </cfRule>
  </conditionalFormatting>
  <conditionalFormatting sqref="E569">
    <cfRule type="containsText" dxfId="1605" priority="1889" operator="containsText" text="Sin Información">
      <formula>NOT(ISERROR(SEARCH("Sin Información",E569)))</formula>
    </cfRule>
  </conditionalFormatting>
  <conditionalFormatting sqref="C570:D570">
    <cfRule type="containsText" dxfId="1604" priority="1888" operator="containsText" text="NO+$D$4:$D$10">
      <formula>NOT(ISERROR(SEARCH("NO+$D$4:$D$10",C570)))</formula>
    </cfRule>
  </conditionalFormatting>
  <conditionalFormatting sqref="C570:D570">
    <cfRule type="containsText" dxfId="1603" priority="1886" operator="containsText" text="SI">
      <formula>NOT(ISERROR(SEARCH("SI",C570)))</formula>
    </cfRule>
    <cfRule type="containsText" dxfId="1602" priority="1887" operator="containsText" text="NO">
      <formula>NOT(ISERROR(SEARCH("NO",C570)))</formula>
    </cfRule>
  </conditionalFormatting>
  <conditionalFormatting sqref="C570:E570">
    <cfRule type="containsText" dxfId="1601" priority="1885" operator="containsText" text="NUEVO">
      <formula>NOT(ISERROR(SEARCH("NUEVO",C570)))</formula>
    </cfRule>
  </conditionalFormatting>
  <conditionalFormatting sqref="E570">
    <cfRule type="containsText" dxfId="1600" priority="1884" operator="containsText" text="Sin Información">
      <formula>NOT(ISERROR(SEARCH("Sin Información",E570)))</formula>
    </cfRule>
  </conditionalFormatting>
  <conditionalFormatting sqref="E570">
    <cfRule type="containsText" dxfId="1599" priority="1883" operator="containsText" text="NUEVO">
      <formula>NOT(ISERROR(SEARCH("NUEVO",E570)))</formula>
    </cfRule>
  </conditionalFormatting>
  <conditionalFormatting sqref="E570">
    <cfRule type="containsText" dxfId="1598" priority="1882" operator="containsText" text="Sin Información">
      <formula>NOT(ISERROR(SEARCH("Sin Información",E570)))</formula>
    </cfRule>
  </conditionalFormatting>
  <conditionalFormatting sqref="E570:F570">
    <cfRule type="expression" dxfId="1597" priority="1881">
      <formula>E570&lt;&gt;""</formula>
    </cfRule>
  </conditionalFormatting>
  <conditionalFormatting sqref="C571:D571">
    <cfRule type="containsText" dxfId="1596" priority="1878" operator="containsText" text="NO+$D$4:$D$10">
      <formula>NOT(ISERROR(SEARCH("NO+$D$4:$D$10",C571)))</formula>
    </cfRule>
  </conditionalFormatting>
  <conditionalFormatting sqref="C571:D571">
    <cfRule type="containsText" dxfId="1595" priority="1876" operator="containsText" text="SI">
      <formula>NOT(ISERROR(SEARCH("SI",C571)))</formula>
    </cfRule>
    <cfRule type="containsText" dxfId="1594" priority="1877" operator="containsText" text="NO">
      <formula>NOT(ISERROR(SEARCH("NO",C571)))</formula>
    </cfRule>
  </conditionalFormatting>
  <conditionalFormatting sqref="C571:E571">
    <cfRule type="containsText" dxfId="1593" priority="1875" operator="containsText" text="NUEVO">
      <formula>NOT(ISERROR(SEARCH("NUEVO",C571)))</formula>
    </cfRule>
  </conditionalFormatting>
  <conditionalFormatting sqref="E571">
    <cfRule type="containsText" dxfId="1592" priority="1874" operator="containsText" text="Sin Información">
      <formula>NOT(ISERROR(SEARCH("Sin Información",E571)))</formula>
    </cfRule>
  </conditionalFormatting>
  <conditionalFormatting sqref="E571">
    <cfRule type="containsText" dxfId="1591" priority="1879" operator="containsText" text="NUEVO">
      <formula>NOT(ISERROR(SEARCH("NUEVO",#REF!)))</formula>
    </cfRule>
  </conditionalFormatting>
  <conditionalFormatting sqref="E571">
    <cfRule type="containsText" dxfId="1590" priority="1880" operator="containsText" text="Sin Información">
      <formula>NOT(ISERROR(SEARCH("Sin Información",#REF!)))</formula>
    </cfRule>
  </conditionalFormatting>
  <conditionalFormatting sqref="E571:F571">
    <cfRule type="expression" dxfId="1589" priority="1873">
      <formula>E571&lt;&gt;""</formula>
    </cfRule>
  </conditionalFormatting>
  <conditionalFormatting sqref="C572:D572">
    <cfRule type="containsText" dxfId="1588" priority="1872" operator="containsText" text="NO+$D$4:$D$10">
      <formula>NOT(ISERROR(SEARCH("NO+$D$4:$D$10",C572)))</formula>
    </cfRule>
  </conditionalFormatting>
  <conditionalFormatting sqref="C572:D572">
    <cfRule type="containsText" dxfId="1587" priority="1870" operator="containsText" text="SI">
      <formula>NOT(ISERROR(SEARCH("SI",C572)))</formula>
    </cfRule>
    <cfRule type="containsText" dxfId="1586" priority="1871" operator="containsText" text="NO">
      <formula>NOT(ISERROR(SEARCH("NO",C572)))</formula>
    </cfRule>
  </conditionalFormatting>
  <conditionalFormatting sqref="C572:D572">
    <cfRule type="containsText" dxfId="1585" priority="1869" operator="containsText" text="NUEVO">
      <formula>NOT(ISERROR(SEARCH("NUEVO",C572)))</formula>
    </cfRule>
  </conditionalFormatting>
  <conditionalFormatting sqref="E572">
    <cfRule type="containsText" dxfId="1584" priority="1867" operator="containsText" text="Sin Información">
      <formula>NOT(ISERROR(SEARCH("Sin Información",E572)))</formula>
    </cfRule>
  </conditionalFormatting>
  <conditionalFormatting sqref="E572">
    <cfRule type="containsText" dxfId="1583" priority="1868" operator="containsText" text="NUEVO">
      <formula>NOT(ISERROR(SEARCH("NUEVO",E572)))</formula>
    </cfRule>
  </conditionalFormatting>
  <conditionalFormatting sqref="E572:F572">
    <cfRule type="expression" dxfId="1582" priority="1866">
      <formula>E572&lt;&gt;""</formula>
    </cfRule>
  </conditionalFormatting>
  <conditionalFormatting sqref="E572">
    <cfRule type="containsText" dxfId="1581" priority="1865" operator="containsText" text="NUEVO">
      <formula>NOT(ISERROR(SEARCH("NUEVO",E572)))</formula>
    </cfRule>
  </conditionalFormatting>
  <conditionalFormatting sqref="E572">
    <cfRule type="containsText" dxfId="1580" priority="1864" operator="containsText" text="Sin Información">
      <formula>NOT(ISERROR(SEARCH("Sin Información",E572)))</formula>
    </cfRule>
  </conditionalFormatting>
  <conditionalFormatting sqref="C573:D573">
    <cfRule type="containsText" dxfId="1579" priority="1863" operator="containsText" text="NO+$D$4:$D$10">
      <formula>NOT(ISERROR(SEARCH("NO+$D$4:$D$10",C573)))</formula>
    </cfRule>
  </conditionalFormatting>
  <conditionalFormatting sqref="C573:D573">
    <cfRule type="containsText" dxfId="1578" priority="1861" operator="containsText" text="SI">
      <formula>NOT(ISERROR(SEARCH("SI",C573)))</formula>
    </cfRule>
    <cfRule type="containsText" dxfId="1577" priority="1862" operator="containsText" text="NO">
      <formula>NOT(ISERROR(SEARCH("NO",C573)))</formula>
    </cfRule>
  </conditionalFormatting>
  <conditionalFormatting sqref="C573:D573">
    <cfRule type="containsText" dxfId="1576" priority="1860" operator="containsText" text="NUEVO">
      <formula>NOT(ISERROR(SEARCH("NUEVO",C573)))</formula>
    </cfRule>
  </conditionalFormatting>
  <conditionalFormatting sqref="F573">
    <cfRule type="expression" dxfId="1575" priority="1859">
      <formula>F573&lt;&gt;""</formula>
    </cfRule>
  </conditionalFormatting>
  <conditionalFormatting sqref="E573">
    <cfRule type="containsText" dxfId="1574" priority="1857" operator="containsText" text="Sin Información">
      <formula>NOT(ISERROR(SEARCH("Sin Información",E573)))</formula>
    </cfRule>
  </conditionalFormatting>
  <conditionalFormatting sqref="E573">
    <cfRule type="containsText" dxfId="1573" priority="1858" operator="containsText" text="NUEVO">
      <formula>NOT(ISERROR(SEARCH("NUEVO",E573)))</formula>
    </cfRule>
  </conditionalFormatting>
  <conditionalFormatting sqref="C574:D574">
    <cfRule type="containsText" dxfId="1572" priority="1856" operator="containsText" text="NO+$D$4:$D$10">
      <formula>NOT(ISERROR(SEARCH("NO+$D$4:$D$10",C574)))</formula>
    </cfRule>
  </conditionalFormatting>
  <conditionalFormatting sqref="C574:D574">
    <cfRule type="containsText" dxfId="1571" priority="1854" operator="containsText" text="SI">
      <formula>NOT(ISERROR(SEARCH("SI",C574)))</formula>
    </cfRule>
    <cfRule type="containsText" dxfId="1570" priority="1855" operator="containsText" text="NO">
      <formula>NOT(ISERROR(SEARCH("NO",C574)))</formula>
    </cfRule>
  </conditionalFormatting>
  <conditionalFormatting sqref="C574:E574">
    <cfRule type="containsText" dxfId="1569" priority="1853" operator="containsText" text="NUEVO">
      <formula>NOT(ISERROR(SEARCH("NUEVO",C574)))</formula>
    </cfRule>
  </conditionalFormatting>
  <conditionalFormatting sqref="E574">
    <cfRule type="containsText" dxfId="1568" priority="1852" operator="containsText" text="Sin Información">
      <formula>NOT(ISERROR(SEARCH("Sin Información",E574)))</formula>
    </cfRule>
  </conditionalFormatting>
  <conditionalFormatting sqref="E574:F574">
    <cfRule type="expression" dxfId="1567" priority="1851">
      <formula>E574&lt;&gt;""</formula>
    </cfRule>
  </conditionalFormatting>
  <conditionalFormatting sqref="C575:D575">
    <cfRule type="containsText" dxfId="1566" priority="1850" operator="containsText" text="NO+$D$4:$D$10">
      <formula>NOT(ISERROR(SEARCH("NO+$D$4:$D$10",C575)))</formula>
    </cfRule>
  </conditionalFormatting>
  <conditionalFormatting sqref="C575:D575">
    <cfRule type="containsText" dxfId="1565" priority="1848" operator="containsText" text="SI">
      <formula>NOT(ISERROR(SEARCH("SI",C575)))</formula>
    </cfRule>
    <cfRule type="containsText" dxfId="1564" priority="1849" operator="containsText" text="NO">
      <formula>NOT(ISERROR(SEARCH("NO",C575)))</formula>
    </cfRule>
  </conditionalFormatting>
  <conditionalFormatting sqref="C575:D575">
    <cfRule type="containsText" dxfId="1563" priority="1847" operator="containsText" text="NUEVO">
      <formula>NOT(ISERROR(SEARCH("NUEVO",C575)))</formula>
    </cfRule>
  </conditionalFormatting>
  <conditionalFormatting sqref="E575">
    <cfRule type="containsText" dxfId="1562" priority="1846" operator="containsText" text="NUEVO">
      <formula>NOT(ISERROR(SEARCH("NUEVO",E575)))</formula>
    </cfRule>
  </conditionalFormatting>
  <conditionalFormatting sqref="E575">
    <cfRule type="containsText" dxfId="1561" priority="1845" operator="containsText" text="Sin Información">
      <formula>NOT(ISERROR(SEARCH("Sin Información",E575)))</formula>
    </cfRule>
  </conditionalFormatting>
  <conditionalFormatting sqref="E575">
    <cfRule type="expression" dxfId="1560" priority="1844">
      <formula>E575&lt;&gt;""</formula>
    </cfRule>
  </conditionalFormatting>
  <conditionalFormatting sqref="F575">
    <cfRule type="expression" dxfId="1559" priority="1843">
      <formula>F575&lt;&gt;""</formula>
    </cfRule>
  </conditionalFormatting>
  <conditionalFormatting sqref="C576:D576">
    <cfRule type="containsText" dxfId="1558" priority="1842" operator="containsText" text="NO+$D$4:$D$10">
      <formula>NOT(ISERROR(SEARCH("NO+$D$4:$D$10",C576)))</formula>
    </cfRule>
  </conditionalFormatting>
  <conditionalFormatting sqref="C576:D576">
    <cfRule type="containsText" dxfId="1557" priority="1840" operator="containsText" text="SI">
      <formula>NOT(ISERROR(SEARCH("SI",C576)))</formula>
    </cfRule>
    <cfRule type="containsText" dxfId="1556" priority="1841" operator="containsText" text="NO">
      <formula>NOT(ISERROR(SEARCH("NO",C576)))</formula>
    </cfRule>
  </conditionalFormatting>
  <conditionalFormatting sqref="C576:D576">
    <cfRule type="containsText" dxfId="1555" priority="1839" operator="containsText" text="NUEVO">
      <formula>NOT(ISERROR(SEARCH("NUEVO",C576)))</formula>
    </cfRule>
  </conditionalFormatting>
  <conditionalFormatting sqref="E576">
    <cfRule type="containsText" dxfId="1554" priority="1838" operator="containsText" text="NUEVO">
      <formula>NOT(ISERROR(SEARCH("NUEVO",E576)))</formula>
    </cfRule>
  </conditionalFormatting>
  <conditionalFormatting sqref="E576">
    <cfRule type="containsText" dxfId="1553" priority="1837" operator="containsText" text="Sin Información">
      <formula>NOT(ISERROR(SEARCH("Sin Información",E576)))</formula>
    </cfRule>
  </conditionalFormatting>
  <conditionalFormatting sqref="E576:F576">
    <cfRule type="expression" dxfId="1552" priority="1836">
      <formula>E576&lt;&gt;""</formula>
    </cfRule>
  </conditionalFormatting>
  <conditionalFormatting sqref="E576">
    <cfRule type="containsText" dxfId="1551" priority="1835" operator="containsText" text="NUEVO">
      <formula>NOT(ISERROR(SEARCH("NUEVO",E576)))</formula>
    </cfRule>
  </conditionalFormatting>
  <conditionalFormatting sqref="E576">
    <cfRule type="containsText" dxfId="1550" priority="1834" operator="containsText" text="Sin Información">
      <formula>NOT(ISERROR(SEARCH("Sin Información",E576)))</formula>
    </cfRule>
  </conditionalFormatting>
  <conditionalFormatting sqref="C577:D577">
    <cfRule type="containsText" dxfId="1549" priority="1833" operator="containsText" text="NO+$D$4:$D$10">
      <formula>NOT(ISERROR(SEARCH("NO+$D$4:$D$10",C577)))</formula>
    </cfRule>
  </conditionalFormatting>
  <conditionalFormatting sqref="C577:D577">
    <cfRule type="containsText" dxfId="1548" priority="1831" operator="containsText" text="SI">
      <formula>NOT(ISERROR(SEARCH("SI",C577)))</formula>
    </cfRule>
    <cfRule type="containsText" dxfId="1547" priority="1832" operator="containsText" text="NO">
      <formula>NOT(ISERROR(SEARCH("NO",C577)))</formula>
    </cfRule>
  </conditionalFormatting>
  <conditionalFormatting sqref="C577:D577">
    <cfRule type="containsText" dxfId="1546" priority="1830" operator="containsText" text="NUEVO">
      <formula>NOT(ISERROR(SEARCH("NUEVO",C577)))</formula>
    </cfRule>
  </conditionalFormatting>
  <conditionalFormatting sqref="F577">
    <cfRule type="expression" dxfId="1545" priority="1829">
      <formula>F577&lt;&gt;""</formula>
    </cfRule>
  </conditionalFormatting>
  <conditionalFormatting sqref="E577">
    <cfRule type="containsText" dxfId="1544" priority="1828" operator="containsText" text="NUEVO">
      <formula>NOT(ISERROR(SEARCH("NUEVO",E577)))</formula>
    </cfRule>
  </conditionalFormatting>
  <conditionalFormatting sqref="E577">
    <cfRule type="containsText" dxfId="1543" priority="1827" operator="containsText" text="Sin Información">
      <formula>NOT(ISERROR(SEARCH("Sin Información",E577)))</formula>
    </cfRule>
  </conditionalFormatting>
  <conditionalFormatting sqref="E577">
    <cfRule type="expression" dxfId="1542" priority="1826">
      <formula>E577&lt;&gt;""</formula>
    </cfRule>
  </conditionalFormatting>
  <conditionalFormatting sqref="C578:D578">
    <cfRule type="containsText" dxfId="1541" priority="1825" operator="containsText" text="NO+$D$4:$D$10">
      <formula>NOT(ISERROR(SEARCH("NO+$D$4:$D$10",C578)))</formula>
    </cfRule>
  </conditionalFormatting>
  <conditionalFormatting sqref="C578:D578">
    <cfRule type="containsText" dxfId="1540" priority="1823" operator="containsText" text="SI">
      <formula>NOT(ISERROR(SEARCH("SI",C578)))</formula>
    </cfRule>
    <cfRule type="containsText" dxfId="1539" priority="1824" operator="containsText" text="NO">
      <formula>NOT(ISERROR(SEARCH("NO",C578)))</formula>
    </cfRule>
  </conditionalFormatting>
  <conditionalFormatting sqref="C578:D578">
    <cfRule type="containsText" dxfId="1538" priority="1822" operator="containsText" text="NUEVO">
      <formula>NOT(ISERROR(SEARCH("NUEVO",C578)))</formula>
    </cfRule>
  </conditionalFormatting>
  <conditionalFormatting sqref="F578">
    <cfRule type="expression" dxfId="1537" priority="1821">
      <formula>F578&lt;&gt;""</formula>
    </cfRule>
  </conditionalFormatting>
  <conditionalFormatting sqref="E578">
    <cfRule type="containsText" dxfId="1536" priority="1820" operator="containsText" text="NUEVO">
      <formula>NOT(ISERROR(SEARCH("NUEVO",E578)))</formula>
    </cfRule>
  </conditionalFormatting>
  <conditionalFormatting sqref="E578">
    <cfRule type="containsText" dxfId="1535" priority="1819" operator="containsText" text="Sin Información">
      <formula>NOT(ISERROR(SEARCH("Sin Información",E578)))</formula>
    </cfRule>
  </conditionalFormatting>
  <conditionalFormatting sqref="E578">
    <cfRule type="expression" dxfId="1534" priority="1818">
      <formula>E578&lt;&gt;""</formula>
    </cfRule>
  </conditionalFormatting>
  <conditionalFormatting sqref="C579:D579">
    <cfRule type="containsText" dxfId="1533" priority="1817" operator="containsText" text="NO+$D$4:$D$10">
      <formula>NOT(ISERROR(SEARCH("NO+$D$4:$D$10",C579)))</formula>
    </cfRule>
  </conditionalFormatting>
  <conditionalFormatting sqref="C579:D579">
    <cfRule type="containsText" dxfId="1532" priority="1815" operator="containsText" text="SI">
      <formula>NOT(ISERROR(SEARCH("SI",C579)))</formula>
    </cfRule>
    <cfRule type="containsText" dxfId="1531" priority="1816" operator="containsText" text="NO">
      <formula>NOT(ISERROR(SEARCH("NO",C579)))</formula>
    </cfRule>
  </conditionalFormatting>
  <conditionalFormatting sqref="C579:E579">
    <cfRule type="containsText" dxfId="1530" priority="1814" operator="containsText" text="NUEVO">
      <formula>NOT(ISERROR(SEARCH("NUEVO",C579)))</formula>
    </cfRule>
  </conditionalFormatting>
  <conditionalFormatting sqref="E579">
    <cfRule type="containsText" dxfId="1529" priority="1813" operator="containsText" text="Sin Información">
      <formula>NOT(ISERROR(SEARCH("Sin Información",E579)))</formula>
    </cfRule>
  </conditionalFormatting>
  <conditionalFormatting sqref="E579:F579">
    <cfRule type="expression" dxfId="1528" priority="1812">
      <formula>E579&lt;&gt;""</formula>
    </cfRule>
  </conditionalFormatting>
  <conditionalFormatting sqref="E579">
    <cfRule type="containsText" dxfId="1527" priority="1811" operator="containsText" text="NUEVO">
      <formula>NOT(ISERROR(SEARCH("NUEVO",E579)))</formula>
    </cfRule>
  </conditionalFormatting>
  <conditionalFormatting sqref="E579">
    <cfRule type="containsText" dxfId="1526" priority="1810" operator="containsText" text="Sin Información">
      <formula>NOT(ISERROR(SEARCH("Sin Información",E579)))</formula>
    </cfRule>
  </conditionalFormatting>
  <conditionalFormatting sqref="E579">
    <cfRule type="expression" dxfId="1525" priority="1809">
      <formula>E579&lt;&gt;""</formula>
    </cfRule>
  </conditionalFormatting>
  <conditionalFormatting sqref="F579">
    <cfRule type="expression" dxfId="1524" priority="1808">
      <formula>F579&lt;&gt;""</formula>
    </cfRule>
  </conditionalFormatting>
  <conditionalFormatting sqref="E579">
    <cfRule type="containsText" dxfId="1523" priority="1807" operator="containsText" text="NUEVO">
      <formula>NOT(ISERROR(SEARCH("NUEVO",E579)))</formula>
    </cfRule>
  </conditionalFormatting>
  <conditionalFormatting sqref="E579">
    <cfRule type="containsText" dxfId="1522" priority="1806" operator="containsText" text="Sin Información">
      <formula>NOT(ISERROR(SEARCH("Sin Información",E579)))</formula>
    </cfRule>
  </conditionalFormatting>
  <conditionalFormatting sqref="E579">
    <cfRule type="expression" dxfId="1521" priority="1805">
      <formula>E579&lt;&gt;""</formula>
    </cfRule>
  </conditionalFormatting>
  <conditionalFormatting sqref="C580:D580">
    <cfRule type="containsText" dxfId="1520" priority="1804" operator="containsText" text="NO+$D$4:$D$10">
      <formula>NOT(ISERROR(SEARCH("NO+$D$4:$D$10",C580)))</formula>
    </cfRule>
  </conditionalFormatting>
  <conditionalFormatting sqref="C580:D580">
    <cfRule type="containsText" dxfId="1519" priority="1802" operator="containsText" text="SI">
      <formula>NOT(ISERROR(SEARCH("SI",C580)))</formula>
    </cfRule>
    <cfRule type="containsText" dxfId="1518" priority="1803" operator="containsText" text="NO">
      <formula>NOT(ISERROR(SEARCH("NO",C580)))</formula>
    </cfRule>
  </conditionalFormatting>
  <conditionalFormatting sqref="C580:E580">
    <cfRule type="containsText" dxfId="1517" priority="1801" operator="containsText" text="NUEVO">
      <formula>NOT(ISERROR(SEARCH("NUEVO",C580)))</formula>
    </cfRule>
  </conditionalFormatting>
  <conditionalFormatting sqref="E580">
    <cfRule type="containsText" dxfId="1516" priority="1800" operator="containsText" text="Sin Información">
      <formula>NOT(ISERROR(SEARCH("Sin Información",E580)))</formula>
    </cfRule>
  </conditionalFormatting>
  <conditionalFormatting sqref="E580">
    <cfRule type="expression" dxfId="1515" priority="1799">
      <formula>E580&lt;&gt;""</formula>
    </cfRule>
  </conditionalFormatting>
  <conditionalFormatting sqref="E580">
    <cfRule type="containsText" dxfId="1514" priority="1798" operator="containsText" text="NUEVO">
      <formula>NOT(ISERROR(SEARCH("NUEVO",E580)))</formula>
    </cfRule>
  </conditionalFormatting>
  <conditionalFormatting sqref="E580">
    <cfRule type="containsText" dxfId="1513" priority="1797" operator="containsText" text="Sin Información">
      <formula>NOT(ISERROR(SEARCH("Sin Información",E580)))</formula>
    </cfRule>
  </conditionalFormatting>
  <conditionalFormatting sqref="E580">
    <cfRule type="expression" dxfId="1512" priority="1796">
      <formula>E580&lt;&gt;""</formula>
    </cfRule>
  </conditionalFormatting>
  <conditionalFormatting sqref="F580">
    <cfRule type="expression" dxfId="1511" priority="1795">
      <formula>F580&lt;&gt;""</formula>
    </cfRule>
  </conditionalFormatting>
  <conditionalFormatting sqref="C581:D581">
    <cfRule type="containsText" dxfId="1510" priority="1794" operator="containsText" text="NO+$D$4:$D$10">
      <formula>NOT(ISERROR(SEARCH("NO+$D$4:$D$10",C581)))</formula>
    </cfRule>
  </conditionalFormatting>
  <conditionalFormatting sqref="C581:D581">
    <cfRule type="containsText" dxfId="1509" priority="1792" operator="containsText" text="SI">
      <formula>NOT(ISERROR(SEARCH("SI",C581)))</formula>
    </cfRule>
    <cfRule type="containsText" dxfId="1508" priority="1793" operator="containsText" text="NO">
      <formula>NOT(ISERROR(SEARCH("NO",C581)))</formula>
    </cfRule>
  </conditionalFormatting>
  <conditionalFormatting sqref="C581:D581">
    <cfRule type="containsText" dxfId="1507" priority="1791" operator="containsText" text="NUEVO">
      <formula>NOT(ISERROR(SEARCH("NUEVO",C581)))</formula>
    </cfRule>
  </conditionalFormatting>
  <conditionalFormatting sqref="E581">
    <cfRule type="containsText" dxfId="1506" priority="1790" operator="containsText" text="NUEVO">
      <formula>NOT(ISERROR(SEARCH("NUEVO",E581)))</formula>
    </cfRule>
  </conditionalFormatting>
  <conditionalFormatting sqref="E581">
    <cfRule type="containsText" dxfId="1505" priority="1789" operator="containsText" text="Sin Información">
      <formula>NOT(ISERROR(SEARCH("Sin Información",E581)))</formula>
    </cfRule>
  </conditionalFormatting>
  <conditionalFormatting sqref="E581">
    <cfRule type="expression" dxfId="1504" priority="1788">
      <formula>E581&lt;&gt;""</formula>
    </cfRule>
  </conditionalFormatting>
  <conditionalFormatting sqref="F581">
    <cfRule type="expression" dxfId="1503" priority="1787">
      <formula>F581&lt;&gt;""</formula>
    </cfRule>
  </conditionalFormatting>
  <conditionalFormatting sqref="C582:D582">
    <cfRule type="containsText" dxfId="1502" priority="1786" operator="containsText" text="NO+$D$4:$D$10">
      <formula>NOT(ISERROR(SEARCH("NO+$D$4:$D$10",C582)))</formula>
    </cfRule>
  </conditionalFormatting>
  <conditionalFormatting sqref="C582:D582">
    <cfRule type="containsText" dxfId="1501" priority="1784" operator="containsText" text="SI">
      <formula>NOT(ISERROR(SEARCH("SI",C582)))</formula>
    </cfRule>
    <cfRule type="containsText" dxfId="1500" priority="1785" operator="containsText" text="NO">
      <formula>NOT(ISERROR(SEARCH("NO",C582)))</formula>
    </cfRule>
  </conditionalFormatting>
  <conditionalFormatting sqref="C582:D582">
    <cfRule type="containsText" dxfId="1499" priority="1783" operator="containsText" text="NUEVO">
      <formula>NOT(ISERROR(SEARCH("NUEVO",C582)))</formula>
    </cfRule>
  </conditionalFormatting>
  <conditionalFormatting sqref="E582">
    <cfRule type="containsText" dxfId="1498" priority="1781" operator="containsText" text="NUEVO">
      <formula>NOT(ISERROR(SEARCH("NUEVO",E582)))</formula>
    </cfRule>
  </conditionalFormatting>
  <conditionalFormatting sqref="E582">
    <cfRule type="containsText" dxfId="1497" priority="1780" operator="containsText" text="Sin Información">
      <formula>NOT(ISERROR(SEARCH("Sin Información",E582)))</formula>
    </cfRule>
  </conditionalFormatting>
  <conditionalFormatting sqref="F582">
    <cfRule type="expression" dxfId="1496" priority="1782">
      <formula>F582&lt;&gt;""</formula>
    </cfRule>
  </conditionalFormatting>
  <conditionalFormatting sqref="E582">
    <cfRule type="expression" dxfId="1495" priority="1779">
      <formula>E582&lt;&gt;""</formula>
    </cfRule>
  </conditionalFormatting>
  <conditionalFormatting sqref="C583:D583">
    <cfRule type="containsText" dxfId="1494" priority="1778" operator="containsText" text="NO+$D$4:$D$10">
      <formula>NOT(ISERROR(SEARCH("NO+$D$4:$D$10",C583)))</formula>
    </cfRule>
  </conditionalFormatting>
  <conditionalFormatting sqref="C583:D583">
    <cfRule type="containsText" dxfId="1493" priority="1776" operator="containsText" text="SI">
      <formula>NOT(ISERROR(SEARCH("SI",C583)))</formula>
    </cfRule>
    <cfRule type="containsText" dxfId="1492" priority="1777" operator="containsText" text="NO">
      <formula>NOT(ISERROR(SEARCH("NO",C583)))</formula>
    </cfRule>
  </conditionalFormatting>
  <conditionalFormatting sqref="C583:D583">
    <cfRule type="containsText" dxfId="1491" priority="1775" operator="containsText" text="NUEVO">
      <formula>NOT(ISERROR(SEARCH("NUEVO",C583)))</formula>
    </cfRule>
  </conditionalFormatting>
  <conditionalFormatting sqref="E583">
    <cfRule type="containsText" dxfId="1490" priority="1773" operator="containsText" text="NUEVO">
      <formula>NOT(ISERROR(SEARCH("NUEVO",E583)))</formula>
    </cfRule>
  </conditionalFormatting>
  <conditionalFormatting sqref="F583">
    <cfRule type="expression" dxfId="1489" priority="1774">
      <formula>F583&lt;&gt;""</formula>
    </cfRule>
  </conditionalFormatting>
  <conditionalFormatting sqref="E583">
    <cfRule type="containsText" dxfId="1488" priority="1772" operator="containsText" text="Sin Información">
      <formula>NOT(ISERROR(SEARCH("Sin Información",E583)))</formula>
    </cfRule>
  </conditionalFormatting>
  <conditionalFormatting sqref="E583">
    <cfRule type="expression" dxfId="1487" priority="1771">
      <formula>E583&lt;&gt;""</formula>
    </cfRule>
  </conditionalFormatting>
  <conditionalFormatting sqref="C584:D584">
    <cfRule type="containsText" dxfId="1486" priority="1770" operator="containsText" text="NO+$D$4:$D$10">
      <formula>NOT(ISERROR(SEARCH("NO+$D$4:$D$10",C584)))</formula>
    </cfRule>
  </conditionalFormatting>
  <conditionalFormatting sqref="C584:D584">
    <cfRule type="containsText" dxfId="1485" priority="1768" operator="containsText" text="SI">
      <formula>NOT(ISERROR(SEARCH("SI",C584)))</formula>
    </cfRule>
    <cfRule type="containsText" dxfId="1484" priority="1769" operator="containsText" text="NO">
      <formula>NOT(ISERROR(SEARCH("NO",C584)))</formula>
    </cfRule>
  </conditionalFormatting>
  <conditionalFormatting sqref="C584:D584">
    <cfRule type="containsText" dxfId="1483" priority="1767" operator="containsText" text="NUEVO">
      <formula>NOT(ISERROR(SEARCH("NUEVO",C584)))</formula>
    </cfRule>
  </conditionalFormatting>
  <conditionalFormatting sqref="F584">
    <cfRule type="expression" dxfId="1482" priority="1766">
      <formula>F584&lt;&gt;""</formula>
    </cfRule>
  </conditionalFormatting>
  <conditionalFormatting sqref="E584">
    <cfRule type="containsText" dxfId="1481" priority="1765" operator="containsText" text="NUEVO">
      <formula>NOT(ISERROR(SEARCH("NUEVO",E584)))</formula>
    </cfRule>
  </conditionalFormatting>
  <conditionalFormatting sqref="E584">
    <cfRule type="containsText" dxfId="1480" priority="1764" operator="containsText" text="Sin Información">
      <formula>NOT(ISERROR(SEARCH("Sin Información",E584)))</formula>
    </cfRule>
  </conditionalFormatting>
  <conditionalFormatting sqref="E584">
    <cfRule type="expression" dxfId="1479" priority="1763">
      <formula>E584&lt;&gt;""</formula>
    </cfRule>
  </conditionalFormatting>
  <conditionalFormatting sqref="C585:D585">
    <cfRule type="containsText" dxfId="1478" priority="1762" operator="containsText" text="NO+$D$4:$D$10">
      <formula>NOT(ISERROR(SEARCH("NO+$D$4:$D$10",C585)))</formula>
    </cfRule>
  </conditionalFormatting>
  <conditionalFormatting sqref="C585:D585">
    <cfRule type="containsText" dxfId="1477" priority="1760" operator="containsText" text="SI">
      <formula>NOT(ISERROR(SEARCH("SI",C585)))</formula>
    </cfRule>
    <cfRule type="containsText" dxfId="1476" priority="1761" operator="containsText" text="NO">
      <formula>NOT(ISERROR(SEARCH("NO",C585)))</formula>
    </cfRule>
  </conditionalFormatting>
  <conditionalFormatting sqref="C585:D585">
    <cfRule type="containsText" dxfId="1475" priority="1759" operator="containsText" text="NUEVO">
      <formula>NOT(ISERROR(SEARCH("NUEVO",C585)))</formula>
    </cfRule>
  </conditionalFormatting>
  <conditionalFormatting sqref="E585">
    <cfRule type="containsText" dxfId="1474" priority="1757" operator="containsText" text="NUEVO">
      <formula>NOT(ISERROR(SEARCH("NUEVO",E585)))</formula>
    </cfRule>
  </conditionalFormatting>
  <conditionalFormatting sqref="E585">
    <cfRule type="containsText" dxfId="1473" priority="1756" operator="containsText" text="Sin Información">
      <formula>NOT(ISERROR(SEARCH("Sin Información",E585)))</formula>
    </cfRule>
  </conditionalFormatting>
  <conditionalFormatting sqref="F585">
    <cfRule type="expression" dxfId="1472" priority="1758">
      <formula>F585&lt;&gt;""</formula>
    </cfRule>
  </conditionalFormatting>
  <conditionalFormatting sqref="E585">
    <cfRule type="expression" dxfId="1471" priority="1755">
      <formula>E585&lt;&gt;""</formula>
    </cfRule>
  </conditionalFormatting>
  <conditionalFormatting sqref="C772:D772">
    <cfRule type="containsText" dxfId="1470" priority="1731" operator="containsText" text="NO+$D$4:$D$10">
      <formula>NOT(ISERROR(SEARCH("NO+$D$4:$D$10",C772)))</formula>
    </cfRule>
  </conditionalFormatting>
  <conditionalFormatting sqref="C772:D772">
    <cfRule type="containsText" dxfId="1469" priority="1729" operator="containsText" text="SI">
      <formula>NOT(ISERROR(SEARCH("SI",C772)))</formula>
    </cfRule>
    <cfRule type="containsText" dxfId="1468" priority="1730" operator="containsText" text="NO">
      <formula>NOT(ISERROR(SEARCH("NO",C772)))</formula>
    </cfRule>
  </conditionalFormatting>
  <conditionalFormatting sqref="C772:E772">
    <cfRule type="containsText" dxfId="1467" priority="1728" operator="containsText" text="NUEVO">
      <formula>NOT(ISERROR(SEARCH("NUEVO",C772)))</formula>
    </cfRule>
  </conditionalFormatting>
  <conditionalFormatting sqref="E772">
    <cfRule type="containsText" dxfId="1466" priority="1727" operator="containsText" text="Sin Información">
      <formula>NOT(ISERROR(SEARCH("Sin Información",E772)))</formula>
    </cfRule>
  </conditionalFormatting>
  <conditionalFormatting sqref="E772">
    <cfRule type="expression" dxfId="1465" priority="1726">
      <formula>E772&lt;&gt;""</formula>
    </cfRule>
  </conditionalFormatting>
  <conditionalFormatting sqref="F772">
    <cfRule type="expression" dxfId="1464" priority="1725">
      <formula>F772&lt;&gt;""</formula>
    </cfRule>
  </conditionalFormatting>
  <conditionalFormatting sqref="C773:D773">
    <cfRule type="containsText" dxfId="1463" priority="1724" operator="containsText" text="NO+$D$4:$D$10">
      <formula>NOT(ISERROR(SEARCH("NO+$D$4:$D$10",C773)))</formula>
    </cfRule>
  </conditionalFormatting>
  <conditionalFormatting sqref="C773:D773">
    <cfRule type="containsText" dxfId="1462" priority="1722" operator="containsText" text="SI">
      <formula>NOT(ISERROR(SEARCH("SI",C773)))</formula>
    </cfRule>
    <cfRule type="containsText" dxfId="1461" priority="1723" operator="containsText" text="NO">
      <formula>NOT(ISERROR(SEARCH("NO",C773)))</formula>
    </cfRule>
  </conditionalFormatting>
  <conditionalFormatting sqref="C773:E773">
    <cfRule type="containsText" dxfId="1460" priority="1721" operator="containsText" text="NUEVO">
      <formula>NOT(ISERROR(SEARCH("NUEVO",C773)))</formula>
    </cfRule>
  </conditionalFormatting>
  <conditionalFormatting sqref="E773">
    <cfRule type="containsText" dxfId="1459" priority="1720" operator="containsText" text="Sin Información">
      <formula>NOT(ISERROR(SEARCH("Sin Información",E773)))</formula>
    </cfRule>
  </conditionalFormatting>
  <conditionalFormatting sqref="E773:F773">
    <cfRule type="expression" dxfId="1458" priority="1719">
      <formula>E773&lt;&gt;""</formula>
    </cfRule>
  </conditionalFormatting>
  <conditionalFormatting sqref="C774:D774">
    <cfRule type="containsText" dxfId="1457" priority="1718" operator="containsText" text="NO+$D$4:$D$10">
      <formula>NOT(ISERROR(SEARCH("NO+$D$4:$D$10",C774)))</formula>
    </cfRule>
  </conditionalFormatting>
  <conditionalFormatting sqref="C774:D774">
    <cfRule type="containsText" dxfId="1456" priority="1716" operator="containsText" text="SI">
      <formula>NOT(ISERROR(SEARCH("SI",C774)))</formula>
    </cfRule>
    <cfRule type="containsText" dxfId="1455" priority="1717" operator="containsText" text="NO">
      <formula>NOT(ISERROR(SEARCH("NO",C774)))</formula>
    </cfRule>
  </conditionalFormatting>
  <conditionalFormatting sqref="C774:D774">
    <cfRule type="containsText" dxfId="1454" priority="1715" operator="containsText" text="NUEVO">
      <formula>NOT(ISERROR(SEARCH("NUEVO",C774)))</formula>
    </cfRule>
  </conditionalFormatting>
  <conditionalFormatting sqref="E774:F774">
    <cfRule type="expression" dxfId="1453" priority="1714">
      <formula>E774&lt;&gt;""</formula>
    </cfRule>
  </conditionalFormatting>
  <conditionalFormatting sqref="E774">
    <cfRule type="containsText" dxfId="1452" priority="1713" operator="containsText" text="NUEVO">
      <formula>NOT(ISERROR(SEARCH("NUEVO",E774)))</formula>
    </cfRule>
  </conditionalFormatting>
  <conditionalFormatting sqref="E774">
    <cfRule type="containsText" dxfId="1451" priority="1712" operator="containsText" text="Sin Información">
      <formula>NOT(ISERROR(SEARCH("Sin Información",E774)))</formula>
    </cfRule>
  </conditionalFormatting>
  <conditionalFormatting sqref="E774">
    <cfRule type="containsText" dxfId="1450" priority="1711" operator="containsText" text="NUEVO">
      <formula>NOT(ISERROR(SEARCH("NUEVO",E774)))</formula>
    </cfRule>
  </conditionalFormatting>
  <conditionalFormatting sqref="E774">
    <cfRule type="containsText" dxfId="1449" priority="1710" operator="containsText" text="Sin Información">
      <formula>NOT(ISERROR(SEARCH("Sin Información",E774)))</formula>
    </cfRule>
  </conditionalFormatting>
  <conditionalFormatting sqref="C775:D775">
    <cfRule type="containsText" dxfId="1448" priority="1709" operator="containsText" text="NO+$D$4:$D$10">
      <formula>NOT(ISERROR(SEARCH("NO+$D$4:$D$10",C775)))</formula>
    </cfRule>
  </conditionalFormatting>
  <conditionalFormatting sqref="C775:D775">
    <cfRule type="containsText" dxfId="1447" priority="1707" operator="containsText" text="SI">
      <formula>NOT(ISERROR(SEARCH("SI",C775)))</formula>
    </cfRule>
    <cfRule type="containsText" dxfId="1446" priority="1708" operator="containsText" text="NO">
      <formula>NOT(ISERROR(SEARCH("NO",C775)))</formula>
    </cfRule>
  </conditionalFormatting>
  <conditionalFormatting sqref="C775:E775">
    <cfRule type="containsText" dxfId="1445" priority="1706" operator="containsText" text="NUEVO">
      <formula>NOT(ISERROR(SEARCH("NUEVO",C775)))</formula>
    </cfRule>
  </conditionalFormatting>
  <conditionalFormatting sqref="E775">
    <cfRule type="containsText" dxfId="1444" priority="1705" operator="containsText" text="Sin Información">
      <formula>NOT(ISERROR(SEARCH("Sin Información",E775)))</formula>
    </cfRule>
  </conditionalFormatting>
  <conditionalFormatting sqref="E775">
    <cfRule type="containsText" dxfId="1443" priority="1704" operator="containsText" text="NUEVO">
      <formula>NOT(ISERROR(SEARCH("NUEVO",E775)))</formula>
    </cfRule>
  </conditionalFormatting>
  <conditionalFormatting sqref="E775">
    <cfRule type="containsText" dxfId="1442" priority="1703" operator="containsText" text="Sin Información">
      <formula>NOT(ISERROR(SEARCH("Sin Información",E775)))</formula>
    </cfRule>
  </conditionalFormatting>
  <conditionalFormatting sqref="E775:F775">
    <cfRule type="expression" dxfId="1441" priority="1702">
      <formula>E775&lt;&gt;""</formula>
    </cfRule>
  </conditionalFormatting>
  <conditionalFormatting sqref="C776:D776">
    <cfRule type="containsText" dxfId="1440" priority="1693" operator="containsText" text="NO+$D$4:$D$10">
      <formula>NOT(ISERROR(SEARCH("NO+$D$4:$D$10",C776)))</formula>
    </cfRule>
  </conditionalFormatting>
  <conditionalFormatting sqref="C776:D776">
    <cfRule type="containsText" dxfId="1439" priority="1691" operator="containsText" text="SI">
      <formula>NOT(ISERROR(SEARCH("SI",C776)))</formula>
    </cfRule>
    <cfRule type="containsText" dxfId="1438" priority="1692" operator="containsText" text="NO">
      <formula>NOT(ISERROR(SEARCH("NO",C776)))</formula>
    </cfRule>
  </conditionalFormatting>
  <conditionalFormatting sqref="C776:D776">
    <cfRule type="containsText" dxfId="1437" priority="1690" operator="containsText" text="NUEVO">
      <formula>NOT(ISERROR(SEARCH("NUEVO",C776)))</formula>
    </cfRule>
  </conditionalFormatting>
  <conditionalFormatting sqref="E776">
    <cfRule type="containsText" dxfId="1436" priority="1688" operator="containsText" text="Sin Información">
      <formula>NOT(ISERROR(SEARCH("Sin Información",E776)))</formula>
    </cfRule>
  </conditionalFormatting>
  <conditionalFormatting sqref="E776">
    <cfRule type="containsText" dxfId="1435" priority="1689" operator="containsText" text="NUEVO">
      <formula>NOT(ISERROR(SEARCH("NUEVO",E776)))</formula>
    </cfRule>
  </conditionalFormatting>
  <conditionalFormatting sqref="E776:F776">
    <cfRule type="expression" dxfId="1434" priority="1687">
      <formula>E776&lt;&gt;""</formula>
    </cfRule>
  </conditionalFormatting>
  <conditionalFormatting sqref="E776">
    <cfRule type="containsText" dxfId="1433" priority="1686" operator="containsText" text="NUEVO">
      <formula>NOT(ISERROR(SEARCH("NUEVO",E776)))</formula>
    </cfRule>
  </conditionalFormatting>
  <conditionalFormatting sqref="E776">
    <cfRule type="containsText" dxfId="1432" priority="1685" operator="containsText" text="Sin Información">
      <formula>NOT(ISERROR(SEARCH("Sin Información",E776)))</formula>
    </cfRule>
  </conditionalFormatting>
  <conditionalFormatting sqref="C777:D777">
    <cfRule type="containsText" dxfId="1431" priority="1684" operator="containsText" text="NO+$D$4:$D$10">
      <formula>NOT(ISERROR(SEARCH("NO+$D$4:$D$10",C777)))</formula>
    </cfRule>
  </conditionalFormatting>
  <conditionalFormatting sqref="C777:D777">
    <cfRule type="containsText" dxfId="1430" priority="1682" operator="containsText" text="SI">
      <formula>NOT(ISERROR(SEARCH("SI",C777)))</formula>
    </cfRule>
    <cfRule type="containsText" dxfId="1429" priority="1683" operator="containsText" text="NO">
      <formula>NOT(ISERROR(SEARCH("NO",C777)))</formula>
    </cfRule>
  </conditionalFormatting>
  <conditionalFormatting sqref="C777:D777">
    <cfRule type="containsText" dxfId="1428" priority="1681" operator="containsText" text="NUEVO">
      <formula>NOT(ISERROR(SEARCH("NUEVO",C777)))</formula>
    </cfRule>
  </conditionalFormatting>
  <conditionalFormatting sqref="F777">
    <cfRule type="expression" dxfId="1427" priority="1680">
      <formula>F777&lt;&gt;""</formula>
    </cfRule>
  </conditionalFormatting>
  <conditionalFormatting sqref="E777">
    <cfRule type="containsText" dxfId="1426" priority="1678" operator="containsText" text="Sin Información">
      <formula>NOT(ISERROR(SEARCH("Sin Información",E777)))</formula>
    </cfRule>
  </conditionalFormatting>
  <conditionalFormatting sqref="E777">
    <cfRule type="containsText" dxfId="1425" priority="1679" operator="containsText" text="NUEVO">
      <formula>NOT(ISERROR(SEARCH("NUEVO",E777)))</formula>
    </cfRule>
  </conditionalFormatting>
  <conditionalFormatting sqref="C778:D778">
    <cfRule type="containsText" dxfId="1424" priority="1677" operator="containsText" text="NO+$D$4:$D$10">
      <formula>NOT(ISERROR(SEARCH("NO+$D$4:$D$10",C778)))</formula>
    </cfRule>
  </conditionalFormatting>
  <conditionalFormatting sqref="C778:D778">
    <cfRule type="containsText" dxfId="1423" priority="1675" operator="containsText" text="SI">
      <formula>NOT(ISERROR(SEARCH("SI",C778)))</formula>
    </cfRule>
    <cfRule type="containsText" dxfId="1422" priority="1676" operator="containsText" text="NO">
      <formula>NOT(ISERROR(SEARCH("NO",C778)))</formula>
    </cfRule>
  </conditionalFormatting>
  <conditionalFormatting sqref="C778:E778">
    <cfRule type="containsText" dxfId="1421" priority="1674" operator="containsText" text="NUEVO">
      <formula>NOT(ISERROR(SEARCH("NUEVO",C778)))</formula>
    </cfRule>
  </conditionalFormatting>
  <conditionalFormatting sqref="E778">
    <cfRule type="containsText" dxfId="1420" priority="1673" operator="containsText" text="Sin Información">
      <formula>NOT(ISERROR(SEARCH("Sin Información",E778)))</formula>
    </cfRule>
  </conditionalFormatting>
  <conditionalFormatting sqref="E778:F778">
    <cfRule type="expression" dxfId="1419" priority="1672">
      <formula>E778&lt;&gt;""</formula>
    </cfRule>
  </conditionalFormatting>
  <conditionalFormatting sqref="C779:D779">
    <cfRule type="containsText" dxfId="1418" priority="1671" operator="containsText" text="NO+$D$4:$D$10">
      <formula>NOT(ISERROR(SEARCH("NO+$D$4:$D$10",C779)))</formula>
    </cfRule>
  </conditionalFormatting>
  <conditionalFormatting sqref="C779:D779">
    <cfRule type="containsText" dxfId="1417" priority="1669" operator="containsText" text="SI">
      <formula>NOT(ISERROR(SEARCH("SI",C779)))</formula>
    </cfRule>
    <cfRule type="containsText" dxfId="1416" priority="1670" operator="containsText" text="NO">
      <formula>NOT(ISERROR(SEARCH("NO",C779)))</formula>
    </cfRule>
  </conditionalFormatting>
  <conditionalFormatting sqref="C779:D779">
    <cfRule type="containsText" dxfId="1415" priority="1668" operator="containsText" text="NUEVO">
      <formula>NOT(ISERROR(SEARCH("NUEVO",C779)))</formula>
    </cfRule>
  </conditionalFormatting>
  <conditionalFormatting sqref="E779">
    <cfRule type="containsText" dxfId="1414" priority="1667" operator="containsText" text="NUEVO">
      <formula>NOT(ISERROR(SEARCH("NUEVO",E779)))</formula>
    </cfRule>
  </conditionalFormatting>
  <conditionalFormatting sqref="E779">
    <cfRule type="containsText" dxfId="1413" priority="1666" operator="containsText" text="Sin Información">
      <formula>NOT(ISERROR(SEARCH("Sin Información",E779)))</formula>
    </cfRule>
  </conditionalFormatting>
  <conditionalFormatting sqref="E779">
    <cfRule type="expression" dxfId="1412" priority="1665">
      <formula>E779&lt;&gt;""</formula>
    </cfRule>
  </conditionalFormatting>
  <conditionalFormatting sqref="F779">
    <cfRule type="expression" dxfId="1411" priority="1664">
      <formula>F779&lt;&gt;""</formula>
    </cfRule>
  </conditionalFormatting>
  <conditionalFormatting sqref="C780:D780">
    <cfRule type="containsText" dxfId="1410" priority="1663" operator="containsText" text="NO+$D$4:$D$10">
      <formula>NOT(ISERROR(SEARCH("NO+$D$4:$D$10",C780)))</formula>
    </cfRule>
  </conditionalFormatting>
  <conditionalFormatting sqref="C780:D780">
    <cfRule type="containsText" dxfId="1409" priority="1661" operator="containsText" text="SI">
      <formula>NOT(ISERROR(SEARCH("SI",C780)))</formula>
    </cfRule>
    <cfRule type="containsText" dxfId="1408" priority="1662" operator="containsText" text="NO">
      <formula>NOT(ISERROR(SEARCH("NO",C780)))</formula>
    </cfRule>
  </conditionalFormatting>
  <conditionalFormatting sqref="C780:D780">
    <cfRule type="containsText" dxfId="1407" priority="1660" operator="containsText" text="NUEVO">
      <formula>NOT(ISERROR(SEARCH("NUEVO",C780)))</formula>
    </cfRule>
  </conditionalFormatting>
  <conditionalFormatting sqref="E780">
    <cfRule type="containsText" dxfId="1406" priority="1659" operator="containsText" text="NUEVO">
      <formula>NOT(ISERROR(SEARCH("NUEVO",E780)))</formula>
    </cfRule>
  </conditionalFormatting>
  <conditionalFormatting sqref="E780">
    <cfRule type="containsText" dxfId="1405" priority="1658" operator="containsText" text="Sin Información">
      <formula>NOT(ISERROR(SEARCH("Sin Información",E780)))</formula>
    </cfRule>
  </conditionalFormatting>
  <conditionalFormatting sqref="E780:F780">
    <cfRule type="expression" dxfId="1404" priority="1657">
      <formula>E780&lt;&gt;""</formula>
    </cfRule>
  </conditionalFormatting>
  <conditionalFormatting sqref="E780">
    <cfRule type="containsText" dxfId="1403" priority="1656" operator="containsText" text="NUEVO">
      <formula>NOT(ISERROR(SEARCH("NUEVO",E780)))</formula>
    </cfRule>
  </conditionalFormatting>
  <conditionalFormatting sqref="E780">
    <cfRule type="containsText" dxfId="1402" priority="1655" operator="containsText" text="Sin Información">
      <formula>NOT(ISERROR(SEARCH("Sin Información",E780)))</formula>
    </cfRule>
  </conditionalFormatting>
  <conditionalFormatting sqref="C781:D781">
    <cfRule type="containsText" dxfId="1401" priority="1654" operator="containsText" text="NO+$D$4:$D$10">
      <formula>NOT(ISERROR(SEARCH("NO+$D$4:$D$10",C781)))</formula>
    </cfRule>
  </conditionalFormatting>
  <conditionalFormatting sqref="C781:D781">
    <cfRule type="containsText" dxfId="1400" priority="1652" operator="containsText" text="SI">
      <formula>NOT(ISERROR(SEARCH("SI",C781)))</formula>
    </cfRule>
    <cfRule type="containsText" dxfId="1399" priority="1653" operator="containsText" text="NO">
      <formula>NOT(ISERROR(SEARCH("NO",C781)))</formula>
    </cfRule>
  </conditionalFormatting>
  <conditionalFormatting sqref="C781:D781">
    <cfRule type="containsText" dxfId="1398" priority="1651" operator="containsText" text="NUEVO">
      <formula>NOT(ISERROR(SEARCH("NUEVO",C781)))</formula>
    </cfRule>
  </conditionalFormatting>
  <conditionalFormatting sqref="F781">
    <cfRule type="expression" dxfId="1397" priority="1650">
      <formula>F781&lt;&gt;""</formula>
    </cfRule>
  </conditionalFormatting>
  <conditionalFormatting sqref="E781">
    <cfRule type="containsText" dxfId="1396" priority="1649" operator="containsText" text="NUEVO">
      <formula>NOT(ISERROR(SEARCH("NUEVO",E781)))</formula>
    </cfRule>
  </conditionalFormatting>
  <conditionalFormatting sqref="E781">
    <cfRule type="containsText" dxfId="1395" priority="1648" operator="containsText" text="Sin Información">
      <formula>NOT(ISERROR(SEARCH("Sin Información",E781)))</formula>
    </cfRule>
  </conditionalFormatting>
  <conditionalFormatting sqref="E781">
    <cfRule type="expression" dxfId="1394" priority="1647">
      <formula>E781&lt;&gt;""</formula>
    </cfRule>
  </conditionalFormatting>
  <conditionalFormatting sqref="C782:D782">
    <cfRule type="containsText" dxfId="1393" priority="1646" operator="containsText" text="NO+$D$4:$D$10">
      <formula>NOT(ISERROR(SEARCH("NO+$D$4:$D$10",C782)))</formula>
    </cfRule>
  </conditionalFormatting>
  <conditionalFormatting sqref="C782:D782">
    <cfRule type="containsText" dxfId="1392" priority="1644" operator="containsText" text="SI">
      <formula>NOT(ISERROR(SEARCH("SI",C782)))</formula>
    </cfRule>
    <cfRule type="containsText" dxfId="1391" priority="1645" operator="containsText" text="NO">
      <formula>NOT(ISERROR(SEARCH("NO",C782)))</formula>
    </cfRule>
  </conditionalFormatting>
  <conditionalFormatting sqref="C782:D782">
    <cfRule type="containsText" dxfId="1390" priority="1643" operator="containsText" text="NUEVO">
      <formula>NOT(ISERROR(SEARCH("NUEVO",C782)))</formula>
    </cfRule>
  </conditionalFormatting>
  <conditionalFormatting sqref="F782">
    <cfRule type="expression" dxfId="1389" priority="1642">
      <formula>F782&lt;&gt;""</formula>
    </cfRule>
  </conditionalFormatting>
  <conditionalFormatting sqref="E782">
    <cfRule type="containsText" dxfId="1388" priority="1641" operator="containsText" text="NUEVO">
      <formula>NOT(ISERROR(SEARCH("NUEVO",E782)))</formula>
    </cfRule>
  </conditionalFormatting>
  <conditionalFormatting sqref="E782">
    <cfRule type="containsText" dxfId="1387" priority="1640" operator="containsText" text="Sin Información">
      <formula>NOT(ISERROR(SEARCH("Sin Información",E782)))</formula>
    </cfRule>
  </conditionalFormatting>
  <conditionalFormatting sqref="E782">
    <cfRule type="expression" dxfId="1386" priority="1639">
      <formula>E782&lt;&gt;""</formula>
    </cfRule>
  </conditionalFormatting>
  <conditionalFormatting sqref="C783:D783">
    <cfRule type="containsText" dxfId="1385" priority="1638" operator="containsText" text="NO+$D$4:$D$10">
      <formula>NOT(ISERROR(SEARCH("NO+$D$4:$D$10",C783)))</formula>
    </cfRule>
  </conditionalFormatting>
  <conditionalFormatting sqref="C783:D783">
    <cfRule type="containsText" dxfId="1384" priority="1636" operator="containsText" text="SI">
      <formula>NOT(ISERROR(SEARCH("SI",C783)))</formula>
    </cfRule>
    <cfRule type="containsText" dxfId="1383" priority="1637" operator="containsText" text="NO">
      <formula>NOT(ISERROR(SEARCH("NO",C783)))</formula>
    </cfRule>
  </conditionalFormatting>
  <conditionalFormatting sqref="C783:E783">
    <cfRule type="containsText" dxfId="1382" priority="1635" operator="containsText" text="NUEVO">
      <formula>NOT(ISERROR(SEARCH("NUEVO",C783)))</formula>
    </cfRule>
  </conditionalFormatting>
  <conditionalFormatting sqref="E783">
    <cfRule type="containsText" dxfId="1381" priority="1634" operator="containsText" text="Sin Información">
      <formula>NOT(ISERROR(SEARCH("Sin Información",E783)))</formula>
    </cfRule>
  </conditionalFormatting>
  <conditionalFormatting sqref="E783:F783">
    <cfRule type="expression" dxfId="1380" priority="1633">
      <formula>E783&lt;&gt;""</formula>
    </cfRule>
  </conditionalFormatting>
  <conditionalFormatting sqref="E783">
    <cfRule type="containsText" dxfId="1379" priority="1632" operator="containsText" text="NUEVO">
      <formula>NOT(ISERROR(SEARCH("NUEVO",E783)))</formula>
    </cfRule>
  </conditionalFormatting>
  <conditionalFormatting sqref="E783">
    <cfRule type="containsText" dxfId="1378" priority="1631" operator="containsText" text="Sin Información">
      <formula>NOT(ISERROR(SEARCH("Sin Información",E783)))</formula>
    </cfRule>
  </conditionalFormatting>
  <conditionalFormatting sqref="E783">
    <cfRule type="expression" dxfId="1377" priority="1630">
      <formula>E783&lt;&gt;""</formula>
    </cfRule>
  </conditionalFormatting>
  <conditionalFormatting sqref="F783">
    <cfRule type="expression" dxfId="1376" priority="1629">
      <formula>F783&lt;&gt;""</formula>
    </cfRule>
  </conditionalFormatting>
  <conditionalFormatting sqref="E783">
    <cfRule type="containsText" dxfId="1375" priority="1628" operator="containsText" text="NUEVO">
      <formula>NOT(ISERROR(SEARCH("NUEVO",E783)))</formula>
    </cfRule>
  </conditionalFormatting>
  <conditionalFormatting sqref="E783">
    <cfRule type="containsText" dxfId="1374" priority="1627" operator="containsText" text="Sin Información">
      <formula>NOT(ISERROR(SEARCH("Sin Información",E783)))</formula>
    </cfRule>
  </conditionalFormatting>
  <conditionalFormatting sqref="E783">
    <cfRule type="expression" dxfId="1373" priority="1626">
      <formula>E783&lt;&gt;""</formula>
    </cfRule>
  </conditionalFormatting>
  <conditionalFormatting sqref="C784:D784">
    <cfRule type="containsText" dxfId="1372" priority="1625" operator="containsText" text="NO+$D$4:$D$10">
      <formula>NOT(ISERROR(SEARCH("NO+$D$4:$D$10",C784)))</formula>
    </cfRule>
  </conditionalFormatting>
  <conditionalFormatting sqref="C784:D784">
    <cfRule type="containsText" dxfId="1371" priority="1623" operator="containsText" text="SI">
      <formula>NOT(ISERROR(SEARCH("SI",C784)))</formula>
    </cfRule>
    <cfRule type="containsText" dxfId="1370" priority="1624" operator="containsText" text="NO">
      <formula>NOT(ISERROR(SEARCH("NO",C784)))</formula>
    </cfRule>
  </conditionalFormatting>
  <conditionalFormatting sqref="C784:E784">
    <cfRule type="containsText" dxfId="1369" priority="1622" operator="containsText" text="NUEVO">
      <formula>NOT(ISERROR(SEARCH("NUEVO",C784)))</formula>
    </cfRule>
  </conditionalFormatting>
  <conditionalFormatting sqref="E784">
    <cfRule type="containsText" dxfId="1368" priority="1621" operator="containsText" text="Sin Información">
      <formula>NOT(ISERROR(SEARCH("Sin Información",E784)))</formula>
    </cfRule>
  </conditionalFormatting>
  <conditionalFormatting sqref="E784">
    <cfRule type="expression" dxfId="1367" priority="1620">
      <formula>E784&lt;&gt;""</formula>
    </cfRule>
  </conditionalFormatting>
  <conditionalFormatting sqref="E784">
    <cfRule type="containsText" dxfId="1366" priority="1619" operator="containsText" text="NUEVO">
      <formula>NOT(ISERROR(SEARCH("NUEVO",E784)))</formula>
    </cfRule>
  </conditionalFormatting>
  <conditionalFormatting sqref="E784">
    <cfRule type="containsText" dxfId="1365" priority="1618" operator="containsText" text="Sin Información">
      <formula>NOT(ISERROR(SEARCH("Sin Información",E784)))</formula>
    </cfRule>
  </conditionalFormatting>
  <conditionalFormatting sqref="E784">
    <cfRule type="expression" dxfId="1364" priority="1617">
      <formula>E784&lt;&gt;""</formula>
    </cfRule>
  </conditionalFormatting>
  <conditionalFormatting sqref="F784">
    <cfRule type="expression" dxfId="1363" priority="1616">
      <formula>F784&lt;&gt;""</formula>
    </cfRule>
  </conditionalFormatting>
  <conditionalFormatting sqref="C785:D785">
    <cfRule type="containsText" dxfId="1362" priority="1615" operator="containsText" text="NO+$D$4:$D$10">
      <formula>NOT(ISERROR(SEARCH("NO+$D$4:$D$10",C785)))</formula>
    </cfRule>
  </conditionalFormatting>
  <conditionalFormatting sqref="C785:D785">
    <cfRule type="containsText" dxfId="1361" priority="1613" operator="containsText" text="SI">
      <formula>NOT(ISERROR(SEARCH("SI",C785)))</formula>
    </cfRule>
    <cfRule type="containsText" dxfId="1360" priority="1614" operator="containsText" text="NO">
      <formula>NOT(ISERROR(SEARCH("NO",C785)))</formula>
    </cfRule>
  </conditionalFormatting>
  <conditionalFormatting sqref="C785:D785">
    <cfRule type="containsText" dxfId="1359" priority="1612" operator="containsText" text="NUEVO">
      <formula>NOT(ISERROR(SEARCH("NUEVO",C785)))</formula>
    </cfRule>
  </conditionalFormatting>
  <conditionalFormatting sqref="E785">
    <cfRule type="containsText" dxfId="1358" priority="1611" operator="containsText" text="NUEVO">
      <formula>NOT(ISERROR(SEARCH("NUEVO",E785)))</formula>
    </cfRule>
  </conditionalFormatting>
  <conditionalFormatting sqref="E785">
    <cfRule type="containsText" dxfId="1357" priority="1610" operator="containsText" text="Sin Información">
      <formula>NOT(ISERROR(SEARCH("Sin Información",E785)))</formula>
    </cfRule>
  </conditionalFormatting>
  <conditionalFormatting sqref="E785">
    <cfRule type="expression" dxfId="1356" priority="1609">
      <formula>E785&lt;&gt;""</formula>
    </cfRule>
  </conditionalFormatting>
  <conditionalFormatting sqref="F785">
    <cfRule type="expression" dxfId="1355" priority="1608">
      <formula>F785&lt;&gt;""</formula>
    </cfRule>
  </conditionalFormatting>
  <conditionalFormatting sqref="C786:D786">
    <cfRule type="containsText" dxfId="1354" priority="1607" operator="containsText" text="NO+$D$4:$D$10">
      <formula>NOT(ISERROR(SEARCH("NO+$D$4:$D$10",C786)))</formula>
    </cfRule>
  </conditionalFormatting>
  <conditionalFormatting sqref="C786:D786">
    <cfRule type="containsText" dxfId="1353" priority="1605" operator="containsText" text="SI">
      <formula>NOT(ISERROR(SEARCH("SI",C786)))</formula>
    </cfRule>
    <cfRule type="containsText" dxfId="1352" priority="1606" operator="containsText" text="NO">
      <formula>NOT(ISERROR(SEARCH("NO",C786)))</formula>
    </cfRule>
  </conditionalFormatting>
  <conditionalFormatting sqref="C786:D786">
    <cfRule type="containsText" dxfId="1351" priority="1604" operator="containsText" text="NUEVO">
      <formula>NOT(ISERROR(SEARCH("NUEVO",C786)))</formula>
    </cfRule>
  </conditionalFormatting>
  <conditionalFormatting sqref="E786">
    <cfRule type="containsText" dxfId="1350" priority="1602" operator="containsText" text="NUEVO">
      <formula>NOT(ISERROR(SEARCH("NUEVO",E786)))</formula>
    </cfRule>
  </conditionalFormatting>
  <conditionalFormatting sqref="E786">
    <cfRule type="containsText" dxfId="1349" priority="1601" operator="containsText" text="Sin Información">
      <formula>NOT(ISERROR(SEARCH("Sin Información",E786)))</formula>
    </cfRule>
  </conditionalFormatting>
  <conditionalFormatting sqref="F786">
    <cfRule type="expression" dxfId="1348" priority="1603">
      <formula>F786&lt;&gt;""</formula>
    </cfRule>
  </conditionalFormatting>
  <conditionalFormatting sqref="E786">
    <cfRule type="expression" dxfId="1347" priority="1600">
      <formula>E786&lt;&gt;""</formula>
    </cfRule>
  </conditionalFormatting>
  <conditionalFormatting sqref="C787:D787">
    <cfRule type="containsText" dxfId="1346" priority="1599" operator="containsText" text="NO+$D$4:$D$10">
      <formula>NOT(ISERROR(SEARCH("NO+$D$4:$D$10",C787)))</formula>
    </cfRule>
  </conditionalFormatting>
  <conditionalFormatting sqref="C787:D787">
    <cfRule type="containsText" dxfId="1345" priority="1597" operator="containsText" text="SI">
      <formula>NOT(ISERROR(SEARCH("SI",C787)))</formula>
    </cfRule>
    <cfRule type="containsText" dxfId="1344" priority="1598" operator="containsText" text="NO">
      <formula>NOT(ISERROR(SEARCH("NO",C787)))</formula>
    </cfRule>
  </conditionalFormatting>
  <conditionalFormatting sqref="C787:D787">
    <cfRule type="containsText" dxfId="1343" priority="1596" operator="containsText" text="NUEVO">
      <formula>NOT(ISERROR(SEARCH("NUEVO",C787)))</formula>
    </cfRule>
  </conditionalFormatting>
  <conditionalFormatting sqref="E787">
    <cfRule type="containsText" dxfId="1342" priority="1594" operator="containsText" text="NUEVO">
      <formula>NOT(ISERROR(SEARCH("NUEVO",E787)))</formula>
    </cfRule>
  </conditionalFormatting>
  <conditionalFormatting sqref="F787">
    <cfRule type="expression" dxfId="1341" priority="1595">
      <formula>F787&lt;&gt;""</formula>
    </cfRule>
  </conditionalFormatting>
  <conditionalFormatting sqref="E787">
    <cfRule type="containsText" dxfId="1340" priority="1593" operator="containsText" text="Sin Información">
      <formula>NOT(ISERROR(SEARCH("Sin Información",E787)))</formula>
    </cfRule>
  </conditionalFormatting>
  <conditionalFormatting sqref="E787">
    <cfRule type="expression" dxfId="1339" priority="1592">
      <formula>E787&lt;&gt;""</formula>
    </cfRule>
  </conditionalFormatting>
  <conditionalFormatting sqref="C789:D789">
    <cfRule type="containsText" dxfId="1338" priority="1591" operator="containsText" text="NO+$D$4:$D$10">
      <formula>NOT(ISERROR(SEARCH("NO+$D$4:$D$10",C789)))</formula>
    </cfRule>
  </conditionalFormatting>
  <conditionalFormatting sqref="C789:D789">
    <cfRule type="containsText" dxfId="1337" priority="1589" operator="containsText" text="SI">
      <formula>NOT(ISERROR(SEARCH("SI",C789)))</formula>
    </cfRule>
    <cfRule type="containsText" dxfId="1336" priority="1590" operator="containsText" text="NO">
      <formula>NOT(ISERROR(SEARCH("NO",C789)))</formula>
    </cfRule>
  </conditionalFormatting>
  <conditionalFormatting sqref="C789:D789">
    <cfRule type="containsText" dxfId="1335" priority="1588" operator="containsText" text="NUEVO">
      <formula>NOT(ISERROR(SEARCH("NUEVO",C789)))</formula>
    </cfRule>
  </conditionalFormatting>
  <conditionalFormatting sqref="F789">
    <cfRule type="expression" dxfId="1334" priority="1587">
      <formula>F789&lt;&gt;""</formula>
    </cfRule>
  </conditionalFormatting>
  <conditionalFormatting sqref="E789">
    <cfRule type="containsText" dxfId="1333" priority="1586" operator="containsText" text="NUEVO">
      <formula>NOT(ISERROR(SEARCH("NUEVO",E789)))</formula>
    </cfRule>
  </conditionalFormatting>
  <conditionalFormatting sqref="E789">
    <cfRule type="containsText" dxfId="1332" priority="1585" operator="containsText" text="Sin Información">
      <formula>NOT(ISERROR(SEARCH("Sin Información",E789)))</formula>
    </cfRule>
  </conditionalFormatting>
  <conditionalFormatting sqref="E789">
    <cfRule type="expression" dxfId="1331" priority="1584">
      <formula>E789&lt;&gt;""</formula>
    </cfRule>
  </conditionalFormatting>
  <conditionalFormatting sqref="C790:D790">
    <cfRule type="containsText" dxfId="1330" priority="1583" operator="containsText" text="NO+$D$4:$D$10">
      <formula>NOT(ISERROR(SEARCH("NO+$D$4:$D$10",C790)))</formula>
    </cfRule>
  </conditionalFormatting>
  <conditionalFormatting sqref="C790:D790">
    <cfRule type="containsText" dxfId="1329" priority="1581" operator="containsText" text="SI">
      <formula>NOT(ISERROR(SEARCH("SI",C790)))</formula>
    </cfRule>
    <cfRule type="containsText" dxfId="1328" priority="1582" operator="containsText" text="NO">
      <formula>NOT(ISERROR(SEARCH("NO",C790)))</formula>
    </cfRule>
  </conditionalFormatting>
  <conditionalFormatting sqref="C790:D790">
    <cfRule type="containsText" dxfId="1327" priority="1580" operator="containsText" text="NUEVO">
      <formula>NOT(ISERROR(SEARCH("NUEVO",C790)))</formula>
    </cfRule>
  </conditionalFormatting>
  <conditionalFormatting sqref="E790">
    <cfRule type="containsText" dxfId="1326" priority="1578" operator="containsText" text="NUEVO">
      <formula>NOT(ISERROR(SEARCH("NUEVO",E790)))</formula>
    </cfRule>
  </conditionalFormatting>
  <conditionalFormatting sqref="E790">
    <cfRule type="containsText" dxfId="1325" priority="1577" operator="containsText" text="Sin Información">
      <formula>NOT(ISERROR(SEARCH("Sin Información",E790)))</formula>
    </cfRule>
  </conditionalFormatting>
  <conditionalFormatting sqref="F790">
    <cfRule type="expression" dxfId="1324" priority="1579">
      <formula>F790&lt;&gt;""</formula>
    </cfRule>
  </conditionalFormatting>
  <conditionalFormatting sqref="E790">
    <cfRule type="expression" dxfId="1323" priority="1576">
      <formula>E790&lt;&gt;""</formula>
    </cfRule>
  </conditionalFormatting>
  <conditionalFormatting sqref="C791:D791">
    <cfRule type="containsText" dxfId="1322" priority="1568" operator="containsText" text="NO+$D$4:$D$10">
      <formula>NOT(ISERROR(SEARCH("NO+$D$4:$D$10",C791)))</formula>
    </cfRule>
  </conditionalFormatting>
  <conditionalFormatting sqref="C791:D791">
    <cfRule type="containsText" dxfId="1321" priority="1566" operator="containsText" text="SI">
      <formula>NOT(ISERROR(SEARCH("SI",C791)))</formula>
    </cfRule>
    <cfRule type="containsText" dxfId="1320" priority="1567" operator="containsText" text="NO">
      <formula>NOT(ISERROR(SEARCH("NO",C791)))</formula>
    </cfRule>
  </conditionalFormatting>
  <conditionalFormatting sqref="C791:E791">
    <cfRule type="containsText" dxfId="1319" priority="1565" operator="containsText" text="NUEVO">
      <formula>NOT(ISERROR(SEARCH("NUEVO",C791)))</formula>
    </cfRule>
  </conditionalFormatting>
  <conditionalFormatting sqref="E791">
    <cfRule type="containsText" dxfId="1318" priority="1564" operator="containsText" text="Sin Información">
      <formula>NOT(ISERROR(SEARCH("Sin Información",E791)))</formula>
    </cfRule>
  </conditionalFormatting>
  <conditionalFormatting sqref="E791:F791">
    <cfRule type="expression" dxfId="1317" priority="1563">
      <formula>E791&lt;&gt;""</formula>
    </cfRule>
  </conditionalFormatting>
  <conditionalFormatting sqref="C792:D792">
    <cfRule type="containsText" dxfId="1316" priority="1562" operator="containsText" text="NO+$D$4:$D$10">
      <formula>NOT(ISERROR(SEARCH("NO+$D$4:$D$10",C792)))</formula>
    </cfRule>
  </conditionalFormatting>
  <conditionalFormatting sqref="C792:D792">
    <cfRule type="containsText" dxfId="1315" priority="1560" operator="containsText" text="SI">
      <formula>NOT(ISERROR(SEARCH("SI",C792)))</formula>
    </cfRule>
    <cfRule type="containsText" dxfId="1314" priority="1561" operator="containsText" text="NO">
      <formula>NOT(ISERROR(SEARCH("NO",C792)))</formula>
    </cfRule>
  </conditionalFormatting>
  <conditionalFormatting sqref="C792:D792">
    <cfRule type="containsText" dxfId="1313" priority="1559" operator="containsText" text="NUEVO">
      <formula>NOT(ISERROR(SEARCH("NUEVO",C792)))</formula>
    </cfRule>
  </conditionalFormatting>
  <conditionalFormatting sqref="E792:F792">
    <cfRule type="expression" dxfId="1312" priority="1558">
      <formula>E792&lt;&gt;""</formula>
    </cfRule>
  </conditionalFormatting>
  <conditionalFormatting sqref="E792">
    <cfRule type="containsText" dxfId="1311" priority="1557" operator="containsText" text="NUEVO">
      <formula>NOT(ISERROR(SEARCH("NUEVO",E792)))</formula>
    </cfRule>
  </conditionalFormatting>
  <conditionalFormatting sqref="E792">
    <cfRule type="containsText" dxfId="1310" priority="1556" operator="containsText" text="Sin Información">
      <formula>NOT(ISERROR(SEARCH("Sin Información",E792)))</formula>
    </cfRule>
  </conditionalFormatting>
  <conditionalFormatting sqref="E792">
    <cfRule type="containsText" dxfId="1309" priority="1555" operator="containsText" text="NUEVO">
      <formula>NOT(ISERROR(SEARCH("NUEVO",E792)))</formula>
    </cfRule>
  </conditionalFormatting>
  <conditionalFormatting sqref="E792">
    <cfRule type="containsText" dxfId="1308" priority="1554" operator="containsText" text="Sin Información">
      <formula>NOT(ISERROR(SEARCH("Sin Información",E792)))</formula>
    </cfRule>
  </conditionalFormatting>
  <conditionalFormatting sqref="C793:D793">
    <cfRule type="containsText" dxfId="1307" priority="1553" operator="containsText" text="NO+$D$4:$D$10">
      <formula>NOT(ISERROR(SEARCH("NO+$D$4:$D$10",C793)))</formula>
    </cfRule>
  </conditionalFormatting>
  <conditionalFormatting sqref="C793:D793">
    <cfRule type="containsText" dxfId="1306" priority="1551" operator="containsText" text="SI">
      <formula>NOT(ISERROR(SEARCH("SI",C793)))</formula>
    </cfRule>
    <cfRule type="containsText" dxfId="1305" priority="1552" operator="containsText" text="NO">
      <formula>NOT(ISERROR(SEARCH("NO",C793)))</formula>
    </cfRule>
  </conditionalFormatting>
  <conditionalFormatting sqref="C793:E793">
    <cfRule type="containsText" dxfId="1304" priority="1550" operator="containsText" text="NUEVO">
      <formula>NOT(ISERROR(SEARCH("NUEVO",C793)))</formula>
    </cfRule>
  </conditionalFormatting>
  <conditionalFormatting sqref="E793">
    <cfRule type="containsText" dxfId="1303" priority="1549" operator="containsText" text="Sin Información">
      <formula>NOT(ISERROR(SEARCH("Sin Información",E793)))</formula>
    </cfRule>
  </conditionalFormatting>
  <conditionalFormatting sqref="E793">
    <cfRule type="containsText" dxfId="1302" priority="1548" operator="containsText" text="NUEVO">
      <formula>NOT(ISERROR(SEARCH("NUEVO",E793)))</formula>
    </cfRule>
  </conditionalFormatting>
  <conditionalFormatting sqref="E793">
    <cfRule type="containsText" dxfId="1301" priority="1547" operator="containsText" text="Sin Información">
      <formula>NOT(ISERROR(SEARCH("Sin Información",E793)))</formula>
    </cfRule>
  </conditionalFormatting>
  <conditionalFormatting sqref="E793:F793">
    <cfRule type="expression" dxfId="1300" priority="1546">
      <formula>E793&lt;&gt;""</formula>
    </cfRule>
  </conditionalFormatting>
  <conditionalFormatting sqref="C794:D794">
    <cfRule type="containsText" dxfId="1299" priority="1543" operator="containsText" text="NO+$D$4:$D$10">
      <formula>NOT(ISERROR(SEARCH("NO+$D$4:$D$10",C794)))</formula>
    </cfRule>
  </conditionalFormatting>
  <conditionalFormatting sqref="C794:D794">
    <cfRule type="containsText" dxfId="1298" priority="1541" operator="containsText" text="SI">
      <formula>NOT(ISERROR(SEARCH("SI",C794)))</formula>
    </cfRule>
    <cfRule type="containsText" dxfId="1297" priority="1542" operator="containsText" text="NO">
      <formula>NOT(ISERROR(SEARCH("NO",C794)))</formula>
    </cfRule>
  </conditionalFormatting>
  <conditionalFormatting sqref="C794:E794">
    <cfRule type="containsText" dxfId="1296" priority="1540" operator="containsText" text="NUEVO">
      <formula>NOT(ISERROR(SEARCH("NUEVO",C794)))</formula>
    </cfRule>
  </conditionalFormatting>
  <conditionalFormatting sqref="E794">
    <cfRule type="containsText" dxfId="1295" priority="1539" operator="containsText" text="Sin Información">
      <formula>NOT(ISERROR(SEARCH("Sin Información",E794)))</formula>
    </cfRule>
  </conditionalFormatting>
  <conditionalFormatting sqref="E794">
    <cfRule type="containsText" dxfId="1294" priority="1544" operator="containsText" text="NUEVO">
      <formula>NOT(ISERROR(SEARCH("NUEVO",#REF!)))</formula>
    </cfRule>
  </conditionalFormatting>
  <conditionalFormatting sqref="E794">
    <cfRule type="containsText" dxfId="1293" priority="1545" operator="containsText" text="Sin Información">
      <formula>NOT(ISERROR(SEARCH("Sin Información",#REF!)))</formula>
    </cfRule>
  </conditionalFormatting>
  <conditionalFormatting sqref="E794:F794">
    <cfRule type="expression" dxfId="1292" priority="1538">
      <formula>E794&lt;&gt;""</formula>
    </cfRule>
  </conditionalFormatting>
  <conditionalFormatting sqref="C795:D795">
    <cfRule type="containsText" dxfId="1291" priority="1537" operator="containsText" text="NO+$D$4:$D$10">
      <formula>NOT(ISERROR(SEARCH("NO+$D$4:$D$10",C795)))</formula>
    </cfRule>
  </conditionalFormatting>
  <conditionalFormatting sqref="C795:D795">
    <cfRule type="containsText" dxfId="1290" priority="1535" operator="containsText" text="SI">
      <formula>NOT(ISERROR(SEARCH("SI",C795)))</formula>
    </cfRule>
    <cfRule type="containsText" dxfId="1289" priority="1536" operator="containsText" text="NO">
      <formula>NOT(ISERROR(SEARCH("NO",C795)))</formula>
    </cfRule>
  </conditionalFormatting>
  <conditionalFormatting sqref="C795:D795">
    <cfRule type="containsText" dxfId="1288" priority="1534" operator="containsText" text="NUEVO">
      <formula>NOT(ISERROR(SEARCH("NUEVO",C795)))</formula>
    </cfRule>
  </conditionalFormatting>
  <conditionalFormatting sqref="E795">
    <cfRule type="containsText" dxfId="1287" priority="1532" operator="containsText" text="Sin Información">
      <formula>NOT(ISERROR(SEARCH("Sin Información",E795)))</formula>
    </cfRule>
  </conditionalFormatting>
  <conditionalFormatting sqref="E795">
    <cfRule type="containsText" dxfId="1286" priority="1533" operator="containsText" text="NUEVO">
      <formula>NOT(ISERROR(SEARCH("NUEVO",E795)))</formula>
    </cfRule>
  </conditionalFormatting>
  <conditionalFormatting sqref="E795:F795">
    <cfRule type="expression" dxfId="1285" priority="1531">
      <formula>E795&lt;&gt;""</formula>
    </cfRule>
  </conditionalFormatting>
  <conditionalFormatting sqref="E795">
    <cfRule type="containsText" dxfId="1284" priority="1530" operator="containsText" text="NUEVO">
      <formula>NOT(ISERROR(SEARCH("NUEVO",E795)))</formula>
    </cfRule>
  </conditionalFormatting>
  <conditionalFormatting sqref="E795">
    <cfRule type="containsText" dxfId="1283" priority="1529" operator="containsText" text="Sin Información">
      <formula>NOT(ISERROR(SEARCH("Sin Información",E795)))</formula>
    </cfRule>
  </conditionalFormatting>
  <conditionalFormatting sqref="C796:D796">
    <cfRule type="containsText" dxfId="1282" priority="1528" operator="containsText" text="NO+$D$4:$D$10">
      <formula>NOT(ISERROR(SEARCH("NO+$D$4:$D$10",C796)))</formula>
    </cfRule>
  </conditionalFormatting>
  <conditionalFormatting sqref="C796:D796">
    <cfRule type="containsText" dxfId="1281" priority="1526" operator="containsText" text="SI">
      <formula>NOT(ISERROR(SEARCH("SI",C796)))</formula>
    </cfRule>
    <cfRule type="containsText" dxfId="1280" priority="1527" operator="containsText" text="NO">
      <formula>NOT(ISERROR(SEARCH("NO",C796)))</formula>
    </cfRule>
  </conditionalFormatting>
  <conditionalFormatting sqref="C796:D796">
    <cfRule type="containsText" dxfId="1279" priority="1525" operator="containsText" text="NUEVO">
      <formula>NOT(ISERROR(SEARCH("NUEVO",C796)))</formula>
    </cfRule>
  </conditionalFormatting>
  <conditionalFormatting sqref="F796">
    <cfRule type="expression" dxfId="1278" priority="1524">
      <formula>F796&lt;&gt;""</formula>
    </cfRule>
  </conditionalFormatting>
  <conditionalFormatting sqref="E796">
    <cfRule type="containsText" dxfId="1277" priority="1522" operator="containsText" text="Sin Información">
      <formula>NOT(ISERROR(SEARCH("Sin Información",E796)))</formula>
    </cfRule>
  </conditionalFormatting>
  <conditionalFormatting sqref="E796">
    <cfRule type="containsText" dxfId="1276" priority="1523" operator="containsText" text="NUEVO">
      <formula>NOT(ISERROR(SEARCH("NUEVO",E796)))</formula>
    </cfRule>
  </conditionalFormatting>
  <conditionalFormatting sqref="C797:D797">
    <cfRule type="containsText" dxfId="1275" priority="1521" operator="containsText" text="NO+$D$4:$D$10">
      <formula>NOT(ISERROR(SEARCH("NO+$D$4:$D$10",C797)))</formula>
    </cfRule>
  </conditionalFormatting>
  <conditionalFormatting sqref="C797:D797">
    <cfRule type="containsText" dxfId="1274" priority="1519" operator="containsText" text="SI">
      <formula>NOT(ISERROR(SEARCH("SI",C797)))</formula>
    </cfRule>
    <cfRule type="containsText" dxfId="1273" priority="1520" operator="containsText" text="NO">
      <formula>NOT(ISERROR(SEARCH("NO",C797)))</formula>
    </cfRule>
  </conditionalFormatting>
  <conditionalFormatting sqref="C797:E797">
    <cfRule type="containsText" dxfId="1272" priority="1518" operator="containsText" text="NUEVO">
      <formula>NOT(ISERROR(SEARCH("NUEVO",C797)))</formula>
    </cfRule>
  </conditionalFormatting>
  <conditionalFormatting sqref="E797">
    <cfRule type="containsText" dxfId="1271" priority="1517" operator="containsText" text="Sin Información">
      <formula>NOT(ISERROR(SEARCH("Sin Información",E797)))</formula>
    </cfRule>
  </conditionalFormatting>
  <conditionalFormatting sqref="E797:F797">
    <cfRule type="expression" dxfId="1270" priority="1516">
      <formula>E797&lt;&gt;""</formula>
    </cfRule>
  </conditionalFormatting>
  <conditionalFormatting sqref="C798:D798">
    <cfRule type="containsText" dxfId="1269" priority="1515" operator="containsText" text="NO+$D$4:$D$10">
      <formula>NOT(ISERROR(SEARCH("NO+$D$4:$D$10",C798)))</formula>
    </cfRule>
  </conditionalFormatting>
  <conditionalFormatting sqref="C798:D798">
    <cfRule type="containsText" dxfId="1268" priority="1513" operator="containsText" text="SI">
      <formula>NOT(ISERROR(SEARCH("SI",C798)))</formula>
    </cfRule>
    <cfRule type="containsText" dxfId="1267" priority="1514" operator="containsText" text="NO">
      <formula>NOT(ISERROR(SEARCH("NO",C798)))</formula>
    </cfRule>
  </conditionalFormatting>
  <conditionalFormatting sqref="C798:D798">
    <cfRule type="containsText" dxfId="1266" priority="1512" operator="containsText" text="NUEVO">
      <formula>NOT(ISERROR(SEARCH("NUEVO",C798)))</formula>
    </cfRule>
  </conditionalFormatting>
  <conditionalFormatting sqref="E798">
    <cfRule type="containsText" dxfId="1265" priority="1511" operator="containsText" text="NUEVO">
      <formula>NOT(ISERROR(SEARCH("NUEVO",E798)))</formula>
    </cfRule>
  </conditionalFormatting>
  <conditionalFormatting sqref="E798">
    <cfRule type="containsText" dxfId="1264" priority="1510" operator="containsText" text="Sin Información">
      <formula>NOT(ISERROR(SEARCH("Sin Información",E798)))</formula>
    </cfRule>
  </conditionalFormatting>
  <conditionalFormatting sqref="E798">
    <cfRule type="expression" dxfId="1263" priority="1509">
      <formula>E798&lt;&gt;""</formula>
    </cfRule>
  </conditionalFormatting>
  <conditionalFormatting sqref="F798">
    <cfRule type="expression" dxfId="1262" priority="1508">
      <formula>F798&lt;&gt;""</formula>
    </cfRule>
  </conditionalFormatting>
  <conditionalFormatting sqref="C799:D799">
    <cfRule type="containsText" dxfId="1261" priority="1507" operator="containsText" text="NO+$D$4:$D$10">
      <formula>NOT(ISERROR(SEARCH("NO+$D$4:$D$10",C799)))</formula>
    </cfRule>
  </conditionalFormatting>
  <conditionalFormatting sqref="C799:D799">
    <cfRule type="containsText" dxfId="1260" priority="1505" operator="containsText" text="SI">
      <formula>NOT(ISERROR(SEARCH("SI",C799)))</formula>
    </cfRule>
    <cfRule type="containsText" dxfId="1259" priority="1506" operator="containsText" text="NO">
      <formula>NOT(ISERROR(SEARCH("NO",C799)))</formula>
    </cfRule>
  </conditionalFormatting>
  <conditionalFormatting sqref="C799:D799">
    <cfRule type="containsText" dxfId="1258" priority="1504" operator="containsText" text="NUEVO">
      <formula>NOT(ISERROR(SEARCH("NUEVO",C799)))</formula>
    </cfRule>
  </conditionalFormatting>
  <conditionalFormatting sqref="E799">
    <cfRule type="containsText" dxfId="1257" priority="1503" operator="containsText" text="NUEVO">
      <formula>NOT(ISERROR(SEARCH("NUEVO",E799)))</formula>
    </cfRule>
  </conditionalFormatting>
  <conditionalFormatting sqref="E799">
    <cfRule type="containsText" dxfId="1256" priority="1502" operator="containsText" text="Sin Información">
      <formula>NOT(ISERROR(SEARCH("Sin Información",E799)))</formula>
    </cfRule>
  </conditionalFormatting>
  <conditionalFormatting sqref="E799:F799">
    <cfRule type="expression" dxfId="1255" priority="1501">
      <formula>E799&lt;&gt;""</formula>
    </cfRule>
  </conditionalFormatting>
  <conditionalFormatting sqref="E799">
    <cfRule type="containsText" dxfId="1254" priority="1500" operator="containsText" text="NUEVO">
      <formula>NOT(ISERROR(SEARCH("NUEVO",E799)))</formula>
    </cfRule>
  </conditionalFormatting>
  <conditionalFormatting sqref="E799">
    <cfRule type="containsText" dxfId="1253" priority="1499" operator="containsText" text="Sin Información">
      <formula>NOT(ISERROR(SEARCH("Sin Información",E799)))</formula>
    </cfRule>
  </conditionalFormatting>
  <conditionalFormatting sqref="C800:D800">
    <cfRule type="containsText" dxfId="1252" priority="1498" operator="containsText" text="NO+$D$4:$D$10">
      <formula>NOT(ISERROR(SEARCH("NO+$D$4:$D$10",C800)))</formula>
    </cfRule>
  </conditionalFormatting>
  <conditionalFormatting sqref="C800:D800">
    <cfRule type="containsText" dxfId="1251" priority="1496" operator="containsText" text="SI">
      <formula>NOT(ISERROR(SEARCH("SI",C800)))</formula>
    </cfRule>
    <cfRule type="containsText" dxfId="1250" priority="1497" operator="containsText" text="NO">
      <formula>NOT(ISERROR(SEARCH("NO",C800)))</formula>
    </cfRule>
  </conditionalFormatting>
  <conditionalFormatting sqref="C800:D800">
    <cfRule type="containsText" dxfId="1249" priority="1495" operator="containsText" text="NUEVO">
      <formula>NOT(ISERROR(SEARCH("NUEVO",C800)))</formula>
    </cfRule>
  </conditionalFormatting>
  <conditionalFormatting sqref="F800">
    <cfRule type="expression" dxfId="1248" priority="1494">
      <formula>F800&lt;&gt;""</formula>
    </cfRule>
  </conditionalFormatting>
  <conditionalFormatting sqref="E800">
    <cfRule type="containsText" dxfId="1247" priority="1493" operator="containsText" text="NUEVO">
      <formula>NOT(ISERROR(SEARCH("NUEVO",E800)))</formula>
    </cfRule>
  </conditionalFormatting>
  <conditionalFormatting sqref="E800">
    <cfRule type="containsText" dxfId="1246" priority="1492" operator="containsText" text="Sin Información">
      <formula>NOT(ISERROR(SEARCH("Sin Información",E800)))</formula>
    </cfRule>
  </conditionalFormatting>
  <conditionalFormatting sqref="E800">
    <cfRule type="expression" dxfId="1245" priority="1491">
      <formula>E800&lt;&gt;""</formula>
    </cfRule>
  </conditionalFormatting>
  <conditionalFormatting sqref="C801:D801">
    <cfRule type="containsText" dxfId="1244" priority="1490" operator="containsText" text="NO+$D$4:$D$10">
      <formula>NOT(ISERROR(SEARCH("NO+$D$4:$D$10",C801)))</formula>
    </cfRule>
  </conditionalFormatting>
  <conditionalFormatting sqref="C801:D801">
    <cfRule type="containsText" dxfId="1243" priority="1488" operator="containsText" text="SI">
      <formula>NOT(ISERROR(SEARCH("SI",C801)))</formula>
    </cfRule>
    <cfRule type="containsText" dxfId="1242" priority="1489" operator="containsText" text="NO">
      <formula>NOT(ISERROR(SEARCH("NO",C801)))</formula>
    </cfRule>
  </conditionalFormatting>
  <conditionalFormatting sqref="C801:D801">
    <cfRule type="containsText" dxfId="1241" priority="1487" operator="containsText" text="NUEVO">
      <formula>NOT(ISERROR(SEARCH("NUEVO",C801)))</formula>
    </cfRule>
  </conditionalFormatting>
  <conditionalFormatting sqref="F801">
    <cfRule type="expression" dxfId="1240" priority="1486">
      <formula>F801&lt;&gt;""</formula>
    </cfRule>
  </conditionalFormatting>
  <conditionalFormatting sqref="E801">
    <cfRule type="containsText" dxfId="1239" priority="1485" operator="containsText" text="NUEVO">
      <formula>NOT(ISERROR(SEARCH("NUEVO",E801)))</formula>
    </cfRule>
  </conditionalFormatting>
  <conditionalFormatting sqref="E801">
    <cfRule type="containsText" dxfId="1238" priority="1484" operator="containsText" text="Sin Información">
      <formula>NOT(ISERROR(SEARCH("Sin Información",E801)))</formula>
    </cfRule>
  </conditionalFormatting>
  <conditionalFormatting sqref="E801">
    <cfRule type="expression" dxfId="1237" priority="1483">
      <formula>E801&lt;&gt;""</formula>
    </cfRule>
  </conditionalFormatting>
  <conditionalFormatting sqref="C802:D802">
    <cfRule type="containsText" dxfId="1236" priority="1482" operator="containsText" text="NO+$D$4:$D$10">
      <formula>NOT(ISERROR(SEARCH("NO+$D$4:$D$10",C802)))</formula>
    </cfRule>
  </conditionalFormatting>
  <conditionalFormatting sqref="C802:D802">
    <cfRule type="containsText" dxfId="1235" priority="1480" operator="containsText" text="SI">
      <formula>NOT(ISERROR(SEARCH("SI",C802)))</formula>
    </cfRule>
    <cfRule type="containsText" dxfId="1234" priority="1481" operator="containsText" text="NO">
      <formula>NOT(ISERROR(SEARCH("NO",C802)))</formula>
    </cfRule>
  </conditionalFormatting>
  <conditionalFormatting sqref="C802:E802">
    <cfRule type="containsText" dxfId="1233" priority="1479" operator="containsText" text="NUEVO">
      <formula>NOT(ISERROR(SEARCH("NUEVO",C802)))</formula>
    </cfRule>
  </conditionalFormatting>
  <conditionalFormatting sqref="E802">
    <cfRule type="containsText" dxfId="1232" priority="1478" operator="containsText" text="Sin Información">
      <formula>NOT(ISERROR(SEARCH("Sin Información",E802)))</formula>
    </cfRule>
  </conditionalFormatting>
  <conditionalFormatting sqref="E802:F802">
    <cfRule type="expression" dxfId="1231" priority="1477">
      <formula>E802&lt;&gt;""</formula>
    </cfRule>
  </conditionalFormatting>
  <conditionalFormatting sqref="E802">
    <cfRule type="containsText" dxfId="1230" priority="1476" operator="containsText" text="NUEVO">
      <formula>NOT(ISERROR(SEARCH("NUEVO",E802)))</formula>
    </cfRule>
  </conditionalFormatting>
  <conditionalFormatting sqref="E802">
    <cfRule type="containsText" dxfId="1229" priority="1475" operator="containsText" text="Sin Información">
      <formula>NOT(ISERROR(SEARCH("Sin Información",E802)))</formula>
    </cfRule>
  </conditionalFormatting>
  <conditionalFormatting sqref="E802">
    <cfRule type="expression" dxfId="1228" priority="1474">
      <formula>E802&lt;&gt;""</formula>
    </cfRule>
  </conditionalFormatting>
  <conditionalFormatting sqref="F802">
    <cfRule type="expression" dxfId="1227" priority="1473">
      <formula>F802&lt;&gt;""</formula>
    </cfRule>
  </conditionalFormatting>
  <conditionalFormatting sqref="E802">
    <cfRule type="containsText" dxfId="1226" priority="1472" operator="containsText" text="NUEVO">
      <formula>NOT(ISERROR(SEARCH("NUEVO",E802)))</formula>
    </cfRule>
  </conditionalFormatting>
  <conditionalFormatting sqref="E802">
    <cfRule type="containsText" dxfId="1225" priority="1471" operator="containsText" text="Sin Información">
      <formula>NOT(ISERROR(SEARCH("Sin Información",E802)))</formula>
    </cfRule>
  </conditionalFormatting>
  <conditionalFormatting sqref="E802">
    <cfRule type="expression" dxfId="1224" priority="1470">
      <formula>E802&lt;&gt;""</formula>
    </cfRule>
  </conditionalFormatting>
  <conditionalFormatting sqref="C803:D803">
    <cfRule type="containsText" dxfId="1223" priority="1469" operator="containsText" text="NO+$D$4:$D$10">
      <formula>NOT(ISERROR(SEARCH("NO+$D$4:$D$10",C803)))</formula>
    </cfRule>
  </conditionalFormatting>
  <conditionalFormatting sqref="C803:D803">
    <cfRule type="containsText" dxfId="1222" priority="1467" operator="containsText" text="SI">
      <formula>NOT(ISERROR(SEARCH("SI",C803)))</formula>
    </cfRule>
    <cfRule type="containsText" dxfId="1221" priority="1468" operator="containsText" text="NO">
      <formula>NOT(ISERROR(SEARCH("NO",C803)))</formula>
    </cfRule>
  </conditionalFormatting>
  <conditionalFormatting sqref="C803:E803">
    <cfRule type="containsText" dxfId="1220" priority="1466" operator="containsText" text="NUEVO">
      <formula>NOT(ISERROR(SEARCH("NUEVO",C803)))</formula>
    </cfRule>
  </conditionalFormatting>
  <conditionalFormatting sqref="E803">
    <cfRule type="containsText" dxfId="1219" priority="1465" operator="containsText" text="Sin Información">
      <formula>NOT(ISERROR(SEARCH("Sin Información",E803)))</formula>
    </cfRule>
  </conditionalFormatting>
  <conditionalFormatting sqref="E803">
    <cfRule type="expression" dxfId="1218" priority="1464">
      <formula>E803&lt;&gt;""</formula>
    </cfRule>
  </conditionalFormatting>
  <conditionalFormatting sqref="E803">
    <cfRule type="containsText" dxfId="1217" priority="1463" operator="containsText" text="NUEVO">
      <formula>NOT(ISERROR(SEARCH("NUEVO",E803)))</formula>
    </cfRule>
  </conditionalFormatting>
  <conditionalFormatting sqref="E803">
    <cfRule type="containsText" dxfId="1216" priority="1462" operator="containsText" text="Sin Información">
      <formula>NOT(ISERROR(SEARCH("Sin Información",E803)))</formula>
    </cfRule>
  </conditionalFormatting>
  <conditionalFormatting sqref="E803">
    <cfRule type="expression" dxfId="1215" priority="1461">
      <formula>E803&lt;&gt;""</formula>
    </cfRule>
  </conditionalFormatting>
  <conditionalFormatting sqref="F803">
    <cfRule type="expression" dxfId="1214" priority="1460">
      <formula>F803&lt;&gt;""</formula>
    </cfRule>
  </conditionalFormatting>
  <conditionalFormatting sqref="C804:D804">
    <cfRule type="containsText" dxfId="1213" priority="1459" operator="containsText" text="NO+$D$4:$D$10">
      <formula>NOT(ISERROR(SEARCH("NO+$D$4:$D$10",C804)))</formula>
    </cfRule>
  </conditionalFormatting>
  <conditionalFormatting sqref="C804:D804">
    <cfRule type="containsText" dxfId="1212" priority="1457" operator="containsText" text="SI">
      <formula>NOT(ISERROR(SEARCH("SI",C804)))</formula>
    </cfRule>
    <cfRule type="containsText" dxfId="1211" priority="1458" operator="containsText" text="NO">
      <formula>NOT(ISERROR(SEARCH("NO",C804)))</formula>
    </cfRule>
  </conditionalFormatting>
  <conditionalFormatting sqref="C804:D804">
    <cfRule type="containsText" dxfId="1210" priority="1456" operator="containsText" text="NUEVO">
      <formula>NOT(ISERROR(SEARCH("NUEVO",C804)))</formula>
    </cfRule>
  </conditionalFormatting>
  <conditionalFormatting sqref="E804">
    <cfRule type="containsText" dxfId="1209" priority="1455" operator="containsText" text="NUEVO">
      <formula>NOT(ISERROR(SEARCH("NUEVO",E804)))</formula>
    </cfRule>
  </conditionalFormatting>
  <conditionalFormatting sqref="E804">
    <cfRule type="containsText" dxfId="1208" priority="1454" operator="containsText" text="Sin Información">
      <formula>NOT(ISERROR(SEARCH("Sin Información",E804)))</formula>
    </cfRule>
  </conditionalFormatting>
  <conditionalFormatting sqref="E804">
    <cfRule type="expression" dxfId="1207" priority="1453">
      <formula>E804&lt;&gt;""</formula>
    </cfRule>
  </conditionalFormatting>
  <conditionalFormatting sqref="F804">
    <cfRule type="expression" dxfId="1206" priority="1452">
      <formula>F804&lt;&gt;""</formula>
    </cfRule>
  </conditionalFormatting>
  <conditionalFormatting sqref="C805:D805">
    <cfRule type="containsText" dxfId="1205" priority="1451" operator="containsText" text="NO+$D$4:$D$10">
      <formula>NOT(ISERROR(SEARCH("NO+$D$4:$D$10",C805)))</formula>
    </cfRule>
  </conditionalFormatting>
  <conditionalFormatting sqref="C805:D805">
    <cfRule type="containsText" dxfId="1204" priority="1449" operator="containsText" text="SI">
      <formula>NOT(ISERROR(SEARCH("SI",C805)))</formula>
    </cfRule>
    <cfRule type="containsText" dxfId="1203" priority="1450" operator="containsText" text="NO">
      <formula>NOT(ISERROR(SEARCH("NO",C805)))</formula>
    </cfRule>
  </conditionalFormatting>
  <conditionalFormatting sqref="C805:D805">
    <cfRule type="containsText" dxfId="1202" priority="1448" operator="containsText" text="NUEVO">
      <formula>NOT(ISERROR(SEARCH("NUEVO",C805)))</formula>
    </cfRule>
  </conditionalFormatting>
  <conditionalFormatting sqref="E805">
    <cfRule type="containsText" dxfId="1201" priority="1446" operator="containsText" text="NUEVO">
      <formula>NOT(ISERROR(SEARCH("NUEVO",E805)))</formula>
    </cfRule>
  </conditionalFormatting>
  <conditionalFormatting sqref="E805">
    <cfRule type="containsText" dxfId="1200" priority="1445" operator="containsText" text="Sin Información">
      <formula>NOT(ISERROR(SEARCH("Sin Información",E805)))</formula>
    </cfRule>
  </conditionalFormatting>
  <conditionalFormatting sqref="F805">
    <cfRule type="expression" dxfId="1199" priority="1447">
      <formula>F805&lt;&gt;""</formula>
    </cfRule>
  </conditionalFormatting>
  <conditionalFormatting sqref="E805">
    <cfRule type="expression" dxfId="1198" priority="1444">
      <formula>E805&lt;&gt;""</formula>
    </cfRule>
  </conditionalFormatting>
  <conditionalFormatting sqref="C806:D806">
    <cfRule type="containsText" dxfId="1197" priority="1443" operator="containsText" text="NO+$D$4:$D$10">
      <formula>NOT(ISERROR(SEARCH("NO+$D$4:$D$10",C806)))</formula>
    </cfRule>
  </conditionalFormatting>
  <conditionalFormatting sqref="C806:D806">
    <cfRule type="containsText" dxfId="1196" priority="1441" operator="containsText" text="SI">
      <formula>NOT(ISERROR(SEARCH("SI",C806)))</formula>
    </cfRule>
    <cfRule type="containsText" dxfId="1195" priority="1442" operator="containsText" text="NO">
      <formula>NOT(ISERROR(SEARCH("NO",C806)))</formula>
    </cfRule>
  </conditionalFormatting>
  <conditionalFormatting sqref="C806:D806">
    <cfRule type="containsText" dxfId="1194" priority="1440" operator="containsText" text="NUEVO">
      <formula>NOT(ISERROR(SEARCH("NUEVO",C806)))</formula>
    </cfRule>
  </conditionalFormatting>
  <conditionalFormatting sqref="E806">
    <cfRule type="containsText" dxfId="1193" priority="1438" operator="containsText" text="NUEVO">
      <formula>NOT(ISERROR(SEARCH("NUEVO",E806)))</formula>
    </cfRule>
  </conditionalFormatting>
  <conditionalFormatting sqref="F806">
    <cfRule type="expression" dxfId="1192" priority="1439">
      <formula>F806&lt;&gt;""</formula>
    </cfRule>
  </conditionalFormatting>
  <conditionalFormatting sqref="E806">
    <cfRule type="containsText" dxfId="1191" priority="1437" operator="containsText" text="Sin Información">
      <formula>NOT(ISERROR(SEARCH("Sin Información",E806)))</formula>
    </cfRule>
  </conditionalFormatting>
  <conditionalFormatting sqref="E806">
    <cfRule type="expression" dxfId="1190" priority="1436">
      <formula>E806&lt;&gt;""</formula>
    </cfRule>
  </conditionalFormatting>
  <conditionalFormatting sqref="C807:D807">
    <cfRule type="containsText" dxfId="1189" priority="1435" operator="containsText" text="NO+$D$4:$D$10">
      <formula>NOT(ISERROR(SEARCH("NO+$D$4:$D$10",C807)))</formula>
    </cfRule>
  </conditionalFormatting>
  <conditionalFormatting sqref="C807:D807">
    <cfRule type="containsText" dxfId="1188" priority="1433" operator="containsText" text="SI">
      <formula>NOT(ISERROR(SEARCH("SI",C807)))</formula>
    </cfRule>
    <cfRule type="containsText" dxfId="1187" priority="1434" operator="containsText" text="NO">
      <formula>NOT(ISERROR(SEARCH("NO",C807)))</formula>
    </cfRule>
  </conditionalFormatting>
  <conditionalFormatting sqref="C807:D807">
    <cfRule type="containsText" dxfId="1186" priority="1432" operator="containsText" text="NUEVO">
      <formula>NOT(ISERROR(SEARCH("NUEVO",C807)))</formula>
    </cfRule>
  </conditionalFormatting>
  <conditionalFormatting sqref="F807">
    <cfRule type="expression" dxfId="1185" priority="1431">
      <formula>F807&lt;&gt;""</formula>
    </cfRule>
  </conditionalFormatting>
  <conditionalFormatting sqref="E807">
    <cfRule type="containsText" dxfId="1184" priority="1430" operator="containsText" text="NUEVO">
      <formula>NOT(ISERROR(SEARCH("NUEVO",E807)))</formula>
    </cfRule>
  </conditionalFormatting>
  <conditionalFormatting sqref="E807">
    <cfRule type="containsText" dxfId="1183" priority="1429" operator="containsText" text="Sin Información">
      <formula>NOT(ISERROR(SEARCH("Sin Información",E807)))</formula>
    </cfRule>
  </conditionalFormatting>
  <conditionalFormatting sqref="E807">
    <cfRule type="expression" dxfId="1182" priority="1428">
      <formula>E807&lt;&gt;""</formula>
    </cfRule>
  </conditionalFormatting>
  <conditionalFormatting sqref="C808:D808">
    <cfRule type="containsText" dxfId="1181" priority="1427" operator="containsText" text="NO+$D$4:$D$10">
      <formula>NOT(ISERROR(SEARCH("NO+$D$4:$D$10",C808)))</formula>
    </cfRule>
  </conditionalFormatting>
  <conditionalFormatting sqref="C808:D808">
    <cfRule type="containsText" dxfId="1180" priority="1425" operator="containsText" text="SI">
      <formula>NOT(ISERROR(SEARCH("SI",C808)))</formula>
    </cfRule>
    <cfRule type="containsText" dxfId="1179" priority="1426" operator="containsText" text="NO">
      <formula>NOT(ISERROR(SEARCH("NO",C808)))</formula>
    </cfRule>
  </conditionalFormatting>
  <conditionalFormatting sqref="C808:D808">
    <cfRule type="containsText" dxfId="1178" priority="1424" operator="containsText" text="NUEVO">
      <formula>NOT(ISERROR(SEARCH("NUEVO",C808)))</formula>
    </cfRule>
  </conditionalFormatting>
  <conditionalFormatting sqref="E808">
    <cfRule type="containsText" dxfId="1177" priority="1422" operator="containsText" text="NUEVO">
      <formula>NOT(ISERROR(SEARCH("NUEVO",E808)))</formula>
    </cfRule>
  </conditionalFormatting>
  <conditionalFormatting sqref="E808">
    <cfRule type="containsText" dxfId="1176" priority="1421" operator="containsText" text="Sin Información">
      <formula>NOT(ISERROR(SEARCH("Sin Información",E808)))</formula>
    </cfRule>
  </conditionalFormatting>
  <conditionalFormatting sqref="F808">
    <cfRule type="expression" dxfId="1175" priority="1423">
      <formula>F808&lt;&gt;""</formula>
    </cfRule>
  </conditionalFormatting>
  <conditionalFormatting sqref="E808">
    <cfRule type="expression" dxfId="1174" priority="1420">
      <formula>E808&lt;&gt;""</formula>
    </cfRule>
  </conditionalFormatting>
  <conditionalFormatting sqref="C1178:D1178">
    <cfRule type="containsText" dxfId="1173" priority="1315" operator="containsText" text="NO+$D$4:$D$10">
      <formula>NOT(ISERROR(SEARCH("NO+$D$4:$D$10",C1178)))</formula>
    </cfRule>
  </conditionalFormatting>
  <conditionalFormatting sqref="C1178:D1178">
    <cfRule type="containsText" dxfId="1172" priority="1313" operator="containsText" text="SI">
      <formula>NOT(ISERROR(SEARCH("SI",C1178)))</formula>
    </cfRule>
    <cfRule type="containsText" dxfId="1171" priority="1314" operator="containsText" text="NO">
      <formula>NOT(ISERROR(SEARCH("NO",C1178)))</formula>
    </cfRule>
  </conditionalFormatting>
  <conditionalFormatting sqref="C1178:D1178">
    <cfRule type="containsText" dxfId="1170" priority="1312" operator="containsText" text="NUEVO">
      <formula>NOT(ISERROR(SEARCH("NUEVO",C1178)))</formula>
    </cfRule>
  </conditionalFormatting>
  <conditionalFormatting sqref="E1178">
    <cfRule type="containsText" dxfId="1169" priority="1311" operator="containsText" text="NUEVO">
      <formula>NOT(ISERROR(SEARCH("NUEVO",E1178)))</formula>
    </cfRule>
  </conditionalFormatting>
  <conditionalFormatting sqref="E1178">
    <cfRule type="containsText" dxfId="1168" priority="1310" operator="containsText" text="Sin Información">
      <formula>NOT(ISERROR(SEARCH("Sin Información",E1178)))</formula>
    </cfRule>
  </conditionalFormatting>
  <conditionalFormatting sqref="E1178:F1178">
    <cfRule type="expression" dxfId="1167" priority="1309">
      <formula>E1178&lt;&gt;""</formula>
    </cfRule>
  </conditionalFormatting>
  <conditionalFormatting sqref="C1179:D1179">
    <cfRule type="containsText" dxfId="1166" priority="1308" operator="containsText" text="NO+$D$4:$D$10">
      <formula>NOT(ISERROR(SEARCH("NO+$D$4:$D$10",C1179)))</formula>
    </cfRule>
  </conditionalFormatting>
  <conditionalFormatting sqref="C1179:D1179">
    <cfRule type="containsText" dxfId="1165" priority="1306" operator="containsText" text="SI">
      <formula>NOT(ISERROR(SEARCH("SI",C1179)))</formula>
    </cfRule>
    <cfRule type="containsText" dxfId="1164" priority="1307" operator="containsText" text="NO">
      <formula>NOT(ISERROR(SEARCH("NO",C1179)))</formula>
    </cfRule>
  </conditionalFormatting>
  <conditionalFormatting sqref="C1179:D1179">
    <cfRule type="containsText" dxfId="1163" priority="1305" operator="containsText" text="NUEVO">
      <formula>NOT(ISERROR(SEARCH("NUEVO",C1179)))</formula>
    </cfRule>
  </conditionalFormatting>
  <conditionalFormatting sqref="E1179">
    <cfRule type="containsText" dxfId="1162" priority="1304" operator="containsText" text="NUEVO">
      <formula>NOT(ISERROR(SEARCH("NUEVO",E1179)))</formula>
    </cfRule>
  </conditionalFormatting>
  <conditionalFormatting sqref="E1179">
    <cfRule type="containsText" dxfId="1161" priority="1303" operator="containsText" text="Sin Información">
      <formula>NOT(ISERROR(SEARCH("Sin Información",E1179)))</formula>
    </cfRule>
  </conditionalFormatting>
  <conditionalFormatting sqref="E1179:F1179">
    <cfRule type="expression" dxfId="1160" priority="1302">
      <formula>E1179&lt;&gt;""</formula>
    </cfRule>
  </conditionalFormatting>
  <conditionalFormatting sqref="C1180:D1180">
    <cfRule type="containsText" dxfId="1159" priority="1301" operator="containsText" text="NO+$D$4:$D$10">
      <formula>NOT(ISERROR(SEARCH("NO+$D$4:$D$10",C1180)))</formula>
    </cfRule>
  </conditionalFormatting>
  <conditionalFormatting sqref="C1180:D1180">
    <cfRule type="containsText" dxfId="1158" priority="1299" operator="containsText" text="SI">
      <formula>NOT(ISERROR(SEARCH("SI",C1180)))</formula>
    </cfRule>
    <cfRule type="containsText" dxfId="1157" priority="1300" operator="containsText" text="NO">
      <formula>NOT(ISERROR(SEARCH("NO",C1180)))</formula>
    </cfRule>
  </conditionalFormatting>
  <conditionalFormatting sqref="C1180:D1180">
    <cfRule type="containsText" dxfId="1156" priority="1298" operator="containsText" text="NUEVO">
      <formula>NOT(ISERROR(SEARCH("NUEVO",C1180)))</formula>
    </cfRule>
  </conditionalFormatting>
  <conditionalFormatting sqref="F1180">
    <cfRule type="expression" dxfId="1155" priority="1297">
      <formula>F1180&lt;&gt;""</formula>
    </cfRule>
  </conditionalFormatting>
  <conditionalFormatting sqref="E1180">
    <cfRule type="containsText" dxfId="1154" priority="1296" operator="containsText" text="NUEVO">
      <formula>NOT(ISERROR(SEARCH("NUEVO",E1180)))</formula>
    </cfRule>
  </conditionalFormatting>
  <conditionalFormatting sqref="E1180">
    <cfRule type="containsText" dxfId="1153" priority="1295" operator="containsText" text="Sin Información">
      <formula>NOT(ISERROR(SEARCH("Sin Información",E1180)))</formula>
    </cfRule>
  </conditionalFormatting>
  <conditionalFormatting sqref="E1180">
    <cfRule type="expression" dxfId="1152" priority="1294">
      <formula>E1180&lt;&gt;""</formula>
    </cfRule>
  </conditionalFormatting>
  <conditionalFormatting sqref="C1181:D1181">
    <cfRule type="containsText" dxfId="1151" priority="1293" operator="containsText" text="NO+$D$4:$D$10">
      <formula>NOT(ISERROR(SEARCH("NO+$D$4:$D$10",C1181)))</formula>
    </cfRule>
  </conditionalFormatting>
  <conditionalFormatting sqref="C1181:D1181">
    <cfRule type="containsText" dxfId="1150" priority="1291" operator="containsText" text="SI">
      <formula>NOT(ISERROR(SEARCH("SI",C1181)))</formula>
    </cfRule>
    <cfRule type="containsText" dxfId="1149" priority="1292" operator="containsText" text="NO">
      <formula>NOT(ISERROR(SEARCH("NO",C1181)))</formula>
    </cfRule>
  </conditionalFormatting>
  <conditionalFormatting sqref="C1181:D1181">
    <cfRule type="containsText" dxfId="1148" priority="1290" operator="containsText" text="NUEVO">
      <formula>NOT(ISERROR(SEARCH("NUEVO",C1181)))</formula>
    </cfRule>
  </conditionalFormatting>
  <conditionalFormatting sqref="F1181">
    <cfRule type="expression" dxfId="1147" priority="1289">
      <formula>F1181&lt;&gt;""</formula>
    </cfRule>
  </conditionalFormatting>
  <conditionalFormatting sqref="E1181">
    <cfRule type="containsText" dxfId="1146" priority="1288" operator="containsText" text="NUEVO">
      <formula>NOT(ISERROR(SEARCH("NUEVO",E1181)))</formula>
    </cfRule>
  </conditionalFormatting>
  <conditionalFormatting sqref="E1181">
    <cfRule type="containsText" dxfId="1145" priority="1287" operator="containsText" text="Sin Información">
      <formula>NOT(ISERROR(SEARCH("Sin Información",E1181)))</formula>
    </cfRule>
  </conditionalFormatting>
  <conditionalFormatting sqref="E1181">
    <cfRule type="expression" dxfId="1144" priority="1286">
      <formula>E1181&lt;&gt;""</formula>
    </cfRule>
  </conditionalFormatting>
  <conditionalFormatting sqref="C1182:D1182">
    <cfRule type="containsText" dxfId="1143" priority="1285" operator="containsText" text="NO+$D$4:$D$10">
      <formula>NOT(ISERROR(SEARCH("NO+$D$4:$D$10",C1182)))</formula>
    </cfRule>
  </conditionalFormatting>
  <conditionalFormatting sqref="C1182:D1182">
    <cfRule type="containsText" dxfId="1142" priority="1283" operator="containsText" text="SI">
      <formula>NOT(ISERROR(SEARCH("SI",C1182)))</formula>
    </cfRule>
    <cfRule type="containsText" dxfId="1141" priority="1284" operator="containsText" text="NO">
      <formula>NOT(ISERROR(SEARCH("NO",C1182)))</formula>
    </cfRule>
  </conditionalFormatting>
  <conditionalFormatting sqref="C1182:E1182">
    <cfRule type="containsText" dxfId="1140" priority="1282" operator="containsText" text="NUEVO">
      <formula>NOT(ISERROR(SEARCH("NUEVO",C1182)))</formula>
    </cfRule>
  </conditionalFormatting>
  <conditionalFormatting sqref="E1182">
    <cfRule type="containsText" dxfId="1139" priority="1281" operator="containsText" text="Sin Información">
      <formula>NOT(ISERROR(SEARCH("Sin Información",E1182)))</formula>
    </cfRule>
  </conditionalFormatting>
  <conditionalFormatting sqref="E1182:F1182">
    <cfRule type="expression" dxfId="1138" priority="1280">
      <formula>E1182&lt;&gt;""</formula>
    </cfRule>
  </conditionalFormatting>
  <conditionalFormatting sqref="C1183:D1183">
    <cfRule type="containsText" dxfId="1137" priority="1279" operator="containsText" text="NO+$D$4:$D$10">
      <formula>NOT(ISERROR(SEARCH("NO+$D$4:$D$10",C1183)))</formula>
    </cfRule>
  </conditionalFormatting>
  <conditionalFormatting sqref="C1183:D1183">
    <cfRule type="containsText" dxfId="1136" priority="1277" operator="containsText" text="SI">
      <formula>NOT(ISERROR(SEARCH("SI",C1183)))</formula>
    </cfRule>
    <cfRule type="containsText" dxfId="1135" priority="1278" operator="containsText" text="NO">
      <formula>NOT(ISERROR(SEARCH("NO",C1183)))</formula>
    </cfRule>
  </conditionalFormatting>
  <conditionalFormatting sqref="C1183:D1183">
    <cfRule type="containsText" dxfId="1134" priority="1276" operator="containsText" text="NUEVO">
      <formula>NOT(ISERROR(SEARCH("NUEVO",C1183)))</formula>
    </cfRule>
  </conditionalFormatting>
  <conditionalFormatting sqref="E1183">
    <cfRule type="containsText" dxfId="1133" priority="1274" operator="containsText" text="NUEVO">
      <formula>NOT(ISERROR(SEARCH("NUEVO",E1183)))</formula>
    </cfRule>
  </conditionalFormatting>
  <conditionalFormatting sqref="E1183">
    <cfRule type="containsText" dxfId="1132" priority="1273" operator="containsText" text="Sin Información">
      <formula>NOT(ISERROR(SEARCH("Sin Información",E1183)))</formula>
    </cfRule>
  </conditionalFormatting>
  <conditionalFormatting sqref="F1183">
    <cfRule type="expression" dxfId="1131" priority="1275">
      <formula>F1183&lt;&gt;""</formula>
    </cfRule>
  </conditionalFormatting>
  <conditionalFormatting sqref="E1183">
    <cfRule type="expression" dxfId="1130" priority="1272">
      <formula>E1183&lt;&gt;""</formula>
    </cfRule>
  </conditionalFormatting>
  <conditionalFormatting sqref="C1184:D1184">
    <cfRule type="containsText" dxfId="1129" priority="1271" operator="containsText" text="NO+$D$4:$D$10">
      <formula>NOT(ISERROR(SEARCH("NO+$D$4:$D$10",C1184)))</formula>
    </cfRule>
  </conditionalFormatting>
  <conditionalFormatting sqref="C1184:D1184">
    <cfRule type="containsText" dxfId="1128" priority="1269" operator="containsText" text="SI">
      <formula>NOT(ISERROR(SEARCH("SI",C1184)))</formula>
    </cfRule>
    <cfRule type="containsText" dxfId="1127" priority="1270" operator="containsText" text="NO">
      <formula>NOT(ISERROR(SEARCH("NO",C1184)))</formula>
    </cfRule>
  </conditionalFormatting>
  <conditionalFormatting sqref="C1184:D1184">
    <cfRule type="containsText" dxfId="1126" priority="1268" operator="containsText" text="NUEVO">
      <formula>NOT(ISERROR(SEARCH("NUEVO",C1184)))</formula>
    </cfRule>
  </conditionalFormatting>
  <conditionalFormatting sqref="E1184">
    <cfRule type="containsText" dxfId="1125" priority="1267" operator="containsText" text="NUEVO">
      <formula>NOT(ISERROR(SEARCH("NUEVO",E1184)))</formula>
    </cfRule>
  </conditionalFormatting>
  <conditionalFormatting sqref="E1184">
    <cfRule type="containsText" dxfId="1124" priority="1266" operator="containsText" text="Sin Información">
      <formula>NOT(ISERROR(SEARCH("Sin Información",E1184)))</formula>
    </cfRule>
  </conditionalFormatting>
  <conditionalFormatting sqref="E1184:F1184">
    <cfRule type="expression" dxfId="1123" priority="1265">
      <formula>E1184&lt;&gt;""</formula>
    </cfRule>
  </conditionalFormatting>
  <conditionalFormatting sqref="C1185:D1185">
    <cfRule type="containsText" dxfId="1122" priority="1264" operator="containsText" text="NO+$D$4:$D$10">
      <formula>NOT(ISERROR(SEARCH("NO+$D$4:$D$10",C1185)))</formula>
    </cfRule>
  </conditionalFormatting>
  <conditionalFormatting sqref="C1185:D1185">
    <cfRule type="containsText" dxfId="1121" priority="1262" operator="containsText" text="SI">
      <formula>NOT(ISERROR(SEARCH("SI",C1185)))</formula>
    </cfRule>
    <cfRule type="containsText" dxfId="1120" priority="1263" operator="containsText" text="NO">
      <formula>NOT(ISERROR(SEARCH("NO",C1185)))</formula>
    </cfRule>
  </conditionalFormatting>
  <conditionalFormatting sqref="C1185:D1185">
    <cfRule type="containsText" dxfId="1119" priority="1261" operator="containsText" text="NUEVO">
      <formula>NOT(ISERROR(SEARCH("NUEVO",C1185)))</formula>
    </cfRule>
  </conditionalFormatting>
  <conditionalFormatting sqref="E1185">
    <cfRule type="containsText" dxfId="1118" priority="1260" operator="containsText" text="NUEVO">
      <formula>NOT(ISERROR(SEARCH("NUEVO",E1185)))</formula>
    </cfRule>
  </conditionalFormatting>
  <conditionalFormatting sqref="E1185">
    <cfRule type="containsText" dxfId="1117" priority="1259" operator="containsText" text="Sin Información">
      <formula>NOT(ISERROR(SEARCH("Sin Información",E1185)))</formula>
    </cfRule>
  </conditionalFormatting>
  <conditionalFormatting sqref="E1185">
    <cfRule type="expression" dxfId="1116" priority="1258">
      <formula>E1185&lt;&gt;""</formula>
    </cfRule>
  </conditionalFormatting>
  <conditionalFormatting sqref="F1185">
    <cfRule type="expression" dxfId="1115" priority="1257">
      <formula>F1185&lt;&gt;""</formula>
    </cfRule>
  </conditionalFormatting>
  <conditionalFormatting sqref="C1186:D1186">
    <cfRule type="containsText" dxfId="1114" priority="1256" operator="containsText" text="NO+$D$4:$D$10">
      <formula>NOT(ISERROR(SEARCH("NO+$D$4:$D$10",C1186)))</formula>
    </cfRule>
  </conditionalFormatting>
  <conditionalFormatting sqref="C1186:D1186">
    <cfRule type="containsText" dxfId="1113" priority="1254" operator="containsText" text="SI">
      <formula>NOT(ISERROR(SEARCH("SI",C1186)))</formula>
    </cfRule>
    <cfRule type="containsText" dxfId="1112" priority="1255" operator="containsText" text="NO">
      <formula>NOT(ISERROR(SEARCH("NO",C1186)))</formula>
    </cfRule>
  </conditionalFormatting>
  <conditionalFormatting sqref="C1186:D1186">
    <cfRule type="containsText" dxfId="1111" priority="1253" operator="containsText" text="NUEVO">
      <formula>NOT(ISERROR(SEARCH("NUEVO",C1186)))</formula>
    </cfRule>
  </conditionalFormatting>
  <conditionalFormatting sqref="E1186">
    <cfRule type="containsText" dxfId="1110" priority="1252" operator="containsText" text="NUEVO">
      <formula>NOT(ISERROR(SEARCH("NUEVO",E1186)))</formula>
    </cfRule>
  </conditionalFormatting>
  <conditionalFormatting sqref="E1186">
    <cfRule type="containsText" dxfId="1109" priority="1251" operator="containsText" text="Sin Información">
      <formula>NOT(ISERROR(SEARCH("Sin Información",E1186)))</formula>
    </cfRule>
  </conditionalFormatting>
  <conditionalFormatting sqref="E1186:F1186">
    <cfRule type="expression" dxfId="1108" priority="1250">
      <formula>E1186&lt;&gt;""</formula>
    </cfRule>
  </conditionalFormatting>
  <conditionalFormatting sqref="C1187:D1187">
    <cfRule type="containsText" dxfId="1107" priority="1249" operator="containsText" text="NO+$D$4:$D$10">
      <formula>NOT(ISERROR(SEARCH("NO+$D$4:$D$10",C1187)))</formula>
    </cfRule>
  </conditionalFormatting>
  <conditionalFormatting sqref="C1187:D1187">
    <cfRule type="containsText" dxfId="1106" priority="1247" operator="containsText" text="SI">
      <formula>NOT(ISERROR(SEARCH("SI",C1187)))</formula>
    </cfRule>
    <cfRule type="containsText" dxfId="1105" priority="1248" operator="containsText" text="NO">
      <formula>NOT(ISERROR(SEARCH("NO",C1187)))</formula>
    </cfRule>
  </conditionalFormatting>
  <conditionalFormatting sqref="C1187:E1187">
    <cfRule type="containsText" dxfId="1104" priority="1246" operator="containsText" text="NUEVO">
      <formula>NOT(ISERROR(SEARCH("NUEVO",C1187)))</formula>
    </cfRule>
  </conditionalFormatting>
  <conditionalFormatting sqref="E1187">
    <cfRule type="containsText" dxfId="1103" priority="1245" operator="containsText" text="Sin Información">
      <formula>NOT(ISERROR(SEARCH("Sin Información",E1187)))</formula>
    </cfRule>
  </conditionalFormatting>
  <conditionalFormatting sqref="E1187:F1187">
    <cfRule type="expression" dxfId="1102" priority="1244">
      <formula>E1187&lt;&gt;""</formula>
    </cfRule>
  </conditionalFormatting>
  <conditionalFormatting sqref="C1188:D1188">
    <cfRule type="containsText" dxfId="1101" priority="1243" operator="containsText" text="NO+$D$4:$D$10">
      <formula>NOT(ISERROR(SEARCH("NO+$D$4:$D$10",C1188)))</formula>
    </cfRule>
  </conditionalFormatting>
  <conditionalFormatting sqref="C1188:D1188">
    <cfRule type="containsText" dxfId="1100" priority="1241" operator="containsText" text="SI">
      <formula>NOT(ISERROR(SEARCH("SI",C1188)))</formula>
    </cfRule>
    <cfRule type="containsText" dxfId="1099" priority="1242" operator="containsText" text="NO">
      <formula>NOT(ISERROR(SEARCH("NO",C1188)))</formula>
    </cfRule>
  </conditionalFormatting>
  <conditionalFormatting sqref="C1188:D1188">
    <cfRule type="containsText" dxfId="1098" priority="1240" operator="containsText" text="NUEVO">
      <formula>NOT(ISERROR(SEARCH("NUEVO",C1188)))</formula>
    </cfRule>
  </conditionalFormatting>
  <conditionalFormatting sqref="E1188">
    <cfRule type="containsText" dxfId="1097" priority="1239" operator="containsText" text="NUEVO">
      <formula>NOT(ISERROR(SEARCH("NUEVO",E1188)))</formula>
    </cfRule>
  </conditionalFormatting>
  <conditionalFormatting sqref="E1188">
    <cfRule type="containsText" dxfId="1096" priority="1238" operator="containsText" text="Sin Información">
      <formula>NOT(ISERROR(SEARCH("Sin Información",E1188)))</formula>
    </cfRule>
  </conditionalFormatting>
  <conditionalFormatting sqref="E1188">
    <cfRule type="expression" dxfId="1095" priority="1237">
      <formula>E1188&lt;&gt;""</formula>
    </cfRule>
  </conditionalFormatting>
  <conditionalFormatting sqref="F1188">
    <cfRule type="expression" dxfId="1094" priority="1236">
      <formula>F1188&lt;&gt;""</formula>
    </cfRule>
  </conditionalFormatting>
  <conditionalFormatting sqref="C1189:D1189">
    <cfRule type="containsText" dxfId="1093" priority="1235" operator="containsText" text="NO+$D$4:$D$10">
      <formula>NOT(ISERROR(SEARCH("NO+$D$4:$D$10",C1189)))</formula>
    </cfRule>
  </conditionalFormatting>
  <conditionalFormatting sqref="C1189:D1189">
    <cfRule type="containsText" dxfId="1092" priority="1233" operator="containsText" text="SI">
      <formula>NOT(ISERROR(SEARCH("SI",C1189)))</formula>
    </cfRule>
    <cfRule type="containsText" dxfId="1091" priority="1234" operator="containsText" text="NO">
      <formula>NOT(ISERROR(SEARCH("NO",C1189)))</formula>
    </cfRule>
  </conditionalFormatting>
  <conditionalFormatting sqref="C1189:D1189">
    <cfRule type="containsText" dxfId="1090" priority="1232" operator="containsText" text="NUEVO">
      <formula>NOT(ISERROR(SEARCH("NUEVO",C1189)))</formula>
    </cfRule>
  </conditionalFormatting>
  <conditionalFormatting sqref="E1189">
    <cfRule type="containsText" dxfId="1089" priority="1231" operator="containsText" text="NUEVO">
      <formula>NOT(ISERROR(SEARCH("NUEVO",E1189)))</formula>
    </cfRule>
  </conditionalFormatting>
  <conditionalFormatting sqref="E1189">
    <cfRule type="containsText" dxfId="1088" priority="1230" operator="containsText" text="Sin Información">
      <formula>NOT(ISERROR(SEARCH("Sin Información",E1189)))</formula>
    </cfRule>
  </conditionalFormatting>
  <conditionalFormatting sqref="E1189">
    <cfRule type="expression" dxfId="1087" priority="1229">
      <formula>E1189&lt;&gt;""</formula>
    </cfRule>
  </conditionalFormatting>
  <conditionalFormatting sqref="F1189">
    <cfRule type="expression" dxfId="1086" priority="1228">
      <formula>F1189&lt;&gt;""</formula>
    </cfRule>
  </conditionalFormatting>
  <conditionalFormatting sqref="C1190:D1190">
    <cfRule type="containsText" dxfId="1085" priority="1219" operator="containsText" text="NO+$D$4:$D$10">
      <formula>NOT(ISERROR(SEARCH("NO+$D$4:$D$10",C1190)))</formula>
    </cfRule>
  </conditionalFormatting>
  <conditionalFormatting sqref="C1190:D1190">
    <cfRule type="containsText" dxfId="1084" priority="1217" operator="containsText" text="SI">
      <formula>NOT(ISERROR(SEARCH("SI",C1190)))</formula>
    </cfRule>
    <cfRule type="containsText" dxfId="1083" priority="1218" operator="containsText" text="NO">
      <formula>NOT(ISERROR(SEARCH("NO",C1190)))</formula>
    </cfRule>
  </conditionalFormatting>
  <conditionalFormatting sqref="C1190:D1190">
    <cfRule type="containsText" dxfId="1082" priority="1216" operator="containsText" text="NUEVO">
      <formula>NOT(ISERROR(SEARCH("NUEVO",C1190)))</formula>
    </cfRule>
  </conditionalFormatting>
  <conditionalFormatting sqref="F1190">
    <cfRule type="expression" dxfId="1081" priority="1215">
      <formula>F1190&lt;&gt;""</formula>
    </cfRule>
  </conditionalFormatting>
  <conditionalFormatting sqref="E1190">
    <cfRule type="containsText" dxfId="1080" priority="1214" operator="containsText" text="NUEVO">
      <formula>NOT(ISERROR(SEARCH("NUEVO",E1190)))</formula>
    </cfRule>
  </conditionalFormatting>
  <conditionalFormatting sqref="E1190">
    <cfRule type="containsText" dxfId="1079" priority="1213" operator="containsText" text="Sin Información">
      <formula>NOT(ISERROR(SEARCH("Sin Información",E1190)))</formula>
    </cfRule>
  </conditionalFormatting>
  <conditionalFormatting sqref="E1190">
    <cfRule type="expression" dxfId="1078" priority="1212">
      <formula>E1190&lt;&gt;""</formula>
    </cfRule>
  </conditionalFormatting>
  <conditionalFormatting sqref="C1191:D1191">
    <cfRule type="containsText" dxfId="1077" priority="1192" operator="containsText" text="NO+$D$4:$D$10">
      <formula>NOT(ISERROR(SEARCH("NO+$D$4:$D$10",C1191)))</formula>
    </cfRule>
  </conditionalFormatting>
  <conditionalFormatting sqref="C1191:D1191">
    <cfRule type="containsText" dxfId="1076" priority="1190" operator="containsText" text="SI">
      <formula>NOT(ISERROR(SEARCH("SI",C1191)))</formula>
    </cfRule>
    <cfRule type="containsText" dxfId="1075" priority="1191" operator="containsText" text="NO">
      <formula>NOT(ISERROR(SEARCH("NO",C1191)))</formula>
    </cfRule>
  </conditionalFormatting>
  <conditionalFormatting sqref="C1191:D1191">
    <cfRule type="containsText" dxfId="1074" priority="1189" operator="containsText" text="NUEVO">
      <formula>NOT(ISERROR(SEARCH("NUEVO",C1191)))</formula>
    </cfRule>
  </conditionalFormatting>
  <conditionalFormatting sqref="F1191">
    <cfRule type="expression" dxfId="1073" priority="1188">
      <formula>F1191&lt;&gt;""</formula>
    </cfRule>
  </conditionalFormatting>
  <conditionalFormatting sqref="E1191">
    <cfRule type="containsText" dxfId="1072" priority="1187" operator="containsText" text="NUEVO">
      <formula>NOT(ISERROR(SEARCH("NUEVO",E1191)))</formula>
    </cfRule>
  </conditionalFormatting>
  <conditionalFormatting sqref="E1191">
    <cfRule type="containsText" dxfId="1071" priority="1186" operator="containsText" text="Sin Información">
      <formula>NOT(ISERROR(SEARCH("Sin Información",E1191)))</formula>
    </cfRule>
  </conditionalFormatting>
  <conditionalFormatting sqref="E1191">
    <cfRule type="expression" dxfId="1070" priority="1185">
      <formula>E1191&lt;&gt;""</formula>
    </cfRule>
  </conditionalFormatting>
  <conditionalFormatting sqref="C1192:D1192">
    <cfRule type="containsText" dxfId="1069" priority="1184" operator="containsText" text="NO+$D$4:$D$10">
      <formula>NOT(ISERROR(SEARCH("NO+$D$4:$D$10",C1192)))</formula>
    </cfRule>
  </conditionalFormatting>
  <conditionalFormatting sqref="C1192:D1192">
    <cfRule type="containsText" dxfId="1068" priority="1182" operator="containsText" text="SI">
      <formula>NOT(ISERROR(SEARCH("SI",C1192)))</formula>
    </cfRule>
    <cfRule type="containsText" dxfId="1067" priority="1183" operator="containsText" text="NO">
      <formula>NOT(ISERROR(SEARCH("NO",C1192)))</formula>
    </cfRule>
  </conditionalFormatting>
  <conditionalFormatting sqref="C1192:E1192">
    <cfRule type="containsText" dxfId="1066" priority="1181" operator="containsText" text="NUEVO">
      <formula>NOT(ISERROR(SEARCH("NUEVO",C1192)))</formula>
    </cfRule>
  </conditionalFormatting>
  <conditionalFormatting sqref="E1192">
    <cfRule type="containsText" dxfId="1065" priority="1180" operator="containsText" text="Sin Información">
      <formula>NOT(ISERROR(SEARCH("Sin Información",E1192)))</formula>
    </cfRule>
  </conditionalFormatting>
  <conditionalFormatting sqref="E1192:F1192">
    <cfRule type="expression" dxfId="1064" priority="1179">
      <formula>E1192&lt;&gt;""</formula>
    </cfRule>
  </conditionalFormatting>
  <conditionalFormatting sqref="C1193:D1193">
    <cfRule type="containsText" dxfId="1063" priority="1178" operator="containsText" text="NO+$D$4:$D$10">
      <formula>NOT(ISERROR(SEARCH("NO+$D$4:$D$10",C1193)))</formula>
    </cfRule>
  </conditionalFormatting>
  <conditionalFormatting sqref="C1193:D1193">
    <cfRule type="containsText" dxfId="1062" priority="1176" operator="containsText" text="SI">
      <formula>NOT(ISERROR(SEARCH("SI",C1193)))</formula>
    </cfRule>
    <cfRule type="containsText" dxfId="1061" priority="1177" operator="containsText" text="NO">
      <formula>NOT(ISERROR(SEARCH("NO",C1193)))</formula>
    </cfRule>
  </conditionalFormatting>
  <conditionalFormatting sqref="C1193:D1193">
    <cfRule type="containsText" dxfId="1060" priority="1175" operator="containsText" text="NUEVO">
      <formula>NOT(ISERROR(SEARCH("NUEVO",C1193)))</formula>
    </cfRule>
  </conditionalFormatting>
  <conditionalFormatting sqref="E1193">
    <cfRule type="containsText" dxfId="1059" priority="1173" operator="containsText" text="NUEVO">
      <formula>NOT(ISERROR(SEARCH("NUEVO",E1193)))</formula>
    </cfRule>
  </conditionalFormatting>
  <conditionalFormatting sqref="E1193">
    <cfRule type="containsText" dxfId="1058" priority="1172" operator="containsText" text="Sin Información">
      <formula>NOT(ISERROR(SEARCH("Sin Información",E1193)))</formula>
    </cfRule>
  </conditionalFormatting>
  <conditionalFormatting sqref="F1193">
    <cfRule type="expression" dxfId="1057" priority="1174">
      <formula>F1193&lt;&gt;""</formula>
    </cfRule>
  </conditionalFormatting>
  <conditionalFormatting sqref="E1193">
    <cfRule type="expression" dxfId="1056" priority="1171">
      <formula>E1193&lt;&gt;""</formula>
    </cfRule>
  </conditionalFormatting>
  <conditionalFormatting sqref="C1194:D1194">
    <cfRule type="containsText" dxfId="1055" priority="1170" operator="containsText" text="NO+$D$4:$D$10">
      <formula>NOT(ISERROR(SEARCH("NO+$D$4:$D$10",C1194)))</formula>
    </cfRule>
  </conditionalFormatting>
  <conditionalFormatting sqref="C1194:D1194">
    <cfRule type="containsText" dxfId="1054" priority="1168" operator="containsText" text="SI">
      <formula>NOT(ISERROR(SEARCH("SI",C1194)))</formula>
    </cfRule>
    <cfRule type="containsText" dxfId="1053" priority="1169" operator="containsText" text="NO">
      <formula>NOT(ISERROR(SEARCH("NO",C1194)))</formula>
    </cfRule>
  </conditionalFormatting>
  <conditionalFormatting sqref="C1194:D1194">
    <cfRule type="containsText" dxfId="1052" priority="1167" operator="containsText" text="NUEVO">
      <formula>NOT(ISERROR(SEARCH("NUEVO",C1194)))</formula>
    </cfRule>
  </conditionalFormatting>
  <conditionalFormatting sqref="E1194">
    <cfRule type="containsText" dxfId="1051" priority="1166" operator="containsText" text="NUEVO">
      <formula>NOT(ISERROR(SEARCH("NUEVO",E1194)))</formula>
    </cfRule>
  </conditionalFormatting>
  <conditionalFormatting sqref="E1194">
    <cfRule type="containsText" dxfId="1050" priority="1165" operator="containsText" text="Sin Información">
      <formula>NOT(ISERROR(SEARCH("Sin Información",E1194)))</formula>
    </cfRule>
  </conditionalFormatting>
  <conditionalFormatting sqref="E1194:F1194">
    <cfRule type="expression" dxfId="1049" priority="1164">
      <formula>E1194&lt;&gt;""</formula>
    </cfRule>
  </conditionalFormatting>
  <conditionalFormatting sqref="C1195:D1195">
    <cfRule type="containsText" dxfId="1048" priority="1163" operator="containsText" text="NO+$D$4:$D$10">
      <formula>NOT(ISERROR(SEARCH("NO+$D$4:$D$10",C1195)))</formula>
    </cfRule>
  </conditionalFormatting>
  <conditionalFormatting sqref="C1195:D1195">
    <cfRule type="containsText" dxfId="1047" priority="1161" operator="containsText" text="SI">
      <formula>NOT(ISERROR(SEARCH("SI",C1195)))</formula>
    </cfRule>
    <cfRule type="containsText" dxfId="1046" priority="1162" operator="containsText" text="NO">
      <formula>NOT(ISERROR(SEARCH("NO",C1195)))</formula>
    </cfRule>
  </conditionalFormatting>
  <conditionalFormatting sqref="C1195:D1195">
    <cfRule type="containsText" dxfId="1045" priority="1160" operator="containsText" text="NUEVO">
      <formula>NOT(ISERROR(SEARCH("NUEVO",C1195)))</formula>
    </cfRule>
  </conditionalFormatting>
  <conditionalFormatting sqref="E1195">
    <cfRule type="containsText" dxfId="1044" priority="1159" operator="containsText" text="NUEVO">
      <formula>NOT(ISERROR(SEARCH("NUEVO",E1195)))</formula>
    </cfRule>
  </conditionalFormatting>
  <conditionalFormatting sqref="E1195">
    <cfRule type="containsText" dxfId="1043" priority="1158" operator="containsText" text="Sin Información">
      <formula>NOT(ISERROR(SEARCH("Sin Información",E1195)))</formula>
    </cfRule>
  </conditionalFormatting>
  <conditionalFormatting sqref="E1195">
    <cfRule type="expression" dxfId="1042" priority="1157">
      <formula>E1195&lt;&gt;""</formula>
    </cfRule>
  </conditionalFormatting>
  <conditionalFormatting sqref="F1195">
    <cfRule type="expression" dxfId="1041" priority="1156">
      <formula>F1195&lt;&gt;""</formula>
    </cfRule>
  </conditionalFormatting>
  <conditionalFormatting sqref="C1196:D1196">
    <cfRule type="containsText" dxfId="1040" priority="1155" operator="containsText" text="NO+$D$4:$D$10">
      <formula>NOT(ISERROR(SEARCH("NO+$D$4:$D$10",C1196)))</formula>
    </cfRule>
  </conditionalFormatting>
  <conditionalFormatting sqref="C1196:D1196">
    <cfRule type="containsText" dxfId="1039" priority="1153" operator="containsText" text="SI">
      <formula>NOT(ISERROR(SEARCH("SI",C1196)))</formula>
    </cfRule>
    <cfRule type="containsText" dxfId="1038" priority="1154" operator="containsText" text="NO">
      <formula>NOT(ISERROR(SEARCH("NO",C1196)))</formula>
    </cfRule>
  </conditionalFormatting>
  <conditionalFormatting sqref="C1196:D1196">
    <cfRule type="containsText" dxfId="1037" priority="1152" operator="containsText" text="NUEVO">
      <formula>NOT(ISERROR(SEARCH("NUEVO",C1196)))</formula>
    </cfRule>
  </conditionalFormatting>
  <conditionalFormatting sqref="E1196">
    <cfRule type="containsText" dxfId="1036" priority="1151" operator="containsText" text="NUEVO">
      <formula>NOT(ISERROR(SEARCH("NUEVO",E1196)))</formula>
    </cfRule>
  </conditionalFormatting>
  <conditionalFormatting sqref="E1196">
    <cfRule type="containsText" dxfId="1035" priority="1150" operator="containsText" text="Sin Información">
      <formula>NOT(ISERROR(SEARCH("Sin Información",E1196)))</formula>
    </cfRule>
  </conditionalFormatting>
  <conditionalFormatting sqref="E1196:F1196">
    <cfRule type="expression" dxfId="1034" priority="1149">
      <formula>E1196&lt;&gt;""</formula>
    </cfRule>
  </conditionalFormatting>
  <conditionalFormatting sqref="C1197:D1197">
    <cfRule type="containsText" dxfId="1033" priority="1148" operator="containsText" text="NO+$D$4:$D$10">
      <formula>NOT(ISERROR(SEARCH("NO+$D$4:$D$10",C1197)))</formula>
    </cfRule>
  </conditionalFormatting>
  <conditionalFormatting sqref="C1197:D1197">
    <cfRule type="containsText" dxfId="1032" priority="1146" operator="containsText" text="SI">
      <formula>NOT(ISERROR(SEARCH("SI",C1197)))</formula>
    </cfRule>
    <cfRule type="containsText" dxfId="1031" priority="1147" operator="containsText" text="NO">
      <formula>NOT(ISERROR(SEARCH("NO",C1197)))</formula>
    </cfRule>
  </conditionalFormatting>
  <conditionalFormatting sqref="C1197:E1197">
    <cfRule type="containsText" dxfId="1030" priority="1145" operator="containsText" text="NUEVO">
      <formula>NOT(ISERROR(SEARCH("NUEVO",C1197)))</formula>
    </cfRule>
  </conditionalFormatting>
  <conditionalFormatting sqref="E1197">
    <cfRule type="containsText" dxfId="1029" priority="1144" operator="containsText" text="Sin Información">
      <formula>NOT(ISERROR(SEARCH("Sin Información",E1197)))</formula>
    </cfRule>
  </conditionalFormatting>
  <conditionalFormatting sqref="E1197:F1197">
    <cfRule type="expression" dxfId="1028" priority="1143">
      <formula>E1197&lt;&gt;""</formula>
    </cfRule>
  </conditionalFormatting>
  <conditionalFormatting sqref="C1198:D1198">
    <cfRule type="containsText" dxfId="1027" priority="1142" operator="containsText" text="NO+$D$4:$D$10">
      <formula>NOT(ISERROR(SEARCH("NO+$D$4:$D$10",C1198)))</formula>
    </cfRule>
  </conditionalFormatting>
  <conditionalFormatting sqref="C1198:D1198">
    <cfRule type="containsText" dxfId="1026" priority="1140" operator="containsText" text="SI">
      <formula>NOT(ISERROR(SEARCH("SI",C1198)))</formula>
    </cfRule>
    <cfRule type="containsText" dxfId="1025" priority="1141" operator="containsText" text="NO">
      <formula>NOT(ISERROR(SEARCH("NO",C1198)))</formula>
    </cfRule>
  </conditionalFormatting>
  <conditionalFormatting sqref="C1198:D1198">
    <cfRule type="containsText" dxfId="1024" priority="1139" operator="containsText" text="NUEVO">
      <formula>NOT(ISERROR(SEARCH("NUEVO",C1198)))</formula>
    </cfRule>
  </conditionalFormatting>
  <conditionalFormatting sqref="E1198">
    <cfRule type="containsText" dxfId="1023" priority="1138" operator="containsText" text="NUEVO">
      <formula>NOT(ISERROR(SEARCH("NUEVO",E1198)))</formula>
    </cfRule>
  </conditionalFormatting>
  <conditionalFormatting sqref="E1198">
    <cfRule type="containsText" dxfId="1022" priority="1137" operator="containsText" text="Sin Información">
      <formula>NOT(ISERROR(SEARCH("Sin Información",E1198)))</formula>
    </cfRule>
  </conditionalFormatting>
  <conditionalFormatting sqref="E1198">
    <cfRule type="expression" dxfId="1021" priority="1136">
      <formula>E1198&lt;&gt;""</formula>
    </cfRule>
  </conditionalFormatting>
  <conditionalFormatting sqref="F1198">
    <cfRule type="expression" dxfId="1020" priority="1135">
      <formula>F1198&lt;&gt;""</formula>
    </cfRule>
  </conditionalFormatting>
  <conditionalFormatting sqref="C1199:D1199">
    <cfRule type="containsText" dxfId="1019" priority="1134" operator="containsText" text="NO+$D$4:$D$10">
      <formula>NOT(ISERROR(SEARCH("NO+$D$4:$D$10",C1199)))</formula>
    </cfRule>
  </conditionalFormatting>
  <conditionalFormatting sqref="C1199:D1199">
    <cfRule type="containsText" dxfId="1018" priority="1132" operator="containsText" text="SI">
      <formula>NOT(ISERROR(SEARCH("SI",C1199)))</formula>
    </cfRule>
    <cfRule type="containsText" dxfId="1017" priority="1133" operator="containsText" text="NO">
      <formula>NOT(ISERROR(SEARCH("NO",C1199)))</formula>
    </cfRule>
  </conditionalFormatting>
  <conditionalFormatting sqref="C1199:D1199">
    <cfRule type="containsText" dxfId="1016" priority="1131" operator="containsText" text="NUEVO">
      <formula>NOT(ISERROR(SEARCH("NUEVO",C1199)))</formula>
    </cfRule>
  </conditionalFormatting>
  <conditionalFormatting sqref="E1199">
    <cfRule type="containsText" dxfId="1015" priority="1130" operator="containsText" text="NUEVO">
      <formula>NOT(ISERROR(SEARCH("NUEVO",E1199)))</formula>
    </cfRule>
  </conditionalFormatting>
  <conditionalFormatting sqref="E1199">
    <cfRule type="containsText" dxfId="1014" priority="1129" operator="containsText" text="Sin Información">
      <formula>NOT(ISERROR(SEARCH("Sin Información",E1199)))</formula>
    </cfRule>
  </conditionalFormatting>
  <conditionalFormatting sqref="E1199">
    <cfRule type="expression" dxfId="1013" priority="1128">
      <formula>E1199&lt;&gt;""</formula>
    </cfRule>
  </conditionalFormatting>
  <conditionalFormatting sqref="F1199">
    <cfRule type="expression" dxfId="1012" priority="1127">
      <formula>F1199&lt;&gt;""</formula>
    </cfRule>
  </conditionalFormatting>
  <conditionalFormatting sqref="C1200:D1200">
    <cfRule type="containsText" dxfId="1011" priority="1126" operator="containsText" text="NO+$D$4:$D$10">
      <formula>NOT(ISERROR(SEARCH("NO+$D$4:$D$10",C1200)))</formula>
    </cfRule>
  </conditionalFormatting>
  <conditionalFormatting sqref="C1200:D1200">
    <cfRule type="containsText" dxfId="1010" priority="1124" operator="containsText" text="SI">
      <formula>NOT(ISERROR(SEARCH("SI",C1200)))</formula>
    </cfRule>
    <cfRule type="containsText" dxfId="1009" priority="1125" operator="containsText" text="NO">
      <formula>NOT(ISERROR(SEARCH("NO",C1200)))</formula>
    </cfRule>
  </conditionalFormatting>
  <conditionalFormatting sqref="C1200:D1200">
    <cfRule type="containsText" dxfId="1008" priority="1123" operator="containsText" text="NUEVO">
      <formula>NOT(ISERROR(SEARCH("NUEVO",C1200)))</formula>
    </cfRule>
  </conditionalFormatting>
  <conditionalFormatting sqref="E1200">
    <cfRule type="containsText" dxfId="1007" priority="1121" operator="containsText" text="NUEVO">
      <formula>NOT(ISERROR(SEARCH("NUEVO",E1200)))</formula>
    </cfRule>
  </conditionalFormatting>
  <conditionalFormatting sqref="F1200">
    <cfRule type="expression" dxfId="1006" priority="1122">
      <formula>F1200&lt;&gt;""</formula>
    </cfRule>
  </conditionalFormatting>
  <conditionalFormatting sqref="E1200">
    <cfRule type="containsText" dxfId="1005" priority="1120" operator="containsText" text="Sin Información">
      <formula>NOT(ISERROR(SEARCH("Sin Información",E1200)))</formula>
    </cfRule>
  </conditionalFormatting>
  <conditionalFormatting sqref="E1200">
    <cfRule type="expression" dxfId="1004" priority="1119">
      <formula>E1200&lt;&gt;""</formula>
    </cfRule>
  </conditionalFormatting>
  <conditionalFormatting sqref="C1201:D1201">
    <cfRule type="containsText" dxfId="1003" priority="1118" operator="containsText" text="NO+$D$4:$D$10">
      <formula>NOT(ISERROR(SEARCH("NO+$D$4:$D$10",C1201)))</formula>
    </cfRule>
  </conditionalFormatting>
  <conditionalFormatting sqref="C1201:D1201">
    <cfRule type="containsText" dxfId="1002" priority="1116" operator="containsText" text="SI">
      <formula>NOT(ISERROR(SEARCH("SI",C1201)))</formula>
    </cfRule>
    <cfRule type="containsText" dxfId="1001" priority="1117" operator="containsText" text="NO">
      <formula>NOT(ISERROR(SEARCH("NO",C1201)))</formula>
    </cfRule>
  </conditionalFormatting>
  <conditionalFormatting sqref="C1201:D1201">
    <cfRule type="containsText" dxfId="1000" priority="1115" operator="containsText" text="NUEVO">
      <formula>NOT(ISERROR(SEARCH("NUEVO",C1201)))</formula>
    </cfRule>
  </conditionalFormatting>
  <conditionalFormatting sqref="F1201">
    <cfRule type="expression" dxfId="999" priority="1114">
      <formula>F1201&lt;&gt;""</formula>
    </cfRule>
  </conditionalFormatting>
  <conditionalFormatting sqref="E1201">
    <cfRule type="containsText" dxfId="998" priority="1113" operator="containsText" text="NUEVO">
      <formula>NOT(ISERROR(SEARCH("NUEVO",E1201)))</formula>
    </cfRule>
  </conditionalFormatting>
  <conditionalFormatting sqref="E1201">
    <cfRule type="containsText" dxfId="997" priority="1112" operator="containsText" text="Sin Información">
      <formula>NOT(ISERROR(SEARCH("Sin Información",E1201)))</formula>
    </cfRule>
  </conditionalFormatting>
  <conditionalFormatting sqref="E1201">
    <cfRule type="expression" dxfId="996" priority="1111">
      <formula>E1201&lt;&gt;""</formula>
    </cfRule>
  </conditionalFormatting>
  <conditionalFormatting sqref="C1574:D1574">
    <cfRule type="containsText" dxfId="995" priority="1069" operator="containsText" text="NO+$D$4:$D$10">
      <formula>NOT(ISERROR(SEARCH("NO+$D$4:$D$10",C1574)))</formula>
    </cfRule>
  </conditionalFormatting>
  <conditionalFormatting sqref="C1574:D1574">
    <cfRule type="containsText" dxfId="994" priority="1067" operator="containsText" text="SI">
      <formula>NOT(ISERROR(SEARCH("SI",C1574)))</formula>
    </cfRule>
    <cfRule type="containsText" dxfId="993" priority="1068" operator="containsText" text="NO">
      <formula>NOT(ISERROR(SEARCH("NO",C1574)))</formula>
    </cfRule>
  </conditionalFormatting>
  <conditionalFormatting sqref="C1574:E1574">
    <cfRule type="containsText" dxfId="992" priority="1066" operator="containsText" text="NUEVO">
      <formula>NOT(ISERROR(SEARCH("NUEVO",C1574)))</formula>
    </cfRule>
  </conditionalFormatting>
  <conditionalFormatting sqref="E1574">
    <cfRule type="containsText" dxfId="991" priority="1065" operator="containsText" text="Sin Información">
      <formula>NOT(ISERROR(SEARCH("Sin Información",E1574)))</formula>
    </cfRule>
  </conditionalFormatting>
  <conditionalFormatting sqref="E1574:F1574">
    <cfRule type="expression" dxfId="990" priority="1064">
      <formula>E1574&lt;&gt;""</formula>
    </cfRule>
  </conditionalFormatting>
  <conditionalFormatting sqref="C1575:D1575">
    <cfRule type="containsText" dxfId="989" priority="1063" operator="containsText" text="NO+$D$4:$D$10">
      <formula>NOT(ISERROR(SEARCH("NO+$D$4:$D$10",C1575)))</formula>
    </cfRule>
  </conditionalFormatting>
  <conditionalFormatting sqref="C1575:D1575">
    <cfRule type="containsText" dxfId="988" priority="1061" operator="containsText" text="SI">
      <formula>NOT(ISERROR(SEARCH("SI",C1575)))</formula>
    </cfRule>
    <cfRule type="containsText" dxfId="987" priority="1062" operator="containsText" text="NO">
      <formula>NOT(ISERROR(SEARCH("NO",C1575)))</formula>
    </cfRule>
  </conditionalFormatting>
  <conditionalFormatting sqref="C1575:D1575">
    <cfRule type="containsText" dxfId="986" priority="1060" operator="containsText" text="NUEVO">
      <formula>NOT(ISERROR(SEARCH("NUEVO",C1575)))</formula>
    </cfRule>
  </conditionalFormatting>
  <conditionalFormatting sqref="F1575">
    <cfRule type="expression" dxfId="985" priority="1059">
      <formula>F1575&lt;&gt;""</formula>
    </cfRule>
  </conditionalFormatting>
  <conditionalFormatting sqref="E1575">
    <cfRule type="containsText" dxfId="984" priority="1058" operator="containsText" text="NUEVO">
      <formula>NOT(ISERROR(SEARCH("NUEVO",E1575)))</formula>
    </cfRule>
  </conditionalFormatting>
  <conditionalFormatting sqref="E1575">
    <cfRule type="containsText" dxfId="983" priority="1057" operator="containsText" text="Sin Información">
      <formula>NOT(ISERROR(SEARCH("Sin Información",E1575)))</formula>
    </cfRule>
  </conditionalFormatting>
  <conditionalFormatting sqref="E1575">
    <cfRule type="expression" dxfId="982" priority="1056">
      <formula>E1575&lt;&gt;""</formula>
    </cfRule>
  </conditionalFormatting>
  <conditionalFormatting sqref="C1576:D1576">
    <cfRule type="containsText" dxfId="981" priority="1055" operator="containsText" text="NO+$D$4:$D$10">
      <formula>NOT(ISERROR(SEARCH("NO+$D$4:$D$10",C1576)))</formula>
    </cfRule>
  </conditionalFormatting>
  <conditionalFormatting sqref="C1576:D1576">
    <cfRule type="containsText" dxfId="980" priority="1053" operator="containsText" text="SI">
      <formula>NOT(ISERROR(SEARCH("SI",C1576)))</formula>
    </cfRule>
    <cfRule type="containsText" dxfId="979" priority="1054" operator="containsText" text="NO">
      <formula>NOT(ISERROR(SEARCH("NO",C1576)))</formula>
    </cfRule>
  </conditionalFormatting>
  <conditionalFormatting sqref="C1576:D1576">
    <cfRule type="containsText" dxfId="978" priority="1052" operator="containsText" text="NUEVO">
      <formula>NOT(ISERROR(SEARCH("NUEVO",C1576)))</formula>
    </cfRule>
  </conditionalFormatting>
  <conditionalFormatting sqref="F1576">
    <cfRule type="expression" dxfId="977" priority="1051">
      <formula>F1576&lt;&gt;""</formula>
    </cfRule>
  </conditionalFormatting>
  <conditionalFormatting sqref="E1576">
    <cfRule type="containsText" dxfId="976" priority="1050" operator="containsText" text="NUEVO">
      <formula>NOT(ISERROR(SEARCH("NUEVO",E1576)))</formula>
    </cfRule>
  </conditionalFormatting>
  <conditionalFormatting sqref="E1576">
    <cfRule type="containsText" dxfId="975" priority="1049" operator="containsText" text="Sin Información">
      <formula>NOT(ISERROR(SEARCH("Sin Información",E1576)))</formula>
    </cfRule>
  </conditionalFormatting>
  <conditionalFormatting sqref="E1576">
    <cfRule type="expression" dxfId="974" priority="1048">
      <formula>E1576&lt;&gt;""</formula>
    </cfRule>
  </conditionalFormatting>
  <conditionalFormatting sqref="C1577:D1577">
    <cfRule type="containsText" dxfId="973" priority="1047" operator="containsText" text="NO+$D$4:$D$10">
      <formula>NOT(ISERROR(SEARCH("NO+$D$4:$D$10",C1577)))</formula>
    </cfRule>
  </conditionalFormatting>
  <conditionalFormatting sqref="C1577:D1577">
    <cfRule type="containsText" dxfId="972" priority="1045" operator="containsText" text="SI">
      <formula>NOT(ISERROR(SEARCH("SI",C1577)))</formula>
    </cfRule>
    <cfRule type="containsText" dxfId="971" priority="1046" operator="containsText" text="NO">
      <formula>NOT(ISERROR(SEARCH("NO",C1577)))</formula>
    </cfRule>
  </conditionalFormatting>
  <conditionalFormatting sqref="C1577:E1577">
    <cfRule type="containsText" dxfId="970" priority="1044" operator="containsText" text="NUEVO">
      <formula>NOT(ISERROR(SEARCH("NUEVO",C1577)))</formula>
    </cfRule>
  </conditionalFormatting>
  <conditionalFormatting sqref="E1577">
    <cfRule type="containsText" dxfId="969" priority="1043" operator="containsText" text="Sin Información">
      <formula>NOT(ISERROR(SEARCH("Sin Información",E1577)))</formula>
    </cfRule>
  </conditionalFormatting>
  <conditionalFormatting sqref="E1577:F1577">
    <cfRule type="expression" dxfId="968" priority="1042">
      <formula>E1577&lt;&gt;""</formula>
    </cfRule>
  </conditionalFormatting>
  <conditionalFormatting sqref="C1578:D1578">
    <cfRule type="containsText" dxfId="967" priority="1041" operator="containsText" text="NO+$D$4:$D$10">
      <formula>NOT(ISERROR(SEARCH("NO+$D$4:$D$10",C1578)))</formula>
    </cfRule>
  </conditionalFormatting>
  <conditionalFormatting sqref="C1578:D1578">
    <cfRule type="containsText" dxfId="966" priority="1039" operator="containsText" text="SI">
      <formula>NOT(ISERROR(SEARCH("SI",C1578)))</formula>
    </cfRule>
    <cfRule type="containsText" dxfId="965" priority="1040" operator="containsText" text="NO">
      <formula>NOT(ISERROR(SEARCH("NO",C1578)))</formula>
    </cfRule>
  </conditionalFormatting>
  <conditionalFormatting sqref="C1578:D1578">
    <cfRule type="containsText" dxfId="964" priority="1038" operator="containsText" text="NUEVO">
      <formula>NOT(ISERROR(SEARCH("NUEVO",C1578)))</formula>
    </cfRule>
  </conditionalFormatting>
  <conditionalFormatting sqref="F1578">
    <cfRule type="expression" dxfId="963" priority="1037">
      <formula>F1578&lt;&gt;""</formula>
    </cfRule>
  </conditionalFormatting>
  <conditionalFormatting sqref="E1578">
    <cfRule type="containsText" dxfId="962" priority="1036" operator="containsText" text="NUEVO">
      <formula>NOT(ISERROR(SEARCH("NUEVO",E1578)))</formula>
    </cfRule>
  </conditionalFormatting>
  <conditionalFormatting sqref="E1578">
    <cfRule type="containsText" dxfId="961" priority="1035" operator="containsText" text="Sin Información">
      <formula>NOT(ISERROR(SEARCH("Sin Información",E1578)))</formula>
    </cfRule>
  </conditionalFormatting>
  <conditionalFormatting sqref="E1578">
    <cfRule type="expression" dxfId="960" priority="1034">
      <formula>E1578&lt;&gt;""</formula>
    </cfRule>
  </conditionalFormatting>
  <conditionalFormatting sqref="C1579:D1579">
    <cfRule type="containsText" dxfId="959" priority="1033" operator="containsText" text="NO+$D$4:$D$10">
      <formula>NOT(ISERROR(SEARCH("NO+$D$4:$D$10",C1579)))</formula>
    </cfRule>
  </conditionalFormatting>
  <conditionalFormatting sqref="C1579:D1579">
    <cfRule type="containsText" dxfId="958" priority="1031" operator="containsText" text="SI">
      <formula>NOT(ISERROR(SEARCH("SI",C1579)))</formula>
    </cfRule>
    <cfRule type="containsText" dxfId="957" priority="1032" operator="containsText" text="NO">
      <formula>NOT(ISERROR(SEARCH("NO",C1579)))</formula>
    </cfRule>
  </conditionalFormatting>
  <conditionalFormatting sqref="C1579:D1579">
    <cfRule type="containsText" dxfId="956" priority="1030" operator="containsText" text="NUEVO">
      <formula>NOT(ISERROR(SEARCH("NUEVO",C1579)))</formula>
    </cfRule>
  </conditionalFormatting>
  <conditionalFormatting sqref="F1579">
    <cfRule type="expression" dxfId="955" priority="1029">
      <formula>F1579&lt;&gt;""</formula>
    </cfRule>
  </conditionalFormatting>
  <conditionalFormatting sqref="E1579">
    <cfRule type="containsText" dxfId="954" priority="1028" operator="containsText" text="NUEVO">
      <formula>NOT(ISERROR(SEARCH("NUEVO",E1579)))</formula>
    </cfRule>
  </conditionalFormatting>
  <conditionalFormatting sqref="E1579">
    <cfRule type="containsText" dxfId="953" priority="1027" operator="containsText" text="Sin Información">
      <formula>NOT(ISERROR(SEARCH("Sin Información",E1579)))</formula>
    </cfRule>
  </conditionalFormatting>
  <conditionalFormatting sqref="E1579">
    <cfRule type="expression" dxfId="952" priority="1026">
      <formula>E1579&lt;&gt;""</formula>
    </cfRule>
  </conditionalFormatting>
  <conditionalFormatting sqref="C1580:D1580">
    <cfRule type="containsText" dxfId="951" priority="1025" operator="containsText" text="NO+$D$4:$D$10">
      <formula>NOT(ISERROR(SEARCH("NO+$D$4:$D$10",C1580)))</formula>
    </cfRule>
  </conditionalFormatting>
  <conditionalFormatting sqref="C1580:D1580">
    <cfRule type="containsText" dxfId="950" priority="1023" operator="containsText" text="SI">
      <formula>NOT(ISERROR(SEARCH("SI",C1580)))</formula>
    </cfRule>
    <cfRule type="containsText" dxfId="949" priority="1024" operator="containsText" text="NO">
      <formula>NOT(ISERROR(SEARCH("NO",C1580)))</formula>
    </cfRule>
  </conditionalFormatting>
  <conditionalFormatting sqref="C1580:D1580">
    <cfRule type="containsText" dxfId="948" priority="1022" operator="containsText" text="NUEVO">
      <formula>NOT(ISERROR(SEARCH("NUEVO",C1580)))</formula>
    </cfRule>
  </conditionalFormatting>
  <conditionalFormatting sqref="F1580">
    <cfRule type="expression" dxfId="947" priority="1021">
      <formula>F1580&lt;&gt;""</formula>
    </cfRule>
  </conditionalFormatting>
  <conditionalFormatting sqref="E1580">
    <cfRule type="containsText" dxfId="946" priority="1020" operator="containsText" text="NUEVO">
      <formula>NOT(ISERROR(SEARCH("NUEVO",E1580)))</formula>
    </cfRule>
  </conditionalFormatting>
  <conditionalFormatting sqref="E1580">
    <cfRule type="containsText" dxfId="945" priority="1019" operator="containsText" text="Sin Información">
      <formula>NOT(ISERROR(SEARCH("Sin Información",E1580)))</formula>
    </cfRule>
  </conditionalFormatting>
  <conditionalFormatting sqref="E1580">
    <cfRule type="expression" dxfId="944" priority="1018">
      <formula>E1580&lt;&gt;""</formula>
    </cfRule>
  </conditionalFormatting>
  <conditionalFormatting sqref="E1217">
    <cfRule type="containsText" dxfId="943" priority="35458" operator="containsText" text="Sin información">
      <formula>NOT(ISERROR(SEARCH("Sin información",#REF!)))</formula>
    </cfRule>
  </conditionalFormatting>
  <conditionalFormatting sqref="E1217">
    <cfRule type="containsText" dxfId="942" priority="35459" operator="containsText" text="NUEVO">
      <formula>NOT(ISERROR(SEARCH("NUEVO",#REF!)))</formula>
    </cfRule>
  </conditionalFormatting>
  <conditionalFormatting sqref="C148:D148">
    <cfRule type="containsText" dxfId="941" priority="1017" operator="containsText" text="NO+$D$4:$D$10">
      <formula>NOT(ISERROR(SEARCH("NO+$D$4:$D$10",C148)))</formula>
    </cfRule>
  </conditionalFormatting>
  <conditionalFormatting sqref="C148:D148">
    <cfRule type="containsText" dxfId="940" priority="1015" operator="containsText" text="SI">
      <formula>NOT(ISERROR(SEARCH("SI",C148)))</formula>
    </cfRule>
    <cfRule type="containsText" dxfId="939" priority="1016" operator="containsText" text="NO">
      <formula>NOT(ISERROR(SEARCH("NO",C148)))</formula>
    </cfRule>
  </conditionalFormatting>
  <conditionalFormatting sqref="C148:D148">
    <cfRule type="containsText" dxfId="938" priority="1014" operator="containsText" text="NUEVO">
      <formula>NOT(ISERROR(SEARCH("NUEVO",C148)))</formula>
    </cfRule>
  </conditionalFormatting>
  <conditionalFormatting sqref="F148">
    <cfRule type="expression" dxfId="937" priority="1013">
      <formula>F148&lt;&gt;""</formula>
    </cfRule>
  </conditionalFormatting>
  <conditionalFormatting sqref="E148">
    <cfRule type="expression" dxfId="936" priority="1012">
      <formula>E148&lt;&gt;""</formula>
    </cfRule>
  </conditionalFormatting>
  <conditionalFormatting sqref="E148">
    <cfRule type="containsText" dxfId="935" priority="1011" operator="containsText" text="Sin información">
      <formula>NOT(ISERROR(SEARCH("Sin información",E148)))</formula>
    </cfRule>
  </conditionalFormatting>
  <conditionalFormatting sqref="E148">
    <cfRule type="containsText" dxfId="934" priority="1010" operator="containsText" text="NUEVO">
      <formula>NOT(ISERROR(SEARCH("NUEVO",E148)))</formula>
    </cfRule>
  </conditionalFormatting>
  <conditionalFormatting sqref="C149:D149">
    <cfRule type="containsText" dxfId="933" priority="1009" operator="containsText" text="NO+$D$4:$D$10">
      <formula>NOT(ISERROR(SEARCH("NO+$D$4:$D$10",C149)))</formula>
    </cfRule>
  </conditionalFormatting>
  <conditionalFormatting sqref="C149:D149">
    <cfRule type="containsText" dxfId="932" priority="1007" operator="containsText" text="SI">
      <formula>NOT(ISERROR(SEARCH("SI",C149)))</formula>
    </cfRule>
    <cfRule type="containsText" dxfId="931" priority="1008" operator="containsText" text="NO">
      <formula>NOT(ISERROR(SEARCH("NO",C149)))</formula>
    </cfRule>
  </conditionalFormatting>
  <conditionalFormatting sqref="E149">
    <cfRule type="containsText" dxfId="930" priority="1006" operator="containsText" text="Sin información">
      <formula>NOT(ISERROR(SEARCH("Sin información",E149)))</formula>
    </cfRule>
  </conditionalFormatting>
  <conditionalFormatting sqref="C149:E149">
    <cfRule type="containsText" dxfId="929" priority="1005" operator="containsText" text="NUEVO">
      <formula>NOT(ISERROR(SEARCH("NUEVO",C149)))</formula>
    </cfRule>
  </conditionalFormatting>
  <conditionalFormatting sqref="E149:F149">
    <cfRule type="expression" dxfId="928" priority="1004">
      <formula>E149&lt;&gt;""</formula>
    </cfRule>
  </conditionalFormatting>
  <conditionalFormatting sqref="C150:D150">
    <cfRule type="containsText" dxfId="927" priority="1003" operator="containsText" text="NO+$D$4:$D$10">
      <formula>NOT(ISERROR(SEARCH("NO+$D$4:$D$10",C150)))</formula>
    </cfRule>
  </conditionalFormatting>
  <conditionalFormatting sqref="C150:D150">
    <cfRule type="containsText" dxfId="926" priority="1001" operator="containsText" text="SI">
      <formula>NOT(ISERROR(SEARCH("SI",C150)))</formula>
    </cfRule>
    <cfRule type="containsText" dxfId="925" priority="1002" operator="containsText" text="NO">
      <formula>NOT(ISERROR(SEARCH("NO",C150)))</formula>
    </cfRule>
  </conditionalFormatting>
  <conditionalFormatting sqref="E150">
    <cfRule type="containsText" dxfId="924" priority="1000" operator="containsText" text="Sin información">
      <formula>NOT(ISERROR(SEARCH("Sin información",E150)))</formula>
    </cfRule>
  </conditionalFormatting>
  <conditionalFormatting sqref="C150:E150">
    <cfRule type="containsText" dxfId="923" priority="999" operator="containsText" text="NUEVO">
      <formula>NOT(ISERROR(SEARCH("NUEVO",C150)))</formula>
    </cfRule>
  </conditionalFormatting>
  <conditionalFormatting sqref="E150:F150">
    <cfRule type="expression" dxfId="922" priority="998">
      <formula>E150&lt;&gt;""</formula>
    </cfRule>
  </conditionalFormatting>
  <conditionalFormatting sqref="C151:D151">
    <cfRule type="containsText" dxfId="921" priority="997" operator="containsText" text="NO+$D$4:$D$10">
      <formula>NOT(ISERROR(SEARCH("NO+$D$4:$D$10",C151)))</formula>
    </cfRule>
  </conditionalFormatting>
  <conditionalFormatting sqref="C151:D151">
    <cfRule type="containsText" dxfId="920" priority="995" operator="containsText" text="SI">
      <formula>NOT(ISERROR(SEARCH("SI",C151)))</formula>
    </cfRule>
    <cfRule type="containsText" dxfId="919" priority="996" operator="containsText" text="NO">
      <formula>NOT(ISERROR(SEARCH("NO",C151)))</formula>
    </cfRule>
  </conditionalFormatting>
  <conditionalFormatting sqref="C151:D151">
    <cfRule type="containsText" dxfId="918" priority="994" operator="containsText" text="NUEVO">
      <formula>NOT(ISERROR(SEARCH("NUEVO",C151)))</formula>
    </cfRule>
  </conditionalFormatting>
  <conditionalFormatting sqref="E151">
    <cfRule type="containsText" dxfId="917" priority="991" operator="containsText" text="Sin Información">
      <formula>NOT(ISERROR(SEARCH("Sin Información",E151)))</formula>
    </cfRule>
  </conditionalFormatting>
  <conditionalFormatting sqref="E151">
    <cfRule type="containsText" dxfId="916" priority="992" operator="containsText" text="NUEVO">
      <formula>NOT(ISERROR(SEARCH("NUEVO",E151)))</formula>
    </cfRule>
  </conditionalFormatting>
  <conditionalFormatting sqref="E151">
    <cfRule type="containsText" dxfId="915" priority="993" operator="containsText" text="Sin información">
      <formula>NOT(ISERROR(SEARCH("Sin información",E151)))</formula>
    </cfRule>
  </conditionalFormatting>
  <conditionalFormatting sqref="E151:F151">
    <cfRule type="expression" dxfId="914" priority="990">
      <formula>E151&lt;&gt;""</formula>
    </cfRule>
  </conditionalFormatting>
  <conditionalFormatting sqref="C152:D152">
    <cfRule type="containsText" dxfId="913" priority="989" operator="containsText" text="NO+$D$4:$D$10">
      <formula>NOT(ISERROR(SEARCH("NO+$D$4:$D$10",C152)))</formula>
    </cfRule>
  </conditionalFormatting>
  <conditionalFormatting sqref="C152:D152">
    <cfRule type="containsText" dxfId="912" priority="987" operator="containsText" text="SI">
      <formula>NOT(ISERROR(SEARCH("SI",C152)))</formula>
    </cfRule>
    <cfRule type="containsText" dxfId="911" priority="988" operator="containsText" text="NO">
      <formula>NOT(ISERROR(SEARCH("NO",C152)))</formula>
    </cfRule>
  </conditionalFormatting>
  <conditionalFormatting sqref="C152:D152">
    <cfRule type="containsText" dxfId="910" priority="986" operator="containsText" text="NUEVO">
      <formula>NOT(ISERROR(SEARCH("NUEVO",C152)))</formula>
    </cfRule>
  </conditionalFormatting>
  <conditionalFormatting sqref="F152">
    <cfRule type="expression" dxfId="909" priority="985">
      <formula>F152&lt;&gt;""</formula>
    </cfRule>
  </conditionalFormatting>
  <conditionalFormatting sqref="E152">
    <cfRule type="expression" dxfId="908" priority="984">
      <formula>E152&lt;&gt;""</formula>
    </cfRule>
  </conditionalFormatting>
  <conditionalFormatting sqref="E152">
    <cfRule type="containsText" dxfId="907" priority="983" operator="containsText" text="Sin información">
      <formula>NOT(ISERROR(SEARCH("Sin información",E152)))</formula>
    </cfRule>
  </conditionalFormatting>
  <conditionalFormatting sqref="E152">
    <cfRule type="containsText" dxfId="906" priority="982" operator="containsText" text="NUEVO">
      <formula>NOT(ISERROR(SEARCH("NUEVO",E152)))</formula>
    </cfRule>
  </conditionalFormatting>
  <conditionalFormatting sqref="C206:D206">
    <cfRule type="containsText" dxfId="905" priority="981" operator="containsText" text="NO+$D$4:$D$10">
      <formula>NOT(ISERROR(SEARCH("NO+$D$4:$D$10",C206)))</formula>
    </cfRule>
  </conditionalFormatting>
  <conditionalFormatting sqref="C206:D206">
    <cfRule type="containsText" dxfId="904" priority="979" operator="containsText" text="SI">
      <formula>NOT(ISERROR(SEARCH("SI",C206)))</formula>
    </cfRule>
    <cfRule type="containsText" dxfId="903" priority="980" operator="containsText" text="NO">
      <formula>NOT(ISERROR(SEARCH("NO",C206)))</formula>
    </cfRule>
  </conditionalFormatting>
  <conditionalFormatting sqref="C206:D206">
    <cfRule type="containsText" dxfId="902" priority="978" operator="containsText" text="NUEVO">
      <formula>NOT(ISERROR(SEARCH("NUEVO",C206)))</formula>
    </cfRule>
  </conditionalFormatting>
  <conditionalFormatting sqref="E206">
    <cfRule type="containsText" dxfId="901" priority="977" operator="containsText" text="NUEVO">
      <formula>NOT(ISERROR(SEARCH("NUEVO",E206)))</formula>
    </cfRule>
  </conditionalFormatting>
  <conditionalFormatting sqref="E206">
    <cfRule type="containsText" dxfId="900" priority="976" operator="containsText" text="Sin Información">
      <formula>NOT(ISERROR(SEARCH("Sin Información",E206)))</formula>
    </cfRule>
  </conditionalFormatting>
  <conditionalFormatting sqref="E206">
    <cfRule type="expression" dxfId="899" priority="975">
      <formula>E206&lt;&gt;""</formula>
    </cfRule>
  </conditionalFormatting>
  <conditionalFormatting sqref="F206">
    <cfRule type="expression" dxfId="898" priority="974">
      <formula>F206&lt;&gt;""</formula>
    </cfRule>
  </conditionalFormatting>
  <conditionalFormatting sqref="C207:D207">
    <cfRule type="containsText" dxfId="897" priority="973" operator="containsText" text="NO+$D$4:$D$10">
      <formula>NOT(ISERROR(SEARCH("NO+$D$4:$D$10",C207)))</formula>
    </cfRule>
  </conditionalFormatting>
  <conditionalFormatting sqref="C207:D207">
    <cfRule type="containsText" dxfId="896" priority="971" operator="containsText" text="SI">
      <formula>NOT(ISERROR(SEARCH("SI",C207)))</formula>
    </cfRule>
    <cfRule type="containsText" dxfId="895" priority="972" operator="containsText" text="NO">
      <formula>NOT(ISERROR(SEARCH("NO",C207)))</formula>
    </cfRule>
  </conditionalFormatting>
  <conditionalFormatting sqref="C207:D207">
    <cfRule type="containsText" dxfId="894" priority="970" operator="containsText" text="NUEVO">
      <formula>NOT(ISERROR(SEARCH("NUEVO",C207)))</formula>
    </cfRule>
  </conditionalFormatting>
  <conditionalFormatting sqref="E207">
    <cfRule type="containsText" dxfId="893" priority="969" operator="containsText" text="NUEVO">
      <formula>NOT(ISERROR(SEARCH("NUEVO",E207)))</formula>
    </cfRule>
  </conditionalFormatting>
  <conditionalFormatting sqref="E207">
    <cfRule type="containsText" dxfId="892" priority="968" operator="containsText" text="Sin Información">
      <formula>NOT(ISERROR(SEARCH("Sin Información",E207)))</formula>
    </cfRule>
  </conditionalFormatting>
  <conditionalFormatting sqref="E207:F207">
    <cfRule type="expression" dxfId="891" priority="967">
      <formula>E207&lt;&gt;""</formula>
    </cfRule>
  </conditionalFormatting>
  <conditionalFormatting sqref="C208:D208">
    <cfRule type="containsText" dxfId="890" priority="966" operator="containsText" text="NO+$D$4:$D$10">
      <formula>NOT(ISERROR(SEARCH("NO+$D$4:$D$10",C208)))</formula>
    </cfRule>
  </conditionalFormatting>
  <conditionalFormatting sqref="C208:D208">
    <cfRule type="containsText" dxfId="889" priority="964" operator="containsText" text="SI">
      <formula>NOT(ISERROR(SEARCH("SI",C208)))</formula>
    </cfRule>
    <cfRule type="containsText" dxfId="888" priority="965" operator="containsText" text="NO">
      <formula>NOT(ISERROR(SEARCH("NO",C208)))</formula>
    </cfRule>
  </conditionalFormatting>
  <conditionalFormatting sqref="C208:E208">
    <cfRule type="containsText" dxfId="887" priority="963" operator="containsText" text="NUEVO">
      <formula>NOT(ISERROR(SEARCH("NUEVO",C208)))</formula>
    </cfRule>
  </conditionalFormatting>
  <conditionalFormatting sqref="E208">
    <cfRule type="containsText" dxfId="886" priority="962" operator="containsText" text="Sin Información">
      <formula>NOT(ISERROR(SEARCH("Sin Información",E208)))</formula>
    </cfRule>
  </conditionalFormatting>
  <conditionalFormatting sqref="F208">
    <cfRule type="expression" dxfId="885" priority="961">
      <formula>F208&lt;&gt;""</formula>
    </cfRule>
  </conditionalFormatting>
  <conditionalFormatting sqref="E208">
    <cfRule type="expression" dxfId="884" priority="960">
      <formula>E208&lt;&gt;""</formula>
    </cfRule>
  </conditionalFormatting>
  <conditionalFormatting sqref="E208">
    <cfRule type="expression" dxfId="883" priority="959">
      <formula>E208&lt;&gt;""</formula>
    </cfRule>
  </conditionalFormatting>
  <conditionalFormatting sqref="C209:D209">
    <cfRule type="containsText" dxfId="882" priority="958" operator="containsText" text="NO+$D$4:$D$10">
      <formula>NOT(ISERROR(SEARCH("NO+$D$4:$D$10",C209)))</formula>
    </cfRule>
  </conditionalFormatting>
  <conditionalFormatting sqref="C209:D209">
    <cfRule type="containsText" dxfId="881" priority="956" operator="containsText" text="SI">
      <formula>NOT(ISERROR(SEARCH("SI",C209)))</formula>
    </cfRule>
    <cfRule type="containsText" dxfId="880" priority="957" operator="containsText" text="NO">
      <formula>NOT(ISERROR(SEARCH("NO",C209)))</formula>
    </cfRule>
  </conditionalFormatting>
  <conditionalFormatting sqref="C209:D209">
    <cfRule type="containsText" dxfId="879" priority="955" operator="containsText" text="NUEVO">
      <formula>NOT(ISERROR(SEARCH("NUEVO",C209)))</formula>
    </cfRule>
  </conditionalFormatting>
  <conditionalFormatting sqref="E209:F209">
    <cfRule type="expression" dxfId="878" priority="954">
      <formula>E209&lt;&gt;""</formula>
    </cfRule>
  </conditionalFormatting>
  <conditionalFormatting sqref="E209">
    <cfRule type="containsText" dxfId="877" priority="953" operator="containsText" text="NUEVO">
      <formula>NOT(ISERROR(SEARCH("NUEVO",E209)))</formula>
    </cfRule>
  </conditionalFormatting>
  <conditionalFormatting sqref="E209">
    <cfRule type="containsText" dxfId="876" priority="952" operator="containsText" text="Sin Información">
      <formula>NOT(ISERROR(SEARCH("Sin Información",E209)))</formula>
    </cfRule>
  </conditionalFormatting>
  <conditionalFormatting sqref="C210:D210">
    <cfRule type="containsText" dxfId="875" priority="939" operator="containsText" text="NO+$D$4:$D$10">
      <formula>NOT(ISERROR(SEARCH("NO+$D$4:$D$10",C210)))</formula>
    </cfRule>
  </conditionalFormatting>
  <conditionalFormatting sqref="C210:D210">
    <cfRule type="containsText" dxfId="874" priority="937" operator="containsText" text="SI">
      <formula>NOT(ISERROR(SEARCH("SI",C210)))</formula>
    </cfRule>
    <cfRule type="containsText" dxfId="873" priority="938" operator="containsText" text="NO">
      <formula>NOT(ISERROR(SEARCH("NO",C210)))</formula>
    </cfRule>
  </conditionalFormatting>
  <conditionalFormatting sqref="C210:E210">
    <cfRule type="containsText" dxfId="872" priority="936" operator="containsText" text="NUEVO">
      <formula>NOT(ISERROR(SEARCH("NUEVO",C210)))</formula>
    </cfRule>
  </conditionalFormatting>
  <conditionalFormatting sqref="E210">
    <cfRule type="containsText" dxfId="871" priority="935" operator="containsText" text="Sin Información">
      <formula>NOT(ISERROR(SEARCH("Sin Información",E210)))</formula>
    </cfRule>
  </conditionalFormatting>
  <conditionalFormatting sqref="E210:F210">
    <cfRule type="expression" dxfId="870" priority="934">
      <formula>E210&lt;&gt;""</formula>
    </cfRule>
  </conditionalFormatting>
  <conditionalFormatting sqref="C211:D211">
    <cfRule type="containsText" dxfId="869" priority="933" operator="containsText" text="NO+$D$4:$D$10">
      <formula>NOT(ISERROR(SEARCH("NO+$D$4:$D$10",C211)))</formula>
    </cfRule>
  </conditionalFormatting>
  <conditionalFormatting sqref="C211:D211">
    <cfRule type="containsText" dxfId="868" priority="931" operator="containsText" text="SI">
      <formula>NOT(ISERROR(SEARCH("SI",C211)))</formula>
    </cfRule>
    <cfRule type="containsText" dxfId="867" priority="932" operator="containsText" text="NO">
      <formula>NOT(ISERROR(SEARCH("NO",C211)))</formula>
    </cfRule>
  </conditionalFormatting>
  <conditionalFormatting sqref="E211">
    <cfRule type="containsText" dxfId="866" priority="930" operator="containsText" text="Sin información">
      <formula>NOT(ISERROR(SEARCH("Sin información",E211)))</formula>
    </cfRule>
  </conditionalFormatting>
  <conditionalFormatting sqref="C211:E211">
    <cfRule type="containsText" dxfId="865" priority="929" operator="containsText" text="NUEVO">
      <formula>NOT(ISERROR(SEARCH("NUEVO",C211)))</formula>
    </cfRule>
  </conditionalFormatting>
  <conditionalFormatting sqref="E211">
    <cfRule type="containsText" dxfId="864" priority="928" operator="containsText" text="Sin Información">
      <formula>NOT(ISERROR(SEARCH("Sin Información",E211)))</formula>
    </cfRule>
  </conditionalFormatting>
  <conditionalFormatting sqref="E211:F211">
    <cfRule type="expression" dxfId="863" priority="927">
      <formula>E211&lt;&gt;""</formula>
    </cfRule>
  </conditionalFormatting>
  <conditionalFormatting sqref="C212:D212">
    <cfRule type="containsText" dxfId="862" priority="926" operator="containsText" text="NO+$D$4:$D$10">
      <formula>NOT(ISERROR(SEARCH("NO+$D$4:$D$10",C212)))</formula>
    </cfRule>
  </conditionalFormatting>
  <conditionalFormatting sqref="C212:D212">
    <cfRule type="containsText" dxfId="861" priority="924" operator="containsText" text="SI">
      <formula>NOT(ISERROR(SEARCH("SI",C212)))</formula>
    </cfRule>
    <cfRule type="containsText" dxfId="860" priority="925" operator="containsText" text="NO">
      <formula>NOT(ISERROR(SEARCH("NO",C212)))</formula>
    </cfRule>
  </conditionalFormatting>
  <conditionalFormatting sqref="C212:E212">
    <cfRule type="containsText" dxfId="859" priority="923" operator="containsText" text="NUEVO">
      <formula>NOT(ISERROR(SEARCH("NUEVO",C212)))</formula>
    </cfRule>
  </conditionalFormatting>
  <conditionalFormatting sqref="E212">
    <cfRule type="containsText" dxfId="858" priority="922" operator="containsText" text="Sin Información">
      <formula>NOT(ISERROR(SEARCH("Sin Información",E212)))</formula>
    </cfRule>
  </conditionalFormatting>
  <conditionalFormatting sqref="E212:F212">
    <cfRule type="expression" dxfId="857" priority="921">
      <formula>E212&lt;&gt;""</formula>
    </cfRule>
  </conditionalFormatting>
  <conditionalFormatting sqref="C213:D213">
    <cfRule type="containsText" dxfId="856" priority="920" operator="containsText" text="NO+$D$4:$D$10">
      <formula>NOT(ISERROR(SEARCH("NO+$D$4:$D$10",C213)))</formula>
    </cfRule>
  </conditionalFormatting>
  <conditionalFormatting sqref="C213:D213">
    <cfRule type="containsText" dxfId="855" priority="918" operator="containsText" text="SI">
      <formula>NOT(ISERROR(SEARCH("SI",C213)))</formula>
    </cfRule>
    <cfRule type="containsText" dxfId="854" priority="919" operator="containsText" text="NO">
      <formula>NOT(ISERROR(SEARCH("NO",C213)))</formula>
    </cfRule>
  </conditionalFormatting>
  <conditionalFormatting sqref="C213:E213">
    <cfRule type="containsText" dxfId="853" priority="917" operator="containsText" text="NUEVO">
      <formula>NOT(ISERROR(SEARCH("NUEVO",C213)))</formula>
    </cfRule>
  </conditionalFormatting>
  <conditionalFormatting sqref="E213">
    <cfRule type="containsText" dxfId="852" priority="916" operator="containsText" text="Sin Información">
      <formula>NOT(ISERROR(SEARCH("Sin Información",E213)))</formula>
    </cfRule>
  </conditionalFormatting>
  <conditionalFormatting sqref="E213:F213">
    <cfRule type="expression" dxfId="851" priority="915">
      <formula>E213&lt;&gt;""</formula>
    </cfRule>
  </conditionalFormatting>
  <conditionalFormatting sqref="C214:D214">
    <cfRule type="containsText" dxfId="850" priority="914" operator="containsText" text="NO+$D$4:$D$10">
      <formula>NOT(ISERROR(SEARCH("NO+$D$4:$D$10",C214)))</formula>
    </cfRule>
  </conditionalFormatting>
  <conditionalFormatting sqref="C214:D214">
    <cfRule type="containsText" dxfId="849" priority="912" operator="containsText" text="SI">
      <formula>NOT(ISERROR(SEARCH("SI",C214)))</formula>
    </cfRule>
    <cfRule type="containsText" dxfId="848" priority="913" operator="containsText" text="NO">
      <formula>NOT(ISERROR(SEARCH("NO",C214)))</formula>
    </cfRule>
  </conditionalFormatting>
  <conditionalFormatting sqref="C214:D214">
    <cfRule type="containsText" dxfId="847" priority="911" operator="containsText" text="NUEVO">
      <formula>NOT(ISERROR(SEARCH("NUEVO",C214)))</formula>
    </cfRule>
  </conditionalFormatting>
  <conditionalFormatting sqref="E214">
    <cfRule type="containsText" dxfId="846" priority="909" operator="containsText" text="NUEVO">
      <formula>NOT(ISERROR(SEARCH("NUEVO",E214)))</formula>
    </cfRule>
  </conditionalFormatting>
  <conditionalFormatting sqref="F214">
    <cfRule type="expression" dxfId="845" priority="910">
      <formula>F214&lt;&gt;""</formula>
    </cfRule>
  </conditionalFormatting>
  <conditionalFormatting sqref="E214">
    <cfRule type="containsText" dxfId="844" priority="908" operator="containsText" text="Sin Información">
      <formula>NOT(ISERROR(SEARCH("Sin Información",E214)))</formula>
    </cfRule>
  </conditionalFormatting>
  <conditionalFormatting sqref="E214">
    <cfRule type="expression" dxfId="843" priority="907">
      <formula>E214&lt;&gt;""</formula>
    </cfRule>
  </conditionalFormatting>
  <conditionalFormatting sqref="C215:D215">
    <cfRule type="containsText" dxfId="842" priority="906" operator="containsText" text="NO+$D$4:$D$10">
      <formula>NOT(ISERROR(SEARCH("NO+$D$4:$D$10",C215)))</formula>
    </cfRule>
  </conditionalFormatting>
  <conditionalFormatting sqref="C215:D215">
    <cfRule type="containsText" dxfId="841" priority="904" operator="containsText" text="SI">
      <formula>NOT(ISERROR(SEARCH("SI",C215)))</formula>
    </cfRule>
    <cfRule type="containsText" dxfId="840" priority="905" operator="containsText" text="NO">
      <formula>NOT(ISERROR(SEARCH("NO",C215)))</formula>
    </cfRule>
  </conditionalFormatting>
  <conditionalFormatting sqref="C215:D215">
    <cfRule type="containsText" dxfId="839" priority="903" operator="containsText" text="NUEVO">
      <formula>NOT(ISERROR(SEARCH("NUEVO",C215)))</formula>
    </cfRule>
  </conditionalFormatting>
  <conditionalFormatting sqref="F215">
    <cfRule type="expression" dxfId="838" priority="902">
      <formula>F215&lt;&gt;""</formula>
    </cfRule>
  </conditionalFormatting>
  <conditionalFormatting sqref="E215">
    <cfRule type="containsText" dxfId="837" priority="901" operator="containsText" text="NUEVO">
      <formula>NOT(ISERROR(SEARCH("NUEVO",E215)))</formula>
    </cfRule>
  </conditionalFormatting>
  <conditionalFormatting sqref="E215">
    <cfRule type="containsText" dxfId="836" priority="900" operator="containsText" text="Sin Información">
      <formula>NOT(ISERROR(SEARCH("Sin Información",E215)))</formula>
    </cfRule>
  </conditionalFormatting>
  <conditionalFormatting sqref="E215">
    <cfRule type="expression" dxfId="835" priority="899">
      <formula>E215&lt;&gt;""</formula>
    </cfRule>
  </conditionalFormatting>
  <conditionalFormatting sqref="C216:D216">
    <cfRule type="containsText" dxfId="834" priority="898" operator="containsText" text="NO+$D$4:$D$10">
      <formula>NOT(ISERROR(SEARCH("NO+$D$4:$D$10",C216)))</formula>
    </cfRule>
  </conditionalFormatting>
  <conditionalFormatting sqref="C216:D216">
    <cfRule type="containsText" dxfId="833" priority="896" operator="containsText" text="SI">
      <formula>NOT(ISERROR(SEARCH("SI",C216)))</formula>
    </cfRule>
    <cfRule type="containsText" dxfId="832" priority="897" operator="containsText" text="NO">
      <formula>NOT(ISERROR(SEARCH("NO",C216)))</formula>
    </cfRule>
  </conditionalFormatting>
  <conditionalFormatting sqref="C216:D216">
    <cfRule type="containsText" dxfId="831" priority="895" operator="containsText" text="NUEVO">
      <formula>NOT(ISERROR(SEARCH("NUEVO",C216)))</formula>
    </cfRule>
  </conditionalFormatting>
  <conditionalFormatting sqref="F216">
    <cfRule type="expression" dxfId="830" priority="894">
      <formula>F216&lt;&gt;""</formula>
    </cfRule>
  </conditionalFormatting>
  <conditionalFormatting sqref="E216">
    <cfRule type="containsText" dxfId="829" priority="893" operator="containsText" text="NUEVO">
      <formula>NOT(ISERROR(SEARCH("NUEVO",E216)))</formula>
    </cfRule>
  </conditionalFormatting>
  <conditionalFormatting sqref="E216">
    <cfRule type="containsText" dxfId="828" priority="892" operator="containsText" text="Sin Información">
      <formula>NOT(ISERROR(SEARCH("Sin Información",E216)))</formula>
    </cfRule>
  </conditionalFormatting>
  <conditionalFormatting sqref="E216">
    <cfRule type="expression" dxfId="827" priority="891">
      <formula>E216&lt;&gt;""</formula>
    </cfRule>
  </conditionalFormatting>
  <conditionalFormatting sqref="C217:D217">
    <cfRule type="containsText" dxfId="826" priority="890" operator="containsText" text="NO+$D$4:$D$10">
      <formula>NOT(ISERROR(SEARCH("NO+$D$4:$D$10",C217)))</formula>
    </cfRule>
  </conditionalFormatting>
  <conditionalFormatting sqref="C217:D217">
    <cfRule type="containsText" dxfId="825" priority="888" operator="containsText" text="SI">
      <formula>NOT(ISERROR(SEARCH("SI",C217)))</formula>
    </cfRule>
    <cfRule type="containsText" dxfId="824" priority="889" operator="containsText" text="NO">
      <formula>NOT(ISERROR(SEARCH("NO",C217)))</formula>
    </cfRule>
  </conditionalFormatting>
  <conditionalFormatting sqref="C217:D217">
    <cfRule type="containsText" dxfId="823" priority="887" operator="containsText" text="NUEVO">
      <formula>NOT(ISERROR(SEARCH("NUEVO",C217)))</formula>
    </cfRule>
  </conditionalFormatting>
  <conditionalFormatting sqref="F217">
    <cfRule type="expression" dxfId="822" priority="886">
      <formula>F217&lt;&gt;""</formula>
    </cfRule>
  </conditionalFormatting>
  <conditionalFormatting sqref="E217">
    <cfRule type="containsText" dxfId="821" priority="885" operator="containsText" text="NUEVO">
      <formula>NOT(ISERROR(SEARCH("NUEVO",E217)))</formula>
    </cfRule>
  </conditionalFormatting>
  <conditionalFormatting sqref="E217">
    <cfRule type="containsText" dxfId="820" priority="884" operator="containsText" text="Sin Información">
      <formula>NOT(ISERROR(SEARCH("Sin Información",E217)))</formula>
    </cfRule>
  </conditionalFormatting>
  <conditionalFormatting sqref="E217">
    <cfRule type="expression" dxfId="819" priority="883">
      <formula>E217&lt;&gt;""</formula>
    </cfRule>
  </conditionalFormatting>
  <conditionalFormatting sqref="C218:D218">
    <cfRule type="containsText" dxfId="818" priority="882" operator="containsText" text="NO+$D$4:$D$10">
      <formula>NOT(ISERROR(SEARCH("NO+$D$4:$D$10",C218)))</formula>
    </cfRule>
  </conditionalFormatting>
  <conditionalFormatting sqref="C218:D218">
    <cfRule type="containsText" dxfId="817" priority="880" operator="containsText" text="SI">
      <formula>NOT(ISERROR(SEARCH("SI",C218)))</formula>
    </cfRule>
    <cfRule type="containsText" dxfId="816" priority="881" operator="containsText" text="NO">
      <formula>NOT(ISERROR(SEARCH("NO",C218)))</formula>
    </cfRule>
  </conditionalFormatting>
  <conditionalFormatting sqref="C218:D218">
    <cfRule type="containsText" dxfId="815" priority="879" operator="containsText" text="NUEVO">
      <formula>NOT(ISERROR(SEARCH("NUEVO",C218)))</formula>
    </cfRule>
  </conditionalFormatting>
  <conditionalFormatting sqref="F218">
    <cfRule type="expression" dxfId="814" priority="878">
      <formula>F218&lt;&gt;""</formula>
    </cfRule>
  </conditionalFormatting>
  <conditionalFormatting sqref="E218">
    <cfRule type="containsText" dxfId="813" priority="877" operator="containsText" text="NUEVO">
      <formula>NOT(ISERROR(SEARCH("NUEVO",E218)))</formula>
    </cfRule>
  </conditionalFormatting>
  <conditionalFormatting sqref="E218">
    <cfRule type="containsText" dxfId="812" priority="876" operator="containsText" text="Sin Información">
      <formula>NOT(ISERROR(SEARCH("Sin Información",E218)))</formula>
    </cfRule>
  </conditionalFormatting>
  <conditionalFormatting sqref="E218">
    <cfRule type="expression" dxfId="811" priority="875">
      <formula>E218&lt;&gt;""</formula>
    </cfRule>
  </conditionalFormatting>
  <conditionalFormatting sqref="C219:D219">
    <cfRule type="containsText" dxfId="810" priority="874" operator="containsText" text="NO+$D$4:$D$10">
      <formula>NOT(ISERROR(SEARCH("NO+$D$4:$D$10",C219)))</formula>
    </cfRule>
  </conditionalFormatting>
  <conditionalFormatting sqref="C219:D219">
    <cfRule type="containsText" dxfId="809" priority="872" operator="containsText" text="SI">
      <formula>NOT(ISERROR(SEARCH("SI",C219)))</formula>
    </cfRule>
    <cfRule type="containsText" dxfId="808" priority="873" operator="containsText" text="NO">
      <formula>NOT(ISERROR(SEARCH("NO",C219)))</formula>
    </cfRule>
  </conditionalFormatting>
  <conditionalFormatting sqref="C219:D219">
    <cfRule type="containsText" dxfId="807" priority="871" operator="containsText" text="NUEVO">
      <formula>NOT(ISERROR(SEARCH("NUEVO",C219)))</formula>
    </cfRule>
  </conditionalFormatting>
  <conditionalFormatting sqref="F219">
    <cfRule type="expression" dxfId="806" priority="870">
      <formula>F219&lt;&gt;""</formula>
    </cfRule>
  </conditionalFormatting>
  <conditionalFormatting sqref="E219">
    <cfRule type="containsText" dxfId="805" priority="869" operator="containsText" text="NUEVO">
      <formula>NOT(ISERROR(SEARCH("NUEVO",E219)))</formula>
    </cfRule>
  </conditionalFormatting>
  <conditionalFormatting sqref="E219">
    <cfRule type="containsText" dxfId="804" priority="868" operator="containsText" text="Sin Información">
      <formula>NOT(ISERROR(SEARCH("Sin Información",E219)))</formula>
    </cfRule>
  </conditionalFormatting>
  <conditionalFormatting sqref="E219">
    <cfRule type="expression" dxfId="803" priority="867">
      <formula>E219&lt;&gt;""</formula>
    </cfRule>
  </conditionalFormatting>
  <conditionalFormatting sqref="C220:D220">
    <cfRule type="containsText" dxfId="802" priority="866" operator="containsText" text="NO+$D$4:$D$10">
      <formula>NOT(ISERROR(SEARCH("NO+$D$4:$D$10",C220)))</formula>
    </cfRule>
  </conditionalFormatting>
  <conditionalFormatting sqref="C220:D220">
    <cfRule type="containsText" dxfId="801" priority="864" operator="containsText" text="SI">
      <formula>NOT(ISERROR(SEARCH("SI",C220)))</formula>
    </cfRule>
    <cfRule type="containsText" dxfId="800" priority="865" operator="containsText" text="NO">
      <formula>NOT(ISERROR(SEARCH("NO",C220)))</formula>
    </cfRule>
  </conditionalFormatting>
  <conditionalFormatting sqref="C220:D220">
    <cfRule type="containsText" dxfId="799" priority="863" operator="containsText" text="NUEVO">
      <formula>NOT(ISERROR(SEARCH("NUEVO",C220)))</formula>
    </cfRule>
  </conditionalFormatting>
  <conditionalFormatting sqref="F220">
    <cfRule type="expression" dxfId="798" priority="862">
      <formula>F220&lt;&gt;""</formula>
    </cfRule>
  </conditionalFormatting>
  <conditionalFormatting sqref="E220">
    <cfRule type="containsText" dxfId="797" priority="861" operator="containsText" text="NUEVO">
      <formula>NOT(ISERROR(SEARCH("NUEVO",E220)))</formula>
    </cfRule>
  </conditionalFormatting>
  <conditionalFormatting sqref="E220">
    <cfRule type="containsText" dxfId="796" priority="860" operator="containsText" text="Sin Información">
      <formula>NOT(ISERROR(SEARCH("Sin Información",E220)))</formula>
    </cfRule>
  </conditionalFormatting>
  <conditionalFormatting sqref="E220">
    <cfRule type="expression" dxfId="795" priority="859">
      <formula>E220&lt;&gt;""</formula>
    </cfRule>
  </conditionalFormatting>
  <conditionalFormatting sqref="C221:D221">
    <cfRule type="containsText" dxfId="794" priority="858" operator="containsText" text="NO+$D$4:$D$10">
      <formula>NOT(ISERROR(SEARCH("NO+$D$4:$D$10",C221)))</formula>
    </cfRule>
  </conditionalFormatting>
  <conditionalFormatting sqref="C221:D221">
    <cfRule type="containsText" dxfId="793" priority="856" operator="containsText" text="SI">
      <formula>NOT(ISERROR(SEARCH("SI",C221)))</formula>
    </cfRule>
    <cfRule type="containsText" dxfId="792" priority="857" operator="containsText" text="NO">
      <formula>NOT(ISERROR(SEARCH("NO",C221)))</formula>
    </cfRule>
  </conditionalFormatting>
  <conditionalFormatting sqref="C221:D221">
    <cfRule type="containsText" dxfId="791" priority="855" operator="containsText" text="NUEVO">
      <formula>NOT(ISERROR(SEARCH("NUEVO",C221)))</formula>
    </cfRule>
  </conditionalFormatting>
  <conditionalFormatting sqref="F221">
    <cfRule type="expression" dxfId="790" priority="854">
      <formula>F221&lt;&gt;""</formula>
    </cfRule>
  </conditionalFormatting>
  <conditionalFormatting sqref="E221">
    <cfRule type="containsText" dxfId="789" priority="853" operator="containsText" text="NUEVO">
      <formula>NOT(ISERROR(SEARCH("NUEVO",E221)))</formula>
    </cfRule>
  </conditionalFormatting>
  <conditionalFormatting sqref="E221">
    <cfRule type="containsText" dxfId="788" priority="852" operator="containsText" text="Sin Información">
      <formula>NOT(ISERROR(SEARCH("Sin Información",E221)))</formula>
    </cfRule>
  </conditionalFormatting>
  <conditionalFormatting sqref="E221">
    <cfRule type="expression" dxfId="787" priority="851">
      <formula>E221&lt;&gt;""</formula>
    </cfRule>
  </conditionalFormatting>
  <conditionalFormatting sqref="C222:D222">
    <cfRule type="containsText" dxfId="786" priority="850" operator="containsText" text="NO+$D$4:$D$10">
      <formula>NOT(ISERROR(SEARCH("NO+$D$4:$D$10",C222)))</formula>
    </cfRule>
  </conditionalFormatting>
  <conditionalFormatting sqref="C222:D222">
    <cfRule type="containsText" dxfId="785" priority="848" operator="containsText" text="SI">
      <formula>NOT(ISERROR(SEARCH("SI",C222)))</formula>
    </cfRule>
    <cfRule type="containsText" dxfId="784" priority="849" operator="containsText" text="NO">
      <formula>NOT(ISERROR(SEARCH("NO",C222)))</formula>
    </cfRule>
  </conditionalFormatting>
  <conditionalFormatting sqref="C222:D222">
    <cfRule type="containsText" dxfId="783" priority="847" operator="containsText" text="NUEVO">
      <formula>NOT(ISERROR(SEARCH("NUEVO",C222)))</formula>
    </cfRule>
  </conditionalFormatting>
  <conditionalFormatting sqref="E222:F222">
    <cfRule type="expression" dxfId="782" priority="846">
      <formula>E222&lt;&gt;""</formula>
    </cfRule>
  </conditionalFormatting>
  <conditionalFormatting sqref="E222">
    <cfRule type="containsText" dxfId="781" priority="845" operator="containsText" text="NUEVO">
      <formula>NOT(ISERROR(SEARCH("NUEVO",E222)))</formula>
    </cfRule>
  </conditionalFormatting>
  <conditionalFormatting sqref="E222">
    <cfRule type="containsText" dxfId="780" priority="844" operator="containsText" text="Sin Información">
      <formula>NOT(ISERROR(SEARCH("Sin Información",E222)))</formula>
    </cfRule>
  </conditionalFormatting>
  <conditionalFormatting sqref="C223:D223">
    <cfRule type="containsText" dxfId="779" priority="843" operator="containsText" text="NO+$D$4:$D$10">
      <formula>NOT(ISERROR(SEARCH("NO+$D$4:$D$10",C223)))</formula>
    </cfRule>
  </conditionalFormatting>
  <conditionalFormatting sqref="C223:D223">
    <cfRule type="containsText" dxfId="778" priority="841" operator="containsText" text="SI">
      <formula>NOT(ISERROR(SEARCH("SI",C223)))</formula>
    </cfRule>
    <cfRule type="containsText" dxfId="777" priority="842" operator="containsText" text="NO">
      <formula>NOT(ISERROR(SEARCH("NO",C223)))</formula>
    </cfRule>
  </conditionalFormatting>
  <conditionalFormatting sqref="C223:E223">
    <cfRule type="containsText" dxfId="776" priority="840" operator="containsText" text="NUEVO">
      <formula>NOT(ISERROR(SEARCH("NUEVO",C223)))</formula>
    </cfRule>
  </conditionalFormatting>
  <conditionalFormatting sqref="E223">
    <cfRule type="containsText" dxfId="775" priority="839" operator="containsText" text="Sin Información">
      <formula>NOT(ISERROR(SEARCH("Sin Información",E223)))</formula>
    </cfRule>
  </conditionalFormatting>
  <conditionalFormatting sqref="E223:F223">
    <cfRule type="expression" dxfId="774" priority="838">
      <formula>E223&lt;&gt;""</formula>
    </cfRule>
  </conditionalFormatting>
  <conditionalFormatting sqref="C224:D224">
    <cfRule type="containsText" dxfId="773" priority="837" operator="containsText" text="NO+$D$4:$D$10">
      <formula>NOT(ISERROR(SEARCH("NO+$D$4:$D$10",C224)))</formula>
    </cfRule>
  </conditionalFormatting>
  <conditionalFormatting sqref="C224:D224">
    <cfRule type="containsText" dxfId="772" priority="835" operator="containsText" text="SI">
      <formula>NOT(ISERROR(SEARCH("SI",C224)))</formula>
    </cfRule>
    <cfRule type="containsText" dxfId="771" priority="836" operator="containsText" text="NO">
      <formula>NOT(ISERROR(SEARCH("NO",C224)))</formula>
    </cfRule>
  </conditionalFormatting>
  <conditionalFormatting sqref="C224:E224">
    <cfRule type="containsText" dxfId="770" priority="834" operator="containsText" text="NUEVO">
      <formula>NOT(ISERROR(SEARCH("NUEVO",C224)))</formula>
    </cfRule>
  </conditionalFormatting>
  <conditionalFormatting sqref="E224">
    <cfRule type="containsText" dxfId="769" priority="833" operator="containsText" text="Sin Información">
      <formula>NOT(ISERROR(SEARCH("Sin Información",E224)))</formula>
    </cfRule>
  </conditionalFormatting>
  <conditionalFormatting sqref="E224:F224">
    <cfRule type="expression" dxfId="768" priority="832">
      <formula>E224&lt;&gt;""</formula>
    </cfRule>
  </conditionalFormatting>
  <conditionalFormatting sqref="C225:D225">
    <cfRule type="containsText" dxfId="767" priority="831" operator="containsText" text="NO+$D$4:$D$10">
      <formula>NOT(ISERROR(SEARCH("NO+$D$4:$D$10",C225)))</formula>
    </cfRule>
  </conditionalFormatting>
  <conditionalFormatting sqref="C225:D225">
    <cfRule type="containsText" dxfId="766" priority="829" operator="containsText" text="SI">
      <formula>NOT(ISERROR(SEARCH("SI",C225)))</formula>
    </cfRule>
    <cfRule type="containsText" dxfId="765" priority="830" operator="containsText" text="NO">
      <formula>NOT(ISERROR(SEARCH("NO",C225)))</formula>
    </cfRule>
  </conditionalFormatting>
  <conditionalFormatting sqref="C225:D225">
    <cfRule type="containsText" dxfId="764" priority="828" operator="containsText" text="NUEVO">
      <formula>NOT(ISERROR(SEARCH("NUEVO",C225)))</formula>
    </cfRule>
  </conditionalFormatting>
  <conditionalFormatting sqref="F225">
    <cfRule type="expression" dxfId="763" priority="827">
      <formula>F225&lt;&gt;""</formula>
    </cfRule>
  </conditionalFormatting>
  <conditionalFormatting sqref="E225">
    <cfRule type="containsText" dxfId="762" priority="825" operator="containsText" text="Sin Información">
      <formula>NOT(ISERROR(SEARCH("Sin Información",E225)))</formula>
    </cfRule>
  </conditionalFormatting>
  <conditionalFormatting sqref="E225">
    <cfRule type="containsText" dxfId="761" priority="826" operator="containsText" text="NUEVO">
      <formula>NOT(ISERROR(SEARCH("NUEVO",E225)))</formula>
    </cfRule>
  </conditionalFormatting>
  <conditionalFormatting sqref="E225">
    <cfRule type="expression" dxfId="760" priority="824">
      <formula>E225&lt;&gt;""</formula>
    </cfRule>
  </conditionalFormatting>
  <conditionalFormatting sqref="E225">
    <cfRule type="containsText" dxfId="759" priority="823" operator="containsText" text="Sin información">
      <formula>NOT(ISERROR(SEARCH("Sin información",E225)))</formula>
    </cfRule>
  </conditionalFormatting>
  <conditionalFormatting sqref="E225">
    <cfRule type="expression" dxfId="758" priority="822">
      <formula>E225&lt;&gt;""</formula>
    </cfRule>
  </conditionalFormatting>
  <conditionalFormatting sqref="C226:D226">
    <cfRule type="containsText" dxfId="757" priority="821" operator="containsText" text="NO+$D$4:$D$10">
      <formula>NOT(ISERROR(SEARCH("NO+$D$4:$D$10",C226)))</formula>
    </cfRule>
  </conditionalFormatting>
  <conditionalFormatting sqref="C226:D226">
    <cfRule type="containsText" dxfId="756" priority="819" operator="containsText" text="SI">
      <formula>NOT(ISERROR(SEARCH("SI",C226)))</formula>
    </cfRule>
    <cfRule type="containsText" dxfId="755" priority="820" operator="containsText" text="NO">
      <formula>NOT(ISERROR(SEARCH("NO",C226)))</formula>
    </cfRule>
  </conditionalFormatting>
  <conditionalFormatting sqref="C226:D226">
    <cfRule type="containsText" dxfId="754" priority="818" operator="containsText" text="NUEVO">
      <formula>NOT(ISERROR(SEARCH("NUEVO",C226)))</formula>
    </cfRule>
  </conditionalFormatting>
  <conditionalFormatting sqref="F226">
    <cfRule type="expression" dxfId="753" priority="817">
      <formula>F226&lt;&gt;""</formula>
    </cfRule>
  </conditionalFormatting>
  <conditionalFormatting sqref="E226">
    <cfRule type="containsText" dxfId="752" priority="815" operator="containsText" text="Sin Información">
      <formula>NOT(ISERROR(SEARCH("Sin Información",E226)))</formula>
    </cfRule>
  </conditionalFormatting>
  <conditionalFormatting sqref="E226">
    <cfRule type="containsText" dxfId="751" priority="816" operator="containsText" text="NUEVO">
      <formula>NOT(ISERROR(SEARCH("NUEVO",E226)))</formula>
    </cfRule>
  </conditionalFormatting>
  <conditionalFormatting sqref="E226">
    <cfRule type="expression" dxfId="750" priority="814">
      <formula>E226&lt;&gt;""</formula>
    </cfRule>
  </conditionalFormatting>
  <conditionalFormatting sqref="E226">
    <cfRule type="containsText" dxfId="749" priority="813" operator="containsText" text="Sin información">
      <formula>NOT(ISERROR(SEARCH("Sin información",E226)))</formula>
    </cfRule>
  </conditionalFormatting>
  <conditionalFormatting sqref="E226">
    <cfRule type="expression" dxfId="748" priority="812">
      <formula>E226&lt;&gt;""</formula>
    </cfRule>
  </conditionalFormatting>
  <conditionalFormatting sqref="C227:D227">
    <cfRule type="containsText" dxfId="747" priority="811" operator="containsText" text="NO+$D$4:$D$10">
      <formula>NOT(ISERROR(SEARCH("NO+$D$4:$D$10",C227)))</formula>
    </cfRule>
  </conditionalFormatting>
  <conditionalFormatting sqref="C227:D227">
    <cfRule type="containsText" dxfId="746" priority="809" operator="containsText" text="SI">
      <formula>NOT(ISERROR(SEARCH("SI",C227)))</formula>
    </cfRule>
    <cfRule type="containsText" dxfId="745" priority="810" operator="containsText" text="NO">
      <formula>NOT(ISERROR(SEARCH("NO",C227)))</formula>
    </cfRule>
  </conditionalFormatting>
  <conditionalFormatting sqref="C227:E227">
    <cfRule type="containsText" dxfId="744" priority="808" operator="containsText" text="NUEVO">
      <formula>NOT(ISERROR(SEARCH("NUEVO",C227)))</formula>
    </cfRule>
  </conditionalFormatting>
  <conditionalFormatting sqref="E227">
    <cfRule type="containsText" dxfId="743" priority="807" operator="containsText" text="Sin Información">
      <formula>NOT(ISERROR(SEARCH("Sin Información",E227)))</formula>
    </cfRule>
  </conditionalFormatting>
  <conditionalFormatting sqref="E227:F227">
    <cfRule type="expression" dxfId="742" priority="806">
      <formula>E227&lt;&gt;""</formula>
    </cfRule>
  </conditionalFormatting>
  <conditionalFormatting sqref="C228:D228">
    <cfRule type="containsText" dxfId="741" priority="805" operator="containsText" text="NO+$D$4:$D$10">
      <formula>NOT(ISERROR(SEARCH("NO+$D$4:$D$10",C228)))</formula>
    </cfRule>
  </conditionalFormatting>
  <conditionalFormatting sqref="C228:D228">
    <cfRule type="containsText" dxfId="740" priority="803" operator="containsText" text="SI">
      <formula>NOT(ISERROR(SEARCH("SI",C228)))</formula>
    </cfRule>
    <cfRule type="containsText" dxfId="739" priority="804" operator="containsText" text="NO">
      <formula>NOT(ISERROR(SEARCH("NO",C228)))</formula>
    </cfRule>
  </conditionalFormatting>
  <conditionalFormatting sqref="C228:D228">
    <cfRule type="containsText" dxfId="738" priority="802" operator="containsText" text="NUEVO">
      <formula>NOT(ISERROR(SEARCH("NUEVO",C228)))</formula>
    </cfRule>
  </conditionalFormatting>
  <conditionalFormatting sqref="F228">
    <cfRule type="expression" dxfId="737" priority="801">
      <formula>F228&lt;&gt;""</formula>
    </cfRule>
  </conditionalFormatting>
  <conditionalFormatting sqref="E228">
    <cfRule type="containsText" dxfId="736" priority="799" operator="containsText" text="NUEVO">
      <formula>NOT(ISERROR(SEARCH("NUEVO",E228)))</formula>
    </cfRule>
  </conditionalFormatting>
  <conditionalFormatting sqref="E228">
    <cfRule type="containsText" dxfId="735" priority="798" operator="containsText" text="Sin Información">
      <formula>NOT(ISERROR(SEARCH("Sin Información",E228)))</formula>
    </cfRule>
  </conditionalFormatting>
  <conditionalFormatting sqref="E228">
    <cfRule type="containsText" dxfId="734" priority="800" operator="containsText" text="Sin información">
      <formula>NOT(ISERROR(SEARCH("Sin información",E228)))</formula>
    </cfRule>
  </conditionalFormatting>
  <conditionalFormatting sqref="E228">
    <cfRule type="expression" dxfId="733" priority="797">
      <formula>E228&lt;&gt;""</formula>
    </cfRule>
  </conditionalFormatting>
  <conditionalFormatting sqref="E228">
    <cfRule type="containsText" dxfId="732" priority="796" operator="containsText" text="Sin Información">
      <formula>NOT(ISERROR(SEARCH("Sin Información",E228)))</formula>
    </cfRule>
  </conditionalFormatting>
  <conditionalFormatting sqref="E228">
    <cfRule type="containsText" dxfId="731" priority="795" operator="containsText" text="NUEVO">
      <formula>NOT(ISERROR(SEARCH("NUEVO",E228)))</formula>
    </cfRule>
  </conditionalFormatting>
  <conditionalFormatting sqref="E228">
    <cfRule type="containsText" dxfId="730" priority="794" operator="containsText" text="Sin Información">
      <formula>NOT(ISERROR(SEARCH("Sin Información",E228)))</formula>
    </cfRule>
  </conditionalFormatting>
  <conditionalFormatting sqref="E228">
    <cfRule type="containsText" dxfId="729" priority="793" operator="containsText" text="NUEVO">
      <formula>NOT(ISERROR(SEARCH("NUEVO",E228)))</formula>
    </cfRule>
  </conditionalFormatting>
  <conditionalFormatting sqref="C229:D229">
    <cfRule type="containsText" dxfId="728" priority="792" operator="containsText" text="NO+$D$4:$D$10">
      <formula>NOT(ISERROR(SEARCH("NO+$D$4:$D$10",C229)))</formula>
    </cfRule>
  </conditionalFormatting>
  <conditionalFormatting sqref="C229:D229">
    <cfRule type="containsText" dxfId="727" priority="790" operator="containsText" text="SI">
      <formula>NOT(ISERROR(SEARCH("SI",C229)))</formula>
    </cfRule>
    <cfRule type="containsText" dxfId="726" priority="791" operator="containsText" text="NO">
      <formula>NOT(ISERROR(SEARCH("NO",C229)))</formula>
    </cfRule>
  </conditionalFormatting>
  <conditionalFormatting sqref="C229:D229">
    <cfRule type="containsText" dxfId="725" priority="789" operator="containsText" text="NUEVO">
      <formula>NOT(ISERROR(SEARCH("NUEVO",C229)))</formula>
    </cfRule>
  </conditionalFormatting>
  <conditionalFormatting sqref="E229">
    <cfRule type="expression" dxfId="724" priority="784">
      <formula>E229&lt;&gt;""</formula>
    </cfRule>
  </conditionalFormatting>
  <conditionalFormatting sqref="E229">
    <cfRule type="containsText" dxfId="723" priority="788" operator="containsText" text="Sin información">
      <formula>NOT(ISERROR(SEARCH("Sin información",E229)))</formula>
    </cfRule>
  </conditionalFormatting>
  <conditionalFormatting sqref="E229">
    <cfRule type="containsText" dxfId="722" priority="787" operator="containsText" text="NUEVO">
      <formula>NOT(ISERROR(SEARCH("NUEVO",E229)))</formula>
    </cfRule>
  </conditionalFormatting>
  <conditionalFormatting sqref="E229">
    <cfRule type="containsText" dxfId="721" priority="786" operator="containsText" text="Sin Información">
      <formula>NOT(ISERROR(SEARCH("Sin Información",E229)))</formula>
    </cfRule>
  </conditionalFormatting>
  <conditionalFormatting sqref="E229">
    <cfRule type="expression" dxfId="720" priority="785">
      <formula>E229&lt;&gt;""</formula>
    </cfRule>
  </conditionalFormatting>
  <conditionalFormatting sqref="F229">
    <cfRule type="expression" dxfId="719" priority="783">
      <formula>F229&lt;&gt;""</formula>
    </cfRule>
  </conditionalFormatting>
  <conditionalFormatting sqref="C230:D230">
    <cfRule type="containsText" dxfId="718" priority="782" operator="containsText" text="NO+$D$4:$D$10">
      <formula>NOT(ISERROR(SEARCH("NO+$D$4:$D$10",C230)))</formula>
    </cfRule>
  </conditionalFormatting>
  <conditionalFormatting sqref="C230:D230">
    <cfRule type="containsText" dxfId="717" priority="780" operator="containsText" text="SI">
      <formula>NOT(ISERROR(SEARCH("SI",C230)))</formula>
    </cfRule>
    <cfRule type="containsText" dxfId="716" priority="781" operator="containsText" text="NO">
      <formula>NOT(ISERROR(SEARCH("NO",C230)))</formula>
    </cfRule>
  </conditionalFormatting>
  <conditionalFormatting sqref="C230:D230">
    <cfRule type="containsText" dxfId="715" priority="779" operator="containsText" text="NUEVO">
      <formula>NOT(ISERROR(SEARCH("NUEVO",C230)))</formula>
    </cfRule>
  </conditionalFormatting>
  <conditionalFormatting sqref="F230">
    <cfRule type="expression" dxfId="714" priority="778">
      <formula>F230&lt;&gt;""</formula>
    </cfRule>
  </conditionalFormatting>
  <conditionalFormatting sqref="E230">
    <cfRule type="containsText" dxfId="713" priority="776" operator="containsText" text="Sin Información">
      <formula>NOT(ISERROR(SEARCH("Sin Información",E230)))</formula>
    </cfRule>
  </conditionalFormatting>
  <conditionalFormatting sqref="E230">
    <cfRule type="containsText" dxfId="712" priority="777" operator="containsText" text="NUEVO">
      <formula>NOT(ISERROR(SEARCH("NUEVO",E230)))</formula>
    </cfRule>
  </conditionalFormatting>
  <conditionalFormatting sqref="E230">
    <cfRule type="expression" dxfId="711" priority="775">
      <formula>E230&lt;&gt;""</formula>
    </cfRule>
  </conditionalFormatting>
  <conditionalFormatting sqref="E230">
    <cfRule type="containsText" dxfId="710" priority="774" operator="containsText" text="Sin información">
      <formula>NOT(ISERROR(SEARCH("Sin información",E230)))</formula>
    </cfRule>
  </conditionalFormatting>
  <conditionalFormatting sqref="E230">
    <cfRule type="expression" dxfId="709" priority="773">
      <formula>E230&lt;&gt;""</formula>
    </cfRule>
  </conditionalFormatting>
  <conditionalFormatting sqref="C231:D231">
    <cfRule type="containsText" dxfId="708" priority="772" operator="containsText" text="NO+$D$4:$D$10">
      <formula>NOT(ISERROR(SEARCH("NO+$D$4:$D$10",C231)))</formula>
    </cfRule>
  </conditionalFormatting>
  <conditionalFormatting sqref="C231:D231">
    <cfRule type="containsText" dxfId="707" priority="770" operator="containsText" text="SI">
      <formula>NOT(ISERROR(SEARCH("SI",C231)))</formula>
    </cfRule>
    <cfRule type="containsText" dxfId="706" priority="771" operator="containsText" text="NO">
      <formula>NOT(ISERROR(SEARCH("NO",C231)))</formula>
    </cfRule>
  </conditionalFormatting>
  <conditionalFormatting sqref="C231:D231">
    <cfRule type="containsText" dxfId="705" priority="769" operator="containsText" text="NUEVO">
      <formula>NOT(ISERROR(SEARCH("NUEVO",C231)))</formula>
    </cfRule>
  </conditionalFormatting>
  <conditionalFormatting sqref="F231">
    <cfRule type="expression" dxfId="704" priority="768">
      <formula>F231&lt;&gt;""</formula>
    </cfRule>
  </conditionalFormatting>
  <conditionalFormatting sqref="E231">
    <cfRule type="containsText" dxfId="703" priority="767" operator="containsText" text="NUEVO">
      <formula>NOT(ISERROR(SEARCH("NUEVO",E231)))</formula>
    </cfRule>
  </conditionalFormatting>
  <conditionalFormatting sqref="E231">
    <cfRule type="containsText" dxfId="702" priority="766" operator="containsText" text="Sin Información">
      <formula>NOT(ISERROR(SEARCH("Sin Información",E231)))</formula>
    </cfRule>
  </conditionalFormatting>
  <conditionalFormatting sqref="E231">
    <cfRule type="expression" dxfId="701" priority="765">
      <formula>E231&lt;&gt;""</formula>
    </cfRule>
  </conditionalFormatting>
  <conditionalFormatting sqref="C232:D232">
    <cfRule type="containsText" dxfId="700" priority="764" operator="containsText" text="NO+$D$4:$D$10">
      <formula>NOT(ISERROR(SEARCH("NO+$D$4:$D$10",C232)))</formula>
    </cfRule>
  </conditionalFormatting>
  <conditionalFormatting sqref="C232:D232">
    <cfRule type="containsText" dxfId="699" priority="762" operator="containsText" text="SI">
      <formula>NOT(ISERROR(SEARCH("SI",C232)))</formula>
    </cfRule>
    <cfRule type="containsText" dxfId="698" priority="763" operator="containsText" text="NO">
      <formula>NOT(ISERROR(SEARCH("NO",C232)))</formula>
    </cfRule>
  </conditionalFormatting>
  <conditionalFormatting sqref="C232:D232">
    <cfRule type="containsText" dxfId="697" priority="761" operator="containsText" text="NUEVO">
      <formula>NOT(ISERROR(SEARCH("NUEVO",C232)))</formula>
    </cfRule>
  </conditionalFormatting>
  <conditionalFormatting sqref="E232">
    <cfRule type="containsText" dxfId="696" priority="760" operator="containsText" text="NUEVO">
      <formula>NOT(ISERROR(SEARCH("NUEVO",E232)))</formula>
    </cfRule>
  </conditionalFormatting>
  <conditionalFormatting sqref="E232">
    <cfRule type="containsText" dxfId="695" priority="759" operator="containsText" text="Sin Información">
      <formula>NOT(ISERROR(SEARCH("Sin Información",E232)))</formula>
    </cfRule>
  </conditionalFormatting>
  <conditionalFormatting sqref="E232">
    <cfRule type="expression" dxfId="694" priority="758">
      <formula>E232&lt;&gt;""</formula>
    </cfRule>
  </conditionalFormatting>
  <conditionalFormatting sqref="F232">
    <cfRule type="expression" dxfId="693" priority="757">
      <formula>F232&lt;&gt;""</formula>
    </cfRule>
  </conditionalFormatting>
  <conditionalFormatting sqref="C233:D233">
    <cfRule type="containsText" dxfId="692" priority="756" operator="containsText" text="NO+$D$4:$D$10">
      <formula>NOT(ISERROR(SEARCH("NO+$D$4:$D$10",C233)))</formula>
    </cfRule>
  </conditionalFormatting>
  <conditionalFormatting sqref="C233:D233">
    <cfRule type="containsText" dxfId="691" priority="754" operator="containsText" text="SI">
      <formula>NOT(ISERROR(SEARCH("SI",C233)))</formula>
    </cfRule>
    <cfRule type="containsText" dxfId="690" priority="755" operator="containsText" text="NO">
      <formula>NOT(ISERROR(SEARCH("NO",C233)))</formula>
    </cfRule>
  </conditionalFormatting>
  <conditionalFormatting sqref="C233:D233">
    <cfRule type="containsText" dxfId="689" priority="753" operator="containsText" text="NUEVO">
      <formula>NOT(ISERROR(SEARCH("NUEVO",C233)))</formula>
    </cfRule>
  </conditionalFormatting>
  <conditionalFormatting sqref="F233">
    <cfRule type="expression" dxfId="688" priority="752">
      <formula>F233&lt;&gt;""</formula>
    </cfRule>
  </conditionalFormatting>
  <conditionalFormatting sqref="E233">
    <cfRule type="containsText" dxfId="687" priority="751" operator="containsText" text="NUEVO">
      <formula>NOT(ISERROR(SEARCH("NUEVO",E233)))</formula>
    </cfRule>
  </conditionalFormatting>
  <conditionalFormatting sqref="E233">
    <cfRule type="containsText" dxfId="686" priority="750" operator="containsText" text="Sin Información">
      <formula>NOT(ISERROR(SEARCH("Sin Información",E233)))</formula>
    </cfRule>
  </conditionalFormatting>
  <conditionalFormatting sqref="E233">
    <cfRule type="expression" dxfId="685" priority="749">
      <formula>E233&lt;&gt;""</formula>
    </cfRule>
  </conditionalFormatting>
  <conditionalFormatting sqref="C234:D234">
    <cfRule type="containsText" dxfId="684" priority="748" operator="containsText" text="NO+$D$4:$D$10">
      <formula>NOT(ISERROR(SEARCH("NO+$D$4:$D$10",C234)))</formula>
    </cfRule>
  </conditionalFormatting>
  <conditionalFormatting sqref="C234:D234">
    <cfRule type="containsText" dxfId="683" priority="746" operator="containsText" text="SI">
      <formula>NOT(ISERROR(SEARCH("SI",C234)))</formula>
    </cfRule>
    <cfRule type="containsText" dxfId="682" priority="747" operator="containsText" text="NO">
      <formula>NOT(ISERROR(SEARCH("NO",C234)))</formula>
    </cfRule>
  </conditionalFormatting>
  <conditionalFormatting sqref="C234:E234">
    <cfRule type="containsText" dxfId="681" priority="745" operator="containsText" text="NUEVO">
      <formula>NOT(ISERROR(SEARCH("NUEVO",C234)))</formula>
    </cfRule>
  </conditionalFormatting>
  <conditionalFormatting sqref="E234">
    <cfRule type="containsText" dxfId="680" priority="744" operator="containsText" text="Sin Información">
      <formula>NOT(ISERROR(SEARCH("Sin Información",E234)))</formula>
    </cfRule>
  </conditionalFormatting>
  <conditionalFormatting sqref="E234">
    <cfRule type="expression" dxfId="679" priority="743">
      <formula>E234&lt;&gt;""</formula>
    </cfRule>
  </conditionalFormatting>
  <conditionalFormatting sqref="F234">
    <cfRule type="expression" dxfId="678" priority="742">
      <formula>F234&lt;&gt;""</formula>
    </cfRule>
  </conditionalFormatting>
  <conditionalFormatting sqref="C235:D235">
    <cfRule type="containsText" dxfId="677" priority="741" operator="containsText" text="NO+$D$4:$D$10">
      <formula>NOT(ISERROR(SEARCH("NO+$D$4:$D$10",C235)))</formula>
    </cfRule>
  </conditionalFormatting>
  <conditionalFormatting sqref="C235:D235">
    <cfRule type="containsText" dxfId="676" priority="739" operator="containsText" text="SI">
      <formula>NOT(ISERROR(SEARCH("SI",C235)))</formula>
    </cfRule>
    <cfRule type="containsText" dxfId="675" priority="740" operator="containsText" text="NO">
      <formula>NOT(ISERROR(SEARCH("NO",C235)))</formula>
    </cfRule>
  </conditionalFormatting>
  <conditionalFormatting sqref="C235:E235">
    <cfRule type="containsText" dxfId="674" priority="738" operator="containsText" text="NUEVO">
      <formula>NOT(ISERROR(SEARCH("NUEVO",C235)))</formula>
    </cfRule>
  </conditionalFormatting>
  <conditionalFormatting sqref="E235">
    <cfRule type="containsText" dxfId="673" priority="737" operator="containsText" text="Sin Información">
      <formula>NOT(ISERROR(SEARCH("Sin Información",E235)))</formula>
    </cfRule>
  </conditionalFormatting>
  <conditionalFormatting sqref="E235">
    <cfRule type="expression" dxfId="672" priority="736">
      <formula>E235&lt;&gt;""</formula>
    </cfRule>
  </conditionalFormatting>
  <conditionalFormatting sqref="F235">
    <cfRule type="expression" dxfId="671" priority="735">
      <formula>F235&lt;&gt;""</formula>
    </cfRule>
  </conditionalFormatting>
  <conditionalFormatting sqref="C236:D236">
    <cfRule type="containsText" dxfId="670" priority="734" operator="containsText" text="NO+$D$4:$D$10">
      <formula>NOT(ISERROR(SEARCH("NO+$D$4:$D$10",C236)))</formula>
    </cfRule>
  </conditionalFormatting>
  <conditionalFormatting sqref="C236:D236">
    <cfRule type="containsText" dxfId="669" priority="732" operator="containsText" text="SI">
      <formula>NOT(ISERROR(SEARCH("SI",C236)))</formula>
    </cfRule>
    <cfRule type="containsText" dxfId="668" priority="733" operator="containsText" text="NO">
      <formula>NOT(ISERROR(SEARCH("NO",C236)))</formula>
    </cfRule>
  </conditionalFormatting>
  <conditionalFormatting sqref="C236:D236">
    <cfRule type="containsText" dxfId="667" priority="731" operator="containsText" text="NUEVO">
      <formula>NOT(ISERROR(SEARCH("NUEVO",C236)))</formula>
    </cfRule>
  </conditionalFormatting>
  <conditionalFormatting sqref="F236">
    <cfRule type="expression" dxfId="666" priority="730">
      <formula>F236&lt;&gt;""</formula>
    </cfRule>
  </conditionalFormatting>
  <conditionalFormatting sqref="E236">
    <cfRule type="containsText" dxfId="665" priority="729" operator="containsText" text="NUEVO">
      <formula>NOT(ISERROR(SEARCH("NUEVO",E236)))</formula>
    </cfRule>
  </conditionalFormatting>
  <conditionalFormatting sqref="E236">
    <cfRule type="containsText" dxfId="664" priority="728" operator="containsText" text="Sin Información">
      <formula>NOT(ISERROR(SEARCH("Sin Información",E236)))</formula>
    </cfRule>
  </conditionalFormatting>
  <conditionalFormatting sqref="E236">
    <cfRule type="expression" dxfId="663" priority="727">
      <formula>E236&lt;&gt;""</formula>
    </cfRule>
  </conditionalFormatting>
  <conditionalFormatting sqref="C898:D898">
    <cfRule type="containsText" dxfId="662" priority="726" operator="containsText" text="NO+$D$4:$D$10">
      <formula>NOT(ISERROR(SEARCH("NO+$D$4:$D$10",C898)))</formula>
    </cfRule>
  </conditionalFormatting>
  <conditionalFormatting sqref="C898:D898">
    <cfRule type="containsText" dxfId="661" priority="724" operator="containsText" text="SI">
      <formula>NOT(ISERROR(SEARCH("SI",C898)))</formula>
    </cfRule>
    <cfRule type="containsText" dxfId="660" priority="725" operator="containsText" text="NO">
      <formula>NOT(ISERROR(SEARCH("NO",C898)))</formula>
    </cfRule>
  </conditionalFormatting>
  <conditionalFormatting sqref="C898:D898">
    <cfRule type="containsText" dxfId="659" priority="723" operator="containsText" text="NUEVO">
      <formula>NOT(ISERROR(SEARCH("NUEVO",C898)))</formula>
    </cfRule>
  </conditionalFormatting>
  <conditionalFormatting sqref="F898">
    <cfRule type="expression" dxfId="658" priority="722">
      <formula>F898&lt;&gt;""</formula>
    </cfRule>
  </conditionalFormatting>
  <conditionalFormatting sqref="E898">
    <cfRule type="containsText" dxfId="657" priority="721" operator="containsText" text="NUEVO">
      <formula>NOT(ISERROR(SEARCH("NUEVO",E898)))</formula>
    </cfRule>
  </conditionalFormatting>
  <conditionalFormatting sqref="E898">
    <cfRule type="containsText" dxfId="656" priority="720" operator="containsText" text="Sin Información">
      <formula>NOT(ISERROR(SEARCH("Sin Información",E898)))</formula>
    </cfRule>
  </conditionalFormatting>
  <conditionalFormatting sqref="E898">
    <cfRule type="expression" dxfId="655" priority="719">
      <formula>E898&lt;&gt;""</formula>
    </cfRule>
  </conditionalFormatting>
  <conditionalFormatting sqref="C899:D899">
    <cfRule type="containsText" dxfId="654" priority="718" operator="containsText" text="NO+$D$4:$D$10">
      <formula>NOT(ISERROR(SEARCH("NO+$D$4:$D$10",C899)))</formula>
    </cfRule>
  </conditionalFormatting>
  <conditionalFormatting sqref="C899:D899">
    <cfRule type="containsText" dxfId="653" priority="716" operator="containsText" text="SI">
      <formula>NOT(ISERROR(SEARCH("SI",C899)))</formula>
    </cfRule>
    <cfRule type="containsText" dxfId="652" priority="717" operator="containsText" text="NO">
      <formula>NOT(ISERROR(SEARCH("NO",C899)))</formula>
    </cfRule>
  </conditionalFormatting>
  <conditionalFormatting sqref="C899:E899">
    <cfRule type="containsText" dxfId="651" priority="715" operator="containsText" text="NUEVO">
      <formula>NOT(ISERROR(SEARCH("NUEVO",C899)))</formula>
    </cfRule>
  </conditionalFormatting>
  <conditionalFormatting sqref="E899">
    <cfRule type="containsText" dxfId="650" priority="714" operator="containsText" text="Sin Información">
      <formula>NOT(ISERROR(SEARCH("Sin Información",E899)))</formula>
    </cfRule>
  </conditionalFormatting>
  <conditionalFormatting sqref="E899">
    <cfRule type="expression" dxfId="649" priority="713">
      <formula>E899&lt;&gt;""</formula>
    </cfRule>
  </conditionalFormatting>
  <conditionalFormatting sqref="F899">
    <cfRule type="expression" dxfId="648" priority="712">
      <formula>F899&lt;&gt;""</formula>
    </cfRule>
  </conditionalFormatting>
  <conditionalFormatting sqref="C900:D900">
    <cfRule type="containsText" dxfId="647" priority="711" operator="containsText" text="NO+$D$4:$D$10">
      <formula>NOT(ISERROR(SEARCH("NO+$D$4:$D$10",C900)))</formula>
    </cfRule>
  </conditionalFormatting>
  <conditionalFormatting sqref="C900:D900">
    <cfRule type="containsText" dxfId="646" priority="709" operator="containsText" text="SI">
      <formula>NOT(ISERROR(SEARCH("SI",C900)))</formula>
    </cfRule>
    <cfRule type="containsText" dxfId="645" priority="710" operator="containsText" text="NO">
      <formula>NOT(ISERROR(SEARCH("NO",C900)))</formula>
    </cfRule>
  </conditionalFormatting>
  <conditionalFormatting sqref="C900:E900">
    <cfRule type="containsText" dxfId="644" priority="708" operator="containsText" text="NUEVO">
      <formula>NOT(ISERROR(SEARCH("NUEVO",C900)))</formula>
    </cfRule>
  </conditionalFormatting>
  <conditionalFormatting sqref="E900">
    <cfRule type="containsText" dxfId="643" priority="707" operator="containsText" text="Sin Información">
      <formula>NOT(ISERROR(SEARCH("Sin Información",E900)))</formula>
    </cfRule>
  </conditionalFormatting>
  <conditionalFormatting sqref="E900">
    <cfRule type="expression" dxfId="642" priority="706">
      <formula>E900&lt;&gt;""</formula>
    </cfRule>
  </conditionalFormatting>
  <conditionalFormatting sqref="F900">
    <cfRule type="expression" dxfId="641" priority="705">
      <formula>F900&lt;&gt;""</formula>
    </cfRule>
  </conditionalFormatting>
  <conditionalFormatting sqref="C901:D901">
    <cfRule type="containsText" dxfId="640" priority="704" operator="containsText" text="NO+$D$4:$D$10">
      <formula>NOT(ISERROR(SEARCH("NO+$D$4:$D$10",C901)))</formula>
    </cfRule>
  </conditionalFormatting>
  <conditionalFormatting sqref="C901:D901">
    <cfRule type="containsText" dxfId="639" priority="702" operator="containsText" text="SI">
      <formula>NOT(ISERROR(SEARCH("SI",C901)))</formula>
    </cfRule>
    <cfRule type="containsText" dxfId="638" priority="703" operator="containsText" text="NO">
      <formula>NOT(ISERROR(SEARCH("NO",C901)))</formula>
    </cfRule>
  </conditionalFormatting>
  <conditionalFormatting sqref="C901:D901">
    <cfRule type="containsText" dxfId="637" priority="701" operator="containsText" text="NUEVO">
      <formula>NOT(ISERROR(SEARCH("NUEVO",C901)))</formula>
    </cfRule>
  </conditionalFormatting>
  <conditionalFormatting sqref="E901">
    <cfRule type="containsText" dxfId="636" priority="700" operator="containsText" text="NUEVO">
      <formula>NOT(ISERROR(SEARCH("NUEVO",E901)))</formula>
    </cfRule>
  </conditionalFormatting>
  <conditionalFormatting sqref="E901">
    <cfRule type="containsText" dxfId="635" priority="699" operator="containsText" text="Sin Información">
      <formula>NOT(ISERROR(SEARCH("Sin Información",E901)))</formula>
    </cfRule>
  </conditionalFormatting>
  <conditionalFormatting sqref="E901">
    <cfRule type="expression" dxfId="634" priority="698">
      <formula>E901&lt;&gt;""</formula>
    </cfRule>
  </conditionalFormatting>
  <conditionalFormatting sqref="F901">
    <cfRule type="expression" dxfId="633" priority="697">
      <formula>F901&lt;&gt;""</formula>
    </cfRule>
  </conditionalFormatting>
  <conditionalFormatting sqref="C902:D902">
    <cfRule type="containsText" dxfId="632" priority="672" operator="containsText" text="NO+$D$4:$D$10">
      <formula>NOT(ISERROR(SEARCH("NO+$D$4:$D$10",C902)))</formula>
    </cfRule>
  </conditionalFormatting>
  <conditionalFormatting sqref="C902:D902">
    <cfRule type="containsText" dxfId="631" priority="670" operator="containsText" text="SI">
      <formula>NOT(ISERROR(SEARCH("SI",C902)))</formula>
    </cfRule>
    <cfRule type="containsText" dxfId="630" priority="671" operator="containsText" text="NO">
      <formula>NOT(ISERROR(SEARCH("NO",C902)))</formula>
    </cfRule>
  </conditionalFormatting>
  <conditionalFormatting sqref="C902:D902">
    <cfRule type="containsText" dxfId="629" priority="669" operator="containsText" text="NUEVO">
      <formula>NOT(ISERROR(SEARCH("NUEVO",C902)))</formula>
    </cfRule>
  </conditionalFormatting>
  <conditionalFormatting sqref="E902">
    <cfRule type="containsText" dxfId="628" priority="668" operator="containsText" text="NUEVO">
      <formula>NOT(ISERROR(SEARCH("NUEVO",E902)))</formula>
    </cfRule>
  </conditionalFormatting>
  <conditionalFormatting sqref="E902">
    <cfRule type="containsText" dxfId="627" priority="667" operator="containsText" text="Sin Información">
      <formula>NOT(ISERROR(SEARCH("Sin Información",E902)))</formula>
    </cfRule>
  </conditionalFormatting>
  <conditionalFormatting sqref="E902">
    <cfRule type="expression" dxfId="626" priority="666">
      <formula>E902&lt;&gt;""</formula>
    </cfRule>
  </conditionalFormatting>
  <conditionalFormatting sqref="F902">
    <cfRule type="expression" dxfId="625" priority="665">
      <formula>F902&lt;&gt;""</formula>
    </cfRule>
  </conditionalFormatting>
  <conditionalFormatting sqref="C903:D903">
    <cfRule type="containsText" dxfId="624" priority="664" operator="containsText" text="NO+$D$4:$D$10">
      <formula>NOT(ISERROR(SEARCH("NO+$D$4:$D$10",C903)))</formula>
    </cfRule>
  </conditionalFormatting>
  <conditionalFormatting sqref="C903:D903">
    <cfRule type="containsText" dxfId="623" priority="662" operator="containsText" text="SI">
      <formula>NOT(ISERROR(SEARCH("SI",C903)))</formula>
    </cfRule>
    <cfRule type="containsText" dxfId="622" priority="663" operator="containsText" text="NO">
      <formula>NOT(ISERROR(SEARCH("NO",C903)))</formula>
    </cfRule>
  </conditionalFormatting>
  <conditionalFormatting sqref="C903:E903">
    <cfRule type="containsText" dxfId="621" priority="661" operator="containsText" text="NUEVO">
      <formula>NOT(ISERROR(SEARCH("NUEVO",C903)))</formula>
    </cfRule>
  </conditionalFormatting>
  <conditionalFormatting sqref="E903">
    <cfRule type="containsText" dxfId="620" priority="660" operator="containsText" text="Sin Información">
      <formula>NOT(ISERROR(SEARCH("Sin Información",E903)))</formula>
    </cfRule>
  </conditionalFormatting>
  <conditionalFormatting sqref="E903">
    <cfRule type="expression" dxfId="619" priority="659">
      <formula>E903&lt;&gt;""</formula>
    </cfRule>
  </conditionalFormatting>
  <conditionalFormatting sqref="F903">
    <cfRule type="expression" dxfId="618" priority="658">
      <formula>F903&lt;&gt;""</formula>
    </cfRule>
  </conditionalFormatting>
  <conditionalFormatting sqref="C904:D904">
    <cfRule type="containsText" dxfId="617" priority="657" operator="containsText" text="NO+$D$4:$D$10">
      <formula>NOT(ISERROR(SEARCH("NO+$D$4:$D$10",C904)))</formula>
    </cfRule>
  </conditionalFormatting>
  <conditionalFormatting sqref="C904:D904">
    <cfRule type="containsText" dxfId="616" priority="655" operator="containsText" text="SI">
      <formula>NOT(ISERROR(SEARCH("SI",C904)))</formula>
    </cfRule>
    <cfRule type="containsText" dxfId="615" priority="656" operator="containsText" text="NO">
      <formula>NOT(ISERROR(SEARCH("NO",C904)))</formula>
    </cfRule>
  </conditionalFormatting>
  <conditionalFormatting sqref="C904:E904">
    <cfRule type="containsText" dxfId="614" priority="654" operator="containsText" text="NUEVO">
      <formula>NOT(ISERROR(SEARCH("NUEVO",C904)))</formula>
    </cfRule>
  </conditionalFormatting>
  <conditionalFormatting sqref="E904">
    <cfRule type="containsText" dxfId="613" priority="653" operator="containsText" text="Sin Información">
      <formula>NOT(ISERROR(SEARCH("Sin Información",E904)))</formula>
    </cfRule>
  </conditionalFormatting>
  <conditionalFormatting sqref="E904">
    <cfRule type="expression" dxfId="612" priority="652">
      <formula>E904&lt;&gt;""</formula>
    </cfRule>
  </conditionalFormatting>
  <conditionalFormatting sqref="F904">
    <cfRule type="expression" dxfId="611" priority="651">
      <formula>F904&lt;&gt;""</formula>
    </cfRule>
  </conditionalFormatting>
  <conditionalFormatting sqref="C905:D905">
    <cfRule type="containsText" dxfId="610" priority="650" operator="containsText" text="NO+$D$4:$D$10">
      <formula>NOT(ISERROR(SEARCH("NO+$D$4:$D$10",C905)))</formula>
    </cfRule>
  </conditionalFormatting>
  <conditionalFormatting sqref="C905:D905">
    <cfRule type="containsText" dxfId="609" priority="648" operator="containsText" text="SI">
      <formula>NOT(ISERROR(SEARCH("SI",C905)))</formula>
    </cfRule>
    <cfRule type="containsText" dxfId="608" priority="649" operator="containsText" text="NO">
      <formula>NOT(ISERROR(SEARCH("NO",C905)))</formula>
    </cfRule>
  </conditionalFormatting>
  <conditionalFormatting sqref="C905:E905">
    <cfRule type="containsText" dxfId="607" priority="647" operator="containsText" text="NUEVO">
      <formula>NOT(ISERROR(SEARCH("NUEVO",C905)))</formula>
    </cfRule>
  </conditionalFormatting>
  <conditionalFormatting sqref="E905">
    <cfRule type="containsText" dxfId="606" priority="646" operator="containsText" text="Sin Información">
      <formula>NOT(ISERROR(SEARCH("Sin Información",E905)))</formula>
    </cfRule>
  </conditionalFormatting>
  <conditionalFormatting sqref="E905">
    <cfRule type="expression" dxfId="605" priority="645">
      <formula>E905&lt;&gt;""</formula>
    </cfRule>
  </conditionalFormatting>
  <conditionalFormatting sqref="F905">
    <cfRule type="expression" dxfId="604" priority="644">
      <formula>F905&lt;&gt;""</formula>
    </cfRule>
  </conditionalFormatting>
  <conditionalFormatting sqref="C906:D906">
    <cfRule type="containsText" dxfId="603" priority="643" operator="containsText" text="NO+$D$4:$D$10">
      <formula>NOT(ISERROR(SEARCH("NO+$D$4:$D$10",C906)))</formula>
    </cfRule>
  </conditionalFormatting>
  <conditionalFormatting sqref="C906:D906">
    <cfRule type="containsText" dxfId="602" priority="641" operator="containsText" text="SI">
      <formula>NOT(ISERROR(SEARCH("SI",C906)))</formula>
    </cfRule>
    <cfRule type="containsText" dxfId="601" priority="642" operator="containsText" text="NO">
      <formula>NOT(ISERROR(SEARCH("NO",C906)))</formula>
    </cfRule>
  </conditionalFormatting>
  <conditionalFormatting sqref="C906:D906">
    <cfRule type="containsText" dxfId="600" priority="640" operator="containsText" text="NUEVO">
      <formula>NOT(ISERROR(SEARCH("NUEVO",C906)))</formula>
    </cfRule>
  </conditionalFormatting>
  <conditionalFormatting sqref="E906">
    <cfRule type="containsText" dxfId="599" priority="639" operator="containsText" text="NUEVO">
      <formula>NOT(ISERROR(SEARCH("NUEVO",E906)))</formula>
    </cfRule>
  </conditionalFormatting>
  <conditionalFormatting sqref="E906">
    <cfRule type="containsText" dxfId="598" priority="638" operator="containsText" text="Sin Información">
      <formula>NOT(ISERROR(SEARCH("Sin Información",E906)))</formula>
    </cfRule>
  </conditionalFormatting>
  <conditionalFormatting sqref="E906">
    <cfRule type="expression" dxfId="597" priority="637">
      <formula>E906&lt;&gt;""</formula>
    </cfRule>
  </conditionalFormatting>
  <conditionalFormatting sqref="F906">
    <cfRule type="expression" dxfId="596" priority="636">
      <formula>F906&lt;&gt;""</formula>
    </cfRule>
  </conditionalFormatting>
  <conditionalFormatting sqref="C907:D907">
    <cfRule type="containsText" dxfId="595" priority="635" operator="containsText" text="NO+$D$4:$D$10">
      <formula>NOT(ISERROR(SEARCH("NO+$D$4:$D$10",C907)))</formula>
    </cfRule>
  </conditionalFormatting>
  <conditionalFormatting sqref="C907:D907">
    <cfRule type="containsText" dxfId="594" priority="633" operator="containsText" text="SI">
      <formula>NOT(ISERROR(SEARCH("SI",C907)))</formula>
    </cfRule>
    <cfRule type="containsText" dxfId="593" priority="634" operator="containsText" text="NO">
      <formula>NOT(ISERROR(SEARCH("NO",C907)))</formula>
    </cfRule>
  </conditionalFormatting>
  <conditionalFormatting sqref="C907:D907">
    <cfRule type="containsText" dxfId="592" priority="632" operator="containsText" text="NUEVO">
      <formula>NOT(ISERROR(SEARCH("NUEVO",C907)))</formula>
    </cfRule>
  </conditionalFormatting>
  <conditionalFormatting sqref="E907">
    <cfRule type="containsText" dxfId="591" priority="631" operator="containsText" text="NUEVO">
      <formula>NOT(ISERROR(SEARCH("NUEVO",E907)))</formula>
    </cfRule>
  </conditionalFormatting>
  <conditionalFormatting sqref="E907">
    <cfRule type="containsText" dxfId="590" priority="630" operator="containsText" text="Sin Información">
      <formula>NOT(ISERROR(SEARCH("Sin Información",E907)))</formula>
    </cfRule>
  </conditionalFormatting>
  <conditionalFormatting sqref="E907">
    <cfRule type="expression" dxfId="589" priority="629">
      <formula>E907&lt;&gt;""</formula>
    </cfRule>
  </conditionalFormatting>
  <conditionalFormatting sqref="F907">
    <cfRule type="expression" dxfId="588" priority="628">
      <formula>F907&lt;&gt;""</formula>
    </cfRule>
  </conditionalFormatting>
  <conditionalFormatting sqref="C908:D908">
    <cfRule type="containsText" dxfId="587" priority="627" operator="containsText" text="NO+$D$4:$D$10">
      <formula>NOT(ISERROR(SEARCH("NO+$D$4:$D$10",C908)))</formula>
    </cfRule>
  </conditionalFormatting>
  <conditionalFormatting sqref="C908:D908">
    <cfRule type="containsText" dxfId="586" priority="625" operator="containsText" text="SI">
      <formula>NOT(ISERROR(SEARCH("SI",C908)))</formula>
    </cfRule>
    <cfRule type="containsText" dxfId="585" priority="626" operator="containsText" text="NO">
      <formula>NOT(ISERROR(SEARCH("NO",C908)))</formula>
    </cfRule>
  </conditionalFormatting>
  <conditionalFormatting sqref="C908:E908">
    <cfRule type="containsText" dxfId="584" priority="624" operator="containsText" text="NUEVO">
      <formula>NOT(ISERROR(SEARCH("NUEVO",C908)))</formula>
    </cfRule>
  </conditionalFormatting>
  <conditionalFormatting sqref="E908">
    <cfRule type="containsText" dxfId="583" priority="623" operator="containsText" text="Sin Información">
      <formula>NOT(ISERROR(SEARCH("Sin Información",E908)))</formula>
    </cfRule>
  </conditionalFormatting>
  <conditionalFormatting sqref="E908">
    <cfRule type="expression" dxfId="582" priority="622">
      <formula>E908&lt;&gt;""</formula>
    </cfRule>
  </conditionalFormatting>
  <conditionalFormatting sqref="F908">
    <cfRule type="expression" dxfId="581" priority="621">
      <formula>F908&lt;&gt;""</formula>
    </cfRule>
  </conditionalFormatting>
  <conditionalFormatting sqref="C1524:D1524">
    <cfRule type="containsText" dxfId="580" priority="620" operator="containsText" text="NO+$D$4:$D$10">
      <formula>NOT(ISERROR(SEARCH("NO+$D$4:$D$10",C1524)))</formula>
    </cfRule>
  </conditionalFormatting>
  <conditionalFormatting sqref="C1524:D1524">
    <cfRule type="containsText" dxfId="579" priority="618" operator="containsText" text="SI">
      <formula>NOT(ISERROR(SEARCH("SI",C1524)))</formula>
    </cfRule>
    <cfRule type="containsText" dxfId="578" priority="619" operator="containsText" text="NO">
      <formula>NOT(ISERROR(SEARCH("NO",C1524)))</formula>
    </cfRule>
  </conditionalFormatting>
  <conditionalFormatting sqref="C1524:D1524">
    <cfRule type="containsText" dxfId="577" priority="617" operator="containsText" text="NUEVO">
      <formula>NOT(ISERROR(SEARCH("NUEVO",C1524)))</formula>
    </cfRule>
  </conditionalFormatting>
  <conditionalFormatting sqref="F1524">
    <cfRule type="expression" dxfId="576" priority="613">
      <formula>F1524&lt;&gt;""</formula>
    </cfRule>
  </conditionalFormatting>
  <conditionalFormatting sqref="E1524">
    <cfRule type="containsText" dxfId="575" priority="616" operator="containsText" text="NUEVO">
      <formula>NOT(ISERROR(SEARCH("NUEVO",E1524)))</formula>
    </cfRule>
  </conditionalFormatting>
  <conditionalFormatting sqref="E1524">
    <cfRule type="containsText" dxfId="574" priority="615" operator="containsText" text="Sin Información">
      <formula>NOT(ISERROR(SEARCH("Sin Información",E1524)))</formula>
    </cfRule>
  </conditionalFormatting>
  <conditionalFormatting sqref="E1524">
    <cfRule type="expression" dxfId="573" priority="614">
      <formula>E1524&lt;&gt;""</formula>
    </cfRule>
  </conditionalFormatting>
  <conditionalFormatting sqref="C1525:D1525">
    <cfRule type="containsText" dxfId="572" priority="612" operator="containsText" text="NO+$D$4:$D$10">
      <formula>NOT(ISERROR(SEARCH("NO+$D$4:$D$10",C1525)))</formula>
    </cfRule>
  </conditionalFormatting>
  <conditionalFormatting sqref="C1525:D1525">
    <cfRule type="containsText" dxfId="571" priority="610" operator="containsText" text="SI">
      <formula>NOT(ISERROR(SEARCH("SI",C1525)))</formula>
    </cfRule>
    <cfRule type="containsText" dxfId="570" priority="611" operator="containsText" text="NO">
      <formula>NOT(ISERROR(SEARCH("NO",C1525)))</formula>
    </cfRule>
  </conditionalFormatting>
  <conditionalFormatting sqref="C1525:D1525">
    <cfRule type="containsText" dxfId="569" priority="609" operator="containsText" text="NUEVO">
      <formula>NOT(ISERROR(SEARCH("NUEVO",C1525)))</formula>
    </cfRule>
  </conditionalFormatting>
  <conditionalFormatting sqref="F1525">
    <cfRule type="expression" dxfId="568" priority="608">
      <formula>F1525&lt;&gt;""</formula>
    </cfRule>
  </conditionalFormatting>
  <conditionalFormatting sqref="E1525">
    <cfRule type="containsText" dxfId="567" priority="607" operator="containsText" text="NUEVO">
      <formula>NOT(ISERROR(SEARCH("NUEVO",E1525)))</formula>
    </cfRule>
  </conditionalFormatting>
  <conditionalFormatting sqref="E1525">
    <cfRule type="containsText" dxfId="566" priority="606" operator="containsText" text="Sin Información">
      <formula>NOT(ISERROR(SEARCH("Sin Información",E1525)))</formula>
    </cfRule>
  </conditionalFormatting>
  <conditionalFormatting sqref="E1525">
    <cfRule type="expression" dxfId="565" priority="605">
      <formula>E1525&lt;&gt;""</formula>
    </cfRule>
  </conditionalFormatting>
  <conditionalFormatting sqref="C1526:D1526">
    <cfRule type="containsText" dxfId="564" priority="604" operator="containsText" text="NO+$D$4:$D$10">
      <formula>NOT(ISERROR(SEARCH("NO+$D$4:$D$10",C1526)))</formula>
    </cfRule>
  </conditionalFormatting>
  <conditionalFormatting sqref="C1526:D1526">
    <cfRule type="containsText" dxfId="563" priority="602" operator="containsText" text="SI">
      <formula>NOT(ISERROR(SEARCH("SI",C1526)))</formula>
    </cfRule>
    <cfRule type="containsText" dxfId="562" priority="603" operator="containsText" text="NO">
      <formula>NOT(ISERROR(SEARCH("NO",C1526)))</formula>
    </cfRule>
  </conditionalFormatting>
  <conditionalFormatting sqref="C1526:D1526">
    <cfRule type="containsText" dxfId="561" priority="601" operator="containsText" text="NUEVO">
      <formula>NOT(ISERROR(SEARCH("NUEVO",C1526)))</formula>
    </cfRule>
  </conditionalFormatting>
  <conditionalFormatting sqref="F1526">
    <cfRule type="expression" dxfId="560" priority="600">
      <formula>F1526&lt;&gt;""</formula>
    </cfRule>
  </conditionalFormatting>
  <conditionalFormatting sqref="E1526">
    <cfRule type="containsText" dxfId="559" priority="599" operator="containsText" text="NUEVO">
      <formula>NOT(ISERROR(SEARCH("NUEVO",E1526)))</formula>
    </cfRule>
  </conditionalFormatting>
  <conditionalFormatting sqref="E1526">
    <cfRule type="containsText" dxfId="558" priority="598" operator="containsText" text="Sin Información">
      <formula>NOT(ISERROR(SEARCH("Sin Información",E1526)))</formula>
    </cfRule>
  </conditionalFormatting>
  <conditionalFormatting sqref="E1526">
    <cfRule type="expression" dxfId="557" priority="597">
      <formula>E1526&lt;&gt;""</formula>
    </cfRule>
  </conditionalFormatting>
  <conditionalFormatting sqref="C1527:D1527">
    <cfRule type="containsText" dxfId="556" priority="596" operator="containsText" text="NO+$D$4:$D$10">
      <formula>NOT(ISERROR(SEARCH("NO+$D$4:$D$10",C1527)))</formula>
    </cfRule>
  </conditionalFormatting>
  <conditionalFormatting sqref="C1527:D1527">
    <cfRule type="containsText" dxfId="555" priority="594" operator="containsText" text="SI">
      <formula>NOT(ISERROR(SEARCH("SI",C1527)))</formula>
    </cfRule>
    <cfRule type="containsText" dxfId="554" priority="595" operator="containsText" text="NO">
      <formula>NOT(ISERROR(SEARCH("NO",C1527)))</formula>
    </cfRule>
  </conditionalFormatting>
  <conditionalFormatting sqref="C1527:D1527">
    <cfRule type="containsText" dxfId="553" priority="593" operator="containsText" text="NUEVO">
      <formula>NOT(ISERROR(SEARCH("NUEVO",C1527)))</formula>
    </cfRule>
  </conditionalFormatting>
  <conditionalFormatting sqref="F1527">
    <cfRule type="expression" dxfId="552" priority="592">
      <formula>F1527&lt;&gt;""</formula>
    </cfRule>
  </conditionalFormatting>
  <conditionalFormatting sqref="E1527">
    <cfRule type="containsText" dxfId="551" priority="591" operator="containsText" text="NUEVO">
      <formula>NOT(ISERROR(SEARCH("NUEVO",E1527)))</formula>
    </cfRule>
  </conditionalFormatting>
  <conditionalFormatting sqref="E1527">
    <cfRule type="containsText" dxfId="550" priority="590" operator="containsText" text="Sin Información">
      <formula>NOT(ISERROR(SEARCH("Sin Información",E1527)))</formula>
    </cfRule>
  </conditionalFormatting>
  <conditionalFormatting sqref="E1527">
    <cfRule type="expression" dxfId="549" priority="589">
      <formula>E1527&lt;&gt;""</formula>
    </cfRule>
  </conditionalFormatting>
  <conditionalFormatting sqref="C1528:D1528">
    <cfRule type="containsText" dxfId="548" priority="588" operator="containsText" text="NO+$D$4:$D$10">
      <formula>NOT(ISERROR(SEARCH("NO+$D$4:$D$10",C1528)))</formula>
    </cfRule>
  </conditionalFormatting>
  <conditionalFormatting sqref="C1528:D1528">
    <cfRule type="containsText" dxfId="547" priority="586" operator="containsText" text="SI">
      <formula>NOT(ISERROR(SEARCH("SI",C1528)))</formula>
    </cfRule>
    <cfRule type="containsText" dxfId="546" priority="587" operator="containsText" text="NO">
      <formula>NOT(ISERROR(SEARCH("NO",C1528)))</formula>
    </cfRule>
  </conditionalFormatting>
  <conditionalFormatting sqref="C1528:D1528">
    <cfRule type="containsText" dxfId="545" priority="585" operator="containsText" text="NUEVO">
      <formula>NOT(ISERROR(SEARCH("NUEVO",C1528)))</formula>
    </cfRule>
  </conditionalFormatting>
  <conditionalFormatting sqref="F1528">
    <cfRule type="expression" dxfId="544" priority="581">
      <formula>F1528&lt;&gt;""</formula>
    </cfRule>
  </conditionalFormatting>
  <conditionalFormatting sqref="E1528">
    <cfRule type="containsText" dxfId="543" priority="584" operator="containsText" text="NUEVO">
      <formula>NOT(ISERROR(SEARCH("NUEVO",E1528)))</formula>
    </cfRule>
  </conditionalFormatting>
  <conditionalFormatting sqref="E1528">
    <cfRule type="containsText" dxfId="542" priority="583" operator="containsText" text="Sin Información">
      <formula>NOT(ISERROR(SEARCH("Sin Información",E1528)))</formula>
    </cfRule>
  </conditionalFormatting>
  <conditionalFormatting sqref="E1528">
    <cfRule type="expression" dxfId="541" priority="582">
      <formula>E1528&lt;&gt;""</formula>
    </cfRule>
  </conditionalFormatting>
  <conditionalFormatting sqref="C1530:D1530">
    <cfRule type="containsText" dxfId="540" priority="572" operator="containsText" text="NO+$D$4:$D$10">
      <formula>NOT(ISERROR(SEARCH("NO+$D$4:$D$10",C1530)))</formula>
    </cfRule>
  </conditionalFormatting>
  <conditionalFormatting sqref="C1530:D1530">
    <cfRule type="containsText" dxfId="539" priority="570" operator="containsText" text="SI">
      <formula>NOT(ISERROR(SEARCH("SI",C1530)))</formula>
    </cfRule>
    <cfRule type="containsText" dxfId="538" priority="571" operator="containsText" text="NO">
      <formula>NOT(ISERROR(SEARCH("NO",C1530)))</formula>
    </cfRule>
  </conditionalFormatting>
  <conditionalFormatting sqref="C1530:D1530">
    <cfRule type="containsText" dxfId="537" priority="569" operator="containsText" text="NUEVO">
      <formula>NOT(ISERROR(SEARCH("NUEVO",C1530)))</formula>
    </cfRule>
  </conditionalFormatting>
  <conditionalFormatting sqref="F1530">
    <cfRule type="expression" dxfId="536" priority="568">
      <formula>F1530&lt;&gt;""</formula>
    </cfRule>
  </conditionalFormatting>
  <conditionalFormatting sqref="E1530">
    <cfRule type="containsText" dxfId="535" priority="567" operator="containsText" text="NUEVO">
      <formula>NOT(ISERROR(SEARCH("NUEVO",E1530)))</formula>
    </cfRule>
  </conditionalFormatting>
  <conditionalFormatting sqref="E1530">
    <cfRule type="containsText" dxfId="534" priority="566" operator="containsText" text="Sin Información">
      <formula>NOT(ISERROR(SEARCH("Sin Información",E1530)))</formula>
    </cfRule>
  </conditionalFormatting>
  <conditionalFormatting sqref="E1530">
    <cfRule type="expression" dxfId="533" priority="565">
      <formula>E1530&lt;&gt;""</formula>
    </cfRule>
  </conditionalFormatting>
  <conditionalFormatting sqref="C1533:D1533">
    <cfRule type="containsText" dxfId="532" priority="548" operator="containsText" text="NO+$D$4:$D$10">
      <formula>NOT(ISERROR(SEARCH("NO+$D$4:$D$10",C1533)))</formula>
    </cfRule>
  </conditionalFormatting>
  <conditionalFormatting sqref="C1533:D1533">
    <cfRule type="containsText" dxfId="531" priority="546" operator="containsText" text="SI">
      <formula>NOT(ISERROR(SEARCH("SI",C1533)))</formula>
    </cfRule>
    <cfRule type="containsText" dxfId="530" priority="547" operator="containsText" text="NO">
      <formula>NOT(ISERROR(SEARCH("NO",C1533)))</formula>
    </cfRule>
  </conditionalFormatting>
  <conditionalFormatting sqref="C1533:D1533">
    <cfRule type="containsText" dxfId="529" priority="545" operator="containsText" text="NUEVO">
      <formula>NOT(ISERROR(SEARCH("NUEVO",C1533)))</formula>
    </cfRule>
  </conditionalFormatting>
  <conditionalFormatting sqref="E1533">
    <cfRule type="containsText" dxfId="528" priority="544" operator="containsText" text="NUEVO">
      <formula>NOT(ISERROR(SEARCH("NUEVO",E1533)))</formula>
    </cfRule>
  </conditionalFormatting>
  <conditionalFormatting sqref="E1533">
    <cfRule type="containsText" dxfId="527" priority="543" operator="containsText" text="Sin Información">
      <formula>NOT(ISERROR(SEARCH("Sin Información",E1533)))</formula>
    </cfRule>
  </conditionalFormatting>
  <conditionalFormatting sqref="E1533">
    <cfRule type="expression" dxfId="526" priority="542">
      <formula>E1533&lt;&gt;""</formula>
    </cfRule>
  </conditionalFormatting>
  <conditionalFormatting sqref="F1533">
    <cfRule type="expression" dxfId="525" priority="541">
      <formula>F1533&lt;&gt;""</formula>
    </cfRule>
  </conditionalFormatting>
  <conditionalFormatting sqref="C1534:D1534">
    <cfRule type="containsText" dxfId="524" priority="540" operator="containsText" text="NO+$D$4:$D$10">
      <formula>NOT(ISERROR(SEARCH("NO+$D$4:$D$10",C1534)))</formula>
    </cfRule>
  </conditionalFormatting>
  <conditionalFormatting sqref="C1534:D1534">
    <cfRule type="containsText" dxfId="523" priority="538" operator="containsText" text="SI">
      <formula>NOT(ISERROR(SEARCH("SI",C1534)))</formula>
    </cfRule>
    <cfRule type="containsText" dxfId="522" priority="539" operator="containsText" text="NO">
      <formula>NOT(ISERROR(SEARCH("NO",C1534)))</formula>
    </cfRule>
  </conditionalFormatting>
  <conditionalFormatting sqref="C1534:D1534">
    <cfRule type="containsText" dxfId="521" priority="537" operator="containsText" text="NUEVO">
      <formula>NOT(ISERROR(SEARCH("NUEVO",C1534)))</formula>
    </cfRule>
  </conditionalFormatting>
  <conditionalFormatting sqref="F1534">
    <cfRule type="expression" dxfId="520" priority="536">
      <formula>F1534&lt;&gt;""</formula>
    </cfRule>
  </conditionalFormatting>
  <conditionalFormatting sqref="E1534">
    <cfRule type="containsText" dxfId="519" priority="535" operator="containsText" text="NUEVO">
      <formula>NOT(ISERROR(SEARCH("NUEVO",E1534)))</formula>
    </cfRule>
  </conditionalFormatting>
  <conditionalFormatting sqref="E1534">
    <cfRule type="containsText" dxfId="518" priority="534" operator="containsText" text="Sin Información">
      <formula>NOT(ISERROR(SEARCH("Sin Información",E1534)))</formula>
    </cfRule>
  </conditionalFormatting>
  <conditionalFormatting sqref="C1535:D1535">
    <cfRule type="containsText" dxfId="517" priority="533" operator="containsText" text="NO+$D$4:$D$10">
      <formula>NOT(ISERROR(SEARCH("NO+$D$4:$D$10",C1535)))</formula>
    </cfRule>
  </conditionalFormatting>
  <conditionalFormatting sqref="C1535:D1535">
    <cfRule type="containsText" dxfId="516" priority="531" operator="containsText" text="SI">
      <formula>NOT(ISERROR(SEARCH("SI",C1535)))</formula>
    </cfRule>
    <cfRule type="containsText" dxfId="515" priority="532" operator="containsText" text="NO">
      <formula>NOT(ISERROR(SEARCH("NO",C1535)))</formula>
    </cfRule>
  </conditionalFormatting>
  <conditionalFormatting sqref="C1535:E1535">
    <cfRule type="containsText" dxfId="514" priority="530" operator="containsText" text="NUEVO">
      <formula>NOT(ISERROR(SEARCH("NUEVO",C1535)))</formula>
    </cfRule>
  </conditionalFormatting>
  <conditionalFormatting sqref="E1535">
    <cfRule type="containsText" dxfId="513" priority="529" operator="containsText" text="Sin Información">
      <formula>NOT(ISERROR(SEARCH("Sin Información",E1535)))</formula>
    </cfRule>
  </conditionalFormatting>
  <conditionalFormatting sqref="E1535:F1535">
    <cfRule type="expression" dxfId="512" priority="528">
      <formula>E1535&lt;&gt;""</formula>
    </cfRule>
  </conditionalFormatting>
  <conditionalFormatting sqref="C1536:D1536">
    <cfRule type="containsText" dxfId="511" priority="527" operator="containsText" text="NO+$D$4:$D$10">
      <formula>NOT(ISERROR(SEARCH("NO+$D$4:$D$10",C1536)))</formula>
    </cfRule>
  </conditionalFormatting>
  <conditionalFormatting sqref="C1536:D1536">
    <cfRule type="containsText" dxfId="510" priority="525" operator="containsText" text="SI">
      <formula>NOT(ISERROR(SEARCH("SI",C1536)))</formula>
    </cfRule>
    <cfRule type="containsText" dxfId="509" priority="526" operator="containsText" text="NO">
      <formula>NOT(ISERROR(SEARCH("NO",C1536)))</formula>
    </cfRule>
  </conditionalFormatting>
  <conditionalFormatting sqref="C1536:D1536">
    <cfRule type="containsText" dxfId="508" priority="524" operator="containsText" text="NUEVO">
      <formula>NOT(ISERROR(SEARCH("NUEVO",C1536)))</formula>
    </cfRule>
  </conditionalFormatting>
  <conditionalFormatting sqref="F1536">
    <cfRule type="expression" dxfId="507" priority="523">
      <formula>F1536&lt;&gt;""</formula>
    </cfRule>
  </conditionalFormatting>
  <conditionalFormatting sqref="E1536">
    <cfRule type="containsText" dxfId="506" priority="522" operator="containsText" text="NUEVO">
      <formula>NOT(ISERROR(SEARCH("NUEVO",E1536)))</formula>
    </cfRule>
  </conditionalFormatting>
  <conditionalFormatting sqref="E1536">
    <cfRule type="containsText" dxfId="505" priority="521" operator="containsText" text="Sin Información">
      <formula>NOT(ISERROR(SEARCH("Sin Información",E1536)))</formula>
    </cfRule>
  </conditionalFormatting>
  <conditionalFormatting sqref="E1536">
    <cfRule type="expression" dxfId="504" priority="520">
      <formula>E1536&lt;&gt;""</formula>
    </cfRule>
  </conditionalFormatting>
  <conditionalFormatting sqref="C1538:D1538">
    <cfRule type="containsText" dxfId="503" priority="511" operator="containsText" text="NO+$D$4:$D$10">
      <formula>NOT(ISERROR(SEARCH("NO+$D$4:$D$10",C1538)))</formula>
    </cfRule>
  </conditionalFormatting>
  <conditionalFormatting sqref="C1538:D1538">
    <cfRule type="containsText" dxfId="502" priority="509" operator="containsText" text="SI">
      <formula>NOT(ISERROR(SEARCH("SI",C1538)))</formula>
    </cfRule>
    <cfRule type="containsText" dxfId="501" priority="510" operator="containsText" text="NO">
      <formula>NOT(ISERROR(SEARCH("NO",C1538)))</formula>
    </cfRule>
  </conditionalFormatting>
  <conditionalFormatting sqref="C1538:D1538">
    <cfRule type="containsText" dxfId="500" priority="508" operator="containsText" text="NUEVO">
      <formula>NOT(ISERROR(SEARCH("NUEVO",C1538)))</formula>
    </cfRule>
  </conditionalFormatting>
  <conditionalFormatting sqref="E1538">
    <cfRule type="containsText" dxfId="499" priority="507" operator="containsText" text="NUEVO">
      <formula>NOT(ISERROR(SEARCH("NUEVO",E1538)))</formula>
    </cfRule>
  </conditionalFormatting>
  <conditionalFormatting sqref="E1538">
    <cfRule type="containsText" dxfId="498" priority="506" operator="containsText" text="Sin Información">
      <formula>NOT(ISERROR(SEARCH("Sin Información",E1538)))</formula>
    </cfRule>
  </conditionalFormatting>
  <conditionalFormatting sqref="E1538">
    <cfRule type="expression" dxfId="497" priority="505">
      <formula>E1538&lt;&gt;""</formula>
    </cfRule>
  </conditionalFormatting>
  <conditionalFormatting sqref="F1538">
    <cfRule type="expression" dxfId="496" priority="504">
      <formula>F1538&lt;&gt;""</formula>
    </cfRule>
  </conditionalFormatting>
  <conditionalFormatting sqref="C1539:D1539">
    <cfRule type="containsText" dxfId="495" priority="503" operator="containsText" text="NO+$D$4:$D$10">
      <formula>NOT(ISERROR(SEARCH("NO+$D$4:$D$10",C1539)))</formula>
    </cfRule>
  </conditionalFormatting>
  <conditionalFormatting sqref="C1539:D1539">
    <cfRule type="containsText" dxfId="494" priority="501" operator="containsText" text="SI">
      <formula>NOT(ISERROR(SEARCH("SI",C1539)))</formula>
    </cfRule>
    <cfRule type="containsText" dxfId="493" priority="502" operator="containsText" text="NO">
      <formula>NOT(ISERROR(SEARCH("NO",C1539)))</formula>
    </cfRule>
  </conditionalFormatting>
  <conditionalFormatting sqref="C1539:D1539">
    <cfRule type="containsText" dxfId="492" priority="500" operator="containsText" text="NUEVO">
      <formula>NOT(ISERROR(SEARCH("NUEVO",C1539)))</formula>
    </cfRule>
  </conditionalFormatting>
  <conditionalFormatting sqref="F1539">
    <cfRule type="expression" dxfId="491" priority="499">
      <formula>F1539&lt;&gt;""</formula>
    </cfRule>
  </conditionalFormatting>
  <conditionalFormatting sqref="E1539">
    <cfRule type="containsText" dxfId="490" priority="497" operator="containsText" text="Sin Información">
      <formula>NOT(ISERROR(SEARCH("Sin Información",E1539)))</formula>
    </cfRule>
  </conditionalFormatting>
  <conditionalFormatting sqref="E1539">
    <cfRule type="containsText" dxfId="489" priority="498" operator="containsText" text="NUEVO">
      <formula>NOT(ISERROR(SEARCH("NUEVO",E1539)))</formula>
    </cfRule>
  </conditionalFormatting>
  <conditionalFormatting sqref="E1539">
    <cfRule type="expression" dxfId="488" priority="496">
      <formula>E1539&lt;&gt;""</formula>
    </cfRule>
  </conditionalFormatting>
  <conditionalFormatting sqref="E1539">
    <cfRule type="containsText" dxfId="487" priority="495" operator="containsText" text="Sin información">
      <formula>NOT(ISERROR(SEARCH("Sin información",E1539)))</formula>
    </cfRule>
  </conditionalFormatting>
  <conditionalFormatting sqref="E1539">
    <cfRule type="expression" dxfId="486" priority="494">
      <formula>E1539&lt;&gt;""</formula>
    </cfRule>
  </conditionalFormatting>
  <conditionalFormatting sqref="E1539">
    <cfRule type="containsText" dxfId="485" priority="493" operator="containsText" text="NUEVO">
      <formula>NOT(ISERROR(SEARCH("NUEVO",E1539)))</formula>
    </cfRule>
  </conditionalFormatting>
  <conditionalFormatting sqref="E1539">
    <cfRule type="containsText" dxfId="484" priority="492" operator="containsText" text="Sin Información">
      <formula>NOT(ISERROR(SEARCH("Sin Información",E1539)))</formula>
    </cfRule>
  </conditionalFormatting>
  <conditionalFormatting sqref="E1539">
    <cfRule type="expression" dxfId="483" priority="491">
      <formula>E1539&lt;&gt;""</formula>
    </cfRule>
  </conditionalFormatting>
  <conditionalFormatting sqref="C1540:D1540">
    <cfRule type="containsText" dxfId="482" priority="490" operator="containsText" text="NO+$D$4:$D$10">
      <formula>NOT(ISERROR(SEARCH("NO+$D$4:$D$10",C1540)))</formula>
    </cfRule>
  </conditionalFormatting>
  <conditionalFormatting sqref="C1540:D1540">
    <cfRule type="containsText" dxfId="481" priority="488" operator="containsText" text="SI">
      <formula>NOT(ISERROR(SEARCH("SI",C1540)))</formula>
    </cfRule>
    <cfRule type="containsText" dxfId="480" priority="489" operator="containsText" text="NO">
      <formula>NOT(ISERROR(SEARCH("NO",C1540)))</formula>
    </cfRule>
  </conditionalFormatting>
  <conditionalFormatting sqref="C1540:E1540">
    <cfRule type="containsText" dxfId="479" priority="487" operator="containsText" text="NUEVO">
      <formula>NOT(ISERROR(SEARCH("NUEVO",C1540)))</formula>
    </cfRule>
  </conditionalFormatting>
  <conditionalFormatting sqref="E1540">
    <cfRule type="containsText" dxfId="478" priority="486" operator="containsText" text="Sin Información">
      <formula>NOT(ISERROR(SEARCH("Sin Información",E1540)))</formula>
    </cfRule>
  </conditionalFormatting>
  <conditionalFormatting sqref="E1540:F1540">
    <cfRule type="expression" dxfId="477" priority="485">
      <formula>E1540&lt;&gt;""</formula>
    </cfRule>
  </conditionalFormatting>
  <conditionalFormatting sqref="C1541:D1541">
    <cfRule type="containsText" dxfId="476" priority="484" operator="containsText" text="NO+$D$4:$D$10">
      <formula>NOT(ISERROR(SEARCH("NO+$D$4:$D$10",C1541)))</formula>
    </cfRule>
  </conditionalFormatting>
  <conditionalFormatting sqref="C1541:D1541">
    <cfRule type="containsText" dxfId="475" priority="482" operator="containsText" text="SI">
      <formula>NOT(ISERROR(SEARCH("SI",C1541)))</formula>
    </cfRule>
    <cfRule type="containsText" dxfId="474" priority="483" operator="containsText" text="NO">
      <formula>NOT(ISERROR(SEARCH("NO",C1541)))</formula>
    </cfRule>
  </conditionalFormatting>
  <conditionalFormatting sqref="C1541:E1541">
    <cfRule type="containsText" dxfId="473" priority="481" operator="containsText" text="NUEVO">
      <formula>NOT(ISERROR(SEARCH("NUEVO",C1541)))</formula>
    </cfRule>
  </conditionalFormatting>
  <conditionalFormatting sqref="E1541">
    <cfRule type="containsText" dxfId="472" priority="480" operator="containsText" text="Sin Información">
      <formula>NOT(ISERROR(SEARCH("Sin Información",E1541)))</formula>
    </cfRule>
  </conditionalFormatting>
  <conditionalFormatting sqref="E1541:F1541">
    <cfRule type="expression" dxfId="471" priority="479">
      <formula>E1541&lt;&gt;""</formula>
    </cfRule>
  </conditionalFormatting>
  <conditionalFormatting sqref="C1542:D1542">
    <cfRule type="containsText" dxfId="470" priority="478" operator="containsText" text="NO+$D$4:$D$10">
      <formula>NOT(ISERROR(SEARCH("NO+$D$4:$D$10",C1542)))</formula>
    </cfRule>
  </conditionalFormatting>
  <conditionalFormatting sqref="C1542:D1542">
    <cfRule type="containsText" dxfId="469" priority="476" operator="containsText" text="SI">
      <formula>NOT(ISERROR(SEARCH("SI",C1542)))</formula>
    </cfRule>
    <cfRule type="containsText" dxfId="468" priority="477" operator="containsText" text="NO">
      <formula>NOT(ISERROR(SEARCH("NO",C1542)))</formula>
    </cfRule>
  </conditionalFormatting>
  <conditionalFormatting sqref="C1542:E1542">
    <cfRule type="containsText" dxfId="467" priority="475" operator="containsText" text="NUEVO">
      <formula>NOT(ISERROR(SEARCH("NUEVO",C1542)))</formula>
    </cfRule>
  </conditionalFormatting>
  <conditionalFormatting sqref="E1542">
    <cfRule type="containsText" dxfId="466" priority="474" operator="containsText" text="Sin Información">
      <formula>NOT(ISERROR(SEARCH("Sin Información",E1542)))</formula>
    </cfRule>
  </conditionalFormatting>
  <conditionalFormatting sqref="E1542:F1542">
    <cfRule type="expression" dxfId="465" priority="473">
      <formula>E1542&lt;&gt;""</formula>
    </cfRule>
  </conditionalFormatting>
  <conditionalFormatting sqref="C1543:D1543">
    <cfRule type="containsText" dxfId="464" priority="472" operator="containsText" text="NO+$D$4:$D$10">
      <formula>NOT(ISERROR(SEARCH("NO+$D$4:$D$10",C1543)))</formula>
    </cfRule>
  </conditionalFormatting>
  <conditionalFormatting sqref="C1543:D1543">
    <cfRule type="containsText" dxfId="463" priority="470" operator="containsText" text="SI">
      <formula>NOT(ISERROR(SEARCH("SI",C1543)))</formula>
    </cfRule>
    <cfRule type="containsText" dxfId="462" priority="471" operator="containsText" text="NO">
      <formula>NOT(ISERROR(SEARCH("NO",C1543)))</formula>
    </cfRule>
  </conditionalFormatting>
  <conditionalFormatting sqref="C1543:E1543">
    <cfRule type="containsText" dxfId="461" priority="469" operator="containsText" text="NUEVO">
      <formula>NOT(ISERROR(SEARCH("NUEVO",C1543)))</formula>
    </cfRule>
  </conditionalFormatting>
  <conditionalFormatting sqref="E1543">
    <cfRule type="containsText" dxfId="460" priority="468" operator="containsText" text="Sin Información">
      <formula>NOT(ISERROR(SEARCH("Sin Información",E1543)))</formula>
    </cfRule>
  </conditionalFormatting>
  <conditionalFormatting sqref="E1543:F1543">
    <cfRule type="expression" dxfId="459" priority="467">
      <formula>E1543&lt;&gt;""</formula>
    </cfRule>
  </conditionalFormatting>
  <conditionalFormatting sqref="C1544:D1544">
    <cfRule type="containsText" dxfId="458" priority="466" operator="containsText" text="NO+$D$4:$D$10">
      <formula>NOT(ISERROR(SEARCH("NO+$D$4:$D$10",C1544)))</formula>
    </cfRule>
  </conditionalFormatting>
  <conditionalFormatting sqref="C1544:D1544">
    <cfRule type="containsText" dxfId="457" priority="464" operator="containsText" text="SI">
      <formula>NOT(ISERROR(SEARCH("SI",C1544)))</formula>
    </cfRule>
    <cfRule type="containsText" dxfId="456" priority="465" operator="containsText" text="NO">
      <formula>NOT(ISERROR(SEARCH("NO",C1544)))</formula>
    </cfRule>
  </conditionalFormatting>
  <conditionalFormatting sqref="C1544:D1544">
    <cfRule type="containsText" dxfId="455" priority="463" operator="containsText" text="NUEVO">
      <formula>NOT(ISERROR(SEARCH("NUEVO",C1544)))</formula>
    </cfRule>
  </conditionalFormatting>
  <conditionalFormatting sqref="F1544">
    <cfRule type="expression" dxfId="454" priority="462">
      <formula>F1544&lt;&gt;""</formula>
    </cfRule>
  </conditionalFormatting>
  <conditionalFormatting sqref="E1544">
    <cfRule type="containsText" dxfId="453" priority="461" operator="containsText" text="NUEVO">
      <formula>NOT(ISERROR(SEARCH("NUEVO",E1544)))</formula>
    </cfRule>
  </conditionalFormatting>
  <conditionalFormatting sqref="E1544">
    <cfRule type="containsText" dxfId="452" priority="460" operator="containsText" text="Sin Información">
      <formula>NOT(ISERROR(SEARCH("Sin Información",E1544)))</formula>
    </cfRule>
  </conditionalFormatting>
  <conditionalFormatting sqref="E1544">
    <cfRule type="expression" dxfId="451" priority="459">
      <formula>E1544&lt;&gt;""</formula>
    </cfRule>
  </conditionalFormatting>
  <conditionalFormatting sqref="C1545:D1545">
    <cfRule type="containsText" dxfId="450" priority="458" operator="containsText" text="NO+$D$4:$D$10">
      <formula>NOT(ISERROR(SEARCH("NO+$D$4:$D$10",C1545)))</formula>
    </cfRule>
  </conditionalFormatting>
  <conditionalFormatting sqref="C1545:D1545">
    <cfRule type="containsText" dxfId="449" priority="456" operator="containsText" text="SI">
      <formula>NOT(ISERROR(SEARCH("SI",C1545)))</formula>
    </cfRule>
    <cfRule type="containsText" dxfId="448" priority="457" operator="containsText" text="NO">
      <formula>NOT(ISERROR(SEARCH("NO",C1545)))</formula>
    </cfRule>
  </conditionalFormatting>
  <conditionalFormatting sqref="C1545:D1545">
    <cfRule type="containsText" dxfId="447" priority="455" operator="containsText" text="NUEVO">
      <formula>NOT(ISERROR(SEARCH("NUEVO",C1545)))</formula>
    </cfRule>
  </conditionalFormatting>
  <conditionalFormatting sqref="F1545">
    <cfRule type="expression" dxfId="446" priority="454">
      <formula>F1545&lt;&gt;""</formula>
    </cfRule>
  </conditionalFormatting>
  <conditionalFormatting sqref="E1545">
    <cfRule type="containsText" dxfId="445" priority="453" operator="containsText" text="NUEVO">
      <formula>NOT(ISERROR(SEARCH("NUEVO",E1545)))</formula>
    </cfRule>
  </conditionalFormatting>
  <conditionalFormatting sqref="E1545">
    <cfRule type="containsText" dxfId="444" priority="452" operator="containsText" text="Sin Información">
      <formula>NOT(ISERROR(SEARCH("Sin Información",E1545)))</formula>
    </cfRule>
  </conditionalFormatting>
  <conditionalFormatting sqref="E1545">
    <cfRule type="expression" dxfId="443" priority="451">
      <formula>E1545&lt;&gt;""</formula>
    </cfRule>
  </conditionalFormatting>
  <conditionalFormatting sqref="C1546:D1546">
    <cfRule type="containsText" dxfId="442" priority="450" operator="containsText" text="NO+$D$4:$D$10">
      <formula>NOT(ISERROR(SEARCH("NO+$D$4:$D$10",C1546)))</formula>
    </cfRule>
  </conditionalFormatting>
  <conditionalFormatting sqref="C1546:D1546">
    <cfRule type="containsText" dxfId="441" priority="448" operator="containsText" text="SI">
      <formula>NOT(ISERROR(SEARCH("SI",C1546)))</formula>
    </cfRule>
    <cfRule type="containsText" dxfId="440" priority="449" operator="containsText" text="NO">
      <formula>NOT(ISERROR(SEARCH("NO",C1546)))</formula>
    </cfRule>
  </conditionalFormatting>
  <conditionalFormatting sqref="C1546:D1546">
    <cfRule type="containsText" dxfId="439" priority="447" operator="containsText" text="NUEVO">
      <formula>NOT(ISERROR(SEARCH("NUEVO",C1546)))</formula>
    </cfRule>
  </conditionalFormatting>
  <conditionalFormatting sqref="E1546">
    <cfRule type="containsText" dxfId="438" priority="446" operator="containsText" text="NUEVO">
      <formula>NOT(ISERROR(SEARCH("NUEVO",E1546)))</formula>
    </cfRule>
  </conditionalFormatting>
  <conditionalFormatting sqref="E1546">
    <cfRule type="containsText" dxfId="437" priority="445" operator="containsText" text="Sin Información">
      <formula>NOT(ISERROR(SEARCH("Sin Información",E1546)))</formula>
    </cfRule>
  </conditionalFormatting>
  <conditionalFormatting sqref="E1546">
    <cfRule type="expression" dxfId="436" priority="444">
      <formula>E1546&lt;&gt;""</formula>
    </cfRule>
  </conditionalFormatting>
  <conditionalFormatting sqref="F1546">
    <cfRule type="expression" dxfId="435" priority="443">
      <formula>F1546&lt;&gt;""</formula>
    </cfRule>
  </conditionalFormatting>
  <conditionalFormatting sqref="C1548:D1548">
    <cfRule type="containsText" dxfId="434" priority="434" operator="containsText" text="NO+$D$4:$D$10">
      <formula>NOT(ISERROR(SEARCH("NO+$D$4:$D$10",C1548)))</formula>
    </cfRule>
  </conditionalFormatting>
  <conditionalFormatting sqref="C1548:D1548">
    <cfRule type="containsText" dxfId="433" priority="432" operator="containsText" text="SI">
      <formula>NOT(ISERROR(SEARCH("SI",C1548)))</formula>
    </cfRule>
    <cfRule type="containsText" dxfId="432" priority="433" operator="containsText" text="NO">
      <formula>NOT(ISERROR(SEARCH("NO",C1548)))</formula>
    </cfRule>
  </conditionalFormatting>
  <conditionalFormatting sqref="C1548:E1548">
    <cfRule type="containsText" dxfId="431" priority="431" operator="containsText" text="NUEVO">
      <formula>NOT(ISERROR(SEARCH("NUEVO",C1548)))</formula>
    </cfRule>
  </conditionalFormatting>
  <conditionalFormatting sqref="E1548">
    <cfRule type="containsText" dxfId="430" priority="430" operator="containsText" text="Sin Información">
      <formula>NOT(ISERROR(SEARCH("Sin Información",E1548)))</formula>
    </cfRule>
  </conditionalFormatting>
  <conditionalFormatting sqref="E1548">
    <cfRule type="expression" dxfId="429" priority="429">
      <formula>E1548&lt;&gt;""</formula>
    </cfRule>
  </conditionalFormatting>
  <conditionalFormatting sqref="F1548">
    <cfRule type="expression" dxfId="428" priority="428">
      <formula>F1548&lt;&gt;""</formula>
    </cfRule>
  </conditionalFormatting>
  <conditionalFormatting sqref="C1549:D1549">
    <cfRule type="containsText" dxfId="427" priority="427" operator="containsText" text="NO+$D$4:$D$10">
      <formula>NOT(ISERROR(SEARCH("NO+$D$4:$D$10",C1549)))</formula>
    </cfRule>
  </conditionalFormatting>
  <conditionalFormatting sqref="C1549:D1549">
    <cfRule type="containsText" dxfId="426" priority="425" operator="containsText" text="SI">
      <formula>NOT(ISERROR(SEARCH("SI",C1549)))</formula>
    </cfRule>
    <cfRule type="containsText" dxfId="425" priority="426" operator="containsText" text="NO">
      <formula>NOT(ISERROR(SEARCH("NO",C1549)))</formula>
    </cfRule>
  </conditionalFormatting>
  <conditionalFormatting sqref="C1549:E1549">
    <cfRule type="containsText" dxfId="424" priority="424" operator="containsText" text="NUEVO">
      <formula>NOT(ISERROR(SEARCH("NUEVO",C1549)))</formula>
    </cfRule>
  </conditionalFormatting>
  <conditionalFormatting sqref="E1549">
    <cfRule type="containsText" dxfId="423" priority="423" operator="containsText" text="Sin Información">
      <formula>NOT(ISERROR(SEARCH("Sin Información",E1549)))</formula>
    </cfRule>
  </conditionalFormatting>
  <conditionalFormatting sqref="E1549">
    <cfRule type="expression" dxfId="422" priority="422">
      <formula>E1549&lt;&gt;""</formula>
    </cfRule>
  </conditionalFormatting>
  <conditionalFormatting sqref="F1549">
    <cfRule type="expression" dxfId="421" priority="421">
      <formula>F1549&lt;&gt;""</formula>
    </cfRule>
  </conditionalFormatting>
  <conditionalFormatting sqref="C1550:D1550">
    <cfRule type="containsText" dxfId="420" priority="420" operator="containsText" text="NO+$D$4:$D$10">
      <formula>NOT(ISERROR(SEARCH("NO+$D$4:$D$10",C1550)))</formula>
    </cfRule>
  </conditionalFormatting>
  <conditionalFormatting sqref="C1550:D1550">
    <cfRule type="containsText" dxfId="419" priority="418" operator="containsText" text="SI">
      <formula>NOT(ISERROR(SEARCH("SI",C1550)))</formula>
    </cfRule>
    <cfRule type="containsText" dxfId="418" priority="419" operator="containsText" text="NO">
      <formula>NOT(ISERROR(SEARCH("NO",C1550)))</formula>
    </cfRule>
  </conditionalFormatting>
  <conditionalFormatting sqref="C1550:E1550">
    <cfRule type="containsText" dxfId="417" priority="417" operator="containsText" text="NUEVO">
      <formula>NOT(ISERROR(SEARCH("NUEVO",C1550)))</formula>
    </cfRule>
  </conditionalFormatting>
  <conditionalFormatting sqref="E1550">
    <cfRule type="containsText" dxfId="416" priority="416" operator="containsText" text="Sin Información">
      <formula>NOT(ISERROR(SEARCH("Sin Información",E1550)))</formula>
    </cfRule>
  </conditionalFormatting>
  <conditionalFormatting sqref="E1550">
    <cfRule type="expression" dxfId="415" priority="415">
      <formula>E1550&lt;&gt;""</formula>
    </cfRule>
  </conditionalFormatting>
  <conditionalFormatting sqref="C1551:D1551">
    <cfRule type="containsText" dxfId="414" priority="414" operator="containsText" text="NO+$D$4:$D$10">
      <formula>NOT(ISERROR(SEARCH("NO+$D$4:$D$10",C1551)))</formula>
    </cfRule>
  </conditionalFormatting>
  <conditionalFormatting sqref="C1551:D1551">
    <cfRule type="containsText" dxfId="413" priority="412" operator="containsText" text="SI">
      <formula>NOT(ISERROR(SEARCH("SI",C1551)))</formula>
    </cfRule>
    <cfRule type="containsText" dxfId="412" priority="413" operator="containsText" text="NO">
      <formula>NOT(ISERROR(SEARCH("NO",C1551)))</formula>
    </cfRule>
  </conditionalFormatting>
  <conditionalFormatting sqref="C1551:E1551">
    <cfRule type="containsText" dxfId="411" priority="411" operator="containsText" text="NUEVO">
      <formula>NOT(ISERROR(SEARCH("NUEVO",C1551)))</formula>
    </cfRule>
  </conditionalFormatting>
  <conditionalFormatting sqref="E1551">
    <cfRule type="containsText" dxfId="410" priority="410" operator="containsText" text="Sin Información">
      <formula>NOT(ISERROR(SEARCH("Sin Información",E1551)))</formula>
    </cfRule>
  </conditionalFormatting>
  <conditionalFormatting sqref="E1551">
    <cfRule type="expression" dxfId="409" priority="409">
      <formula>E1551&lt;&gt;""</formula>
    </cfRule>
  </conditionalFormatting>
  <conditionalFormatting sqref="C1552:D1552">
    <cfRule type="containsText" dxfId="408" priority="408" operator="containsText" text="NO+$D$4:$D$10">
      <formula>NOT(ISERROR(SEARCH("NO+$D$4:$D$10",C1552)))</formula>
    </cfRule>
  </conditionalFormatting>
  <conditionalFormatting sqref="C1552:D1552">
    <cfRule type="containsText" dxfId="407" priority="406" operator="containsText" text="SI">
      <formula>NOT(ISERROR(SEARCH("SI",C1552)))</formula>
    </cfRule>
    <cfRule type="containsText" dxfId="406" priority="407" operator="containsText" text="NO">
      <formula>NOT(ISERROR(SEARCH("NO",C1552)))</formula>
    </cfRule>
  </conditionalFormatting>
  <conditionalFormatting sqref="C1552:D1552">
    <cfRule type="containsText" dxfId="405" priority="405" operator="containsText" text="NUEVO">
      <formula>NOT(ISERROR(SEARCH("NUEVO",C1552)))</formula>
    </cfRule>
  </conditionalFormatting>
  <conditionalFormatting sqref="E1552">
    <cfRule type="containsText" dxfId="404" priority="404" operator="containsText" text="NUEVO">
      <formula>NOT(ISERROR(SEARCH("NUEVO",E1552)))</formula>
    </cfRule>
  </conditionalFormatting>
  <conditionalFormatting sqref="E1552">
    <cfRule type="containsText" dxfId="403" priority="403" operator="containsText" text="Sin Información">
      <formula>NOT(ISERROR(SEARCH("Sin Información",E1552)))</formula>
    </cfRule>
  </conditionalFormatting>
  <conditionalFormatting sqref="E1552">
    <cfRule type="expression" dxfId="402" priority="402">
      <formula>E1552&lt;&gt;""</formula>
    </cfRule>
  </conditionalFormatting>
  <conditionalFormatting sqref="C1641:D1641">
    <cfRule type="containsText" dxfId="401" priority="401" operator="containsText" text="NO+$D$4:$D$10">
      <formula>NOT(ISERROR(SEARCH("NO+$D$4:$D$10",C1641)))</formula>
    </cfRule>
  </conditionalFormatting>
  <conditionalFormatting sqref="C1641:D1641">
    <cfRule type="containsText" dxfId="400" priority="399" operator="containsText" text="SI">
      <formula>NOT(ISERROR(SEARCH("SI",C1641)))</formula>
    </cfRule>
    <cfRule type="containsText" dxfId="399" priority="400" operator="containsText" text="NO">
      <formula>NOT(ISERROR(SEARCH("NO",C1641)))</formula>
    </cfRule>
  </conditionalFormatting>
  <conditionalFormatting sqref="C1641:E1641">
    <cfRule type="containsText" dxfId="398" priority="398" operator="containsText" text="NUEVO">
      <formula>NOT(ISERROR(SEARCH("NUEVO",C1641)))</formula>
    </cfRule>
  </conditionalFormatting>
  <conditionalFormatting sqref="E1641">
    <cfRule type="containsText" dxfId="397" priority="397" operator="containsText" text="Sin Información">
      <formula>NOT(ISERROR(SEARCH("Sin Información",E1641)))</formula>
    </cfRule>
  </conditionalFormatting>
  <conditionalFormatting sqref="E1641:F1641">
    <cfRule type="expression" dxfId="396" priority="396">
      <formula>E1641&lt;&gt;""</formula>
    </cfRule>
  </conditionalFormatting>
  <conditionalFormatting sqref="C1642:D1642">
    <cfRule type="containsText" dxfId="395" priority="395" operator="containsText" text="NO+$D$4:$D$10">
      <formula>NOT(ISERROR(SEARCH("NO+$D$4:$D$10",C1642)))</formula>
    </cfRule>
  </conditionalFormatting>
  <conditionalFormatting sqref="C1642:D1642">
    <cfRule type="containsText" dxfId="394" priority="393" operator="containsText" text="SI">
      <formula>NOT(ISERROR(SEARCH("SI",C1642)))</formula>
    </cfRule>
    <cfRule type="containsText" dxfId="393" priority="394" operator="containsText" text="NO">
      <formula>NOT(ISERROR(SEARCH("NO",C1642)))</formula>
    </cfRule>
  </conditionalFormatting>
  <conditionalFormatting sqref="C1642:E1642">
    <cfRule type="containsText" dxfId="392" priority="392" operator="containsText" text="NUEVO">
      <formula>NOT(ISERROR(SEARCH("NUEVO",C1642)))</formula>
    </cfRule>
  </conditionalFormatting>
  <conditionalFormatting sqref="E1642">
    <cfRule type="containsText" dxfId="391" priority="391" operator="containsText" text="Sin Información">
      <formula>NOT(ISERROR(SEARCH("Sin Información",E1642)))</formula>
    </cfRule>
  </conditionalFormatting>
  <conditionalFormatting sqref="E1642:F1642">
    <cfRule type="expression" dxfId="390" priority="390">
      <formula>E1642&lt;&gt;""</formula>
    </cfRule>
  </conditionalFormatting>
  <conditionalFormatting sqref="C1643:D1643">
    <cfRule type="containsText" dxfId="389" priority="381" operator="containsText" text="NO+$D$4:$D$10">
      <formula>NOT(ISERROR(SEARCH("NO+$D$4:$D$10",C1643)))</formula>
    </cfRule>
  </conditionalFormatting>
  <conditionalFormatting sqref="C1643:D1643">
    <cfRule type="containsText" dxfId="388" priority="379" operator="containsText" text="SI">
      <formula>NOT(ISERROR(SEARCH("SI",C1643)))</formula>
    </cfRule>
    <cfRule type="containsText" dxfId="387" priority="380" operator="containsText" text="NO">
      <formula>NOT(ISERROR(SEARCH("NO",C1643)))</formula>
    </cfRule>
  </conditionalFormatting>
  <conditionalFormatting sqref="C1643:D1643">
    <cfRule type="containsText" dxfId="386" priority="378" operator="containsText" text="NUEVO">
      <formula>NOT(ISERROR(SEARCH("NUEVO",C1643)))</formula>
    </cfRule>
  </conditionalFormatting>
  <conditionalFormatting sqref="F1643">
    <cfRule type="expression" dxfId="385" priority="377">
      <formula>F1643&lt;&gt;""</formula>
    </cfRule>
  </conditionalFormatting>
  <conditionalFormatting sqref="E1643">
    <cfRule type="containsText" dxfId="384" priority="376" operator="containsText" text="NUEVO">
      <formula>NOT(ISERROR(SEARCH("NUEVO",E1643)))</formula>
    </cfRule>
  </conditionalFormatting>
  <conditionalFormatting sqref="E1643">
    <cfRule type="containsText" dxfId="383" priority="375" operator="containsText" text="Sin Información">
      <formula>NOT(ISERROR(SEARCH("Sin Información",E1643)))</formula>
    </cfRule>
  </conditionalFormatting>
  <conditionalFormatting sqref="E1643">
    <cfRule type="expression" dxfId="382" priority="374">
      <formula>E1643&lt;&gt;""</formula>
    </cfRule>
  </conditionalFormatting>
  <conditionalFormatting sqref="C1644:D1644">
    <cfRule type="containsText" dxfId="381" priority="373" operator="containsText" text="NO+$D$4:$D$10">
      <formula>NOT(ISERROR(SEARCH("NO+$D$4:$D$10",C1644)))</formula>
    </cfRule>
  </conditionalFormatting>
  <conditionalFormatting sqref="C1644:D1644">
    <cfRule type="containsText" dxfId="380" priority="371" operator="containsText" text="SI">
      <formula>NOT(ISERROR(SEARCH("SI",C1644)))</formula>
    </cfRule>
    <cfRule type="containsText" dxfId="379" priority="372" operator="containsText" text="NO">
      <formula>NOT(ISERROR(SEARCH("NO",C1644)))</formula>
    </cfRule>
  </conditionalFormatting>
  <conditionalFormatting sqref="C1644:E1644">
    <cfRule type="containsText" dxfId="378" priority="370" operator="containsText" text="NUEVO">
      <formula>NOT(ISERROR(SEARCH("NUEVO",C1644)))</formula>
    </cfRule>
  </conditionalFormatting>
  <conditionalFormatting sqref="E1644">
    <cfRule type="containsText" dxfId="377" priority="369" operator="containsText" text="Sin Información">
      <formula>NOT(ISERROR(SEARCH("Sin Información",E1644)))</formula>
    </cfRule>
  </conditionalFormatting>
  <conditionalFormatting sqref="E1644:F1644">
    <cfRule type="expression" dxfId="376" priority="368">
      <formula>E1644&lt;&gt;""</formula>
    </cfRule>
  </conditionalFormatting>
  <conditionalFormatting sqref="C1645:D1645">
    <cfRule type="containsText" dxfId="375" priority="367" operator="containsText" text="NO+$D$4:$D$10">
      <formula>NOT(ISERROR(SEARCH("NO+$D$4:$D$10",C1645)))</formula>
    </cfRule>
  </conditionalFormatting>
  <conditionalFormatting sqref="C1645:D1645">
    <cfRule type="containsText" dxfId="374" priority="365" operator="containsText" text="SI">
      <formula>NOT(ISERROR(SEARCH("SI",C1645)))</formula>
    </cfRule>
    <cfRule type="containsText" dxfId="373" priority="366" operator="containsText" text="NO">
      <formula>NOT(ISERROR(SEARCH("NO",C1645)))</formula>
    </cfRule>
  </conditionalFormatting>
  <conditionalFormatting sqref="C1645:D1645">
    <cfRule type="containsText" dxfId="372" priority="364" operator="containsText" text="NUEVO">
      <formula>NOT(ISERROR(SEARCH("NUEVO",C1645)))</formula>
    </cfRule>
  </conditionalFormatting>
  <conditionalFormatting sqref="F1645">
    <cfRule type="expression" dxfId="371" priority="363">
      <formula>F1645&lt;&gt;""</formula>
    </cfRule>
  </conditionalFormatting>
  <conditionalFormatting sqref="E1645">
    <cfRule type="containsText" dxfId="370" priority="362" operator="containsText" text="NUEVO">
      <formula>NOT(ISERROR(SEARCH("NUEVO",E1645)))</formula>
    </cfRule>
  </conditionalFormatting>
  <conditionalFormatting sqref="E1645">
    <cfRule type="containsText" dxfId="369" priority="361" operator="containsText" text="Sin Información">
      <formula>NOT(ISERROR(SEARCH("Sin Información",E1645)))</formula>
    </cfRule>
  </conditionalFormatting>
  <conditionalFormatting sqref="E1645">
    <cfRule type="expression" dxfId="368" priority="360">
      <formula>E1645&lt;&gt;""</formula>
    </cfRule>
  </conditionalFormatting>
  <conditionalFormatting sqref="C1646:D1646">
    <cfRule type="containsText" dxfId="367" priority="359" operator="containsText" text="NO+$D$4:$D$10">
      <formula>NOT(ISERROR(SEARCH("NO+$D$4:$D$10",C1646)))</formula>
    </cfRule>
  </conditionalFormatting>
  <conditionalFormatting sqref="C1646:D1646">
    <cfRule type="containsText" dxfId="366" priority="357" operator="containsText" text="SI">
      <formula>NOT(ISERROR(SEARCH("SI",C1646)))</formula>
    </cfRule>
    <cfRule type="containsText" dxfId="365" priority="358" operator="containsText" text="NO">
      <formula>NOT(ISERROR(SEARCH("NO",C1646)))</formula>
    </cfRule>
  </conditionalFormatting>
  <conditionalFormatting sqref="C1646:E1646">
    <cfRule type="containsText" dxfId="364" priority="356" operator="containsText" text="NUEVO">
      <formula>NOT(ISERROR(SEARCH("NUEVO",C1646)))</formula>
    </cfRule>
  </conditionalFormatting>
  <conditionalFormatting sqref="E1646">
    <cfRule type="containsText" dxfId="363" priority="355" operator="containsText" text="Sin Información">
      <formula>NOT(ISERROR(SEARCH("Sin Información",E1646)))</formula>
    </cfRule>
  </conditionalFormatting>
  <conditionalFormatting sqref="E1646:F1646">
    <cfRule type="expression" dxfId="362" priority="354">
      <formula>E1646&lt;&gt;""</formula>
    </cfRule>
  </conditionalFormatting>
  <conditionalFormatting sqref="C1647:D1647">
    <cfRule type="containsText" dxfId="361" priority="353" operator="containsText" text="NO+$D$4:$D$10">
      <formula>NOT(ISERROR(SEARCH("NO+$D$4:$D$10",C1647)))</formula>
    </cfRule>
  </conditionalFormatting>
  <conditionalFormatting sqref="C1647:D1647">
    <cfRule type="containsText" dxfId="360" priority="351" operator="containsText" text="SI">
      <formula>NOT(ISERROR(SEARCH("SI",C1647)))</formula>
    </cfRule>
    <cfRule type="containsText" dxfId="359" priority="352" operator="containsText" text="NO">
      <formula>NOT(ISERROR(SEARCH("NO",C1647)))</formula>
    </cfRule>
  </conditionalFormatting>
  <conditionalFormatting sqref="C1647:D1647">
    <cfRule type="containsText" dxfId="358" priority="350" operator="containsText" text="NUEVO">
      <formula>NOT(ISERROR(SEARCH("NUEVO",C1647)))</formula>
    </cfRule>
  </conditionalFormatting>
  <conditionalFormatting sqref="E1647">
    <cfRule type="containsText" dxfId="357" priority="349" operator="containsText" text="NUEVO">
      <formula>NOT(ISERROR(SEARCH("NUEVO",E1647)))</formula>
    </cfRule>
  </conditionalFormatting>
  <conditionalFormatting sqref="E1647">
    <cfRule type="containsText" dxfId="356" priority="348" operator="containsText" text="Sin Información">
      <formula>NOT(ISERROR(SEARCH("Sin Información",E1647)))</formula>
    </cfRule>
  </conditionalFormatting>
  <conditionalFormatting sqref="E1647">
    <cfRule type="expression" dxfId="355" priority="347">
      <formula>E1647&lt;&gt;""</formula>
    </cfRule>
  </conditionalFormatting>
  <conditionalFormatting sqref="F1647">
    <cfRule type="expression" dxfId="354" priority="346">
      <formula>F1647&lt;&gt;""</formula>
    </cfRule>
  </conditionalFormatting>
  <conditionalFormatting sqref="C1648:D1648">
    <cfRule type="containsText" dxfId="353" priority="345" operator="containsText" text="NO+$D$4:$D$10">
      <formula>NOT(ISERROR(SEARCH("NO+$D$4:$D$10",C1648)))</formula>
    </cfRule>
  </conditionalFormatting>
  <conditionalFormatting sqref="C1648:D1648">
    <cfRule type="containsText" dxfId="352" priority="343" operator="containsText" text="SI">
      <formula>NOT(ISERROR(SEARCH("SI",C1648)))</formula>
    </cfRule>
    <cfRule type="containsText" dxfId="351" priority="344" operator="containsText" text="NO">
      <formula>NOT(ISERROR(SEARCH("NO",C1648)))</formula>
    </cfRule>
  </conditionalFormatting>
  <conditionalFormatting sqref="C1648:D1648">
    <cfRule type="containsText" dxfId="350" priority="342" operator="containsText" text="NUEVO">
      <formula>NOT(ISERROR(SEARCH("NUEVO",C1648)))</formula>
    </cfRule>
  </conditionalFormatting>
  <conditionalFormatting sqref="C1649:D1649">
    <cfRule type="containsText" dxfId="349" priority="341" operator="containsText" text="NO+$D$4:$D$10">
      <formula>NOT(ISERROR(SEARCH("NO+$D$4:$D$10",C1649)))</formula>
    </cfRule>
  </conditionalFormatting>
  <conditionalFormatting sqref="C1649:D1649">
    <cfRule type="containsText" dxfId="348" priority="339" operator="containsText" text="SI">
      <formula>NOT(ISERROR(SEARCH("SI",C1649)))</formula>
    </cfRule>
    <cfRule type="containsText" dxfId="347" priority="340" operator="containsText" text="NO">
      <formula>NOT(ISERROR(SEARCH("NO",C1649)))</formula>
    </cfRule>
  </conditionalFormatting>
  <conditionalFormatting sqref="C1649:D1649">
    <cfRule type="containsText" dxfId="346" priority="338" operator="containsText" text="NUEVO">
      <formula>NOT(ISERROR(SEARCH("NUEVO",C1649)))</formula>
    </cfRule>
  </conditionalFormatting>
  <conditionalFormatting sqref="E1649">
    <cfRule type="containsText" dxfId="345" priority="337" operator="containsText" text="NUEVO">
      <formula>NOT(ISERROR(SEARCH("NUEVO",E1649)))</formula>
    </cfRule>
  </conditionalFormatting>
  <conditionalFormatting sqref="E1649">
    <cfRule type="containsText" dxfId="344" priority="336" operator="containsText" text="Sin Información">
      <formula>NOT(ISERROR(SEARCH("Sin Información",E1649)))</formula>
    </cfRule>
  </conditionalFormatting>
  <conditionalFormatting sqref="E1649">
    <cfRule type="expression" dxfId="343" priority="335">
      <formula>E1649&lt;&gt;""</formula>
    </cfRule>
  </conditionalFormatting>
  <conditionalFormatting sqref="C1650:D1650">
    <cfRule type="containsText" dxfId="342" priority="334" operator="containsText" text="NO+$D$4:$D$10">
      <formula>NOT(ISERROR(SEARCH("NO+$D$4:$D$10",C1650)))</formula>
    </cfRule>
  </conditionalFormatting>
  <conditionalFormatting sqref="C1650:D1650">
    <cfRule type="containsText" dxfId="341" priority="332" operator="containsText" text="SI">
      <formula>NOT(ISERROR(SEARCH("SI",C1650)))</formula>
    </cfRule>
    <cfRule type="containsText" dxfId="340" priority="333" operator="containsText" text="NO">
      <formula>NOT(ISERROR(SEARCH("NO",C1650)))</formula>
    </cfRule>
  </conditionalFormatting>
  <conditionalFormatting sqref="C1650:D1650">
    <cfRule type="containsText" dxfId="339" priority="331" operator="containsText" text="NUEVO">
      <formula>NOT(ISERROR(SEARCH("NUEVO",C1650)))</formula>
    </cfRule>
  </conditionalFormatting>
  <conditionalFormatting sqref="E1650">
    <cfRule type="containsText" dxfId="338" priority="330" operator="containsText" text="NUEVO">
      <formula>NOT(ISERROR(SEARCH("NUEVO",E1650)))</formula>
    </cfRule>
  </conditionalFormatting>
  <conditionalFormatting sqref="E1650">
    <cfRule type="containsText" dxfId="337" priority="329" operator="containsText" text="Sin Información">
      <formula>NOT(ISERROR(SEARCH("Sin Información",E1650)))</formula>
    </cfRule>
  </conditionalFormatting>
  <conditionalFormatting sqref="E1650">
    <cfRule type="expression" dxfId="336" priority="328">
      <formula>E1650&lt;&gt;""</formula>
    </cfRule>
  </conditionalFormatting>
  <conditionalFormatting sqref="F1650">
    <cfRule type="expression" dxfId="335" priority="327">
      <formula>F1650&lt;&gt;""</formula>
    </cfRule>
  </conditionalFormatting>
  <conditionalFormatting sqref="C1651:D1651">
    <cfRule type="containsText" dxfId="334" priority="326" operator="containsText" text="NO+$D$4:$D$10">
      <formula>NOT(ISERROR(SEARCH("NO+$D$4:$D$10",C1651)))</formula>
    </cfRule>
  </conditionalFormatting>
  <conditionalFormatting sqref="C1651:D1651">
    <cfRule type="containsText" dxfId="333" priority="324" operator="containsText" text="SI">
      <formula>NOT(ISERROR(SEARCH("SI",C1651)))</formula>
    </cfRule>
    <cfRule type="containsText" dxfId="332" priority="325" operator="containsText" text="NO">
      <formula>NOT(ISERROR(SEARCH("NO",C1651)))</formula>
    </cfRule>
  </conditionalFormatting>
  <conditionalFormatting sqref="C1651:E1651">
    <cfRule type="containsText" dxfId="331" priority="323" operator="containsText" text="NUEVO">
      <formula>NOT(ISERROR(SEARCH("NUEVO",C1651)))</formula>
    </cfRule>
  </conditionalFormatting>
  <conditionalFormatting sqref="E1651">
    <cfRule type="containsText" dxfId="330" priority="322" operator="containsText" text="Sin Información">
      <formula>NOT(ISERROR(SEARCH("Sin Información",E1651)))</formula>
    </cfRule>
  </conditionalFormatting>
  <conditionalFormatting sqref="E1651">
    <cfRule type="expression" dxfId="329" priority="321">
      <formula>E1651&lt;&gt;""</formula>
    </cfRule>
  </conditionalFormatting>
  <conditionalFormatting sqref="C1652:D1652">
    <cfRule type="containsText" dxfId="328" priority="320" operator="containsText" text="NO+$D$4:$D$10">
      <formula>NOT(ISERROR(SEARCH("NO+$D$4:$D$10",C1652)))</formula>
    </cfRule>
  </conditionalFormatting>
  <conditionalFormatting sqref="C1652:D1652">
    <cfRule type="containsText" dxfId="327" priority="318" operator="containsText" text="SI">
      <formula>NOT(ISERROR(SEARCH("SI",C1652)))</formula>
    </cfRule>
    <cfRule type="containsText" dxfId="326" priority="319" operator="containsText" text="NO">
      <formula>NOT(ISERROR(SEARCH("NO",C1652)))</formula>
    </cfRule>
  </conditionalFormatting>
  <conditionalFormatting sqref="C1652:D1652">
    <cfRule type="containsText" dxfId="325" priority="317" operator="containsText" text="NUEVO">
      <formula>NOT(ISERROR(SEARCH("NUEVO",C1652)))</formula>
    </cfRule>
  </conditionalFormatting>
  <conditionalFormatting sqref="F1652">
    <cfRule type="expression" dxfId="324" priority="313">
      <formula>F1652&lt;&gt;""</formula>
    </cfRule>
  </conditionalFormatting>
  <conditionalFormatting sqref="E1652">
    <cfRule type="containsText" dxfId="323" priority="316" operator="containsText" text="NUEVO">
      <formula>NOT(ISERROR(SEARCH("NUEVO",E1652)))</formula>
    </cfRule>
  </conditionalFormatting>
  <conditionalFormatting sqref="E1652">
    <cfRule type="containsText" dxfId="322" priority="315" operator="containsText" text="Sin Información">
      <formula>NOT(ISERROR(SEARCH("Sin Información",E1652)))</formula>
    </cfRule>
  </conditionalFormatting>
  <conditionalFormatting sqref="E1652">
    <cfRule type="expression" dxfId="321" priority="314">
      <formula>E1652&lt;&gt;""</formula>
    </cfRule>
  </conditionalFormatting>
  <conditionalFormatting sqref="C1653:D1653">
    <cfRule type="containsText" dxfId="320" priority="312" operator="containsText" text="NO+$D$4:$D$10">
      <formula>NOT(ISERROR(SEARCH("NO+$D$4:$D$10",C1653)))</formula>
    </cfRule>
  </conditionalFormatting>
  <conditionalFormatting sqref="C1653:D1653">
    <cfRule type="containsText" dxfId="319" priority="310" operator="containsText" text="SI">
      <formula>NOT(ISERROR(SEARCH("SI",C1653)))</formula>
    </cfRule>
    <cfRule type="containsText" dxfId="318" priority="311" operator="containsText" text="NO">
      <formula>NOT(ISERROR(SEARCH("NO",C1653)))</formula>
    </cfRule>
  </conditionalFormatting>
  <conditionalFormatting sqref="C1653:D1653">
    <cfRule type="containsText" dxfId="317" priority="309" operator="containsText" text="NUEVO">
      <formula>NOT(ISERROR(SEARCH("NUEVO",C1653)))</formula>
    </cfRule>
  </conditionalFormatting>
  <conditionalFormatting sqref="F1653">
    <cfRule type="expression" dxfId="316" priority="308">
      <formula>F1653&lt;&gt;""</formula>
    </cfRule>
  </conditionalFormatting>
  <conditionalFormatting sqref="E1653">
    <cfRule type="containsText" dxfId="315" priority="307" operator="containsText" text="NUEVO">
      <formula>NOT(ISERROR(SEARCH("NUEVO",E1653)))</formula>
    </cfRule>
  </conditionalFormatting>
  <conditionalFormatting sqref="E1653">
    <cfRule type="containsText" dxfId="314" priority="306" operator="containsText" text="Sin Información">
      <formula>NOT(ISERROR(SEARCH("Sin Información",E1653)))</formula>
    </cfRule>
  </conditionalFormatting>
  <conditionalFormatting sqref="E1653">
    <cfRule type="expression" dxfId="313" priority="305">
      <formula>E1653&lt;&gt;""</formula>
    </cfRule>
  </conditionalFormatting>
  <conditionalFormatting sqref="C1654:D1654">
    <cfRule type="containsText" dxfId="312" priority="304" operator="containsText" text="NO+$D$4:$D$10">
      <formula>NOT(ISERROR(SEARCH("NO+$D$4:$D$10",C1654)))</formula>
    </cfRule>
  </conditionalFormatting>
  <conditionalFormatting sqref="C1654:D1654">
    <cfRule type="containsText" dxfId="311" priority="302" operator="containsText" text="SI">
      <formula>NOT(ISERROR(SEARCH("SI",C1654)))</formula>
    </cfRule>
    <cfRule type="containsText" dxfId="310" priority="303" operator="containsText" text="NO">
      <formula>NOT(ISERROR(SEARCH("NO",C1654)))</formula>
    </cfRule>
  </conditionalFormatting>
  <conditionalFormatting sqref="C1654:D1654">
    <cfRule type="containsText" dxfId="309" priority="301" operator="containsText" text="NUEVO">
      <formula>NOT(ISERROR(SEARCH("NUEVO",C1654)))</formula>
    </cfRule>
  </conditionalFormatting>
  <conditionalFormatting sqref="F1654">
    <cfRule type="expression" dxfId="308" priority="300">
      <formula>F1654&lt;&gt;""</formula>
    </cfRule>
  </conditionalFormatting>
  <conditionalFormatting sqref="E1654">
    <cfRule type="containsText" dxfId="307" priority="299" operator="containsText" text="NUEVO">
      <formula>NOT(ISERROR(SEARCH("NUEVO",E1654)))</formula>
    </cfRule>
  </conditionalFormatting>
  <conditionalFormatting sqref="E1654">
    <cfRule type="containsText" dxfId="306" priority="298" operator="containsText" text="Sin Información">
      <formula>NOT(ISERROR(SEARCH("Sin Información",E1654)))</formula>
    </cfRule>
  </conditionalFormatting>
  <conditionalFormatting sqref="E1654">
    <cfRule type="expression" dxfId="305" priority="297">
      <formula>E1654&lt;&gt;""</formula>
    </cfRule>
  </conditionalFormatting>
  <conditionalFormatting sqref="C1655:D1655">
    <cfRule type="containsText" dxfId="304" priority="296" operator="containsText" text="NO+$D$4:$D$10">
      <formula>NOT(ISERROR(SEARCH("NO+$D$4:$D$10",C1655)))</formula>
    </cfRule>
  </conditionalFormatting>
  <conditionalFormatting sqref="C1655:D1655">
    <cfRule type="containsText" dxfId="303" priority="294" operator="containsText" text="SI">
      <formula>NOT(ISERROR(SEARCH("SI",C1655)))</formula>
    </cfRule>
    <cfRule type="containsText" dxfId="302" priority="295" operator="containsText" text="NO">
      <formula>NOT(ISERROR(SEARCH("NO",C1655)))</formula>
    </cfRule>
  </conditionalFormatting>
  <conditionalFormatting sqref="C1655:D1655">
    <cfRule type="containsText" dxfId="301" priority="293" operator="containsText" text="NUEVO">
      <formula>NOT(ISERROR(SEARCH("NUEVO",C1655)))</formula>
    </cfRule>
  </conditionalFormatting>
  <conditionalFormatting sqref="F1655">
    <cfRule type="expression" dxfId="300" priority="292">
      <formula>F1655&lt;&gt;""</formula>
    </cfRule>
  </conditionalFormatting>
  <conditionalFormatting sqref="E1655">
    <cfRule type="containsText" dxfId="299" priority="291" operator="containsText" text="NUEVO">
      <formula>NOT(ISERROR(SEARCH("NUEVO",E1655)))</formula>
    </cfRule>
  </conditionalFormatting>
  <conditionalFormatting sqref="E1655">
    <cfRule type="containsText" dxfId="298" priority="290" operator="containsText" text="Sin Información">
      <formula>NOT(ISERROR(SEARCH("Sin Información",E1655)))</formula>
    </cfRule>
  </conditionalFormatting>
  <conditionalFormatting sqref="E1655">
    <cfRule type="expression" dxfId="297" priority="289">
      <formula>E1655&lt;&gt;""</formula>
    </cfRule>
  </conditionalFormatting>
  <conditionalFormatting sqref="C1656:D1656">
    <cfRule type="containsText" dxfId="296" priority="288" operator="containsText" text="NO+$D$4:$D$10">
      <formula>NOT(ISERROR(SEARCH("NO+$D$4:$D$10",C1656)))</formula>
    </cfRule>
  </conditionalFormatting>
  <conditionalFormatting sqref="C1656:D1656">
    <cfRule type="containsText" dxfId="295" priority="286" operator="containsText" text="SI">
      <formula>NOT(ISERROR(SEARCH("SI",C1656)))</formula>
    </cfRule>
    <cfRule type="containsText" dxfId="294" priority="287" operator="containsText" text="NO">
      <formula>NOT(ISERROR(SEARCH("NO",C1656)))</formula>
    </cfRule>
  </conditionalFormatting>
  <conditionalFormatting sqref="C1656:D1656">
    <cfRule type="containsText" dxfId="293" priority="285" operator="containsText" text="NUEVO">
      <formula>NOT(ISERROR(SEARCH("NUEVO",C1656)))</formula>
    </cfRule>
  </conditionalFormatting>
  <conditionalFormatting sqref="E1656">
    <cfRule type="containsText" dxfId="292" priority="282" operator="containsText" text="Sin Información">
      <formula>NOT(ISERROR(SEARCH("Sin Información",E1656)))</formula>
    </cfRule>
  </conditionalFormatting>
  <conditionalFormatting sqref="F1656">
    <cfRule type="expression" dxfId="291" priority="284">
      <formula>F1656&lt;&gt;""</formula>
    </cfRule>
  </conditionalFormatting>
  <conditionalFormatting sqref="E1656">
    <cfRule type="containsText" dxfId="290" priority="283" operator="containsText" text="NUEVO">
      <formula>NOT(ISERROR(SEARCH("NUEVO",E1656)))</formula>
    </cfRule>
  </conditionalFormatting>
  <conditionalFormatting sqref="E1656">
    <cfRule type="expression" dxfId="289" priority="281">
      <formula>E1656&lt;&gt;""</formula>
    </cfRule>
  </conditionalFormatting>
  <conditionalFormatting sqref="C1657:D1657">
    <cfRule type="containsText" dxfId="288" priority="280" operator="containsText" text="NO+$D$4:$D$10">
      <formula>NOT(ISERROR(SEARCH("NO+$D$4:$D$10",C1657)))</formula>
    </cfRule>
  </conditionalFormatting>
  <conditionalFormatting sqref="C1657:D1657">
    <cfRule type="containsText" dxfId="287" priority="278" operator="containsText" text="SI">
      <formula>NOT(ISERROR(SEARCH("SI",C1657)))</formula>
    </cfRule>
    <cfRule type="containsText" dxfId="286" priority="279" operator="containsText" text="NO">
      <formula>NOT(ISERROR(SEARCH("NO",C1657)))</formula>
    </cfRule>
  </conditionalFormatting>
  <conditionalFormatting sqref="C1657:E1657">
    <cfRule type="containsText" dxfId="285" priority="277" operator="containsText" text="NUEVO">
      <formula>NOT(ISERROR(SEARCH("NUEVO",C1657)))</formula>
    </cfRule>
  </conditionalFormatting>
  <conditionalFormatting sqref="E1657">
    <cfRule type="containsText" dxfId="284" priority="276" operator="containsText" text="Sin Información">
      <formula>NOT(ISERROR(SEARCH("Sin Información",E1657)))</formula>
    </cfRule>
  </conditionalFormatting>
  <conditionalFormatting sqref="E1657:F1657">
    <cfRule type="expression" dxfId="283" priority="275">
      <formula>E1657&lt;&gt;""</formula>
    </cfRule>
  </conditionalFormatting>
  <conditionalFormatting sqref="E1657">
    <cfRule type="containsText" dxfId="282" priority="272" operator="containsText" text="Sin Información">
      <formula>NOT(ISERROR(SEARCH("Sin Información",E1657)))</formula>
    </cfRule>
  </conditionalFormatting>
  <conditionalFormatting sqref="F1657">
    <cfRule type="expression" dxfId="281" priority="274">
      <formula>F1657&lt;&gt;""</formula>
    </cfRule>
  </conditionalFormatting>
  <conditionalFormatting sqref="E1657">
    <cfRule type="containsText" dxfId="280" priority="273" operator="containsText" text="NUEVO">
      <formula>NOT(ISERROR(SEARCH("NUEVO",E1657)))</formula>
    </cfRule>
  </conditionalFormatting>
  <conditionalFormatting sqref="E1657">
    <cfRule type="expression" dxfId="279" priority="271">
      <formula>E1657&lt;&gt;""</formula>
    </cfRule>
  </conditionalFormatting>
  <conditionalFormatting sqref="C1658:D1658">
    <cfRule type="containsText" dxfId="278" priority="270" operator="containsText" text="NO+$D$4:$D$10">
      <formula>NOT(ISERROR(SEARCH("NO+$D$4:$D$10",C1658)))</formula>
    </cfRule>
  </conditionalFormatting>
  <conditionalFormatting sqref="C1658:D1658">
    <cfRule type="containsText" dxfId="277" priority="268" operator="containsText" text="SI">
      <formula>NOT(ISERROR(SEARCH("SI",C1658)))</formula>
    </cfRule>
    <cfRule type="containsText" dxfId="276" priority="269" operator="containsText" text="NO">
      <formula>NOT(ISERROR(SEARCH("NO",C1658)))</formula>
    </cfRule>
  </conditionalFormatting>
  <conditionalFormatting sqref="C1658:E1658">
    <cfRule type="containsText" dxfId="275" priority="267" operator="containsText" text="NUEVO">
      <formula>NOT(ISERROR(SEARCH("NUEVO",C1658)))</formula>
    </cfRule>
  </conditionalFormatting>
  <conditionalFormatting sqref="E1658">
    <cfRule type="containsText" dxfId="274" priority="266" operator="containsText" text="Sin Información">
      <formula>NOT(ISERROR(SEARCH("Sin Información",E1658)))</formula>
    </cfRule>
  </conditionalFormatting>
  <conditionalFormatting sqref="E1658:F1658">
    <cfRule type="expression" dxfId="273" priority="265">
      <formula>E1658&lt;&gt;""</formula>
    </cfRule>
  </conditionalFormatting>
  <conditionalFormatting sqref="F1658">
    <cfRule type="expression" dxfId="272" priority="264">
      <formula>F1658&lt;&gt;""</formula>
    </cfRule>
  </conditionalFormatting>
  <conditionalFormatting sqref="E1658">
    <cfRule type="containsText" dxfId="271" priority="263" operator="containsText" text="NUEVO">
      <formula>NOT(ISERROR(SEARCH("NUEVO",E1658)))</formula>
    </cfRule>
  </conditionalFormatting>
  <conditionalFormatting sqref="E1658">
    <cfRule type="containsText" dxfId="270" priority="262" operator="containsText" text="Sin Información">
      <formula>NOT(ISERROR(SEARCH("Sin Información",E1658)))</formula>
    </cfRule>
  </conditionalFormatting>
  <conditionalFormatting sqref="E1658">
    <cfRule type="expression" dxfId="269" priority="261">
      <formula>E1658&lt;&gt;""</formula>
    </cfRule>
  </conditionalFormatting>
  <conditionalFormatting sqref="C1659:D1659">
    <cfRule type="containsText" dxfId="268" priority="260" operator="containsText" text="NO+$D$4:$D$10">
      <formula>NOT(ISERROR(SEARCH("NO+$D$4:$D$10",C1659)))</formula>
    </cfRule>
  </conditionalFormatting>
  <conditionalFormatting sqref="C1659:D1659">
    <cfRule type="containsText" dxfId="267" priority="258" operator="containsText" text="SI">
      <formula>NOT(ISERROR(SEARCH("SI",C1659)))</formula>
    </cfRule>
    <cfRule type="containsText" dxfId="266" priority="259" operator="containsText" text="NO">
      <formula>NOT(ISERROR(SEARCH("NO",C1659)))</formula>
    </cfRule>
  </conditionalFormatting>
  <conditionalFormatting sqref="C1659:D1659">
    <cfRule type="containsText" dxfId="265" priority="257" operator="containsText" text="NUEVO">
      <formula>NOT(ISERROR(SEARCH("NUEVO",C1659)))</formula>
    </cfRule>
  </conditionalFormatting>
  <conditionalFormatting sqref="F1659">
    <cfRule type="expression" dxfId="264" priority="256">
      <formula>F1659&lt;&gt;""</formula>
    </cfRule>
  </conditionalFormatting>
  <conditionalFormatting sqref="E1659">
    <cfRule type="containsText" dxfId="263" priority="255" operator="containsText" text="NUEVO">
      <formula>NOT(ISERROR(SEARCH("NUEVO",E1659)))</formula>
    </cfRule>
  </conditionalFormatting>
  <conditionalFormatting sqref="E1659">
    <cfRule type="containsText" dxfId="262" priority="254" operator="containsText" text="Sin Información">
      <formula>NOT(ISERROR(SEARCH("Sin Información",E1659)))</formula>
    </cfRule>
  </conditionalFormatting>
  <conditionalFormatting sqref="E1659">
    <cfRule type="expression" dxfId="261" priority="253">
      <formula>E1659&lt;&gt;""</formula>
    </cfRule>
  </conditionalFormatting>
  <conditionalFormatting sqref="C1660:D1660">
    <cfRule type="containsText" dxfId="260" priority="252" operator="containsText" text="NO+$D$4:$D$10">
      <formula>NOT(ISERROR(SEARCH("NO+$D$4:$D$10",C1660)))</formula>
    </cfRule>
  </conditionalFormatting>
  <conditionalFormatting sqref="C1660:D1660">
    <cfRule type="containsText" dxfId="259" priority="250" operator="containsText" text="SI">
      <formula>NOT(ISERROR(SEARCH("SI",C1660)))</formula>
    </cfRule>
    <cfRule type="containsText" dxfId="258" priority="251" operator="containsText" text="NO">
      <formula>NOT(ISERROR(SEARCH("NO",C1660)))</formula>
    </cfRule>
  </conditionalFormatting>
  <conditionalFormatting sqref="C1660:D1660">
    <cfRule type="containsText" dxfId="257" priority="249" operator="containsText" text="NUEVO">
      <formula>NOT(ISERROR(SEARCH("NUEVO",C1660)))</formula>
    </cfRule>
  </conditionalFormatting>
  <conditionalFormatting sqref="F1660">
    <cfRule type="expression" dxfId="256" priority="248">
      <formula>F1660&lt;&gt;""</formula>
    </cfRule>
  </conditionalFormatting>
  <conditionalFormatting sqref="E1660">
    <cfRule type="containsText" dxfId="255" priority="247" operator="containsText" text="NUEVO">
      <formula>NOT(ISERROR(SEARCH("NUEVO",E1660)))</formula>
    </cfRule>
  </conditionalFormatting>
  <conditionalFormatting sqref="E1660">
    <cfRule type="containsText" dxfId="254" priority="246" operator="containsText" text="Sin Información">
      <formula>NOT(ISERROR(SEARCH("Sin Información",E1660)))</formula>
    </cfRule>
  </conditionalFormatting>
  <conditionalFormatting sqref="E1660">
    <cfRule type="expression" dxfId="253" priority="245">
      <formula>E1660&lt;&gt;""</formula>
    </cfRule>
  </conditionalFormatting>
  <conditionalFormatting sqref="C1661:D1661">
    <cfRule type="containsText" dxfId="252" priority="244" operator="containsText" text="NO+$D$4:$D$10">
      <formula>NOT(ISERROR(SEARCH("NO+$D$4:$D$10",C1661)))</formula>
    </cfRule>
  </conditionalFormatting>
  <conditionalFormatting sqref="C1661:D1661">
    <cfRule type="containsText" dxfId="251" priority="242" operator="containsText" text="SI">
      <formula>NOT(ISERROR(SEARCH("SI",C1661)))</formula>
    </cfRule>
    <cfRule type="containsText" dxfId="250" priority="243" operator="containsText" text="NO">
      <formula>NOT(ISERROR(SEARCH("NO",C1661)))</formula>
    </cfRule>
  </conditionalFormatting>
  <conditionalFormatting sqref="C1661:E1661">
    <cfRule type="containsText" dxfId="249" priority="241" operator="containsText" text="NUEVO">
      <formula>NOT(ISERROR(SEARCH("NUEVO",C1661)))</formula>
    </cfRule>
  </conditionalFormatting>
  <conditionalFormatting sqref="E1661">
    <cfRule type="containsText" dxfId="248" priority="240" operator="containsText" text="Sin Información">
      <formula>NOT(ISERROR(SEARCH("Sin Información",E1661)))</formula>
    </cfRule>
  </conditionalFormatting>
  <conditionalFormatting sqref="E1661:F1661">
    <cfRule type="expression" dxfId="247" priority="239">
      <formula>E1661&lt;&gt;""</formula>
    </cfRule>
  </conditionalFormatting>
  <conditionalFormatting sqref="C1662:D1662">
    <cfRule type="containsText" dxfId="246" priority="238" operator="containsText" text="NO+$D$4:$D$10">
      <formula>NOT(ISERROR(SEARCH("NO+$D$4:$D$10",C1662)))</formula>
    </cfRule>
  </conditionalFormatting>
  <conditionalFormatting sqref="C1662:D1662">
    <cfRule type="containsText" dxfId="245" priority="236" operator="containsText" text="SI">
      <formula>NOT(ISERROR(SEARCH("SI",C1662)))</formula>
    </cfRule>
    <cfRule type="containsText" dxfId="244" priority="237" operator="containsText" text="NO">
      <formula>NOT(ISERROR(SEARCH("NO",C1662)))</formula>
    </cfRule>
  </conditionalFormatting>
  <conditionalFormatting sqref="C1662:D1662">
    <cfRule type="containsText" dxfId="243" priority="235" operator="containsText" text="NUEVO">
      <formula>NOT(ISERROR(SEARCH("NUEVO",C1662)))</formula>
    </cfRule>
  </conditionalFormatting>
  <conditionalFormatting sqref="E1662">
    <cfRule type="containsText" dxfId="242" priority="234" operator="containsText" text="NUEVO">
      <formula>NOT(ISERROR(SEARCH("NUEVO",E1662)))</formula>
    </cfRule>
  </conditionalFormatting>
  <conditionalFormatting sqref="E1662">
    <cfRule type="containsText" dxfId="241" priority="233" operator="containsText" text="Sin Información">
      <formula>NOT(ISERROR(SEARCH("Sin Información",E1662)))</formula>
    </cfRule>
  </conditionalFormatting>
  <conditionalFormatting sqref="E1662">
    <cfRule type="expression" dxfId="240" priority="232">
      <formula>E1662&lt;&gt;""</formula>
    </cfRule>
  </conditionalFormatting>
  <conditionalFormatting sqref="F1662">
    <cfRule type="expression" dxfId="239" priority="231">
      <formula>F1662&lt;&gt;""</formula>
    </cfRule>
  </conditionalFormatting>
  <conditionalFormatting sqref="C1663:D1663">
    <cfRule type="containsText" dxfId="238" priority="230" operator="containsText" text="NO+$D$4:$D$10">
      <formula>NOT(ISERROR(SEARCH("NO+$D$4:$D$10",C1663)))</formula>
    </cfRule>
  </conditionalFormatting>
  <conditionalFormatting sqref="C1663:D1663">
    <cfRule type="containsText" dxfId="237" priority="228" operator="containsText" text="SI">
      <formula>NOT(ISERROR(SEARCH("SI",C1663)))</formula>
    </cfRule>
    <cfRule type="containsText" dxfId="236" priority="229" operator="containsText" text="NO">
      <formula>NOT(ISERROR(SEARCH("NO",C1663)))</formula>
    </cfRule>
  </conditionalFormatting>
  <conditionalFormatting sqref="C1663:E1663">
    <cfRule type="containsText" dxfId="235" priority="227" operator="containsText" text="NUEVO">
      <formula>NOT(ISERROR(SEARCH("NUEVO",C1663)))</formula>
    </cfRule>
  </conditionalFormatting>
  <conditionalFormatting sqref="E1663">
    <cfRule type="containsText" dxfId="234" priority="226" operator="containsText" text="Sin Información">
      <formula>NOT(ISERROR(SEARCH("Sin Información",E1663)))</formula>
    </cfRule>
  </conditionalFormatting>
  <conditionalFormatting sqref="E1663">
    <cfRule type="expression" dxfId="233" priority="225">
      <formula>E1663&lt;&gt;""</formula>
    </cfRule>
  </conditionalFormatting>
  <conditionalFormatting sqref="F1663">
    <cfRule type="expression" dxfId="232" priority="224">
      <formula>F1663&lt;&gt;""</formula>
    </cfRule>
  </conditionalFormatting>
  <conditionalFormatting sqref="C1664:D1664">
    <cfRule type="containsText" dxfId="231" priority="223" operator="containsText" text="NO+$D$4:$D$10">
      <formula>NOT(ISERROR(SEARCH("NO+$D$4:$D$10",C1664)))</formula>
    </cfRule>
  </conditionalFormatting>
  <conditionalFormatting sqref="C1664:D1664">
    <cfRule type="containsText" dxfId="230" priority="221" operator="containsText" text="SI">
      <formula>NOT(ISERROR(SEARCH("SI",C1664)))</formula>
    </cfRule>
    <cfRule type="containsText" dxfId="229" priority="222" operator="containsText" text="NO">
      <formula>NOT(ISERROR(SEARCH("NO",C1664)))</formula>
    </cfRule>
  </conditionalFormatting>
  <conditionalFormatting sqref="C1664:D1664">
    <cfRule type="containsText" dxfId="228" priority="220" operator="containsText" text="NUEVO">
      <formula>NOT(ISERROR(SEARCH("NUEVO",C1664)))</formula>
    </cfRule>
  </conditionalFormatting>
  <conditionalFormatting sqref="E1664">
    <cfRule type="containsText" dxfId="227" priority="219" operator="containsText" text="NUEVO">
      <formula>NOT(ISERROR(SEARCH("NUEVO",E1664)))</formula>
    </cfRule>
  </conditionalFormatting>
  <conditionalFormatting sqref="E1664">
    <cfRule type="containsText" dxfId="226" priority="218" operator="containsText" text="Sin Información">
      <formula>NOT(ISERROR(SEARCH("Sin Información",E1664)))</formula>
    </cfRule>
  </conditionalFormatting>
  <conditionalFormatting sqref="E1664">
    <cfRule type="expression" dxfId="225" priority="217">
      <formula>E1664&lt;&gt;""</formula>
    </cfRule>
  </conditionalFormatting>
  <conditionalFormatting sqref="C1665:D1674">
    <cfRule type="containsText" dxfId="224" priority="216" operator="containsText" text="NO+$D$4:$D$10">
      <formula>NOT(ISERROR(SEARCH("NO+$D$4:$D$10",C1665)))</formula>
    </cfRule>
  </conditionalFormatting>
  <conditionalFormatting sqref="C1665:D1674">
    <cfRule type="containsText" dxfId="223" priority="214" operator="containsText" text="SI">
      <formula>NOT(ISERROR(SEARCH("SI",C1665)))</formula>
    </cfRule>
    <cfRule type="containsText" dxfId="222" priority="215" operator="containsText" text="NO">
      <formula>NOT(ISERROR(SEARCH("NO",C1665)))</formula>
    </cfRule>
  </conditionalFormatting>
  <conditionalFormatting sqref="C1665:D1674">
    <cfRule type="containsText" dxfId="221" priority="213" operator="containsText" text="NUEVO">
      <formula>NOT(ISERROR(SEARCH("NUEVO",C1665)))</formula>
    </cfRule>
  </conditionalFormatting>
  <conditionalFormatting sqref="E1665:E1674">
    <cfRule type="containsText" dxfId="220" priority="212" operator="containsText" text="NUEVO">
      <formula>NOT(ISERROR(SEARCH("NUEVO",E1665)))</formula>
    </cfRule>
  </conditionalFormatting>
  <conditionalFormatting sqref="E1665:E1674">
    <cfRule type="containsText" dxfId="219" priority="211" operator="containsText" text="Sin Información">
      <formula>NOT(ISERROR(SEARCH("Sin Información",E1665)))</formula>
    </cfRule>
  </conditionalFormatting>
  <conditionalFormatting sqref="E1665:E1674">
    <cfRule type="expression" dxfId="218" priority="210">
      <formula>E1665&lt;&gt;""</formula>
    </cfRule>
  </conditionalFormatting>
  <conditionalFormatting sqref="C1668:D1668">
    <cfRule type="containsText" dxfId="217" priority="208" operator="containsText" text="NO+$D$4:$D$10">
      <formula>NOT(ISERROR(SEARCH("NO+$D$4:$D$10",C1668)))</formula>
    </cfRule>
  </conditionalFormatting>
  <conditionalFormatting sqref="C1668:D1668">
    <cfRule type="containsText" dxfId="216" priority="206" operator="containsText" text="SI">
      <formula>NOT(ISERROR(SEARCH("SI",C1668)))</formula>
    </cfRule>
    <cfRule type="containsText" dxfId="215" priority="207" operator="containsText" text="NO">
      <formula>NOT(ISERROR(SEARCH("NO",C1668)))</formula>
    </cfRule>
  </conditionalFormatting>
  <conditionalFormatting sqref="C1668:D1668">
    <cfRule type="containsText" dxfId="214" priority="205" operator="containsText" text="NUEVO">
      <formula>NOT(ISERROR(SEARCH("NUEVO",C1668)))</formula>
    </cfRule>
  </conditionalFormatting>
  <conditionalFormatting sqref="C1677:D1677">
    <cfRule type="containsText" dxfId="213" priority="203" operator="containsText" text="NO+$D$4:$D$10">
      <formula>NOT(ISERROR(SEARCH("NO+$D$4:$D$10",C1677)))</formula>
    </cfRule>
  </conditionalFormatting>
  <conditionalFormatting sqref="C1677:D1677">
    <cfRule type="containsText" dxfId="212" priority="201" operator="containsText" text="SI">
      <formula>NOT(ISERROR(SEARCH("SI",C1677)))</formula>
    </cfRule>
    <cfRule type="containsText" dxfId="211" priority="202" operator="containsText" text="NO">
      <formula>NOT(ISERROR(SEARCH("NO",C1677)))</formula>
    </cfRule>
  </conditionalFormatting>
  <conditionalFormatting sqref="C1677:D1677">
    <cfRule type="containsText" dxfId="210" priority="200" operator="containsText" text="NUEVO">
      <formula>NOT(ISERROR(SEARCH("NUEVO",C1677)))</formula>
    </cfRule>
  </conditionalFormatting>
  <conditionalFormatting sqref="E1677:F1677">
    <cfRule type="expression" dxfId="209" priority="199">
      <formula>E1677&lt;&gt;""</formula>
    </cfRule>
  </conditionalFormatting>
  <conditionalFormatting sqref="E1677">
    <cfRule type="containsText" dxfId="208" priority="198" operator="containsText" text="NUEVO">
      <formula>NOT(ISERROR(SEARCH("NUEVO",E1677)))</formula>
    </cfRule>
  </conditionalFormatting>
  <conditionalFormatting sqref="E1677">
    <cfRule type="containsText" dxfId="207" priority="197" operator="containsText" text="Sin Información">
      <formula>NOT(ISERROR(SEARCH("Sin Información",E1677)))</formula>
    </cfRule>
  </conditionalFormatting>
  <conditionalFormatting sqref="C1678:D1678">
    <cfRule type="containsText" dxfId="206" priority="196" operator="containsText" text="NO+$D$4:$D$10">
      <formula>NOT(ISERROR(SEARCH("NO+$D$4:$D$10",C1678)))</formula>
    </cfRule>
  </conditionalFormatting>
  <conditionalFormatting sqref="C1678:D1678">
    <cfRule type="containsText" dxfId="205" priority="194" operator="containsText" text="SI">
      <formula>NOT(ISERROR(SEARCH("SI",C1678)))</formula>
    </cfRule>
    <cfRule type="containsText" dxfId="204" priority="195" operator="containsText" text="NO">
      <formula>NOT(ISERROR(SEARCH("NO",C1678)))</formula>
    </cfRule>
  </conditionalFormatting>
  <conditionalFormatting sqref="C1678:E1678">
    <cfRule type="containsText" dxfId="203" priority="193" operator="containsText" text="NUEVO">
      <formula>NOT(ISERROR(SEARCH("NUEVO",C1678)))</formula>
    </cfRule>
  </conditionalFormatting>
  <conditionalFormatting sqref="E1678">
    <cfRule type="containsText" dxfId="202" priority="192" operator="containsText" text="Sin Información">
      <formula>NOT(ISERROR(SEARCH("Sin Información",E1678)))</formula>
    </cfRule>
  </conditionalFormatting>
  <conditionalFormatting sqref="E1678">
    <cfRule type="containsText" dxfId="201" priority="191" operator="containsText" text="NUEVO">
      <formula>NOT(ISERROR(SEARCH("NUEVO",E1678)))</formula>
    </cfRule>
  </conditionalFormatting>
  <conditionalFormatting sqref="E1678">
    <cfRule type="containsText" dxfId="200" priority="190" operator="containsText" text="Sin Información">
      <formula>NOT(ISERROR(SEARCH("Sin Información",E1678)))</formula>
    </cfRule>
  </conditionalFormatting>
  <conditionalFormatting sqref="E1678:F1678">
    <cfRule type="expression" dxfId="199" priority="189">
      <formula>E1678&lt;&gt;""</formula>
    </cfRule>
  </conditionalFormatting>
  <conditionalFormatting sqref="F1678">
    <cfRule type="expression" dxfId="198" priority="188">
      <formula>F1678&lt;&gt;""</formula>
    </cfRule>
  </conditionalFormatting>
  <conditionalFormatting sqref="E1678">
    <cfRule type="containsText" dxfId="197" priority="186" operator="containsText" text="Sin Información">
      <formula>NOT(ISERROR(SEARCH("Sin Información",E1678)))</formula>
    </cfRule>
  </conditionalFormatting>
  <conditionalFormatting sqref="E1678">
    <cfRule type="containsText" dxfId="196" priority="187" operator="containsText" text="NUEVO">
      <formula>NOT(ISERROR(SEARCH("NUEVO",E1678)))</formula>
    </cfRule>
  </conditionalFormatting>
  <conditionalFormatting sqref="E1678">
    <cfRule type="expression" dxfId="195" priority="185">
      <formula>E1678&lt;&gt;""</formula>
    </cfRule>
  </conditionalFormatting>
  <conditionalFormatting sqref="E1678">
    <cfRule type="containsText" dxfId="194" priority="184" operator="containsText" text="Sin información">
      <formula>NOT(ISERROR(SEARCH("Sin información",E1678)))</formula>
    </cfRule>
  </conditionalFormatting>
  <conditionalFormatting sqref="E1678">
    <cfRule type="expression" dxfId="193" priority="183">
      <formula>E1678&lt;&gt;""</formula>
    </cfRule>
  </conditionalFormatting>
  <conditionalFormatting sqref="C1679:D1679">
    <cfRule type="containsText" dxfId="192" priority="182" operator="containsText" text="NO+$D$4:$D$10">
      <formula>NOT(ISERROR(SEARCH("NO+$D$4:$D$10",C1679)))</formula>
    </cfRule>
  </conditionalFormatting>
  <conditionalFormatting sqref="C1679:D1679">
    <cfRule type="containsText" dxfId="191" priority="180" operator="containsText" text="SI">
      <formula>NOT(ISERROR(SEARCH("SI",C1679)))</formula>
    </cfRule>
    <cfRule type="containsText" dxfId="190" priority="181" operator="containsText" text="NO">
      <formula>NOT(ISERROR(SEARCH("NO",C1679)))</formula>
    </cfRule>
  </conditionalFormatting>
  <conditionalFormatting sqref="C1679:D1679">
    <cfRule type="containsText" dxfId="189" priority="179" operator="containsText" text="NUEVO">
      <formula>NOT(ISERROR(SEARCH("NUEVO",C1679)))</formula>
    </cfRule>
  </conditionalFormatting>
  <conditionalFormatting sqref="E1679">
    <cfRule type="containsText" dxfId="188" priority="178" operator="containsText" text="NUEVO">
      <formula>NOT(ISERROR(SEARCH("NUEVO",E1679)))</formula>
    </cfRule>
  </conditionalFormatting>
  <conditionalFormatting sqref="E1679">
    <cfRule type="containsText" dxfId="187" priority="177" operator="containsText" text="Sin Información">
      <formula>NOT(ISERROR(SEARCH("Sin Información",E1679)))</formula>
    </cfRule>
  </conditionalFormatting>
  <conditionalFormatting sqref="E1679:F1679">
    <cfRule type="expression" dxfId="186" priority="176">
      <formula>E1679&lt;&gt;""</formula>
    </cfRule>
  </conditionalFormatting>
  <conditionalFormatting sqref="E1679">
    <cfRule type="containsText" dxfId="185" priority="174" operator="containsText" text="Sin Información">
      <formula>NOT(ISERROR(SEARCH("Sin Información",E1679)))</formula>
    </cfRule>
  </conditionalFormatting>
  <conditionalFormatting sqref="E1679">
    <cfRule type="containsText" dxfId="184" priority="175" operator="containsText" text="NUEVO">
      <formula>NOT(ISERROR(SEARCH("NUEVO",E1679)))</formula>
    </cfRule>
  </conditionalFormatting>
  <conditionalFormatting sqref="E1679">
    <cfRule type="expression" dxfId="183" priority="173">
      <formula>E1679&lt;&gt;""</formula>
    </cfRule>
  </conditionalFormatting>
  <conditionalFormatting sqref="E1679">
    <cfRule type="containsText" dxfId="182" priority="172" operator="containsText" text="Sin información">
      <formula>NOT(ISERROR(SEARCH("Sin información",E1679)))</formula>
    </cfRule>
  </conditionalFormatting>
  <conditionalFormatting sqref="E1679">
    <cfRule type="expression" dxfId="181" priority="171">
      <formula>E1679&lt;&gt;""</formula>
    </cfRule>
  </conditionalFormatting>
  <conditionalFormatting sqref="C1680:D1680">
    <cfRule type="containsText" dxfId="180" priority="170" operator="containsText" text="NO+$D$4:$D$10">
      <formula>NOT(ISERROR(SEARCH("NO+$D$4:$D$10",C1680)))</formula>
    </cfRule>
  </conditionalFormatting>
  <conditionalFormatting sqref="C1680:D1680">
    <cfRule type="containsText" dxfId="179" priority="168" operator="containsText" text="SI">
      <formula>NOT(ISERROR(SEARCH("SI",C1680)))</formula>
    </cfRule>
    <cfRule type="containsText" dxfId="178" priority="169" operator="containsText" text="NO">
      <formula>NOT(ISERROR(SEARCH("NO",C1680)))</formula>
    </cfRule>
  </conditionalFormatting>
  <conditionalFormatting sqref="C1680:E1680">
    <cfRule type="containsText" dxfId="177" priority="167" operator="containsText" text="NUEVO">
      <formula>NOT(ISERROR(SEARCH("NUEVO",C1680)))</formula>
    </cfRule>
  </conditionalFormatting>
  <conditionalFormatting sqref="E1680">
    <cfRule type="containsText" dxfId="176" priority="166" operator="containsText" text="Sin Información">
      <formula>NOT(ISERROR(SEARCH("Sin Información",E1680)))</formula>
    </cfRule>
  </conditionalFormatting>
  <conditionalFormatting sqref="E1680:F1680">
    <cfRule type="expression" dxfId="175" priority="165">
      <formula>E1680&lt;&gt;""</formula>
    </cfRule>
  </conditionalFormatting>
  <conditionalFormatting sqref="F1680">
    <cfRule type="expression" dxfId="174" priority="164">
      <formula>F1680&lt;&gt;""</formula>
    </cfRule>
  </conditionalFormatting>
  <conditionalFormatting sqref="E1680">
    <cfRule type="containsText" dxfId="173" priority="162" operator="containsText" text="Sin Información">
      <formula>NOT(ISERROR(SEARCH("Sin Información",E1680)))</formula>
    </cfRule>
  </conditionalFormatting>
  <conditionalFormatting sqref="E1680">
    <cfRule type="containsText" dxfId="172" priority="163" operator="containsText" text="NUEVO">
      <formula>NOT(ISERROR(SEARCH("NUEVO",E1680)))</formula>
    </cfRule>
  </conditionalFormatting>
  <conditionalFormatting sqref="E1680">
    <cfRule type="expression" dxfId="171" priority="161">
      <formula>E1680&lt;&gt;""</formula>
    </cfRule>
  </conditionalFormatting>
  <conditionalFormatting sqref="E1680">
    <cfRule type="containsText" dxfId="170" priority="160" operator="containsText" text="Sin información">
      <formula>NOT(ISERROR(SEARCH("Sin información",E1680)))</formula>
    </cfRule>
  </conditionalFormatting>
  <conditionalFormatting sqref="E1680">
    <cfRule type="expression" dxfId="169" priority="159">
      <formula>E1680&lt;&gt;""</formula>
    </cfRule>
  </conditionalFormatting>
  <conditionalFormatting sqref="C1681:D1681">
    <cfRule type="containsText" dxfId="168" priority="158" operator="containsText" text="NO+$D$4:$D$10">
      <formula>NOT(ISERROR(SEARCH("NO+$D$4:$D$10",C1681)))</formula>
    </cfRule>
  </conditionalFormatting>
  <conditionalFormatting sqref="C1681:D1681">
    <cfRule type="containsText" dxfId="167" priority="156" operator="containsText" text="SI">
      <formula>NOT(ISERROR(SEARCH("SI",C1681)))</formula>
    </cfRule>
    <cfRule type="containsText" dxfId="166" priority="157" operator="containsText" text="NO">
      <formula>NOT(ISERROR(SEARCH("NO",C1681)))</formula>
    </cfRule>
  </conditionalFormatting>
  <conditionalFormatting sqref="C1681:D1681">
    <cfRule type="containsText" dxfId="165" priority="155" operator="containsText" text="NUEVO">
      <formula>NOT(ISERROR(SEARCH("NUEVO",C1681)))</formula>
    </cfRule>
  </conditionalFormatting>
  <conditionalFormatting sqref="E1681">
    <cfRule type="containsText" dxfId="164" priority="154" operator="containsText" text="NUEVO">
      <formula>NOT(ISERROR(SEARCH("NUEVO",E1681)))</formula>
    </cfRule>
  </conditionalFormatting>
  <conditionalFormatting sqref="E1681">
    <cfRule type="containsText" dxfId="163" priority="153" operator="containsText" text="Sin Información">
      <formula>NOT(ISERROR(SEARCH("Sin Información",E1681)))</formula>
    </cfRule>
  </conditionalFormatting>
  <conditionalFormatting sqref="E1681:F1681">
    <cfRule type="expression" dxfId="162" priority="152">
      <formula>E1681&lt;&gt;""</formula>
    </cfRule>
  </conditionalFormatting>
  <conditionalFormatting sqref="E1681">
    <cfRule type="containsText" dxfId="161" priority="150" operator="containsText" text="Sin Información">
      <formula>NOT(ISERROR(SEARCH("Sin Información",E1681)))</formula>
    </cfRule>
  </conditionalFormatting>
  <conditionalFormatting sqref="E1681">
    <cfRule type="containsText" dxfId="160" priority="151" operator="containsText" text="NUEVO">
      <formula>NOT(ISERROR(SEARCH("NUEVO",E1681)))</formula>
    </cfRule>
  </conditionalFormatting>
  <conditionalFormatting sqref="E1681">
    <cfRule type="expression" dxfId="159" priority="149">
      <formula>E1681&lt;&gt;""</formula>
    </cfRule>
  </conditionalFormatting>
  <conditionalFormatting sqref="E1681">
    <cfRule type="containsText" dxfId="158" priority="148" operator="containsText" text="Sin información">
      <formula>NOT(ISERROR(SEARCH("Sin información",E1681)))</formula>
    </cfRule>
  </conditionalFormatting>
  <conditionalFormatting sqref="E1681">
    <cfRule type="expression" dxfId="157" priority="147">
      <formula>E1681&lt;&gt;""</formula>
    </cfRule>
  </conditionalFormatting>
  <conditionalFormatting sqref="F1681">
    <cfRule type="expression" dxfId="156" priority="146">
      <formula>F1681&lt;&gt;""</formula>
    </cfRule>
  </conditionalFormatting>
  <conditionalFormatting sqref="C809:D809">
    <cfRule type="containsText" dxfId="155" priority="145" operator="containsText" text="NO+$D$4:$D$10">
      <formula>NOT(ISERROR(SEARCH("NO+$D$4:$D$10",C809)))</formula>
    </cfRule>
  </conditionalFormatting>
  <conditionalFormatting sqref="C809:D809">
    <cfRule type="containsText" dxfId="154" priority="143" operator="containsText" text="SI">
      <formula>NOT(ISERROR(SEARCH("SI",C809)))</formula>
    </cfRule>
    <cfRule type="containsText" dxfId="153" priority="144" operator="containsText" text="NO">
      <formula>NOT(ISERROR(SEARCH("NO",C809)))</formula>
    </cfRule>
  </conditionalFormatting>
  <conditionalFormatting sqref="C809:D809">
    <cfRule type="containsText" dxfId="152" priority="142" operator="containsText" text="NUEVO">
      <formula>NOT(ISERROR(SEARCH("NUEVO",C809)))</formula>
    </cfRule>
  </conditionalFormatting>
  <conditionalFormatting sqref="E809">
    <cfRule type="containsText" dxfId="151" priority="139" operator="containsText" text="Sin Información">
      <formula>NOT(ISERROR(SEARCH("Sin Información",E809)))</formula>
    </cfRule>
  </conditionalFormatting>
  <conditionalFormatting sqref="F809">
    <cfRule type="expression" dxfId="150" priority="141">
      <formula>F809&lt;&gt;""</formula>
    </cfRule>
  </conditionalFormatting>
  <conditionalFormatting sqref="E809">
    <cfRule type="containsText" dxfId="149" priority="140" operator="containsText" text="NUEVO">
      <formula>NOT(ISERROR(SEARCH("NUEVO",E809)))</formula>
    </cfRule>
  </conditionalFormatting>
  <conditionalFormatting sqref="E809">
    <cfRule type="expression" dxfId="148" priority="138">
      <formula>E809&lt;&gt;""</formula>
    </cfRule>
  </conditionalFormatting>
  <conditionalFormatting sqref="C810:D810">
    <cfRule type="containsText" dxfId="147" priority="137" operator="containsText" text="NO+$D$4:$D$10">
      <formula>NOT(ISERROR(SEARCH("NO+$D$4:$D$10",C810)))</formula>
    </cfRule>
  </conditionalFormatting>
  <conditionalFormatting sqref="C810:D810">
    <cfRule type="containsText" dxfId="146" priority="135" operator="containsText" text="SI">
      <formula>NOT(ISERROR(SEARCH("SI",C810)))</formula>
    </cfRule>
    <cfRule type="containsText" dxfId="145" priority="136" operator="containsText" text="NO">
      <formula>NOT(ISERROR(SEARCH("NO",C810)))</formula>
    </cfRule>
  </conditionalFormatting>
  <conditionalFormatting sqref="C810:D810">
    <cfRule type="containsText" dxfId="144" priority="134" operator="containsText" text="NUEVO">
      <formula>NOT(ISERROR(SEARCH("NUEVO",C810)))</formula>
    </cfRule>
  </conditionalFormatting>
  <conditionalFormatting sqref="F810">
    <cfRule type="expression" dxfId="143" priority="133">
      <formula>F810&lt;&gt;""</formula>
    </cfRule>
  </conditionalFormatting>
  <conditionalFormatting sqref="E810">
    <cfRule type="containsText" dxfId="142" priority="132" operator="containsText" text="NUEVO">
      <formula>NOT(ISERROR(SEARCH("NUEVO",E810)))</formula>
    </cfRule>
  </conditionalFormatting>
  <conditionalFormatting sqref="E810">
    <cfRule type="containsText" dxfId="141" priority="131" operator="containsText" text="Sin Información">
      <formula>NOT(ISERROR(SEARCH("Sin Información",E810)))</formula>
    </cfRule>
  </conditionalFormatting>
  <conditionalFormatting sqref="E810">
    <cfRule type="expression" dxfId="140" priority="130">
      <formula>E810&lt;&gt;""</formula>
    </cfRule>
  </conditionalFormatting>
  <conditionalFormatting sqref="C811:D811">
    <cfRule type="containsText" dxfId="139" priority="129" operator="containsText" text="NO+$D$4:$D$10">
      <formula>NOT(ISERROR(SEARCH("NO+$D$4:$D$10",C811)))</formula>
    </cfRule>
  </conditionalFormatting>
  <conditionalFormatting sqref="C811:D811">
    <cfRule type="containsText" dxfId="138" priority="127" operator="containsText" text="SI">
      <formula>NOT(ISERROR(SEARCH("SI",C811)))</formula>
    </cfRule>
    <cfRule type="containsText" dxfId="137" priority="128" operator="containsText" text="NO">
      <formula>NOT(ISERROR(SEARCH("NO",C811)))</formula>
    </cfRule>
  </conditionalFormatting>
  <conditionalFormatting sqref="C811:D811">
    <cfRule type="containsText" dxfId="136" priority="126" operator="containsText" text="NUEVO">
      <formula>NOT(ISERROR(SEARCH("NUEVO",C811)))</formula>
    </cfRule>
  </conditionalFormatting>
  <conditionalFormatting sqref="E811">
    <cfRule type="containsText" dxfId="135" priority="125" operator="containsText" text="NUEVO">
      <formula>NOT(ISERROR(SEARCH("NUEVO",E811)))</formula>
    </cfRule>
  </conditionalFormatting>
  <conditionalFormatting sqref="E811">
    <cfRule type="containsText" dxfId="134" priority="124" operator="containsText" text="Sin Información">
      <formula>NOT(ISERROR(SEARCH("Sin Información",E811)))</formula>
    </cfRule>
  </conditionalFormatting>
  <conditionalFormatting sqref="F811">
    <cfRule type="expression" dxfId="133" priority="123">
      <formula>F811&lt;&gt;""</formula>
    </cfRule>
  </conditionalFormatting>
  <conditionalFormatting sqref="C813:D813">
    <cfRule type="containsText" dxfId="132" priority="114" operator="containsText" text="NO+$D$4:$D$10">
      <formula>NOT(ISERROR(SEARCH("NO+$D$4:$D$10",C813)))</formula>
    </cfRule>
  </conditionalFormatting>
  <conditionalFormatting sqref="C813:D813">
    <cfRule type="containsText" dxfId="131" priority="112" operator="containsText" text="SI">
      <formula>NOT(ISERROR(SEARCH("SI",C813)))</formula>
    </cfRule>
    <cfRule type="containsText" dxfId="130" priority="113" operator="containsText" text="NO">
      <formula>NOT(ISERROR(SEARCH("NO",C813)))</formula>
    </cfRule>
  </conditionalFormatting>
  <conditionalFormatting sqref="C813:E813">
    <cfRule type="containsText" dxfId="129" priority="111" operator="containsText" text="NUEVO">
      <formula>NOT(ISERROR(SEARCH("NUEVO",C813)))</formula>
    </cfRule>
  </conditionalFormatting>
  <conditionalFormatting sqref="E813">
    <cfRule type="containsText" dxfId="128" priority="110" operator="containsText" text="Sin Información">
      <formula>NOT(ISERROR(SEARCH("Sin Información",E813)))</formula>
    </cfRule>
  </conditionalFormatting>
  <conditionalFormatting sqref="E813:F813">
    <cfRule type="expression" dxfId="127" priority="109">
      <formula>E813&lt;&gt;""</formula>
    </cfRule>
  </conditionalFormatting>
  <conditionalFormatting sqref="C1202:D1202">
    <cfRule type="containsText" dxfId="126" priority="108" operator="containsText" text="NO+$D$4:$D$10">
      <formula>NOT(ISERROR(SEARCH("NO+$D$4:$D$10",C1202)))</formula>
    </cfRule>
  </conditionalFormatting>
  <conditionalFormatting sqref="C1202:D1202">
    <cfRule type="containsText" dxfId="125" priority="106" operator="containsText" text="SI">
      <formula>NOT(ISERROR(SEARCH("SI",C1202)))</formula>
    </cfRule>
    <cfRule type="containsText" dxfId="124" priority="107" operator="containsText" text="NO">
      <formula>NOT(ISERROR(SEARCH("NO",C1202)))</formula>
    </cfRule>
  </conditionalFormatting>
  <conditionalFormatting sqref="C1202:D1202">
    <cfRule type="containsText" dxfId="123" priority="105" operator="containsText" text="NUEVO">
      <formula>NOT(ISERROR(SEARCH("NUEVO",C1202)))</formula>
    </cfRule>
  </conditionalFormatting>
  <conditionalFormatting sqref="E1202">
    <cfRule type="containsText" dxfId="122" priority="104" operator="containsText" text="Sin información">
      <formula>NOT(ISERROR(SEARCH("Sin información",E1202)))</formula>
    </cfRule>
  </conditionalFormatting>
  <conditionalFormatting sqref="E1202">
    <cfRule type="containsText" dxfId="121" priority="103" operator="containsText" text="NUEVO">
      <formula>NOT(ISERROR(SEARCH("NUEVO",E1202)))</formula>
    </cfRule>
  </conditionalFormatting>
  <conditionalFormatting sqref="F1202">
    <cfRule type="containsText" dxfId="120" priority="102" operator="containsText" text="NO+$D$4:$D$10">
      <formula>NOT(ISERROR(SEARCH("NO+$D$4:$D$10",F1202)))</formula>
    </cfRule>
  </conditionalFormatting>
  <conditionalFormatting sqref="F1202">
    <cfRule type="containsText" dxfId="119" priority="100" operator="containsText" text="SI">
      <formula>NOT(ISERROR(SEARCH("SI",F1202)))</formula>
    </cfRule>
    <cfRule type="containsText" dxfId="118" priority="101" operator="containsText" text="NO">
      <formula>NOT(ISERROR(SEARCH("NO",F1202)))</formula>
    </cfRule>
  </conditionalFormatting>
  <conditionalFormatting sqref="F1202">
    <cfRule type="containsText" dxfId="117" priority="99" operator="containsText" text="NUEVO">
      <formula>NOT(ISERROR(SEARCH("NUEVO",F1202)))</formula>
    </cfRule>
  </conditionalFormatting>
  <conditionalFormatting sqref="F1202">
    <cfRule type="expression" dxfId="116" priority="98">
      <formula>F1202&lt;&gt;""</formula>
    </cfRule>
  </conditionalFormatting>
  <conditionalFormatting sqref="C1203:D1203">
    <cfRule type="containsText" dxfId="115" priority="97" operator="containsText" text="NO+$D$4:$D$10">
      <formula>NOT(ISERROR(SEARCH("NO+$D$4:$D$10",C1203)))</formula>
    </cfRule>
  </conditionalFormatting>
  <conditionalFormatting sqref="C1203:D1203">
    <cfRule type="containsText" dxfId="114" priority="95" operator="containsText" text="SI">
      <formula>NOT(ISERROR(SEARCH("SI",C1203)))</formula>
    </cfRule>
    <cfRule type="containsText" dxfId="113" priority="96" operator="containsText" text="NO">
      <formula>NOT(ISERROR(SEARCH("NO",C1203)))</formula>
    </cfRule>
  </conditionalFormatting>
  <conditionalFormatting sqref="C1203:D1203">
    <cfRule type="containsText" dxfId="112" priority="94" operator="containsText" text="NUEVO">
      <formula>NOT(ISERROR(SEARCH("NUEVO",C1203)))</formula>
    </cfRule>
  </conditionalFormatting>
  <conditionalFormatting sqref="F1203">
    <cfRule type="expression" dxfId="111" priority="93">
      <formula>F1203&lt;&gt;""</formula>
    </cfRule>
  </conditionalFormatting>
  <conditionalFormatting sqref="E1203">
    <cfRule type="containsText" dxfId="110" priority="92" operator="containsText" text="NUEVO">
      <formula>NOT(ISERROR(SEARCH("NUEVO",E1203)))</formula>
    </cfRule>
  </conditionalFormatting>
  <conditionalFormatting sqref="E1203">
    <cfRule type="containsText" dxfId="109" priority="91" operator="containsText" text="Sin Información">
      <formula>NOT(ISERROR(SEARCH("Sin Información",E1203)))</formula>
    </cfRule>
  </conditionalFormatting>
  <conditionalFormatting sqref="E1203">
    <cfRule type="expression" dxfId="108" priority="90">
      <formula>E1203&lt;&gt;""</formula>
    </cfRule>
  </conditionalFormatting>
  <conditionalFormatting sqref="C1204:D1204">
    <cfRule type="containsText" dxfId="107" priority="89" operator="containsText" text="NO+$D$4:$D$10">
      <formula>NOT(ISERROR(SEARCH("NO+$D$4:$D$10",C1204)))</formula>
    </cfRule>
  </conditionalFormatting>
  <conditionalFormatting sqref="C1204:D1204">
    <cfRule type="containsText" dxfId="106" priority="87" operator="containsText" text="SI">
      <formula>NOT(ISERROR(SEARCH("SI",C1204)))</formula>
    </cfRule>
    <cfRule type="containsText" dxfId="105" priority="88" operator="containsText" text="NO">
      <formula>NOT(ISERROR(SEARCH("NO",C1204)))</formula>
    </cfRule>
  </conditionalFormatting>
  <conditionalFormatting sqref="C1204:D1204">
    <cfRule type="containsText" dxfId="104" priority="86" operator="containsText" text="NUEVO">
      <formula>NOT(ISERROR(SEARCH("NUEVO",C1204)))</formula>
    </cfRule>
  </conditionalFormatting>
  <conditionalFormatting sqref="E1204">
    <cfRule type="containsText" dxfId="103" priority="85" operator="containsText" text="NUEVO">
      <formula>NOT(ISERROR(SEARCH("NUEVO",E1204)))</formula>
    </cfRule>
  </conditionalFormatting>
  <conditionalFormatting sqref="E1204">
    <cfRule type="containsText" dxfId="102" priority="84" operator="containsText" text="Sin Información">
      <formula>NOT(ISERROR(SEARCH("Sin Información",E1204)))</formula>
    </cfRule>
  </conditionalFormatting>
  <conditionalFormatting sqref="E1204:F1204">
    <cfRule type="expression" dxfId="101" priority="83">
      <formula>E1204&lt;&gt;""</formula>
    </cfRule>
  </conditionalFormatting>
  <conditionalFormatting sqref="C1205:D1205">
    <cfRule type="containsText" dxfId="100" priority="82" operator="containsText" text="NO+$D$4:$D$10">
      <formula>NOT(ISERROR(SEARCH("NO+$D$4:$D$10",C1205)))</formula>
    </cfRule>
  </conditionalFormatting>
  <conditionalFormatting sqref="C1205:D1205">
    <cfRule type="containsText" dxfId="99" priority="80" operator="containsText" text="SI">
      <formula>NOT(ISERROR(SEARCH("SI",C1205)))</formula>
    </cfRule>
    <cfRule type="containsText" dxfId="98" priority="81" operator="containsText" text="NO">
      <formula>NOT(ISERROR(SEARCH("NO",C1205)))</formula>
    </cfRule>
  </conditionalFormatting>
  <conditionalFormatting sqref="C1205:E1205">
    <cfRule type="containsText" dxfId="97" priority="79" operator="containsText" text="NUEVO">
      <formula>NOT(ISERROR(SEARCH("NUEVO",C1205)))</formula>
    </cfRule>
  </conditionalFormatting>
  <conditionalFormatting sqref="E1205">
    <cfRule type="containsText" dxfId="96" priority="78" operator="containsText" text="Sin Información">
      <formula>NOT(ISERROR(SEARCH("Sin Información",E1205)))</formula>
    </cfRule>
  </conditionalFormatting>
  <conditionalFormatting sqref="E1205:F1205">
    <cfRule type="expression" dxfId="95" priority="77">
      <formula>E1205&lt;&gt;""</formula>
    </cfRule>
  </conditionalFormatting>
  <conditionalFormatting sqref="C1206:D1206">
    <cfRule type="containsText" dxfId="94" priority="76" operator="containsText" text="NO+$D$4:$D$10">
      <formula>NOT(ISERROR(SEARCH("NO+$D$4:$D$10",C1206)))</formula>
    </cfRule>
  </conditionalFormatting>
  <conditionalFormatting sqref="C1206:D1206">
    <cfRule type="containsText" dxfId="93" priority="74" operator="containsText" text="SI">
      <formula>NOT(ISERROR(SEARCH("SI",C1206)))</formula>
    </cfRule>
    <cfRule type="containsText" dxfId="92" priority="75" operator="containsText" text="NO">
      <formula>NOT(ISERROR(SEARCH("NO",C1206)))</formula>
    </cfRule>
  </conditionalFormatting>
  <conditionalFormatting sqref="C1206:D1206">
    <cfRule type="containsText" dxfId="91" priority="73" operator="containsText" text="NUEVO">
      <formula>NOT(ISERROR(SEARCH("NUEVO",C1206)))</formula>
    </cfRule>
  </conditionalFormatting>
  <conditionalFormatting sqref="F1206">
    <cfRule type="expression" dxfId="90" priority="72">
      <formula>F1206&lt;&gt;""</formula>
    </cfRule>
  </conditionalFormatting>
  <conditionalFormatting sqref="E1206">
    <cfRule type="containsText" dxfId="89" priority="71" operator="containsText" text="NUEVO">
      <formula>NOT(ISERROR(SEARCH("NUEVO",E1206)))</formula>
    </cfRule>
  </conditionalFormatting>
  <conditionalFormatting sqref="E1206">
    <cfRule type="containsText" dxfId="88" priority="70" operator="containsText" text="Sin Información">
      <formula>NOT(ISERROR(SEARCH("Sin Información",E1206)))</formula>
    </cfRule>
  </conditionalFormatting>
  <conditionalFormatting sqref="E1206">
    <cfRule type="expression" dxfId="87" priority="69">
      <formula>E1206&lt;&gt;""</formula>
    </cfRule>
  </conditionalFormatting>
  <conditionalFormatting sqref="C1207:D1207">
    <cfRule type="containsText" dxfId="86" priority="68" operator="containsText" text="NO+$D$4:$D$10">
      <formula>NOT(ISERROR(SEARCH("NO+$D$4:$D$10",C1207)))</formula>
    </cfRule>
  </conditionalFormatting>
  <conditionalFormatting sqref="C1207:D1207">
    <cfRule type="containsText" dxfId="85" priority="66" operator="containsText" text="SI">
      <formula>NOT(ISERROR(SEARCH("SI",C1207)))</formula>
    </cfRule>
    <cfRule type="containsText" dxfId="84" priority="67" operator="containsText" text="NO">
      <formula>NOT(ISERROR(SEARCH("NO",C1207)))</formula>
    </cfRule>
  </conditionalFormatting>
  <conditionalFormatting sqref="C1207:D1207">
    <cfRule type="containsText" dxfId="83" priority="65" operator="containsText" text="NUEVO">
      <formula>NOT(ISERROR(SEARCH("NUEVO",C1207)))</formula>
    </cfRule>
  </conditionalFormatting>
  <conditionalFormatting sqref="E1207">
    <cfRule type="containsText" dxfId="82" priority="64" operator="containsText" text="NUEVO">
      <formula>NOT(ISERROR(SEARCH("NUEVO",E1207)))</formula>
    </cfRule>
  </conditionalFormatting>
  <conditionalFormatting sqref="E1207">
    <cfRule type="containsText" dxfId="81" priority="63" operator="containsText" text="Sin Información">
      <formula>NOT(ISERROR(SEARCH("Sin Información",E1207)))</formula>
    </cfRule>
  </conditionalFormatting>
  <conditionalFormatting sqref="E1207">
    <cfRule type="expression" dxfId="80" priority="62">
      <formula>E1207&lt;&gt;""</formula>
    </cfRule>
  </conditionalFormatting>
  <conditionalFormatting sqref="C1208:D1208">
    <cfRule type="containsText" dxfId="79" priority="61" operator="containsText" text="NO+$D$4:$D$10">
      <formula>NOT(ISERROR(SEARCH("NO+$D$4:$D$10",C1208)))</formula>
    </cfRule>
  </conditionalFormatting>
  <conditionalFormatting sqref="C1208:D1208">
    <cfRule type="containsText" dxfId="78" priority="59" operator="containsText" text="SI">
      <formula>NOT(ISERROR(SEARCH("SI",C1208)))</formula>
    </cfRule>
    <cfRule type="containsText" dxfId="77" priority="60" operator="containsText" text="NO">
      <formula>NOT(ISERROR(SEARCH("NO",C1208)))</formula>
    </cfRule>
  </conditionalFormatting>
  <conditionalFormatting sqref="C1208:D1208">
    <cfRule type="containsText" dxfId="76" priority="58" operator="containsText" text="NUEVO">
      <formula>NOT(ISERROR(SEARCH("NUEVO",C1208)))</formula>
    </cfRule>
  </conditionalFormatting>
  <conditionalFormatting sqref="E1208">
    <cfRule type="containsText" dxfId="75" priority="57" operator="containsText" text="NUEVO">
      <formula>NOT(ISERROR(SEARCH("NUEVO",E1208)))</formula>
    </cfRule>
  </conditionalFormatting>
  <conditionalFormatting sqref="E1208">
    <cfRule type="containsText" dxfId="74" priority="56" operator="containsText" text="Sin Información">
      <formula>NOT(ISERROR(SEARCH("Sin Información",E1208)))</formula>
    </cfRule>
  </conditionalFormatting>
  <conditionalFormatting sqref="E1208">
    <cfRule type="expression" dxfId="73" priority="55">
      <formula>E1208&lt;&gt;""</formula>
    </cfRule>
  </conditionalFormatting>
  <conditionalFormatting sqref="C1669:D1669">
    <cfRule type="containsText" dxfId="72" priority="54" operator="containsText" text="NO+$D$4:$D$10">
      <formula>NOT(ISERROR(SEARCH("NO+$D$4:$D$10",C1669)))</formula>
    </cfRule>
  </conditionalFormatting>
  <conditionalFormatting sqref="C1669:D1669">
    <cfRule type="containsText" dxfId="71" priority="52" operator="containsText" text="SI">
      <formula>NOT(ISERROR(SEARCH("SI",C1669)))</formula>
    </cfRule>
    <cfRule type="containsText" dxfId="70" priority="53" operator="containsText" text="NO">
      <formula>NOT(ISERROR(SEARCH("NO",C1669)))</formula>
    </cfRule>
  </conditionalFormatting>
  <conditionalFormatting sqref="C1669:D1669">
    <cfRule type="containsText" dxfId="69" priority="51" operator="containsText" text="NUEVO">
      <formula>NOT(ISERROR(SEARCH("NUEVO",C1669)))</formula>
    </cfRule>
  </conditionalFormatting>
  <conditionalFormatting sqref="F1669">
    <cfRule type="expression" dxfId="68" priority="50">
      <formula>F1669&lt;&gt;""</formula>
    </cfRule>
  </conditionalFormatting>
  <conditionalFormatting sqref="E1669">
    <cfRule type="containsText" dxfId="67" priority="49" operator="containsText" text="NUEVO">
      <formula>NOT(ISERROR(SEARCH("NUEVO",E1669)))</formula>
    </cfRule>
  </conditionalFormatting>
  <conditionalFormatting sqref="E1669">
    <cfRule type="containsText" dxfId="66" priority="48" operator="containsText" text="Sin Información">
      <formula>NOT(ISERROR(SEARCH("Sin Información",E1669)))</formula>
    </cfRule>
  </conditionalFormatting>
  <conditionalFormatting sqref="E1669">
    <cfRule type="expression" dxfId="65" priority="47">
      <formula>E1669&lt;&gt;""</formula>
    </cfRule>
  </conditionalFormatting>
  <conditionalFormatting sqref="C1670:D1670">
    <cfRule type="containsText" dxfId="64" priority="46" operator="containsText" text="NO+$D$4:$D$10">
      <formula>NOT(ISERROR(SEARCH("NO+$D$4:$D$10",C1670)))</formula>
    </cfRule>
  </conditionalFormatting>
  <conditionalFormatting sqref="C1670:D1670">
    <cfRule type="containsText" dxfId="63" priority="44" operator="containsText" text="SI">
      <formula>NOT(ISERROR(SEARCH("SI",C1670)))</formula>
    </cfRule>
    <cfRule type="containsText" dxfId="62" priority="45" operator="containsText" text="NO">
      <formula>NOT(ISERROR(SEARCH("NO",C1670)))</formula>
    </cfRule>
  </conditionalFormatting>
  <conditionalFormatting sqref="C1670:D1670">
    <cfRule type="containsText" dxfId="61" priority="43" operator="containsText" text="NUEVO">
      <formula>NOT(ISERROR(SEARCH("NUEVO",C1670)))</formula>
    </cfRule>
  </conditionalFormatting>
  <conditionalFormatting sqref="F1670">
    <cfRule type="expression" dxfId="60" priority="42">
      <formula>F1670&lt;&gt;""</formula>
    </cfRule>
  </conditionalFormatting>
  <conditionalFormatting sqref="E1670">
    <cfRule type="containsText" dxfId="59" priority="41" operator="containsText" text="NUEVO">
      <formula>NOT(ISERROR(SEARCH("NUEVO",E1670)))</formula>
    </cfRule>
  </conditionalFormatting>
  <conditionalFormatting sqref="E1670">
    <cfRule type="containsText" dxfId="58" priority="40" operator="containsText" text="Sin Información">
      <formula>NOT(ISERROR(SEARCH("Sin Información",E1670)))</formula>
    </cfRule>
  </conditionalFormatting>
  <conditionalFormatting sqref="E1670">
    <cfRule type="expression" dxfId="57" priority="39">
      <formula>E1670&lt;&gt;""</formula>
    </cfRule>
  </conditionalFormatting>
  <conditionalFormatting sqref="C1671:D1671">
    <cfRule type="containsText" dxfId="56" priority="38" operator="containsText" text="NO+$D$4:$D$10">
      <formula>NOT(ISERROR(SEARCH("NO+$D$4:$D$10",C1671)))</formula>
    </cfRule>
  </conditionalFormatting>
  <conditionalFormatting sqref="C1671:D1671">
    <cfRule type="containsText" dxfId="55" priority="36" operator="containsText" text="SI">
      <formula>NOT(ISERROR(SEARCH("SI",C1671)))</formula>
    </cfRule>
    <cfRule type="containsText" dxfId="54" priority="37" operator="containsText" text="NO">
      <formula>NOT(ISERROR(SEARCH("NO",C1671)))</formula>
    </cfRule>
  </conditionalFormatting>
  <conditionalFormatting sqref="C1671:D1671">
    <cfRule type="containsText" dxfId="53" priority="35" operator="containsText" text="NUEVO">
      <formula>NOT(ISERROR(SEARCH("NUEVO",C1671)))</formula>
    </cfRule>
  </conditionalFormatting>
  <conditionalFormatting sqref="F1671">
    <cfRule type="expression" dxfId="52" priority="34">
      <formula>F1671&lt;&gt;""</formula>
    </cfRule>
  </conditionalFormatting>
  <conditionalFormatting sqref="E1671">
    <cfRule type="containsText" dxfId="51" priority="33" operator="containsText" text="NUEVO">
      <formula>NOT(ISERROR(SEARCH("NUEVO",E1671)))</formula>
    </cfRule>
  </conditionalFormatting>
  <conditionalFormatting sqref="E1671">
    <cfRule type="containsText" dxfId="50" priority="32" operator="containsText" text="Sin Información">
      <formula>NOT(ISERROR(SEARCH("Sin Información",E1671)))</formula>
    </cfRule>
  </conditionalFormatting>
  <conditionalFormatting sqref="E1671">
    <cfRule type="expression" dxfId="49" priority="31">
      <formula>E1671&lt;&gt;""</formula>
    </cfRule>
  </conditionalFormatting>
  <conditionalFormatting sqref="C1672:D1672">
    <cfRule type="containsText" dxfId="48" priority="30" operator="containsText" text="NO+$D$4:$D$10">
      <formula>NOT(ISERROR(SEARCH("NO+$D$4:$D$10",C1672)))</formula>
    </cfRule>
  </conditionalFormatting>
  <conditionalFormatting sqref="C1672:D1672">
    <cfRule type="containsText" dxfId="47" priority="28" operator="containsText" text="SI">
      <formula>NOT(ISERROR(SEARCH("SI",C1672)))</formula>
    </cfRule>
    <cfRule type="containsText" dxfId="46" priority="29" operator="containsText" text="NO">
      <formula>NOT(ISERROR(SEARCH("NO",C1672)))</formula>
    </cfRule>
  </conditionalFormatting>
  <conditionalFormatting sqref="E1672">
    <cfRule type="containsText" dxfId="45" priority="27" operator="containsText" text="Sin información">
      <formula>NOT(ISERROR(SEARCH("Sin información",E1672)))</formula>
    </cfRule>
  </conditionalFormatting>
  <conditionalFormatting sqref="C1672:E1672">
    <cfRule type="containsText" dxfId="44" priority="26" operator="containsText" text="NUEVO">
      <formula>NOT(ISERROR(SEARCH("NUEVO",C1672)))</formula>
    </cfRule>
  </conditionalFormatting>
  <conditionalFormatting sqref="E1672">
    <cfRule type="containsText" dxfId="43" priority="25" operator="containsText" text="Sin Información">
      <formula>NOT(ISERROR(SEARCH("Sin Información",E1672)))</formula>
    </cfRule>
  </conditionalFormatting>
  <conditionalFormatting sqref="E1672:F1672">
    <cfRule type="expression" dxfId="42" priority="24">
      <formula>E1672&lt;&gt;""</formula>
    </cfRule>
  </conditionalFormatting>
  <conditionalFormatting sqref="E1672">
    <cfRule type="expression" dxfId="41" priority="23">
      <formula>E1672&lt;&gt;""</formula>
    </cfRule>
  </conditionalFormatting>
  <conditionalFormatting sqref="C1673:D1673">
    <cfRule type="containsText" dxfId="40" priority="22" operator="containsText" text="NO+$D$4:$D$10">
      <formula>NOT(ISERROR(SEARCH("NO+$D$4:$D$10",C1673)))</formula>
    </cfRule>
  </conditionalFormatting>
  <conditionalFormatting sqref="C1673:D1673">
    <cfRule type="containsText" dxfId="39" priority="20" operator="containsText" text="SI">
      <formula>NOT(ISERROR(SEARCH("SI",C1673)))</formula>
    </cfRule>
    <cfRule type="containsText" dxfId="38" priority="21" operator="containsText" text="NO">
      <formula>NOT(ISERROR(SEARCH("NO",C1673)))</formula>
    </cfRule>
  </conditionalFormatting>
  <conditionalFormatting sqref="C1673:D1673">
    <cfRule type="containsText" dxfId="37" priority="19" operator="containsText" text="NUEVO">
      <formula>NOT(ISERROR(SEARCH("NUEVO",C1673)))</formula>
    </cfRule>
  </conditionalFormatting>
  <conditionalFormatting sqref="E1673">
    <cfRule type="containsText" dxfId="36" priority="18" operator="containsText" text="Sin información">
      <formula>NOT(ISERROR(SEARCH("Sin información",E1673)))</formula>
    </cfRule>
  </conditionalFormatting>
  <conditionalFormatting sqref="E1673">
    <cfRule type="containsText" dxfId="35" priority="17" operator="containsText" text="NUEVO">
      <formula>NOT(ISERROR(SEARCH("NUEVO",E1673)))</formula>
    </cfRule>
  </conditionalFormatting>
  <conditionalFormatting sqref="F1673">
    <cfRule type="expression" dxfId="34" priority="16">
      <formula>F1673&lt;&gt;""</formula>
    </cfRule>
  </conditionalFormatting>
  <conditionalFormatting sqref="C1674:D1674">
    <cfRule type="containsText" dxfId="33" priority="15" operator="containsText" text="NO+$D$4:$D$10">
      <formula>NOT(ISERROR(SEARCH("NO+$D$4:$D$10",C1674)))</formula>
    </cfRule>
  </conditionalFormatting>
  <conditionalFormatting sqref="C1674:D1674">
    <cfRule type="containsText" dxfId="32" priority="13" operator="containsText" text="SI">
      <formula>NOT(ISERROR(SEARCH("SI",C1674)))</formula>
    </cfRule>
    <cfRule type="containsText" dxfId="31" priority="14" operator="containsText" text="NO">
      <formula>NOT(ISERROR(SEARCH("NO",C1674)))</formula>
    </cfRule>
  </conditionalFormatting>
  <conditionalFormatting sqref="C1674:D1674">
    <cfRule type="containsText" dxfId="30" priority="12" operator="containsText" text="NUEVO">
      <formula>NOT(ISERROR(SEARCH("NUEVO",C1674)))</formula>
    </cfRule>
  </conditionalFormatting>
  <conditionalFormatting sqref="E1674">
    <cfRule type="containsText" dxfId="29" priority="11" operator="containsText" text="NUEVO">
      <formula>NOT(ISERROR(SEARCH("NUEVO",E1674)))</formula>
    </cfRule>
  </conditionalFormatting>
  <conditionalFormatting sqref="E1674">
    <cfRule type="containsText" dxfId="28" priority="10" operator="containsText" text="Sin Información">
      <formula>NOT(ISERROR(SEARCH("Sin Información",E1674)))</formula>
    </cfRule>
  </conditionalFormatting>
  <conditionalFormatting sqref="E1674">
    <cfRule type="expression" dxfId="27" priority="9">
      <formula>E1674&lt;&gt;""</formula>
    </cfRule>
  </conditionalFormatting>
  <conditionalFormatting sqref="C201:D201">
    <cfRule type="containsText" dxfId="26" priority="8" operator="containsText" text="NO+$D$4:$D$10">
      <formula>NOT(ISERROR(SEARCH("NO+$D$4:$D$10",C201)))</formula>
    </cfRule>
  </conditionalFormatting>
  <conditionalFormatting sqref="C201:D201">
    <cfRule type="containsText" dxfId="25" priority="6" operator="containsText" text="SI">
      <formula>NOT(ISERROR(SEARCH("SI",C201)))</formula>
    </cfRule>
    <cfRule type="containsText" dxfId="24" priority="7" operator="containsText" text="NO">
      <formula>NOT(ISERROR(SEARCH("NO",C201)))</formula>
    </cfRule>
  </conditionalFormatting>
  <conditionalFormatting sqref="C201:D201">
    <cfRule type="containsText" dxfId="23" priority="5" operator="containsText" text="NUEVO">
      <formula>NOT(ISERROR(SEARCH("NUEVO",C201)))</formula>
    </cfRule>
  </conditionalFormatting>
  <conditionalFormatting sqref="E201">
    <cfRule type="expression" dxfId="22" priority="4">
      <formula>E201&lt;&gt;""</formula>
    </cfRule>
  </conditionalFormatting>
  <conditionalFormatting sqref="E201">
    <cfRule type="containsText" dxfId="21" priority="3" operator="containsText" text="Sin información">
      <formula>NOT(ISERROR(SEARCH("Sin información",E201)))</formula>
    </cfRule>
  </conditionalFormatting>
  <conditionalFormatting sqref="E201">
    <cfRule type="containsText" dxfId="20" priority="2" operator="containsText" text="NUEVO">
      <formula>NOT(ISERROR(SEARCH("NUEVO",E201)))</formula>
    </cfRule>
  </conditionalFormatting>
  <conditionalFormatting sqref="F201">
    <cfRule type="expression" dxfId="19" priority="1">
      <formula>F201&lt;&gt;""</formula>
    </cfRule>
  </conditionalFormatting>
  <conditionalFormatting sqref="E1668">
    <cfRule type="containsText" dxfId="1" priority="37129" operator="containsText" text="NUEVO">
      <formula>NOT(ISERROR(SEARCH("NUEVO",E1667)))</formula>
    </cfRule>
  </conditionalFormatting>
  <conditionalFormatting sqref="E1668">
    <cfRule type="containsText" dxfId="0" priority="37130" operator="containsText" text="Sin información">
      <formula>NOT(ISERROR(SEARCH("Sin información",E1667)))</formula>
    </cfRule>
  </conditionalFormatting>
  <hyperlinks>
    <hyperlink ref="G2" r:id="rId1" display="+584246941333" xr:uid="{00000000-0004-0000-0400-000000000000}"/>
    <hyperlink ref="G817" r:id="rId2" display="+584125461461" xr:uid="{00000000-0004-0000-0400-000001000000}"/>
    <hyperlink ref="G1023" r:id="rId3" display="+584246241775" xr:uid="{00000000-0004-0000-0400-000002000000}"/>
    <hyperlink ref="G1060" r:id="rId4" display="+584246445845" xr:uid="{00000000-0004-0000-0400-000003000000}"/>
    <hyperlink ref="G1132" r:id="rId5" display="+584246742641" xr:uid="{00000000-0004-0000-0400-000004000000}"/>
    <hyperlink ref="G1180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178" operator="containsText" text="NUEVO" id="{00000000-000E-0000-0400-0000B1580000}">
            <xm:f>NOT(ISERROR(SEARCH("NUEVO",'05-10-2026 A 11-10-2026'!#REF!)))</xm:f>
            <x14:dxf>
              <fill>
                <patternFill>
                  <bgColor rgb="FFFFFF00"/>
                </patternFill>
              </fill>
            </x14:dxf>
          </x14:cfRule>
          <xm:sqref>E817</xm:sqref>
        </x14:conditionalFormatting>
        <x14:conditionalFormatting xmlns:xm="http://schemas.microsoft.com/office/excel/2006/main">
          <x14:cfRule type="containsText" priority="32179" operator="containsText" text="Sin información" id="{00000000-000E-0000-0400-0000B6580000}">
            <xm:f>NOT(ISERROR(SEARCH("Sin información",'05-10-2026 A 11-10-2026'!#REF!)))</xm:f>
            <x14:dxf>
              <fill>
                <patternFill>
                  <bgColor rgb="FFFFC000"/>
                </patternFill>
              </fill>
            </x14:dxf>
          </x14:cfRule>
          <xm:sqref>E817</xm:sqref>
        </x14:conditionalFormatting>
        <x14:conditionalFormatting xmlns:xm="http://schemas.microsoft.com/office/excel/2006/main">
          <x14:cfRule type="containsText" priority="1745" operator="containsText" text="NUEVO" id="{AA69C2CF-C2E9-468A-93D8-7646CA549355}">
            <xm:f>NOT(ISERROR(SEARCH("NUEVO",'05-10-2026 A 11-10-2026'!C703)))</xm:f>
            <x14:dxf>
              <fill>
                <patternFill>
                  <bgColor rgb="FFFFFF00"/>
                </patternFill>
              </fill>
            </x14:dxf>
          </x14:cfRule>
          <xm:sqref>E768:E769 C1571:E1572</xm:sqref>
        </x14:conditionalFormatting>
        <x14:conditionalFormatting xmlns:xm="http://schemas.microsoft.com/office/excel/2006/main">
          <x14:cfRule type="containsText" priority="1744" operator="containsText" text="Sin Información" id="{C5F85BD8-93E1-44FD-87D5-B3AFE343AA0D}">
            <xm:f>NOT(ISERROR(SEARCH("Sin Información",'05-10-2026 A 11-10-2026'!E703)))</xm:f>
            <x14:dxf>
              <fill>
                <patternFill>
                  <bgColor rgb="FFFFC000"/>
                </patternFill>
              </fill>
            </x14:dxf>
          </x14:cfRule>
          <xm:sqref>E768:E769 E1571:E1572</xm:sqref>
        </x14:conditionalFormatting>
        <x14:conditionalFormatting xmlns:xm="http://schemas.microsoft.com/office/excel/2006/main">
          <x14:cfRule type="expression" priority="1743" id="{BA45E3C5-2676-4E6C-AEB1-AEF324B0A103}">
            <xm:f>'05-10-2026 A 11-10-2026'!E703&lt;&gt;""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E1571:G1571 E1572:F1572 E768:F769</xm:sqref>
        </x14:conditionalFormatting>
        <x14:conditionalFormatting xmlns:xm="http://schemas.microsoft.com/office/excel/2006/main">
          <x14:cfRule type="containsText" priority="1733" operator="containsText" text="Sin información" id="{DFD31ED9-2635-4D91-A853-4DB65571BF61}">
            <xm:f>NOT(ISERROR(SEARCH("Sin información",'05-10-2026 A 11-10-2026'!E703)))</xm:f>
            <x14:dxf>
              <fill>
                <patternFill>
                  <bgColor rgb="FFFFC000"/>
                </patternFill>
              </fill>
            </x14:dxf>
          </x14:cfRule>
          <xm:sqref>E768</xm:sqref>
        </x14:conditionalFormatting>
        <x14:conditionalFormatting xmlns:xm="http://schemas.microsoft.com/office/excel/2006/main">
          <x14:cfRule type="containsText" priority="1575" operator="containsText" text="NO+$D$4:$D$10" id="{655252F7-703B-4F2A-BEFD-FE1840AFBE1F}">
            <xm:f>NOT(ISERROR(SEARCH("NO+$D$4:$D$10",'05-10-2026 A 11-10-2026'!C728)))</xm:f>
            <x14:dxf>
              <fill>
                <patternFill>
                  <bgColor rgb="FFFF0000"/>
                </patternFill>
              </fill>
            </x14:dxf>
          </x14:cfRule>
          <xm:sqref>C788:D788</xm:sqref>
        </x14:conditionalFormatting>
        <x14:conditionalFormatting xmlns:xm="http://schemas.microsoft.com/office/excel/2006/main">
          <x14:cfRule type="containsText" priority="1573" operator="containsText" text="SI" id="{001953B3-3685-4787-BEFD-1A0ED4591F29}">
            <xm:f>NOT(ISERROR(SEARCH("SI",'05-10-2026 A 11-10-2026'!C728)))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574" operator="containsText" text="NO" id="{89D8A8F5-779D-40CE-AECC-1B8D81E9A844}">
            <xm:f>NOT(ISERROR(SEARCH("NO",'05-10-2026 A 11-10-2026'!C728)))</xm:f>
            <x14:dxf>
              <fill>
                <patternFill>
                  <bgColor rgb="FFFF0000"/>
                </patternFill>
              </fill>
            </x14:dxf>
          </x14:cfRule>
          <xm:sqref>C788:D788</xm:sqref>
        </x14:conditionalFormatting>
        <x14:conditionalFormatting xmlns:xm="http://schemas.microsoft.com/office/excel/2006/main">
          <x14:cfRule type="containsText" priority="1572" operator="containsText" text="NUEVO" id="{85961803-59A4-4092-9F15-5427763DB42E}">
            <xm:f>NOT(ISERROR(SEARCH("NUEVO",'05-10-2026 A 11-10-2026'!C728)))</xm:f>
            <x14:dxf>
              <fill>
                <patternFill>
                  <bgColor rgb="FFFFFF00"/>
                </patternFill>
              </fill>
            </x14:dxf>
          </x14:cfRule>
          <xm:sqref>C788:E788</xm:sqref>
        </x14:conditionalFormatting>
        <x14:conditionalFormatting xmlns:xm="http://schemas.microsoft.com/office/excel/2006/main">
          <x14:cfRule type="containsText" priority="1571" operator="containsText" text="Sin Información" id="{4DAD7D90-9AFE-49BB-B8E9-1BA93BAB67B3}">
            <xm:f>NOT(ISERROR(SEARCH("Sin Información",'05-10-2026 A 11-10-2026'!E728)))</xm:f>
            <x14:dxf>
              <fill>
                <patternFill>
                  <bgColor rgb="FFFFC000"/>
                </patternFill>
              </fill>
            </x14:dxf>
          </x14:cfRule>
          <xm:sqref>E788</xm:sqref>
        </x14:conditionalFormatting>
        <x14:conditionalFormatting xmlns:xm="http://schemas.microsoft.com/office/excel/2006/main">
          <x14:cfRule type="expression" priority="34856" id="{23DC5BA6-DC11-481F-A488-5316C83CB78C}">
            <xm:f>'05-10-2026 A 11-10-2026'!G1154&lt;&gt;""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G1180</xm:sqref>
        </x14:conditionalFormatting>
        <x14:conditionalFormatting xmlns:xm="http://schemas.microsoft.com/office/excel/2006/main">
          <x14:cfRule type="expression" priority="1097" id="{CC85CB04-9217-46B5-8B53-78F67B56499C}">
            <xm:f>OR('05-10-2026 A 11-10-2026'!I1508&lt;&gt;"", '05-10-2026 A 11-10-2026'!J1508&lt;&gt;"")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I1571:J1571</xm:sqref>
        </x14:conditionalFormatting>
        <x14:conditionalFormatting xmlns:xm="http://schemas.microsoft.com/office/excel/2006/main">
          <x14:cfRule type="containsText" priority="1092" operator="containsText" text="NO+$D$4:$D$10" id="{0EC29FD2-31FB-41D7-B8A2-92544DCCCCA1}">
            <xm:f>NOT(ISERROR(SEARCH("NO+$D$4:$D$10",'05-10-2026 A 11-10-2026'!C1506)))</xm:f>
            <x14:dxf>
              <fill>
                <patternFill>
                  <bgColor rgb="FFFF0000"/>
                </patternFill>
              </fill>
            </x14:dxf>
          </x14:cfRule>
          <xm:sqref>C1571:D1572</xm:sqref>
        </x14:conditionalFormatting>
        <x14:conditionalFormatting xmlns:xm="http://schemas.microsoft.com/office/excel/2006/main">
          <x14:cfRule type="containsText" priority="1090" operator="containsText" text="SI" id="{F931B692-83C0-4B76-AFDC-0F3662A4CF06}">
            <xm:f>NOT(ISERROR(SEARCH("SI",'05-10-2026 A 11-10-2026'!C1506)))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91" operator="containsText" text="NO" id="{FA6BCA9B-5A57-404F-9457-3E91100732D6}">
            <xm:f>NOT(ISERROR(SEARCH("NO",'05-10-2026 A 11-10-2026'!C1506)))</xm:f>
            <x14:dxf>
              <fill>
                <patternFill>
                  <bgColor rgb="FFFF0000"/>
                </patternFill>
              </fill>
            </x14:dxf>
          </x14:cfRule>
          <xm:sqref>C1571:D1572</xm:sqref>
        </x14:conditionalFormatting>
        <x14:conditionalFormatting xmlns:xm="http://schemas.microsoft.com/office/excel/2006/main">
          <x14:cfRule type="expression" priority="36599" id="{BA45E3C5-2676-4E6C-AEB1-AEF324B0A103}">
            <xm:f>'05-10-2026 A 11-10-2026'!E728&lt;&gt;""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E788:F788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C1677:D1681 C1211:D1369 C1530:D1530 C1533:D1536 C1538:D1546 C1548:D1674 C2:D114 C116:D201 C655:D676 C204:D653 C816:D1208 C1371:D1528 C678:D811 C813:D813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E1473:E1474 E1064:E1068 E417:E433 E1677:E1681 E163:E191 E551:E572 E574:E585 E778:E795 E541:E549 E148:E150 E152 E206 E751:E776 E1629:E1647 E797:E810 E1128:E1201 E1203:E1208 E1649:E1674 E193:E201 E1516:E1528 E1533 E1530 E1535:E1536 E1538:E1546 E1548:E1580 E208:E236 E898:E908 E1494:E1504 E724:E749 E813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05-10-2026 A 11-10-2026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2026-10-12T16:43:31Z</dcterms:modified>
</cp:coreProperties>
</file>