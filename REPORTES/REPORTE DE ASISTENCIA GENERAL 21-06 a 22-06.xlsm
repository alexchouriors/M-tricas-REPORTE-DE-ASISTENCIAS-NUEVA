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F88F4E69-603E-4690-9D0A-E8E32CC739CD}" xr6:coauthVersionLast="47" xr6:coauthVersionMax="47" xr10:uidLastSave="{00000000-0000-0000-0000-000000000000}"/>
  <bookViews>
    <workbookView xWindow="-120" yWindow="-120" windowWidth="21840" windowHeight="13740" activeTab="4" xr2:uid="{00000000-000D-0000-FFFF-FFFF00000000}"/>
  </bookViews>
  <sheets>
    <sheet name="15-06-2026 A 21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'15-06-2026 A 21-06-2026'!$A$22:$F$96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483" i="8" l="1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1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19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<sst xmlns="http://schemas.openxmlformats.org/spreadsheetml/2006/main" count="7998" uniqueCount="1973">
  <si>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</si>
  <si>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</si>
  <si>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</si>
  <si>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</si>
  <si>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</si>
  <si>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</si>
  <si>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</si>
  <si>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</si>
  <si>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</si>
  <si>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</si>
  <si>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</si>
  <si>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</si>
  <si>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</si>
  <si>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</si>
  <si>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</si>
  <si>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</si>
  <si>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</si>
  <si>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</si>
  <si>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</si>
  <si>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</si>
  <si>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</si>
  <si>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</si>
  <si>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</si>
  <si>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</si>
  <si>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</si>
  <si>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</si>
  <si>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</si>
  <si>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</si>
  <si>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</si>
  <si>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</si>
  <si>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</si>
  <si>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</si>
  <si>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</si>
  <si>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</si>
  <si>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</si>
  <si>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</si>
  <si>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</si>
  <si>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</si>
  <si>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</si>
  <si>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</si>
  <si>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</si>
  <si>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</si>
  <si>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</si>
  <si>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</si>
  <si>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</si>
  <si>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</si>
  <si>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</si>
  <si>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</si>
  <si>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</si>
  <si>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</si>
  <si>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</si>
  <si>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</si>
  <si>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</si>
  <si>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</si>
  <si>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</si>
  <si>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</si>
  <si>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</si>
  <si>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</si>
  <si>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</si>
  <si>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</si>
  <si>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</si>
  <si>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</si>
  <si>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</si>
  <si>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</si>
  <si>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</si>
  <si>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</si>
  <si>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</si>
  <si>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</si>
  <si>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</si>
  <si>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</si>
  <si>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</si>
  <si>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</si>
  <si>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</si>
  <si>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</si>
  <si>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</si>
  <si>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</si>
  <si>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</si>
  <si>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</si>
  <si>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</si>
  <si>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</si>
  <si>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</si>
  <si>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</si>
  <si>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</si>
  <si>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</si>
  <si>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</si>
  <si>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</si>
  <si>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</si>
  <si>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</si>
  <si>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</si>
  <si>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</si>
  <si>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</si>
  <si>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</si>
  <si>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</si>
  <si>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</si>
  <si>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</si>
  <si>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</si>
  <si>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</si>
  <si>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</si>
  <si>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</si>
  <si>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</si>
  <si>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</si>
  <si>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</si>
  <si>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</si>
  <si>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</si>
  <si>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</si>
  <si>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</si>
  <si>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</si>
  <si>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</si>
  <si>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</si>
  <si>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</si>
  <si>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</si>
  <si>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</si>
  <si>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</si>
  <si>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</si>
  <si>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</si>
  <si>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</si>
  <si>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</si>
  <si>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</si>
  <si>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</si>
  <si>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</si>
  <si>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</si>
  <si>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</si>
  <si>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</si>
  <si>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</si>
  <si>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</si>
  <si>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</si>
  <si>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</si>
  <si>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</si>
  <si>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</si>
  <si>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</si>
  <si>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</si>
  <si>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</si>
  <si>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</si>
  <si>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</si>
  <si>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</si>
  <si>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</si>
  <si>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</si>
  <si>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</si>
  <si>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</si>
  <si>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</si>
  <si>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</si>
  <si>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</si>
  <si>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</si>
  <si>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</si>
  <si>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</si>
  <si>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</si>
  <si>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</si>
  <si>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</si>
  <si>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</si>
  <si>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</si>
  <si>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</si>
  <si>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</si>
  <si>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</si>
  <si>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</si>
  <si>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</si>
  <si>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</si>
  <si>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</si>
  <si>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</si>
  <si>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</si>
  <si>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</si>
  <si>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</si>
  <si>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</si>
  <si>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</si>
  <si>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</si>
  <si>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</si>
  <si>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</si>
  <si>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</si>
  <si>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</si>
  <si>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</si>
  <si>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</si>
  <si>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</si>
  <si>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</si>
  <si>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</si>
  <si>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</si>
  <si>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</si>
  <si>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</si>
  <si>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</si>
  <si>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</si>
  <si>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</si>
  <si>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</si>
  <si>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</si>
  <si>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</si>
  <si>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</si>
  <si>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</si>
  <si>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</si>
  <si>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</si>
  <si>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</si>
  <si>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</si>
  <si>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</si>
  <si>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</si>
  <si>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</si>
  <si>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</si>
  <si>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</si>
  <si>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</si>
  <si>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</si>
  <si>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</si>
  <si>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</si>
  <si>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</si>
  <si>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</si>
  <si>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</si>
  <si>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</si>
  <si>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</si>
  <si>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</si>
  <si>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</si>
  <si>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</si>
  <si>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</si>
  <si>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</si>
  <si>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</si>
  <si>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</si>
  <si>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</si>
  <si>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</si>
  <si>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</si>
  <si>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</si>
  <si>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</si>
  <si>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</si>
  <si>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</si>
  <si>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</si>
  <si>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</si>
  <si>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</si>
  <si>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</si>
  <si>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</si>
  <si>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</si>
  <si>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</si>
  <si>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</si>
  <si>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</si>
  <si>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</si>
  <si>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</si>
  <si>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</si>
  <si>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</si>
  <si>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</si>
  <si>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</si>
  <si>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</si>
  <si>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</si>
  <si>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</si>
  <si>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</si>
  <si>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</si>
  <si>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</si>
  <si>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</si>
  <si>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</si>
  <si>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</si>
  <si>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</si>
  <si>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</si>
  <si>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</si>
  <si>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</si>
  <si>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</si>
  <si>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</si>
  <si>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</si>
  <si>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</si>
  <si>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</si>
  <si>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</si>
  <si>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</si>
  <si>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</si>
  <si>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</si>
  <si>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</si>
  <si>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</si>
  <si>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</si>
  <si>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</si>
  <si>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</si>
  <si>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</si>
  <si>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</si>
  <si>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</si>
  <si>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</si>
  <si>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</si>
  <si>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</si>
  <si>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</si>
  <si>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</si>
  <si>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</si>
  <si>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</si>
  <si>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</si>
  <si>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</si>
  <si>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</si>
  <si>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</si>
  <si>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</si>
  <si>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</si>
  <si>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</si>
  <si>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</si>
  <si>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</si>
  <si>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</si>
  <si>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</si>
  <si>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</si>
  <si>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</si>
  <si>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</si>
  <si>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</si>
  <si>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</si>
  <si>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</si>
  <si>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</si>
  <si>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</si>
  <si>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</si>
  <si>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</si>
  <si>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</si>
  <si>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</si>
  <si>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</si>
  <si>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</si>
  <si>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</si>
  <si>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</si>
  <si>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</si>
  <si>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</si>
  <si>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</si>
  <si>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</si>
  <si>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</si>
  <si>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</si>
  <si>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</si>
  <si>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</si>
  <si>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</si>
  <si>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</si>
  <si>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</si>
  <si>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</si>
  <si>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</si>
  <si>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</si>
  <si>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</si>
  <si>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</si>
  <si>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</si>
  <si>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</si>
  <si>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</si>
  <si>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</si>
  <si>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</si>
  <si>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</si>
  <si>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</si>
  <si>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</si>
  <si>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</si>
  <si>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</si>
  <si>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</si>
  <si>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</si>
  <si>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</si>
  <si>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</si>
  <si>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</si>
  <si>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</si>
  <si>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</si>
  <si>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</si>
  <si>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</si>
  <si>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</si>
  <si>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</si>
  <si>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</si>
  <si>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</si>
  <si>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</si>
  <si>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</si>
  <si>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</si>
  <si>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</si>
  <si>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</si>
  <si>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</si>
  <si>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</si>
  <si>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</si>
  <si>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</si>
  <si>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</si>
  <si>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</si>
  <si>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</si>
  <si>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</si>
  <si>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</si>
  <si>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</si>
  <si>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</si>
  <si>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</si>
  <si>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</si>
  <si>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</si>
  <si>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</si>
  <si>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</si>
  <si>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</si>
  <si>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</si>
  <si>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</si>
  <si>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</si>
  <si>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</si>
  <si>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</si>
  <si>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</si>
  <si>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</si>
  <si>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</si>
  <si>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</si>
  <si>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</si>
  <si>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</si>
  <si>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</si>
  <si>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</si>
  <si>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</si>
  <si>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</si>
  <si>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</si>
  <si>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</si>
  <si>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</si>
  <si>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</si>
  <si>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</si>
  <si>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</si>
  <si>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</si>
  <si>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</si>
  <si>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</si>
  <si>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</si>
  <si>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</si>
  <si>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</si>
  <si>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</si>
  <si>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</si>
  <si>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</si>
  <si>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</si>
  <si>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</si>
  <si>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</si>
  <si>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</si>
  <si>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</si>
  <si>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</si>
  <si>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</si>
  <si>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</si>
  <si>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</si>
  <si>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</si>
  <si>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</si>
  <si>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</si>
  <si>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</si>
  <si>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</si>
  <si>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</si>
  <si>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</si>
  <si>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</si>
  <si>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</si>
  <si>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</si>
  <si>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</si>
  <si>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</si>
  <si>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</si>
  <si>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</si>
  <si>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</si>
  <si>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</si>
  <si>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</si>
  <si>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</si>
  <si>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</si>
  <si>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</si>
  <si>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</si>
  <si>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</si>
  <si>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</si>
  <si>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</si>
  <si>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</si>
  <si>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</si>
  <si>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</si>
  <si>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</si>
  <si>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</si>
  <si>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</si>
  <si>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</si>
  <si>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</si>
  <si>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</si>
  <si>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</si>
  <si>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</si>
  <si>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</si>
  <si>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</si>
  <si>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</si>
  <si>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</si>
  <si>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</si>
  <si>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</si>
  <si>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</si>
  <si>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</si>
  <si>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</si>
  <si>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</si>
  <si>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</si>
  <si>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</si>
  <si>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</si>
  <si>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</si>
  <si>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</si>
  <si>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</si>
  <si>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</si>
  <si>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</si>
  <si>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</si>
  <si>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</si>
  <si>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</si>
  <si>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</si>
  <si>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</si>
  <si>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</si>
  <si>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</si>
  <si>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</si>
  <si>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</si>
  <si>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</si>
  <si>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</si>
  <si>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</si>
  <si>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</si>
  <si>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</si>
  <si>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</si>
  <si>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</si>
  <si>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</si>
  <si>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</si>
  <si>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</si>
  <si>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</si>
  <si>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</si>
  <si>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</si>
  <si>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</si>
  <si>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</si>
  <si>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</si>
  <si>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</si>
  <si>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</si>
  <si>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</si>
  <si>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</si>
  <si>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</si>
  <si>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</si>
  <si>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</si>
  <si>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</si>
  <si>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</si>
  <si>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</si>
  <si>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</si>
  <si>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</si>
  <si>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</si>
  <si>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</si>
  <si>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</si>
  <si>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</si>
  <si>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</si>
  <si>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</si>
  <si>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</si>
  <si>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</si>
  <si>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</si>
  <si>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</si>
  <si>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</si>
  <si>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</si>
  <si>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</si>
  <si>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</si>
  <si>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</si>
  <si>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</si>
  <si>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</si>
  <si>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</si>
  <si>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</si>
  <si>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</si>
  <si>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</si>
  <si>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</si>
  <si>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</si>
  <si>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</si>
  <si>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</si>
  <si>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</si>
  <si>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</si>
  <si>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</si>
  <si>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</si>
  <si>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</si>
  <si>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</si>
  <si>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</si>
  <si>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</si>
  <si>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</si>
  <si>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</si>
  <si>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</si>
  <si>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</si>
  <si>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</si>
  <si>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</si>
  <si>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</si>
  <si>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</si>
  <si>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</si>
  <si>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</si>
  <si>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</si>
  <si>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</si>
  <si>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</si>
  <si>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</si>
  <si>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</si>
  <si>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</si>
  <si>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</si>
  <si>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</si>
  <si>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</si>
  <si>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</si>
  <si>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</si>
  <si>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</si>
  <si>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</si>
  <si>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</si>
  <si>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</si>
  <si>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</si>
  <si>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</si>
  <si>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</si>
  <si>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</si>
  <si>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</si>
  <si>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</si>
  <si>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</si>
  <si>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</si>
  <si>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</si>
  <si>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</si>
  <si>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</si>
  <si>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</si>
  <si>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</si>
  <si>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</si>
  <si>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</si>
  <si>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</si>
  <si>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</si>
  <si>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</si>
  <si>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</si>
  <si>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</si>
  <si>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</si>
  <si>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</si>
  <si>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</si>
  <si>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</si>
  <si>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</si>
  <si>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</si>
  <si>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</si>
  <si>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</si>
  <si>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</si>
  <si>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</si>
  <si>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</si>
  <si>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</si>
  <si>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</si>
  <si>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</si>
  <si>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</si>
  <si>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</si>
  <si>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</si>
  <si>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</si>
  <si>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</si>
  <si>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</si>
  <si>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</si>
  <si>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</si>
  <si>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</si>
  <si>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</si>
  <si>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</si>
  <si>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</si>
  <si>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</si>
  <si>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</si>
  <si>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</si>
  <si>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</si>
  <si>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</si>
  <si>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</si>
  <si>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</si>
  <si>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</si>
  <si>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</si>
  <si>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</si>
  <si>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</si>
  <si>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</si>
  <si>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</si>
  <si>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</si>
  <si>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</si>
  <si>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</si>
  <si>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</si>
  <si>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</si>
  <si>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</si>
  <si>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</si>
  <si>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</si>
  <si>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</si>
  <si>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</si>
  <si>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</si>
  <si>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</si>
  <si>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</si>
  <si>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</si>
  <si>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</si>
  <si>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</si>
  <si>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</si>
  <si>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</si>
  <si>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</si>
  <si>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</si>
  <si>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</si>
  <si>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</si>
  <si>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</si>
  <si>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</si>
  <si>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</si>
  <si>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</si>
  <si>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</si>
  <si>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</si>
  <si>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</si>
  <si>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</si>
  <si>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</si>
  <si>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</si>
  <si>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</si>
  <si>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</si>
  <si>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</si>
  <si>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</si>
  <si>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</si>
  <si>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</si>
  <si>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</si>
  <si>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</si>
  <si>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</si>
  <si>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</si>
  <si>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</si>
  <si>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</si>
  <si>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</si>
  <si>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</si>
  <si>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</si>
  <si>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</si>
  <si>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</si>
  <si>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</si>
  <si>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</si>
  <si>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</si>
  <si>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</si>
  <si>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</si>
  <si>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</si>
  <si>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</si>
  <si>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</si>
  <si>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</si>
  <si>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</si>
  <si>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</si>
  <si>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</si>
  <si>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</si>
  <si>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</si>
  <si>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</si>
  <si>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</si>
  <si>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</si>
  <si>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</si>
  <si>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</si>
  <si>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</si>
  <si>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</si>
  <si>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</si>
  <si>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</si>
  <si>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</si>
  <si>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</si>
  <si>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</si>
  <si>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</si>
  <si>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</si>
  <si>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</si>
  <si>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</si>
  <si>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</si>
  <si>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</si>
  <si>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</si>
  <si>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</si>
  <si>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</si>
  <si>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</si>
  <si>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</si>
  <si>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</si>
  <si>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</si>
  <si>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</si>
  <si>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</si>
  <si>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</si>
  <si>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</si>
  <si>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</si>
  <si>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</si>
  <si>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</si>
  <si>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</si>
  <si>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</si>
  <si>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</si>
  <si>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</si>
  <si>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</si>
  <si>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</si>
  <si>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</si>
  <si>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</si>
  <si>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</si>
  <si>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</si>
  <si>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</si>
  <si>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</si>
  <si>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</si>
  <si>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</si>
  <si>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</si>
  <si>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</si>
  <si>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</si>
  <si>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</si>
  <si>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</si>
  <si>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</si>
  <si>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</si>
  <si>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</si>
  <si>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</si>
  <si>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</si>
  <si>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</si>
  <si>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</si>
  <si>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</si>
  <si>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</si>
  <si>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</si>
  <si>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</si>
  <si>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</si>
  <si>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</si>
  <si>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</si>
  <si>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</si>
  <si>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</si>
  <si>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</si>
  <si>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</si>
  <si>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</si>
  <si>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</si>
  <si>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</si>
  <si>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</si>
  <si>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</si>
  <si>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</si>
  <si>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</si>
  <si>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</si>
  <si>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</si>
  <si>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</si>
  <si>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</si>
  <si>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</si>
  <si>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</si>
  <si>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</si>
  <si>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</si>
  <si>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</si>
  <si>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</si>
  <si>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</si>
  <si>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</si>
  <si>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</si>
  <si>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</si>
  <si>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</si>
  <si>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</si>
  <si>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</si>
  <si>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</si>
  <si>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</si>
  <si>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</si>
  <si>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</si>
  <si>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</si>
  <si>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</si>
  <si>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</si>
  <si>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</si>
  <si>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</si>
  <si>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</si>
  <si>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</si>
  <si>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</si>
  <si>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</si>
  <si>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</si>
  <si>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</si>
  <si>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</si>
  <si>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</si>
  <si>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</si>
  <si>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</si>
  <si>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</si>
  <si>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</si>
  <si>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</si>
  <si>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</si>
  <si>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</si>
  <si>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</si>
  <si>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</si>
  <si>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</si>
  <si>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</si>
  <si>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</si>
  <si>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</si>
  <si>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</si>
  <si>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</si>
  <si>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</si>
  <si>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</si>
  <si>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</si>
  <si>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</si>
  <si>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</si>
  <si>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</si>
  <si>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</si>
  <si>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</si>
  <si>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</si>
  <si>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</si>
  <si>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</si>
  <si>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</si>
  <si>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</si>
  <si>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</si>
  <si>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</si>
  <si>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</si>
  <si>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</si>
  <si>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</si>
  <si>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</si>
  <si>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</si>
  <si>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</si>
  <si>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</si>
  <si>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</si>
  <si>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</si>
  <si>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</si>
  <si>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</si>
  <si>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</si>
  <si>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</si>
  <si>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</si>
  <si>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</si>
  <si>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</si>
  <si>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</si>
  <si>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</si>
  <si>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</si>
  <si>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</si>
  <si>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</si>
  <si>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</si>
  <si>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</si>
  <si>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</si>
  <si>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</si>
  <si>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</si>
  <si>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</si>
  <si>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</si>
  <si>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</si>
  <si>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</si>
  <si>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</si>
  <si>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</si>
  <si>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</si>
  <si>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</si>
  <si>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</si>
  <si>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</si>
  <si>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</si>
  <si>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</si>
  <si>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</si>
  <si>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</si>
  <si>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</si>
  <si>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</si>
  <si>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</si>
  <si>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</si>
  <si>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</si>
  <si>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</si>
  <si>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</si>
  <si>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</si>
  <si>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</si>
  <si>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</si>
  <si>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</si>
  <si>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</si>
  <si>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</si>
  <si>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</si>
  <si>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</si>
  <si>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</si>
  <si>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</si>
  <si>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</si>
  <si>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</si>
  <si>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</si>
  <si>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</si>
  <si>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</si>
  <si>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</si>
  <si>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</si>
  <si>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</si>
  <si>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</si>
  <si>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</si>
  <si>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</si>
  <si>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</si>
  <si>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</si>
  <si>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</si>
  <si>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</si>
  <si>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</si>
  <si>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</si>
  <si>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</si>
  <si>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</si>
  <si>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</si>
  <si>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</si>
  <si>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</si>
  <si>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</si>
  <si>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</si>
  <si>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</si>
  <si>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</si>
  <si>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</si>
  <si>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</si>
  <si>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</si>
  <si>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</si>
  <si>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</si>
  <si>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</si>
  <si>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</si>
  <si>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</si>
  <si>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</si>
  <si>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</si>
  <si>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</si>
  <si>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</si>
  <si>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</si>
  <si>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</si>
  <si>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</si>
  <si>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</si>
  <si>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</si>
  <si>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</si>
  <si>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</si>
  <si>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</si>
  <si>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</si>
  <si>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</si>
  <si>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</si>
  <si>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</si>
  <si>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</si>
  <si>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</si>
  <si>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</si>
  <si>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</si>
  <si>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</si>
  <si>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</si>
  <si>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</si>
  <si>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</si>
  <si>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</si>
  <si>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</si>
  <si>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</si>
  <si>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</si>
  <si>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</si>
  <si>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</si>
  <si>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</si>
  <si>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</si>
  <si>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</si>
  <si>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</si>
  <si>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</si>
  <si>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</si>
  <si>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</si>
  <si>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</si>
  <si>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</si>
  <si>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</si>
  <si>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</si>
  <si>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</si>
  <si>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</si>
  <si>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</si>
  <si>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</si>
  <si>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</si>
  <si>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</si>
  <si>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</si>
  <si>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</si>
  <si>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</si>
  <si>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</si>
  <si>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</si>
  <si>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</si>
  <si>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</si>
  <si>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</si>
  <si>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</si>
  <si>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</si>
  <si>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</si>
  <si>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</si>
  <si>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</si>
  <si>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</si>
  <si>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</si>
  <si>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</si>
  <si>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</si>
  <si>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</si>
  <si>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</si>
  <si>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</si>
  <si>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</si>
  <si>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</si>
  <si>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</si>
  <si>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</si>
  <si>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</si>
  <si>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</si>
  <si>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</si>
  <si>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</si>
  <si>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</si>
  <si>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</si>
  <si>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</si>
  <si>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</si>
  <si>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</si>
  <si>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</si>
  <si>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</si>
  <si>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</si>
  <si>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</si>
  <si>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</si>
  <si>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</si>
  <si>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</si>
  <si>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</si>
  <si>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</si>
  <si>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</si>
  <si>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</si>
  <si>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</si>
  <si>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</si>
  <si>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</si>
  <si>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</si>
  <si>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</si>
  <si>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</si>
  <si>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</si>
  <si>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</si>
  <si>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</si>
  <si>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</si>
  <si>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</si>
  <si>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</si>
  <si>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</si>
  <si>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</si>
  <si>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</si>
  <si>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</si>
  <si>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</si>
  <si>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</si>
  <si>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</si>
  <si>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</si>
  <si>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</si>
  <si>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</si>
  <si>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</si>
  <si>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</si>
  <si>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</si>
  <si>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</si>
  <si>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</si>
  <si>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</si>
  <si>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</si>
  <si>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</si>
  <si>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</si>
  <si>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</si>
  <si>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</si>
  <si>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</si>
  <si>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</si>
  <si>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</si>
  <si>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</si>
  <si>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</si>
  <si>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</si>
  <si>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</si>
  <si>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</si>
  <si>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</si>
  <si>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</si>
  <si>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</si>
  <si>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</si>
  <si>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</si>
  <si>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</si>
  <si>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</si>
  <si>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</si>
  <si>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</si>
  <si>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</si>
  <si>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</si>
  <si>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</si>
  <si>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</si>
  <si>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</si>
  <si>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</si>
  <si>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</si>
  <si>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</si>
  <si>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</si>
  <si>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</si>
  <si>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</si>
  <si>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</si>
  <si>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</si>
  <si>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</si>
  <si>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</si>
  <si>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</si>
  <si>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</si>
  <si>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</si>
  <si>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</si>
  <si>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</si>
  <si>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</si>
  <si>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</si>
  <si>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</si>
  <si>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</si>
  <si>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</si>
  <si>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</si>
  <si>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</si>
  <si>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</si>
  <si>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</si>
  <si>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</si>
  <si>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</si>
  <si>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</si>
  <si>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</si>
  <si>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</si>
  <si>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</si>
  <si>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</si>
  <si>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</si>
  <si>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</si>
  <si>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</si>
  <si>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</si>
  <si>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</si>
  <si>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</si>
  <si>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</si>
  <si>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</si>
  <si>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</si>
  <si>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</si>
  <si>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</si>
  <si>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</si>
  <si>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</si>
  <si>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</si>
  <si>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</si>
  <si>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</si>
  <si>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</si>
  <si>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</si>
  <si>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</si>
  <si>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</si>
  <si>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</si>
  <si>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</si>
  <si>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</si>
  <si>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</si>
  <si>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</si>
  <si>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</si>
  <si>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</si>
  <si>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</si>
  <si>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</si>
  <si>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</si>
  <si>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</si>
  <si>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</si>
  <si>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</si>
  <si>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</si>
  <si>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</si>
  <si>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</si>
  <si>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</si>
  <si>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</si>
  <si>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</si>
  <si>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</si>
  <si>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</si>
  <si>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</si>
  <si>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</si>
  <si>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</si>
  <si>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</si>
  <si>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</si>
  <si>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</si>
  <si>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</si>
  <si>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</si>
  <si>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</si>
  <si>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</si>
  <si>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</si>
  <si>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</si>
  <si>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</si>
  <si>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</si>
  <si>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</si>
  <si>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</si>
  <si>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</si>
  <si>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</si>
  <si>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</si>
  <si>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</si>
  <si>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</si>
  <si>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</si>
  <si>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</si>
  <si>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</si>
  <si>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</si>
  <si>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</si>
  <si>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</si>
  <si>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</si>
  <si>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</si>
  <si>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</si>
  <si>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</si>
  <si>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</si>
  <si>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</si>
  <si>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</si>
  <si>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</si>
  <si>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</si>
  <si>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</si>
  <si>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</si>
  <si>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</si>
  <si>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</si>
  <si>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</si>
  <si>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</si>
  <si>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</si>
  <si>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</si>
  <si>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</si>
  <si>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</si>
  <si>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</si>
  <si>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</si>
  <si>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</si>
  <si>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</si>
  <si>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</si>
  <si>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</si>
  <si>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</si>
  <si>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</si>
  <si>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</si>
  <si>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</si>
  <si>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</si>
  <si>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</si>
  <si>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</si>
  <si>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</si>
  <si>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</si>
  <si>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</si>
  <si>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</si>
  <si>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</si>
  <si>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</si>
  <si>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</si>
  <si>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</si>
  <si>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</si>
  <si>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</si>
  <si>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</si>
  <si>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</si>
  <si>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</si>
  <si>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</si>
  <si>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</si>
  <si>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</si>
  <si>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</si>
  <si>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</si>
  <si>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</si>
  <si>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</si>
  <si>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</si>
  <si>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</si>
  <si>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</si>
  <si>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</si>
  <si>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</si>
  <si>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</si>
  <si>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</si>
  <si>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</si>
  <si>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</si>
  <si>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</si>
  <si>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</si>
  <si>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</si>
  <si>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</si>
  <si>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</si>
  <si>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</si>
  <si>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</si>
  <si>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</si>
  <si>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</si>
  <si>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</si>
  <si>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</si>
  <si>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</si>
  <si>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</si>
  <si>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</si>
  <si>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</si>
  <si>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</si>
  <si>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</si>
  <si>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</si>
  <si>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</si>
  <si>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</si>
  <si>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</si>
  <si>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</si>
  <si>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</si>
  <si>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</si>
  <si>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</si>
  <si>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</si>
  <si>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</si>
  <si>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</si>
  <si>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</si>
  <si>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</si>
  <si>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</si>
  <si>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</si>
  <si>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</si>
  <si>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</si>
  <si>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</si>
  <si>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</si>
  <si>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</si>
  <si>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</si>
  <si>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</si>
  <si>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</si>
  <si>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</si>
  <si>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</si>
  <si>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</si>
  <si>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</si>
  <si>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</si>
  <si>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</si>
  <si>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</si>
  <si>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</si>
  <si>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</si>
  <si>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</si>
  <si>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</si>
  <si>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</si>
  <si>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</si>
  <si>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</si>
  <si>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</si>
  <si>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</si>
  <si>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</si>
  <si>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</si>
  <si>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</si>
  <si>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</si>
  <si>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</si>
  <si>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</si>
  <si>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</si>
  <si>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</si>
  <si>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</si>
  <si>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</si>
  <si>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</si>
  <si>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</si>
  <si>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</si>
  <si>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</si>
  <si>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</si>
  <si>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</si>
  <si>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</si>
  <si>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</si>
  <si>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</si>
  <si>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</si>
  <si>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</si>
  <si>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</si>
  <si>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</si>
  <si>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</si>
  <si>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</si>
  <si>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</si>
  <si>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</si>
  <si>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</si>
  <si>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</si>
  <si>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</si>
  <si>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</si>
  <si>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</si>
  <si>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</si>
  <si>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</si>
  <si>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</si>
  <si>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</si>
  <si>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</si>
  <si>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</si>
  <si>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</si>
  <si>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</si>
  <si>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</si>
  <si>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</si>
  <si>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</si>
  <si>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</si>
  <si>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</si>
  <si>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</si>
  <si>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</si>
  <si>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</si>
  <si>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</si>
  <si>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</si>
  <si>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</si>
  <si>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</si>
  <si>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</si>
  <si>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</si>
  <si>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</si>
  <si>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</si>
  <si>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</si>
  <si>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</si>
  <si>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</si>
  <si>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</si>
  <si>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</si>
  <si>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</si>
  <si>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</si>
  <si>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</si>
  <si>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</si>
  <si>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</si>
  <si>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</si>
  <si>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</si>
  <si>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</si>
  <si>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</si>
  <si>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</si>
  <si>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</si>
  <si>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</si>
  <si>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</si>
  <si>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</si>
  <si>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</si>
  <si>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</si>
  <si>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</si>
  <si>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</si>
  <si>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</si>
  <si>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</si>
  <si>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</si>
  <si>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</si>
  <si>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</si>
  <si>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</si>
  <si>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</si>
  <si>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</si>
  <si>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</si>
  <si>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</si>
  <si>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</si>
  <si>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</si>
  <si>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</si>
  <si>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</si>
  <si>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</si>
  <si>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</si>
  <si>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</si>
  <si>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</si>
  <si>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</si>
  <si>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</si>
  <si>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</si>
  <si>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</si>
  <si>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</si>
  <si>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</si>
  <si>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</si>
  <si>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</si>
  <si>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</si>
  <si>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</si>
  <si>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</si>
  <si>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</si>
  <si>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</si>
  <si>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</si>
  <si>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</si>
  <si>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</si>
  <si>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</si>
  <si>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</si>
  <si>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</si>
  <si>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</si>
  <si>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</si>
  <si>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</si>
  <si>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</si>
  <si>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</si>
  <si>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</si>
  <si>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</si>
  <si>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</si>
  <si>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</si>
  <si>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</si>
  <si>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</si>
  <si>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</si>
  <si>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</si>
  <si>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</si>
  <si>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</si>
  <si>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</si>
  <si>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</si>
  <si>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</si>
  <si>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</si>
  <si>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</si>
  <si>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</si>
  <si>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</si>
  <si>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</si>
  <si>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</si>
  <si>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</si>
  <si>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</si>
  <si>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</si>
  <si>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</si>
  <si>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</si>
  <si>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</si>
  <si>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</si>
  <si>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</si>
  <si>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</si>
  <si>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</si>
  <si>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</si>
  <si>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</si>
  <si>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</si>
  <si>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</si>
  <si>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</si>
  <si>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</si>
  <si>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</si>
  <si>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</si>
  <si>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</si>
  <si>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</si>
  <si>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</si>
  <si>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</si>
  <si>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</si>
  <si>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</si>
  <si>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</si>
  <si>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</si>
  <si>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</si>
  <si>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</si>
  <si>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</si>
  <si>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</si>
  <si>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</si>
  <si>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</si>
  <si>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</si>
  <si>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</si>
  <si>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</si>
  <si>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</si>
  <si>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</si>
  <si>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</si>
  <si>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</si>
  <si>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</si>
  <si>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</si>
  <si>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</si>
  <si>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</si>
  <si>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</si>
  <si>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</si>
  <si>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</si>
  <si>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</si>
  <si>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</si>
  <si>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</si>
  <si>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</si>
  <si>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</si>
  <si>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</si>
  <si>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</si>
  <si>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</si>
  <si>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</si>
  <si>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</si>
  <si>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</si>
  <si>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</si>
  <si>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</si>
  <si>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</si>
  <si>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</si>
  <si>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</si>
  <si>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</si>
  <si>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</si>
  <si>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</si>
  <si>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</si>
  <si>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</si>
  <si>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</si>
  <si>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</si>
  <si>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</si>
  <si>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</si>
  <si>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</si>
  <si>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</si>
  <si>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</si>
  <si>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</si>
  <si>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</si>
  <si>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</si>
  <si>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</si>
  <si>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</si>
  <si>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</si>
  <si>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</si>
  <si>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</si>
  <si>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</si>
  <si>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</si>
  <si>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</si>
  <si>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</si>
  <si>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</si>
  <si>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</si>
  <si>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</si>
  <si>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</si>
  <si>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</si>
  <si>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</si>
  <si>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</si>
  <si>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</si>
  <si>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</si>
  <si>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</si>
  <si>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</si>
  <si>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</si>
  <si>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</si>
  <si>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</si>
  <si>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</si>
  <si>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</si>
  <si>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</si>
  <si>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</si>
  <si>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</si>
  <si>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</si>
  <si>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</si>
  <si>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</si>
  <si>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</si>
  <si>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</si>
  <si>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</si>
  <si>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</si>
  <si>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</si>
  <si>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</si>
  <si>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</si>
  <si>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</si>
  <si>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</si>
  <si>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</si>
  <si>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</si>
  <si>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</si>
  <si>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</si>
  <si>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</si>
  <si>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</si>
  <si>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</si>
  <si>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</si>
  <si>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</si>
  <si>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</si>
  <si>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</si>
  <si>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</si>
  <si>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</si>
  <si>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</si>
  <si>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</si>
  <si>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</si>
  <si>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</si>
  <si>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</si>
  <si>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</si>
  <si>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</si>
  <si>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</si>
  <si>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</si>
  <si>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</si>
  <si>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</si>
  <si>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</si>
  <si>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</si>
  <si>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</si>
  <si>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</si>
  <si>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</si>
  <si>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</si>
  <si>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</si>
  <si>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</si>
  <si>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</si>
  <si>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</si>
  <si>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</si>
  <si>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</si>
  <si>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</si>
  <si>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</si>
  <si>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</si>
  <si>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</si>
  <si>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</si>
  <si>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</si>
  <si>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</si>
  <si>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</si>
  <si>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</si>
  <si>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</si>
  <si>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</si>
  <si>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</si>
  <si>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</si>
  <si>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</si>
  <si>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</si>
  <si>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</si>
  <si>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</si>
  <si>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</si>
  <si>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</si>
  <si>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</si>
  <si>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</si>
  <si>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</si>
  <si>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</si>
  <si>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</si>
  <si>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</si>
  <si>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</si>
  <si>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</si>
  <si>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</si>
  <si>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</si>
  <si>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</si>
  <si>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</si>
  <si>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</si>
  <si>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</si>
  <si>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</si>
  <si>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</si>
  <si>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</si>
  <si>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</si>
  <si>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</si>
  <si>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</si>
  <si>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</si>
  <si>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</si>
  <si>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</si>
  <si>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</si>
  <si>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</si>
  <si>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</si>
  <si>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</si>
  <si>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</si>
  <si>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</si>
  <si>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</si>
  <si>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</si>
  <si>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</si>
  <si>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</si>
  <si>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</si>
  <si>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</si>
  <si>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</si>
  <si>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</si>
  <si>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</si>
  <si>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</si>
  <si>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</si>
  <si>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</si>
  <si>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</si>
  <si>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</si>
  <si>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</si>
  <si>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</si>
  <si>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</si>
  <si>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</si>
  <si>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</si>
  <si>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</si>
  <si>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</si>
  <si>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</si>
  <si>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</si>
  <si>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</si>
  <si>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</si>
  <si>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</si>
  <si>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</si>
  <si>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</si>
  <si>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</si>
  <si>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</si>
  <si>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</si>
  <si>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</si>
  <si>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</si>
  <si>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</si>
  <si>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</si>
  <si>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</si>
  <si>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</si>
  <si>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</si>
  <si>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</si>
  <si>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</si>
  <si>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</si>
  <si>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</si>
  <si>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</si>
  <si>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</si>
  <si>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</si>
  <si>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</si>
  <si>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</si>
  <si>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</si>
  <si>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</si>
  <si>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</si>
  <si>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</si>
  <si>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</si>
  <si>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</si>
  <si>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</si>
  <si>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</si>
  <si>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</si>
  <si>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</si>
  <si>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</si>
  <si>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</si>
  <si>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</si>
  <si>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</si>
  <si>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</si>
  <si>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</si>
  <si>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</si>
  <si>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</si>
  <si>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</si>
  <si>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</si>
  <si>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</si>
  <si>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</si>
  <si>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</si>
  <si>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</si>
  <si>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</si>
  <si>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</si>
  <si>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</si>
  <si>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</si>
  <si>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</si>
  <si>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</si>
  <si>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</si>
  <si>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</si>
  <si>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</si>
  <si>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</si>
  <si>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</si>
  <si>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</si>
  <si>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</si>
  <si>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</si>
  <si>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</si>
  <si>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</si>
  <si>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</si>
  <si>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</si>
  <si>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</si>
  <si>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</si>
  <si>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</si>
  <si>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</si>
  <si>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</si>
  <si>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</si>
  <si>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</si>
  <si>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</si>
  <si>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</si>
  <si>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</si>
  <si>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</si>
  <si>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</si>
  <si>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</si>
  <si>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</si>
  <si>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</si>
  <si>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</si>
  <si>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</si>
  <si>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</si>
  <si>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</si>
  <si>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</si>
  <si>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</si>
  <si>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</si>
  <si>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</si>
  <si>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</si>
  <si>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</si>
  <si>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</si>
  <si>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</si>
  <si>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</si>
  <si>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</si>
  <si>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</si>
  <si>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</si>
  <si>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</si>
  <si>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</si>
  <si>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</si>
  <si>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</si>
  <si>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</si>
  <si>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</si>
  <si>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</si>
  <si>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</si>
  <si>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</si>
  <si>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</si>
  <si>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</si>
  <si>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</si>
  <si>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</si>
  <si>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</si>
  <si>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</si>
  <si>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</si>
  <si>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</si>
  <si>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</si>
  <si>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</si>
  <si>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</si>
  <si>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</si>
  <si>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</si>
  <si>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</si>
  <si>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</si>
  <si>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</si>
  <si>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</si>
  <si>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</si>
  <si>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</si>
  <si>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</si>
  <si>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</si>
  <si>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</si>
  <si>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</si>
  <si>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</si>
  <si>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</si>
  <si>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</si>
  <si>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</si>
  <si>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</si>
  <si>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</si>
  <si>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</si>
  <si>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</si>
  <si>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</si>
  <si>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</si>
  <si>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</si>
  <si>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</si>
  <si>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</si>
  <si>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</si>
  <si>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</si>
  <si>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</si>
  <si>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</si>
  <si>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</si>
  <si>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</si>
  <si>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</si>
  <si>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</si>
  <si>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</si>
  <si>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</si>
  <si>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</si>
  <si>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</si>
  <si>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</si>
  <si>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</si>
  <si>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</si>
  <si>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</si>
  <si>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</si>
  <si>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</si>
  <si>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</si>
  <si>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</si>
  <si>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</si>
  <si>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</si>
  <si>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</si>
  <si>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</si>
  <si>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</si>
  <si>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</si>
  <si>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</si>
  <si>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</si>
  <si>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</si>
  <si>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</si>
  <si>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</si>
  <si>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</si>
  <si>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</si>
  <si>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</si>
  <si>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</si>
  <si>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</si>
  <si>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</si>
  <si>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</si>
  <si>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</si>
  <si>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</si>
  <si>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</si>
  <si>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</si>
  <si>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</si>
  <si>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</si>
  <si>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</si>
  <si>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</si>
  <si>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</si>
  <si>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</si>
  <si>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</si>
  <si>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</si>
  <si>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</si>
  <si>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</si>
  <si>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</si>
  <si>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</si>
  <si>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</si>
  <si>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</si>
  <si>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</si>
  <si>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</si>
  <si>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</si>
  <si>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</si>
  <si>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</si>
  <si>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</si>
  <si>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</si>
  <si>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</si>
  <si>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</si>
  <si>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</si>
  <si>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</si>
  <si>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</si>
  <si>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</si>
  <si>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</si>
  <si>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</si>
  <si>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</si>
  <si>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</si>
  <si>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</si>
  <si>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</si>
  <si>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</si>
  <si>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</si>
  <si>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</si>
  <si>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</si>
  <si>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</si>
  <si>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</si>
  <si>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</si>
  <si>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</si>
  <si>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</si>
  <si>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</si>
  <si>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</si>
  <si>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</si>
  <si>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</si>
  <si>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</si>
  <si>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</si>
  <si>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</si>
  <si>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</si>
  <si>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</si>
  <si>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</si>
  <si>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</si>
  <si>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</si>
  <si>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</si>
  <si>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</si>
  <si>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</si>
  <si>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</si>
  <si>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</si>
  <si>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</si>
  <si>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</si>
  <si>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</si>
  <si>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</si>
  <si>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</si>
  <si>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</si>
  <si>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</si>
  <si>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</si>
  <si>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</si>
  <si>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</si>
  <si>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</si>
  <si>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</si>
  <si>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</si>
  <si>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</si>
  <si>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</si>
  <si>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</si>
  <si>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</si>
  <si>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</si>
  <si>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</si>
  <si>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</si>
  <si>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</si>
  <si>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</si>
  <si>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</si>
  <si>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</si>
  <si>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</si>
  <si>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</si>
  <si>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</si>
  <si>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</si>
  <si>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</si>
  <si>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</si>
  <si>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</si>
  <si>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</si>
  <si>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</si>
  <si>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</si>
  <si>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15-06-2026 A 21-06-2026</t>
  </si>
  <si>
    <t>LIBRE DEL PECADO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</si>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</sst>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EnviarEstructuraCompleta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GOOGLE SHEETS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opLeftCell="A16" zoomScale="80" zoomScaleNormal="80" workbookViewId="0">
      <selection activeCell="A23" sqref="A23:A96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7" t="s">
        <v>47</v>
      </c>
      <c r="B1" s="168"/>
      <c r="C1" s="168"/>
      <c r="D1" s="168"/>
      <c r="E1" s="168"/>
      <c r="F1" s="168"/>
      <c r="G1" s="169"/>
      <c r="L1" t="s">
        <v>1812</v>
      </c>
    </row>
    <row r="2" spans="1:12" ht="15.75" x14ac:dyDescent="0.25">
      <c r="A2" s="170" t="s">
        <v>1899</v>
      </c>
      <c r="B2" s="171"/>
      <c r="C2" s="171"/>
      <c r="D2" s="171"/>
      <c r="E2" s="171"/>
      <c r="F2" s="171"/>
      <c r="G2" s="172"/>
      <c r="H2" s="39"/>
      <c r="L2" s="40" t="str">
        <f ca="1">IF(AND(I2="NO",J2="NO"),IF(L2="",TODAY(),L2),"")</f>
        <v/>
      </c>
    </row>
    <row r="3" spans="1:12" x14ac:dyDescent="0.25">
      <c r="A3" s="181" t="s">
        <v>48</v>
      </c>
      <c r="B3" s="182"/>
      <c r="C3" s="185" t="s">
        <v>1900</v>
      </c>
      <c r="D3" s="186"/>
      <c r="E3" s="186"/>
      <c r="F3" s="186"/>
      <c r="G3" s="187"/>
    </row>
    <row r="4" spans="1:12" x14ac:dyDescent="0.25">
      <c r="A4" s="183"/>
      <c r="B4" s="184"/>
      <c r="C4" s="188"/>
      <c r="D4" s="189"/>
      <c r="E4" s="189"/>
      <c r="F4" s="189"/>
      <c r="G4" s="190"/>
    </row>
    <row r="5" spans="1:12" ht="44.25" customHeight="1" x14ac:dyDescent="0.25">
      <c r="A5" s="164" t="s">
        <v>49</v>
      </c>
      <c r="B5" s="165"/>
      <c r="C5" s="162">
        <f>C98+C281+C396+C512+C558</f>
        <v>219</v>
      </c>
      <c r="D5" s="163"/>
      <c r="E5" s="22" t="s">
        <v>51</v>
      </c>
      <c r="F5" s="35">
        <f>C5/C19*100</f>
        <v>44.242424242424242</v>
      </c>
      <c r="G5" s="13" t="s">
        <v>1922</v>
      </c>
      <c r="H5" s="53"/>
      <c r="J5" s="137" t="s">
        <v>1880</v>
      </c>
      <c r="K5" s="137"/>
    </row>
    <row r="6" spans="1:12" ht="45.75" customHeight="1" x14ac:dyDescent="0.25">
      <c r="A6" s="164" t="s">
        <v>50</v>
      </c>
      <c r="B6" s="165"/>
      <c r="C6" s="173">
        <f>C99+C282+C397+C513+C559</f>
        <v>244</v>
      </c>
      <c r="D6" s="174"/>
      <c r="E6" s="7" t="s">
        <v>51</v>
      </c>
      <c r="F6" s="35">
        <f>C6/C19*100</f>
        <v>49.292929292929294</v>
      </c>
      <c r="G6" s="13" t="s">
        <v>1923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4" t="s">
        <v>52</v>
      </c>
      <c r="B8" s="165"/>
      <c r="C8" s="162">
        <f>C101+C284+C399+C515+C561</f>
        <v>203</v>
      </c>
      <c r="D8" s="163"/>
      <c r="E8" s="7" t="s">
        <v>51</v>
      </c>
      <c r="F8" s="35">
        <f>C8/C19*100</f>
        <v>41.01010101010101</v>
      </c>
      <c r="G8" s="13" t="s">
        <v>282</v>
      </c>
      <c r="J8" s="137" t="s">
        <v>1881</v>
      </c>
      <c r="K8" s="137"/>
    </row>
    <row r="9" spans="1:12" ht="54.75" customHeight="1" x14ac:dyDescent="0.25">
      <c r="A9" s="164" t="s">
        <v>53</v>
      </c>
      <c r="B9" s="165"/>
      <c r="C9" s="173">
        <f>C102+C285+C400+C516+C562</f>
        <v>274</v>
      </c>
      <c r="D9" s="174"/>
      <c r="E9" s="7" t="s">
        <v>51</v>
      </c>
      <c r="F9" s="36">
        <f>C9/C19*100</f>
        <v>55.353535353535356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53" t="s">
        <v>1074</v>
      </c>
      <c r="B11" s="154"/>
      <c r="C11" s="157">
        <f>C104+C287+C402+C518+C564</f>
        <v>108</v>
      </c>
      <c r="D11" s="142" t="s">
        <v>51</v>
      </c>
      <c r="E11" s="144">
        <f>C11/C19*100</f>
        <v>21.818181818181817</v>
      </c>
      <c r="F11" s="177" t="s">
        <v>1066</v>
      </c>
      <c r="G11" s="178"/>
      <c r="H11" s="43"/>
    </row>
    <row r="12" spans="1:12" x14ac:dyDescent="0.25">
      <c r="A12" s="155"/>
      <c r="B12" s="156"/>
      <c r="C12" s="158"/>
      <c r="D12" s="143"/>
      <c r="E12" s="145"/>
      <c r="F12" s="179"/>
      <c r="G12" s="180"/>
      <c r="H12" s="43"/>
    </row>
    <row r="13" spans="1:12" ht="15" customHeight="1" x14ac:dyDescent="0.25">
      <c r="A13" s="153" t="s">
        <v>1075</v>
      </c>
      <c r="B13" s="154"/>
      <c r="C13" s="157">
        <f>C106+C289+C404+C520+C566</f>
        <v>163</v>
      </c>
      <c r="D13" s="142" t="s">
        <v>51</v>
      </c>
      <c r="E13" s="144">
        <f>C13/C19*100</f>
        <v>32.929292929292927</v>
      </c>
      <c r="F13" s="177" t="s">
        <v>1067</v>
      </c>
      <c r="G13" s="178"/>
      <c r="H13" s="43"/>
    </row>
    <row r="14" spans="1:12" ht="15" customHeight="1" x14ac:dyDescent="0.25">
      <c r="A14" s="155"/>
      <c r="B14" s="156"/>
      <c r="C14" s="158"/>
      <c r="D14" s="143"/>
      <c r="E14" s="145"/>
      <c r="F14" s="179"/>
      <c r="G14" s="180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4" t="s">
        <v>375</v>
      </c>
      <c r="B16" s="165"/>
      <c r="C16" s="175">
        <f>COUNTIF(E23:E556,"NUEVO")</f>
        <v>12</v>
      </c>
      <c r="D16" s="176"/>
      <c r="E16" s="7" t="s">
        <v>51</v>
      </c>
      <c r="F16" s="14">
        <f>C16/C19*100</f>
        <v>2.4242424242424243</v>
      </c>
      <c r="G16" s="34" t="s">
        <v>374</v>
      </c>
    </row>
    <row r="17" spans="1:10" ht="45" x14ac:dyDescent="0.25">
      <c r="A17" s="164" t="s">
        <v>376</v>
      </c>
      <c r="B17" s="165"/>
      <c r="C17" s="175">
        <f>COUNTIF(C23:C556,"NUEVO")</f>
        <v>14</v>
      </c>
      <c r="D17" s="176"/>
      <c r="E17" s="7" t="s">
        <v>51</v>
      </c>
      <c r="F17" s="14">
        <f>C17/C19*100</f>
        <v>2.8282828282828283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4" t="s">
        <v>281</v>
      </c>
      <c r="B19" s="165"/>
      <c r="C19" s="175">
        <f>A96+A279+A394+A510+A556</f>
        <v>495</v>
      </c>
      <c r="D19" s="176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38" t="s">
        <v>1971</v>
      </c>
      <c r="B21" s="139"/>
      <c r="C21" s="139"/>
      <c r="D21" s="139"/>
      <c r="E21" s="140"/>
      <c r="I21" s="166" t="s">
        <v>1971</v>
      </c>
      <c r="J21" s="166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66"/>
      <c r="J22" s="166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ca="1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1929</v>
      </c>
      <c r="F24" s="40" t="str">
        <f ca="1">IF(AND(C24="NO",D24="NO"),IF(F24="",TODAY(),F24),"")</f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ca="1">IF(AND(C25="NO",D25="NO"),IF(F25="",TODAY(),F25),"")</f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ca="1">IF(AND(C26="NO",D26="NO"),IF(F26="",TODAY(),F26),"")</f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ca="1">IF(AND(C27="NO",D27="NO"),IF(F27="",TODAY(),F27),"")</f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ca="1">IF(AND(C28="NO",D28="NO"),IF(F28="",TODAY(),F28),"")</f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ca="1">IF(AND(C29="NO",D29="NO"),IF(F29="",TODAY(),F29),"")</f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ca="1">IF(AND(C30="NO",D30="NO"),IF(F30="",TODAY(),F30),"")</f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ca="1">IF(AND(C31="NO",D31="NO"),IF(F31="",TODAY(),F31),"")</f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ca="1">IF(AND(C32="NO",D32="NO"),IF(F32="",TODAY(),F32),"")</f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ca="1">IF(AND(C33="NO",D33="NO"),IF(F33="",TODAY(),F33),"")</f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ca="1">IF(AND(C34="NO",D34="NO"),IF(F34="",TODAY(),F34),"")</f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ca="1">IF(AND(C35="NO",D35="NO"),IF(F35="",TODAY(),F35),"")</f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ca="1">IF(AND(C36="NO",D36="NO"),IF(F36="",TODAY(),F36),"")</f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ca="1">IF(AND(C37="NO",D37="NO"),IF(F37="",TODAY(),F37),"")</f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ca="1">IF(AND(C38="NO",D38="NO"),IF(F38="",TODAY(),F38),"")</f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ca="1">IF(AND(C39="NO",D39="NO"),IF(F39="",TODAY(),F39),"")</f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ca="1">IF(AND(C40="NO",D40="NO"),IF(F40="",TODAY(),F40),"")</f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ca="1">IF(AND(C41="NO",D41="NO"),IF(F41="",TODAY(),F41),"")</f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ca="1">IF(AND(C42="NO",D42="NO"),IF(F42="",TODAY(),F42),"")</f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ca="1">IF(AND(C43="NO",D43="NO"),IF(F43="",TODAY(),F43),"")</f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ca="1">IF(AND(C44="NO",D44="NO"),IF(F44="",TODAY(),F44),"")</f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ca="1">IF(AND(C45="NO",D45="NO"),IF(F45="",TODAY(),F45),"")</f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ca="1">IF(AND(C46="NO",D46="NO"),IF(F46="",TODAY(),F46),"")</f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ca="1">IF(AND(C47="NO",D47="NO"),IF(F47="",TODAY(),F47),"")</f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ca="1">IF(AND(C48="NO",D48="NO"),IF(F48="",TODAY(),F48),"")</f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ca="1">IF(AND(C49="NO",D49="NO"),IF(F49="",TODAY(),F49),"")</f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ca="1">IF(AND(C50="NO",D50="NO"),IF(F50="",TODAY(),F50),"")</f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ca="1">IF(AND(C51="NO",D51="NO"),IF(F51="",TODAY(),F51),"")</f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ca="1">IF(AND(C52="NO",D52="NO"),IF(F52="",TODAY(),F52),"")</f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ca="1">IF(AND(C53="NO",D53="NO"),IF(F53="",TODAY(),F53),"")</f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ca="1">IF(AND(C54="NO",D54="NO"),IF(F54="",TODAY(),F54),"")</f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ca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ca="1">IF(AND(C56="NO",D56="NO"),IF(F56="",TODAY(),F56),"")</f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ca="1">IF(AND(C57="NO",D57="NO"),IF(F57="",TODAY(),F57),"")</f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ca="1">IF(AND(C58="NO",D58="NO"),IF(F58="",TODAY(),F58),"")</f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ca="1">IF(AND(C59="NO",D59="NO"),IF(F59="",TODAY(),F59),"")</f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ca="1">IF(AND(C60="NO",D60="NO"),IF(F60="",TODAY(),F60),"")</f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ca="1">IF(AND(C61="NO",D61="NO"),IF(F61="",TODAY(),F61),"")</f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ca="1">IF(AND(C62="NO",D62="NO"),IF(F62="",TODAY(),F62),"")</f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ca="1">IF(AND(C63="NO",D63="NO"),IF(F63="",TODAY(),F63),"")</f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ca="1">IF(AND(C64="NO",D64="NO"),IF(F64="",TODAY(),F64),"")</f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ca="1">IF(AND(C65="NO",D65="NO"),IF(F65="",TODAY(),F65),"")</f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ca="1">IF(AND(C66="NO",D66="NO"),IF(F66="",TODAY(),F66),"")</f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ca="1">IF(AND(C67="NO",D67="NO"),IF(F67="",TODAY(),F67),"")</f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ca="1">IF(AND(C68="NO",D68="NO"),IF(F68="",TODAY(),F68),"")</f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ca="1">IF(AND(C69="NO",D69="NO"),IF(F69="",TODAY(),F69),"")</f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ca="1">IF(AND(C70="NO",D70="NO"),IF(F70="",TODAY(),F70),"")</f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ca="1">IF(AND(C71="NO",D71="NO"),IF(F71="",TODAY(),F71),"")</f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ca="1">IF(AND(C72="NO",D72="NO"),IF(F72="",TODAY(),F72),"")</f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ca="1">IF(AND(C73="NO",D73="NO"),IF(F73="",TODAY(),F73),"")</f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ca="1">IF(AND(C74="NO",D74="NO"),IF(F74="",TODAY(),F74),"")</f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ca="1">IF(AND(C75="NO",D75="NO"),IF(F75="",TODAY(),F75),"")</f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ca="1">IF(AND(C76="NO",D76="NO"),IF(F76="",TODAY(),F76),"")</f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ca="1">IF(AND(C77="NO",D77="NO"),IF(F77="",TODAY(),F77),"")</f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ca="1">IF(AND(C78="NO",D78="NO"),IF(F78="",TODAY(),F78),"")</f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ca="1">IF(AND(C79="NO",D79="NO"),IF(F79="",TODAY(),F79),"")</f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ca="1">IF(AND(C80="NO",D80="NO"),IF(F80="",TODAY(),F80),"")</f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ca="1">IF(AND(C81="NO",D81="NO"),IF(F81="",TODAY(),F81),"")</f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ca="1">IF(AND(C82="NO",D82="NO"),IF(F82="",TODAY(),F82),"")</f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ca="1">IF(AND(C83="NO",D83="NO"),IF(F83="",TODAY(),F83),"")</f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ca="1">IF(AND(C84="NO",D84="NO"),IF(F84="",TODAY(),F84),"")</f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ca="1">IF(AND(C85="NO",D85="NO"),IF(F85="",TODAY(),F85),"")</f>
        <v>46195</v>
      </c>
      <c r="G85" s="126"/>
    </row>
    <row r="86" spans="1:9" x14ac:dyDescent="0.25">
      <c r="A86" s="11">
        <v>64</v>
      </c>
      <c r="B86" s="52" t="s">
        <v>1903</v>
      </c>
      <c r="C86" s="20" t="s">
        <v>6</v>
      </c>
      <c r="D86" s="20" t="s">
        <v>6</v>
      </c>
      <c r="E86" s="24" t="s">
        <v>46</v>
      </c>
      <c r="F86" s="40">
        <f ca="1">IF(AND(C86="NO",D86="NO"),IF(F86="",TODAY(),F86),"")</f>
        <v>46202</v>
      </c>
      <c r="G86" s="126"/>
    </row>
    <row r="87" spans="1:9" x14ac:dyDescent="0.25">
      <c r="A87" s="11">
        <v>65</v>
      </c>
      <c r="B87" s="52" t="s">
        <v>1904</v>
      </c>
      <c r="C87" s="20" t="s">
        <v>5</v>
      </c>
      <c r="D87" s="20" t="s">
        <v>6</v>
      </c>
      <c r="E87" s="24" t="s">
        <v>46</v>
      </c>
      <c r="F87" s="40" t="str">
        <f ca="1">IF(AND(C87="NO",D87="NO"),IF(F87="",TODAY(),F87),"")</f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1905</v>
      </c>
      <c r="C88" s="20" t="s">
        <v>5</v>
      </c>
      <c r="D88" s="20" t="s">
        <v>6</v>
      </c>
      <c r="E88" s="24" t="s">
        <v>46</v>
      </c>
      <c r="F88" s="40" t="str">
        <f ca="1">IF(AND(C88="NO",D88="NO"),IF(F88="",TODAY(),F88),"")</f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1911</v>
      </c>
      <c r="C89" s="20" t="s">
        <v>6</v>
      </c>
      <c r="D89" s="20" t="s">
        <v>6</v>
      </c>
      <c r="E89" s="24" t="s">
        <v>359</v>
      </c>
      <c r="F89" s="40">
        <f ca="1">IF(AND(C89="NO",D89="NO"),IF(F89="",TODAY(),F89),"")</f>
        <v>46202</v>
      </c>
      <c r="G89" s="134"/>
    </row>
    <row r="90" spans="1:9" x14ac:dyDescent="0.25">
      <c r="A90" s="11">
        <v>68</v>
      </c>
      <c r="B90" s="52" t="s">
        <v>1944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1956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1957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1958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1959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1960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1961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0" t="s">
        <v>54</v>
      </c>
      <c r="B98" s="151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1924</v>
      </c>
    </row>
    <row r="99" spans="1:10" ht="45" x14ac:dyDescent="0.25">
      <c r="A99" s="150" t="s">
        <v>55</v>
      </c>
      <c r="B99" s="151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1925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0" t="s">
        <v>56</v>
      </c>
      <c r="B101" s="151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0" t="s">
        <v>57</v>
      </c>
      <c r="B102" s="151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46" t="s">
        <v>1064</v>
      </c>
      <c r="B104" s="147"/>
      <c r="C104" s="141">
        <f>COUNTIFS(C23:C96,"SI",D23:D96,"SI")</f>
        <v>17</v>
      </c>
      <c r="D104" s="142" t="s">
        <v>51</v>
      </c>
      <c r="E104" s="144">
        <f>C104/A96*100</f>
        <v>22.972972972972975</v>
      </c>
      <c r="F104" s="159" t="s">
        <v>1066</v>
      </c>
    </row>
    <row r="105" spans="1:10" ht="15" customHeight="1" x14ac:dyDescent="0.25">
      <c r="A105" s="148"/>
      <c r="B105" s="149"/>
      <c r="C105" s="141"/>
      <c r="D105" s="143"/>
      <c r="E105" s="145"/>
      <c r="F105" s="160"/>
    </row>
    <row r="106" spans="1:10" ht="15" customHeight="1" x14ac:dyDescent="0.25">
      <c r="A106" s="146" t="s">
        <v>1065</v>
      </c>
      <c r="B106" s="147"/>
      <c r="C106" s="141">
        <f>COUNTIFS(C23:C96,"NO",D23:D96,"NO")</f>
        <v>24</v>
      </c>
      <c r="D106" s="142" t="s">
        <v>51</v>
      </c>
      <c r="E106" s="144">
        <f>C106/A96*100</f>
        <v>32.432432432432435</v>
      </c>
      <c r="F106" s="159" t="s">
        <v>1067</v>
      </c>
    </row>
    <row r="107" spans="1:10" ht="15" customHeight="1" x14ac:dyDescent="0.25">
      <c r="A107" s="148"/>
      <c r="B107" s="149"/>
      <c r="C107" s="141"/>
      <c r="D107" s="143"/>
      <c r="E107" s="145"/>
      <c r="F107" s="160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38" t="s">
        <v>570</v>
      </c>
      <c r="B110" s="139"/>
      <c r="C110" s="139"/>
      <c r="D110" s="139"/>
      <c r="E110" s="140"/>
      <c r="I110" s="152" t="s">
        <v>1813</v>
      </c>
      <c r="J110" s="152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2"/>
      <c r="J111" s="152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ca="1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ca="1">IF(AND(C113="NO",D113="NO"),IF(F113="",TODAY(),F113),"")</f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ca="1">IF(AND(C114="NO",D114="NO"),IF(F114="",TODAY(),F114),"")</f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ca="1">IF(AND(C115="NO",D115="NO"),IF(F115="",TODAY(),F115),"")</f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ca="1">IF(AND(C116="NO",D116="NO"),IF(F116="",TODAY(),F116),"")</f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ca="1">IF(AND(C117="NO",D117="NO"),IF(F117="",TODAY(),F117),"")</f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ca="1">IF(AND(C118="NO",D118="NO"),IF(F118="",TODAY(),F118),"")</f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ca="1">IF(AND(C119="NO",D119="NO"),IF(F119="",TODAY(),F119),"")</f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1917</v>
      </c>
      <c r="C120" s="11" t="s">
        <v>5</v>
      </c>
      <c r="D120" s="11" t="s">
        <v>6</v>
      </c>
      <c r="E120" s="16" t="s">
        <v>46</v>
      </c>
      <c r="F120" s="40" t="str">
        <f ca="1">IF(AND(C120="NO",D120="NO"),IF(F120="",TODAY(),F120),"")</f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ca="1">IF(AND(C121="NO",D121="NO"),IF(F121="",TODAY(),F121),"")</f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ca="1">IF(AND(C122="NO",D122="NO"),IF(F122="",TODAY(),F122),"")</f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ca="1">IF(AND(C123="NO",D123="NO"),IF(F123="",TODAY(),F123),"")</f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ca="1">IF(AND(C124="NO",D124="NO"),IF(F124="",TODAY(),F124),"")</f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ca="1">IF(AND(C125="NO",D125="NO"),IF(F125="",TODAY(),F125),"")</f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ca="1">IF(AND(C126="NO",D126="NO"),IF(F126="",TODAY(),F126),"")</f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ca="1">IF(AND(C127="NO",D127="NO"),IF(F127="",TODAY(),F127),"")</f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ca="1">IF(AND(C128="NO",D128="NO"),IF(F128="",TODAY(),F128),"")</f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ca="1">IF(AND(C129="NO",D129="NO"),IF(F129="",TODAY(),F129),"")</f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ca="1">IF(AND(C130="NO",D130="NO"),IF(F130="",TODAY(),F130),"")</f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ca="1">IF(AND(C131="NO",D131="NO"),IF(F131="",TODAY(),F131),"")</f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ca="1">IF(AND(C132="NO",D132="NO"),IF(F132="",TODAY(),F132),"")</f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1918</v>
      </c>
      <c r="C133" s="11" t="s">
        <v>6</v>
      </c>
      <c r="D133" s="11" t="s">
        <v>5</v>
      </c>
      <c r="E133" s="16" t="s">
        <v>359</v>
      </c>
      <c r="F133" s="40" t="str">
        <f ca="1">IF(AND(C133="NO",D133="NO"),IF(F133="",TODAY(),F133),"")</f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ca="1">IF(AND(C134="NO",D134="NO"),IF(F134="",TODAY(),F134),"")</f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1930</v>
      </c>
      <c r="C135" s="11" t="s">
        <v>6</v>
      </c>
      <c r="D135" s="11" t="s">
        <v>5</v>
      </c>
      <c r="E135" s="17" t="s">
        <v>46</v>
      </c>
      <c r="F135" s="40" t="str">
        <f ca="1">IF(AND(C135="NO",D135="NO"),IF(F135="",TODAY(),F135),"")</f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ca="1">IF(AND(C136="NO",D136="NO"),IF(F136="",TODAY(),F136),"")</f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ca="1">IF(AND(C137="NO",D137="NO"),IF(F137="",TODAY(),F137),"")</f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ca="1">IF(AND(C138="NO",D138="NO"),IF(F138="",TODAY(),F138),"")</f>
        <v/>
      </c>
      <c r="I138" s="4"/>
      <c r="J138" s="197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ca="1">IF(AND(C139="NO",D139="NO"),IF(F139="",TODAY(),F139),"")</f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ca="1">IF(AND(C140="NO",D140="NO"),IF(F140="",TODAY(),F140),"")</f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ca="1">IF(AND(C141="NO",D141="NO"),IF(F141="",TODAY(),F141),"")</f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ca="1">IF(AND(C142="NO",D142="NO"),IF(F142="",TODAY(),F142),"")</f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ca="1">IF(AND(C143="NO",D143="NO"),IF(F143="",TODAY(),F143),"")</f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ca="1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ca="1">IF(AND(C145="NO",D145="NO"),IF(F145="",TODAY(),F145),"")</f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ca="1">IF(AND(C146="NO",D146="NO"),IF(F146="",TODAY(),F146),"")</f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ca="1">IF(AND(C147="NO",D147="NO"),IF(F147="",TODAY(),F147),"")</f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ca="1">IF(AND(C148="NO",D148="NO"),IF(F148="",TODAY(),F148),"")</f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ca="1">IF(AND(C149="NO",D149="NO"),IF(F149="",TODAY(),F149),"")</f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ca="1">IF(AND(C150="NO",D150="NO"),IF(F150="",TODAY(),F150),"")</f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ca="1">IF(AND(C151="NO",D151="NO"),IF(F151="",TODAY(),F151),"")</f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ca="1">IF(AND(C152="NO",D152="NO"),IF(F152="",TODAY(),F152),"")</f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ca="1">IF(AND(C153="NO",D153="NO"),IF(F153="",TODAY(),F153),"")</f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ca="1">IF(AND(C154="NO",D154="NO"),IF(F154="",TODAY(),F154),"")</f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ca="1">IF(AND(C155="NO",D155="NO"),IF(F155="",TODAY(),F155),"")</f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ca="1">IF(AND(C156="NO",D156="NO"),IF(F156="",TODAY(),F156),"")</f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ca="1">IF(AND(C157="NO",D157="NO"),IF(F157="",TODAY(),F157),"")</f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ca="1">IF(AND(C158="NO",D158="NO"),IF(F158="",TODAY(),F158),"")</f>
        <v>46202</v>
      </c>
      <c r="G158" s="122"/>
    </row>
    <row r="159" spans="1:74" x14ac:dyDescent="0.25">
      <c r="A159" s="11">
        <v>48</v>
      </c>
      <c r="B159" s="42" t="s">
        <v>1926</v>
      </c>
      <c r="C159" s="11" t="s">
        <v>6</v>
      </c>
      <c r="D159" s="11" t="s">
        <v>6</v>
      </c>
      <c r="E159" s="24" t="s">
        <v>154</v>
      </c>
      <c r="F159" s="40">
        <f ca="1">IF(AND(C159="NO",D159="NO"),IF(F159="",TODAY(),F159),"")</f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ca="1">IF(AND(C160="NO",D160="NO"),IF(F160="",TODAY(),F160),"")</f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ca="1">IF(AND(C161="NO",D161="NO"),IF(F161="",TODAY(),F161),"")</f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ca="1">IF(AND(C162="NO",D162="NO"),IF(F162="",TODAY(),F162),"")</f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ca="1">IF(AND(C163="NO",D163="NO"),IF(F163="",TODAY(),F163),"")</f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ca="1">IF(AND(C164="NO",D164="NO"),IF(F164="",TODAY(),F164),"")</f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ca="1">IF(AND(C165="NO",D165="NO"),IF(F165="",TODAY(),F165),"")</f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ca="1">IF(AND(C166="NO",D166="NO"),IF(F166="",TODAY(),F166),"")</f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ca="1">IF(AND(C167="NO",D167="NO"),IF(F167="",TODAY(),F167),"")</f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ca="1">IF(AND(C168="NO",D168="NO"),IF(F168="",TODAY(),F168),"")</f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ca="1">IF(AND(C169="NO",D169="NO"),IF(F169="",TODAY(),F169),"")</f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ca="1">IF(AND(C170="NO",D170="NO"),IF(F170="",TODAY(),F170),"")</f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ca="1">IF(AND(C171="NO",D171="NO"),IF(F171="",TODAY(),F171),"")</f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ca="1">IF(AND(C172="NO",D172="NO"),IF(F172="",TODAY(),F172),"")</f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ca="1">IF(AND(C173="NO",D173="NO"),IF(F173="",TODAY(),F173),"")</f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ca="1">IF(AND(C174="NO",D174="NO"),IF(F174="",TODAY(),F174),"")</f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ca="1">IF(AND(C175="NO",D175="NO"),IF(F175="",TODAY(),F175),"")</f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ca="1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ca="1">IF(AND(C177="NO",D177="NO"),IF(F177="",TODAY(),F177),"")</f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ca="1">IF(AND(C178="NO",D178="NO"),IF(F178="",TODAY(),F178),"")</f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ca="1">IF(AND(C179="NO",D179="NO"),IF(F179="",TODAY(),F179),"")</f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ca="1">IF(AND(C180="NO",D180="NO"),IF(F180="",TODAY(),F180),"")</f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ca="1">IF(AND(C181="NO",D181="NO"),IF(F181="",TODAY(),F181),"")</f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ca="1">IF(AND(C182="NO",D182="NO"),IF(F182="",TODAY(),F182),"")</f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ca="1">IF(AND(C183="NO",D183="NO"),IF(F183="",TODAY(),F183),"")</f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ca="1">IF(AND(C184="NO",D184="NO"),IF(F184="",TODAY(),F184),"")</f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ca="1">IF(AND(C185="NO",D185="NO"),IF(F185="",TODAY(),F185),"")</f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ca="1">IF(AND(C186="NO",D186="NO"),IF(F186="",TODAY(),F186),"")</f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ca="1">IF(AND(C187="NO",D187="NO"),IF(F187="",TODAY(),F187),"")</f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ca="1">IF(AND(C188="NO",D188="NO"),IF(F188="",TODAY(),F188),"")</f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ca="1">IF(AND(C189="NO",D189="NO"),IF(F189="",TODAY(),F189),"")</f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ca="1">IF(AND(C190="NO",D190="NO"),IF(F190="",TODAY(),F190),"")</f>
        <v/>
      </c>
    </row>
    <row r="191" spans="1:6" x14ac:dyDescent="0.25">
      <c r="A191" s="11">
        <v>80</v>
      </c>
      <c r="B191" s="8" t="s">
        <v>1933</v>
      </c>
      <c r="C191" s="11" t="s">
        <v>6</v>
      </c>
      <c r="D191" s="11" t="s">
        <v>6</v>
      </c>
      <c r="E191" s="16" t="s">
        <v>46</v>
      </c>
      <c r="F191" s="40">
        <f ca="1">IF(AND(C191="NO",D191="NO"),IF(F191="",TODAY(),F191),"")</f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ca="1">IF(AND(C192="NO",D192="NO"),IF(F192="",TODAY(),F192),"")</f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ca="1">IF(AND(C193="NO",D193="NO"),IF(F193="",TODAY(),F193),"")</f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ca="1">IF(AND(C194="NO",D194="NO"),IF(F194="",TODAY(),F194),"")</f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ca="1">IF(AND(C195="NO",D195="NO"),IF(F195="",TODAY(),F195),"")</f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ca="1">IF(AND(C196="NO",D196="NO"),IF(F196="",TODAY(),F196),"")</f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ca="1">IF(AND(C197="NO",D197="NO"),IF(F197="",TODAY(),F197),"")</f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ca="1">IF(AND(C198="NO",D198="NO"),IF(F198="",TODAY(),F198),"")</f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ca="1">IF(AND(C199="NO",D199="NO"),IF(F199="",TODAY(),F199),"")</f>
        <v/>
      </c>
    </row>
    <row r="200" spans="1:35" x14ac:dyDescent="0.25">
      <c r="A200" s="11">
        <v>89</v>
      </c>
      <c r="B200" s="8" t="s">
        <v>1962</v>
      </c>
      <c r="C200" s="11" t="s">
        <v>6</v>
      </c>
      <c r="D200" s="11" t="s">
        <v>6</v>
      </c>
      <c r="E200" s="104" t="s">
        <v>46</v>
      </c>
      <c r="F200" s="40">
        <f ca="1">IF(AND(C200="NO",D200="NO"),IF(F200="",TODAY(),F200),"")</f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ca="1">IF(AND(C201="NO",D201="NO"),IF(F201="",TODAY(),F201),"")</f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ca="1">IF(AND(C202="NO",D202="NO"),IF(F202="",TODAY(),F202),"")</f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ca="1">IF(AND(C203="NO",D203="NO"),IF(F203="",TODAY(),F203),"")</f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ca="1">IF(AND(C204="NO",D204="NO"),IF(F204="",TODAY(),F204),"")</f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ca="1">IF(AND(C205="NO",D205="NO"),IF(F205="",TODAY(),F205),"")</f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ca="1">IF(AND(C206="NO",D206="NO"),IF(F206="",TODAY(),F206),"")</f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ca="1">IF(AND(C207="NO",D207="NO"),IF(F207="",TODAY(),F207),"")</f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ca="1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ca="1">IF(AND(C209="NO",D209="NO"),IF(F209="",TODAY(),F209),"")</f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ca="1">IF(AND(C210="NO",D210="NO"),IF(F210="",TODAY(),F210),"")</f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ca="1">IF(AND(C211="NO",D211="NO"),IF(F211="",TODAY(),F211),"")</f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ca="1">IF(AND(C212="NO",D212="NO"),IF(F212="",TODAY(),F212),"")</f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ca="1">IF(AND(C213="NO",D213="NO"),IF(F213="",TODAY(),F213),"")</f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ca="1">IF(AND(C214="NO",D214="NO"),IF(F214="",TODAY(),F214),"")</f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ca="1">IF(AND(C215="NO",D215="NO"),IF(F215="",TODAY(),F215),"")</f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ca="1">IF(AND(C216="NO",D216="NO"),IF(F216="",TODAY(),F216),"")</f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ca="1">IF(AND(C217="NO",D217="NO"),IF(F217="",TODAY(),F217),"")</f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ca="1">IF(AND(C218="NO",D218="NO"),IF(F218="",TODAY(),F218),"")</f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ca="1">IF(AND(C219="NO",D219="NO"),IF(F219="",TODAY(),F219),"")</f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ca="1">IF(AND(C220="NO",D220="NO"),IF(F220="",TODAY(),F220),"")</f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ca="1">IF(AND(C221="NO",D221="NO"),IF(F221="",TODAY(),F221),"")</f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ca="1">IF(AND(C222="NO",D222="NO"),IF(F222="",TODAY(),F222),"")</f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ca="1">IF(AND(C223="NO",D223="NO"),IF(F223="",TODAY(),F223),"")</f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ca="1">IF(AND(C224="NO",D224="NO"),IF(F224="",TODAY(),F224),"")</f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ca="1">IF(AND(C225="NO",D225="NO"),IF(F225="",TODAY(),F225),"")</f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ca="1">IF(AND(C226="NO",D226="NO"),IF(F226="",TODAY(),F226),"")</f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ca="1">IF(AND(C227="NO",D227="NO"),IF(F227="",TODAY(),F227),"")</f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ca="1">IF(AND(C228="NO",D228="NO"),IF(F228="",TODAY(),F228),"")</f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ca="1">IF(AND(C229="NO",D229="NO"),IF(F229="",TODAY(),F229),"")</f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ca="1">IF(AND(C230="NO",D230="NO"),IF(F230="",TODAY(),F230),"")</f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ca="1">IF(AND(C231="NO",D231="NO"),IF(F231="",TODAY(),F231),"")</f>
        <v>46202</v>
      </c>
    </row>
    <row r="232" spans="1:8" x14ac:dyDescent="0.25">
      <c r="A232" s="11">
        <v>121</v>
      </c>
      <c r="B232" s="59" t="s">
        <v>1934</v>
      </c>
      <c r="C232" s="11" t="s">
        <v>6</v>
      </c>
      <c r="D232" s="11" t="s">
        <v>6</v>
      </c>
      <c r="E232" s="24" t="s">
        <v>46</v>
      </c>
      <c r="F232" s="40">
        <f ca="1">IF(AND(C232="NO",D232="NO"),IF(F232="",TODAY(),F232),"")</f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ca="1">IF(AND(C233="NO",D233="NO"),IF(F233="",TODAY(),F233),"")</f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ca="1">IF(AND(C234="NO",D234="NO"),IF(F234="",TODAY(),F234),"")</f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ca="1">IF(AND(C235="NO",D235="NO"),IF(F235="",TODAY(),F235),"")</f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ca="1">IF(AND(C236="NO",D236="NO"),IF(F236="",TODAY(),F236),"")</f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ca="1">IF(AND(C237="NO",D237="NO"),IF(F237="",TODAY(),F237),"")</f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ca="1">IF(AND(C238="NO",D238="NO"),IF(F238="",TODAY(),F238),"")</f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ca="1">IF(AND(C239="NO",D239="NO"),IF(F239="",TODAY(),F239),"")</f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ca="1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ca="1">IF(AND(C241="NO",D241="NO"),IF(F241="",TODAY(),F241),"")</f>
        <v/>
      </c>
      <c r="G241" s="80"/>
      <c r="H241" s="110"/>
    </row>
    <row r="242" spans="1:8" x14ac:dyDescent="0.25">
      <c r="A242" s="11">
        <v>131</v>
      </c>
      <c r="B242" s="42" t="s">
        <v>1907</v>
      </c>
      <c r="C242" s="11" t="s">
        <v>5</v>
      </c>
      <c r="D242" s="11" t="s">
        <v>6</v>
      </c>
      <c r="E242" s="24" t="s">
        <v>46</v>
      </c>
      <c r="F242" s="40" t="str">
        <f ca="1">IF(AND(C242="NO",D242="NO"),IF(F242="",TODAY(),F242),"")</f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ca="1">IF(AND(C243="NO",D243="NO"),IF(F243="",TODAY(),F243),"")</f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ca="1">IF(AND(C244="NO",D244="NO"),IF(F244="",TODAY(),F244),"")</f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ca="1">IF(AND(C245="NO",D245="NO"),IF(F245="",TODAY(),F245),"")</f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ca="1">IF(AND(C246="NO",D246="NO"),IF(F246="",TODAY(),F246),"")</f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ca="1">IF(AND(C247="NO",D247="NO"),IF(F247="",TODAY(),F247),"")</f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ca="1">IF(AND(C248="NO",D248="NO"),IF(F248="",TODAY(),F248),"")</f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ca="1">IF(AND(C249="NO",D249="NO"),IF(F249="",TODAY(),F249),"")</f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ca="1">IF(AND(C250="NO",D250="NO"),IF(F250="",TODAY(),F250),"")</f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ca="1">IF(AND(C251="NO",D251="NO"),IF(F251="",TODAY(),F251),"")</f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ca="1">IF(AND(C252="NO",D252="NO"),IF(F252="",TODAY(),F252),"")</f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ca="1">IF(AND(C253="NO",D253="NO"),IF(F253="",TODAY(),F253),"")</f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ca="1">IF(AND(C254="NO",D254="NO"),IF(F254="",TODAY(),F254),"")</f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ca="1">IF(AND(C255="NO",D255="NO"),IF(F255="",TODAY(),F255),"")</f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ca="1">IF(AND(C256="NO",D256="NO"),IF(F256="",TODAY(),F256),"")</f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ca="1">IF(AND(C257="NO",D257="NO"),IF(F257="",TODAY(),F257),"")</f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ca="1">IF(AND(C258="NO",D258="NO"),IF(F258="",TODAY(),F258),"")</f>
        <v/>
      </c>
    </row>
    <row r="259" spans="1:10" x14ac:dyDescent="0.25">
      <c r="A259" s="11">
        <v>148</v>
      </c>
      <c r="B259" s="42" t="s">
        <v>1935</v>
      </c>
      <c r="C259" s="11" t="s">
        <v>6</v>
      </c>
      <c r="D259" s="11" t="s">
        <v>5</v>
      </c>
      <c r="E259" s="16" t="s">
        <v>46</v>
      </c>
      <c r="F259" s="40" t="str">
        <f ca="1">IF(AND(C259="NO",D259="NO"),IF(F259="",TODAY(),F259),"")</f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ca="1">IF(AND(C260="NO",D260="NO"),IF(F260="",TODAY(),F260),"")</f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ca="1">IF(AND(C261="NO",D261="NO"),IF(F261="",TODAY(),F261),"")</f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ca="1">IF(AND(C262="NO",D262="NO"),IF(F262="",TODAY(),F262),"")</f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ca="1">IF(AND(C263="NO",D263="NO"),IF(F263="",TODAY(),F263),"")</f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ca="1">IF(AND(C264="NO",D264="NO"),IF(F264="",TODAY(),F264),"")</f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ca="1">IF(AND(C265="NO",D265="NO"),IF(F265="",TODAY(),F265),"")</f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ca="1">IF(AND(C266="NO",D266="NO"),IF(F266="",TODAY(),F266),"")</f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0">IF(AND(C267="NO",D267="NO"),IF(F267="",TODAY(),F267),"")</f>
        <v/>
      </c>
      <c r="I267" s="196"/>
      <c r="J267" s="196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0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ca="1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ca="1">IF(AND(C271="NO",D271="NO"),IF(F271="",TODAY(),F271),"")</f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ca="1">IF(AND(C272="NO",D272="NO"),IF(F272="",TODAY(),F272),"")</f>
        <v>46195</v>
      </c>
      <c r="G272" s="126"/>
      <c r="H272" s="126"/>
    </row>
    <row r="273" spans="1:9" x14ac:dyDescent="0.25">
      <c r="A273" s="11">
        <v>162</v>
      </c>
      <c r="B273" s="42" t="s">
        <v>1906</v>
      </c>
      <c r="C273" s="11" t="s">
        <v>6</v>
      </c>
      <c r="D273" s="11" t="s">
        <v>6</v>
      </c>
      <c r="E273" s="16" t="s">
        <v>46</v>
      </c>
      <c r="F273" s="40">
        <f ca="1">IF(AND(C273="NO",D273="NO"),IF(F273="",TODAY(),F273),"")</f>
        <v>46177</v>
      </c>
      <c r="G273" s="126"/>
      <c r="H273" s="126"/>
    </row>
    <row r="274" spans="1:9" x14ac:dyDescent="0.25">
      <c r="A274" s="11">
        <v>163</v>
      </c>
      <c r="B274" s="42" t="s">
        <v>1908</v>
      </c>
      <c r="C274" s="11" t="s">
        <v>6</v>
      </c>
      <c r="D274" s="11" t="s">
        <v>6</v>
      </c>
      <c r="E274" s="16" t="s">
        <v>46</v>
      </c>
      <c r="F274" s="40">
        <f ca="1">IF(AND(C274="NO",D274="NO"),IF(F274="",TODAY(),F274),"")</f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1914</v>
      </c>
      <c r="C275" s="11" t="s">
        <v>6</v>
      </c>
      <c r="D275" s="11" t="s">
        <v>5</v>
      </c>
      <c r="E275" s="16" t="s">
        <v>359</v>
      </c>
      <c r="F275" s="40" t="str">
        <f ca="1">IF(AND(C275="NO",D275="NO"),IF(F275="",TODAY(),F275),"")</f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1947</v>
      </c>
      <c r="C276" s="11" t="s">
        <v>5</v>
      </c>
      <c r="D276" s="11" t="s">
        <v>6</v>
      </c>
      <c r="E276" s="16" t="s">
        <v>1815</v>
      </c>
      <c r="F276" s="40" t="str">
        <f ca="1">IF(AND(C276="NO",D276="NO"),IF(F276="",TODAY(),F276),"")</f>
        <v/>
      </c>
      <c r="G276" s="134"/>
      <c r="H276" s="134"/>
    </row>
    <row r="277" spans="1:9" x14ac:dyDescent="0.25">
      <c r="A277" s="11">
        <v>166</v>
      </c>
      <c r="B277" s="42" t="s">
        <v>1948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1969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1970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0" t="s">
        <v>54</v>
      </c>
      <c r="B281" s="151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1924</v>
      </c>
    </row>
    <row r="282" spans="1:9" ht="45" x14ac:dyDescent="0.25">
      <c r="A282" s="150" t="s">
        <v>55</v>
      </c>
      <c r="B282" s="151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1925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0" t="s">
        <v>56</v>
      </c>
      <c r="B284" s="151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0" t="s">
        <v>57</v>
      </c>
      <c r="B285" s="151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46" t="s">
        <v>1064</v>
      </c>
      <c r="B287" s="147"/>
      <c r="C287" s="141">
        <f>COUNTIFS(C112:C279,"SI",D112:D279,"SI")</f>
        <v>26</v>
      </c>
      <c r="D287" s="191" t="s">
        <v>51</v>
      </c>
      <c r="E287" s="144">
        <f>C287/A279*100</f>
        <v>15.476190476190476</v>
      </c>
      <c r="F287" s="161" t="s">
        <v>1066</v>
      </c>
    </row>
    <row r="288" spans="1:9" x14ac:dyDescent="0.25">
      <c r="A288" s="148"/>
      <c r="B288" s="149"/>
      <c r="C288" s="141"/>
      <c r="D288" s="143"/>
      <c r="E288" s="145"/>
      <c r="F288" s="160"/>
    </row>
    <row r="289" spans="1:10" x14ac:dyDescent="0.25">
      <c r="A289" s="146" t="s">
        <v>1065</v>
      </c>
      <c r="B289" s="147"/>
      <c r="C289" s="141">
        <f>COUNTIFS(C112:C279,"NO",D112:D279,"NO")</f>
        <v>66</v>
      </c>
      <c r="D289" s="142" t="s">
        <v>51</v>
      </c>
      <c r="E289" s="144">
        <f>C289/A279*100</f>
        <v>39.285714285714285</v>
      </c>
      <c r="F289" s="159" t="s">
        <v>1067</v>
      </c>
    </row>
    <row r="290" spans="1:10" ht="15" customHeight="1" x14ac:dyDescent="0.25">
      <c r="A290" s="148"/>
      <c r="B290" s="149"/>
      <c r="C290" s="141"/>
      <c r="D290" s="143"/>
      <c r="E290" s="145"/>
      <c r="F290" s="160"/>
    </row>
    <row r="291" spans="1:10" ht="15" customHeight="1" x14ac:dyDescent="0.25"/>
    <row r="292" spans="1:10" ht="15" customHeight="1" x14ac:dyDescent="0.25">
      <c r="A292" s="138" t="s">
        <v>1916</v>
      </c>
      <c r="B292" s="139"/>
      <c r="C292" s="139"/>
      <c r="D292" s="139"/>
      <c r="E292" s="14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ca="1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ca="1">IF(AND(C295="NO",D295="NO"),IF(F295="",TODAY(),F295),"")</f>
        <v/>
      </c>
      <c r="I295" s="152" t="s">
        <v>1814</v>
      </c>
      <c r="J295" s="152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ca="1">IF(AND(C296="NO",D296="NO"),IF(F296="",TODAY(),F296),"")</f>
        <v/>
      </c>
      <c r="I296" s="152"/>
      <c r="J296" s="152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ca="1">IF(AND(C297="NO",D297="NO"),IF(F297="",TODAY(),F297),"")</f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ca="1">IF(AND(C298="NO",D298="NO"),IF(F298="",TODAY(),F298),"")</f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ca="1">IF(AND(C299="NO",D299="NO"),IF(F299="",TODAY(),F299),"")</f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ca="1">IF(AND(C300="NO",D300="NO"),IF(F300="",TODAY(),F300),"")</f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ca="1">IF(AND(C301="NO",D301="NO"),IF(F301="",TODAY(),F301),"")</f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ca="1">IF(AND(C302="NO",D302="NO"),IF(F302="",TODAY(),F302),"")</f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ca="1">IF(AND(C303="NO",D303="NO"),IF(F303="",TODAY(),F303),"")</f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ca="1">IF(AND(C304="NO",D304="NO"),IF(F304="",TODAY(),F304),"")</f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ca="1">IF(AND(C305="NO",D305="NO"),IF(F305="",TODAY(),F305),"")</f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ca="1">IF(AND(C306="NO",D306="NO"),IF(F306="",TODAY(),F306),"")</f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ca="1">IF(AND(C307="NO",D307="NO"),IF(F307="",TODAY(),F307),"")</f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ca="1">IF(AND(C308="NO",D308="NO"),IF(F308="",TODAY(),F308),"")</f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ca="1">IF(AND(C309="NO",D309="NO"),IF(F309="",TODAY(),F309),"")</f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ca="1">IF(AND(C310="NO",D310="NO"),IF(F310="",TODAY(),F310),"")</f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ca="1">IF(AND(C311="NO",D311="NO"),IF(F311="",TODAY(),F311),"")</f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1919</v>
      </c>
      <c r="C312" s="23" t="s">
        <v>5</v>
      </c>
      <c r="D312" s="23" t="s">
        <v>6</v>
      </c>
      <c r="E312" s="16" t="s">
        <v>46</v>
      </c>
      <c r="F312" s="40" t="str">
        <f ca="1">IF(AND(C312="NO",D312="NO"),IF(F312="",TODAY(),F312),"")</f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ca="1">IF(AND(C313="NO",D313="NO"),IF(F313="",TODAY(),F313),"")</f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ca="1">IF(AND(C314="NO",D314="NO"),IF(F314="",TODAY(),F314),"")</f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1920</v>
      </c>
      <c r="C315" s="23" t="s">
        <v>5</v>
      </c>
      <c r="D315" s="23" t="s">
        <v>6</v>
      </c>
      <c r="E315" s="18" t="s">
        <v>46</v>
      </c>
      <c r="F315" s="40" t="str">
        <f ca="1">IF(AND(C315="NO",D315="NO"),IF(F315="",TODAY(),F315),"")</f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ca="1">IF(AND(C316="NO",D316="NO"),IF(F316="",TODAY(),F316),"")</f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ca="1">IF(AND(C317="NO",D317="NO"),IF(F317="",TODAY(),F317),"")</f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ca="1">IF(AND(C318="NO",D318="NO"),IF(F318="",TODAY(),F318),"")</f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ca="1">IF(AND(C319="NO",D319="NO"),IF(F319="",TODAY(),F319),"")</f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ca="1">IF(AND(C320="NO",D320="NO"),IF(F320="",TODAY(),F320),"")</f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ca="1">IF(AND(C321="NO",D321="NO"),IF(F321="",TODAY(),F321),"")</f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ca="1">IF(AND(C322="NO",D322="NO"),IF(F322="",TODAY(),F322),"")</f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ca="1">IF(AND(C323="NO",D323="NO"),IF(F323="",TODAY(),F323),"")</f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ca="1">IF(AND(C324="NO",D324="NO"),IF(F324="",TODAY(),F324),"")</f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ca="1">IF(AND(C325="NO",D325="NO"),IF(F325="",TODAY(),F325),"")</f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ca="1">IF(AND(C326="NO",D326="NO"),IF(F326="",TODAY(),F326),"")</f>
        <v>46188</v>
      </c>
      <c r="J326" s="198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ca="1">IF(AND(C327="NO",D327="NO"),IF(F327="",TODAY(),F327),"")</f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ca="1">IF(AND(C328="NO",D328="NO"),IF(F328="",TODAY(),F328),"")</f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ca="1">IF(AND(C329="NO",D329="NO"),IF(F329="",TODAY(),F329),"")</f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ca="1">IF(AND(C330="NO",D330="NO"),IF(F330="",TODAY(),F330),"")</f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ca="1">IF(AND(C331="NO",D331="NO"),IF(F331="",TODAY(),F331),"")</f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ca="1">IF(AND(C332="NO",D332="NO"),IF(F332="",TODAY(),F332),"")</f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ca="1">IF(AND(C333="NO",D333="NO"),IF(F333="",TODAY(),F333),"")</f>
        <v/>
      </c>
      <c r="H333" s="86"/>
    </row>
    <row r="334" spans="1:10" x14ac:dyDescent="0.25">
      <c r="A334" s="11">
        <v>41</v>
      </c>
      <c r="B334" s="21" t="s">
        <v>1921</v>
      </c>
      <c r="C334" s="23" t="s">
        <v>5</v>
      </c>
      <c r="D334" s="23" t="s">
        <v>6</v>
      </c>
      <c r="E334" s="17" t="s">
        <v>154</v>
      </c>
      <c r="F334" s="40" t="str">
        <f ca="1">IF(AND(C334="NO",D334="NO"),IF(F334="",TODAY(),F334),"")</f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ca="1">IF(AND(C335="NO",D335="NO"),IF(F335="",TODAY(),F335),"")</f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ca="1">IF(AND(C336="NO",D336="NO"),IF(F336="",TODAY(),F336),"")</f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ca="1">IF(AND(C337="NO",D337="NO"),IF(F337="",TODAY(),F337),"")</f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ca="1">IF(AND(C338="NO",D338="NO"),IF(F338="",TODAY(),F338),"")</f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ca="1">IF(AND(C339="NO",D339="NO"),IF(F339="",TODAY(),F339),"")</f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ca="1">IF(AND(C340="NO",D340="NO"),IF(F340="",TODAY(),F340),"")</f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ca="1">IF(AND(C341="NO",D341="NO"),IF(F341="",TODAY(),F341),"")</f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ca="1">IF(AND(C342="NO",D342="NO"),IF(F342="",TODAY(),F342),"")</f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ca="1">IF(AND(C343="NO",D343="NO"),IF(F343="",TODAY(),F343),"")</f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ca="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ca="1">IF(AND(C346="NO",D346="NO"),IF(F346="",TODAY(),F346),"")</f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ca="1">IF(AND(C347="NO",D347="NO"),IF(F347="",TODAY(),F347),"")</f>
        <v/>
      </c>
    </row>
    <row r="348" spans="1:6" x14ac:dyDescent="0.25">
      <c r="A348" s="11">
        <v>55</v>
      </c>
      <c r="B348" s="8" t="s">
        <v>1901</v>
      </c>
      <c r="C348" s="23" t="s">
        <v>5</v>
      </c>
      <c r="D348" s="23" t="s">
        <v>5</v>
      </c>
      <c r="E348" s="24" t="s">
        <v>46</v>
      </c>
      <c r="F348" s="40" t="str">
        <f ca="1">IF(AND(C348="NO",D348="NO"),IF(F348="",TODAY(),F348),"")</f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ca="1">IF(AND(C349="NO",D349="NO"),IF(F349="",TODAY(),F349),"")</f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ca="1">IF(AND(C350="NO",D350="NO"),IF(F350="",TODAY(),F350),"")</f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ca="1">IF(AND(C351="NO",D351="NO"),IF(F351="",TODAY(),F351),"")</f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ca="1">IF(AND(C352="NO",D352="NO"),IF(F352="",TODAY(),F352),"")</f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ca="1">IF(AND(C353="NO",D353="NO"),IF(F353="",TODAY(),F353),"")</f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ca="1">IF(AND(C354="NO",D354="NO"),IF(F354="",TODAY(),F354),"")</f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ca="1">IF(AND(C355="NO",D355="NO"),IF(F355="",TODAY(),F355),"")</f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ca="1">IF(AND(C356="NO",D356="NO"),IF(F356="",TODAY(),F356),"")</f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ca="1">IF(AND(C357="NO",D357="NO"),IF(F357="",TODAY(),F357),"")</f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ca="1">IF(AND(C358="NO",D358="NO"),IF(F358="",TODAY(),F358),"")</f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ca="1">IF(AND(C359="NO",D359="NO"),IF(F359="",TODAY(),F359),"")</f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ca="1">IF(AND(C360="NO",D360="NO"),IF(F360="",TODAY(),F360),"")</f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ca="1">IF(AND(C361="NO",D361="NO"),IF(F361="",TODAY(),F361),"")</f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ca="1">IF(AND(C362="NO",D362="NO"),IF(F362="",TODAY(),F362),"")</f>
        <v/>
      </c>
    </row>
    <row r="363" spans="1:8" x14ac:dyDescent="0.25">
      <c r="A363" s="11">
        <v>70</v>
      </c>
      <c r="B363" s="8" t="s">
        <v>1927</v>
      </c>
      <c r="C363" s="23" t="s">
        <v>5</v>
      </c>
      <c r="D363" s="23" t="s">
        <v>5</v>
      </c>
      <c r="E363" s="17" t="s">
        <v>154</v>
      </c>
      <c r="F363" s="40" t="str">
        <f ca="1">IF(AND(C363="NO",D363="NO"),IF(F363="",TODAY(),F363),"")</f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ca="1">IF(AND(C364="NO",D364="NO"),IF(F364="",TODAY(),F364),"")</f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ca="1">IF(AND(C365="NO",D365="NO"),IF(F365="",TODAY(),F365),"")</f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ca="1">IF(AND(C366="NO",D366="NO"),IF(F366="",TODAY(),F366),"")</f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ca="1">IF(AND(C367="NO",D367="NO"),IF(F367="",TODAY(),F367),"")</f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ca="1">IF(AND(C368="NO",D368="NO"),IF(F368="",TODAY(),F368),"")</f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ca="1">IF(AND(C369="NO",D369="NO"),IF(F369="",TODAY(),F369),"")</f>
        <v>46195</v>
      </c>
    </row>
    <row r="370" spans="1:9" ht="13.5" customHeight="1" x14ac:dyDescent="0.25">
      <c r="A370" s="11">
        <v>77</v>
      </c>
      <c r="B370" s="21" t="s">
        <v>1936</v>
      </c>
      <c r="C370" s="23" t="s">
        <v>6</v>
      </c>
      <c r="D370" s="23" t="s">
        <v>6</v>
      </c>
      <c r="E370" s="16" t="s">
        <v>46</v>
      </c>
      <c r="F370" s="40">
        <f ca="1">IF(AND(C370="NO",D370="NO"),IF(F370="",TODAY(),F370),"")</f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ca="1">IF(AND(C371="NO",D371="NO"),IF(F371="",TODAY(),F371),"")</f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ca="1">IF(AND(C372="NO",D372="NO"),IF(F372="",TODAY(),F372),"")</f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ca="1">IF(AND(C373="NO",D373="NO"),IF(F373="",TODAY(),F373),"")</f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ca="1">IF(AND(C374="NO",D374="NO"),IF(F374="",TODAY(),F374),"")</f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ca="1">IF(AND(C375="NO",D375="NO"),IF(F375="",TODAY(),F375),"")</f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ca="1">IF(AND(C376="NO",D376="NO"),IF(F376="",TODAY(),F376),"")</f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ca="1">IF(AND(C377="NO",D377="NO"),IF(F377="",TODAY(),F377),"")</f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ca="1">IF(AND(C378="NO",D378="NO"),IF(F378="",TODAY(),F378),"")</f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ca="1">IF(AND(C379="NO",D379="NO"),IF(F379="",TODAY(),F379),"")</f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ca="1">IF(AND(C380="NO",D380="NO"),IF(F380="",TODAY(),F380),"")</f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ca="1">IF(AND(C381="NO",D381="NO"),IF(F381="",TODAY(),F381),"")</f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ca="1">IF(AND(C382="NO",D382="NO"),IF(F382="",TODAY(),F382),"")</f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1902</v>
      </c>
      <c r="C383" s="23" t="s">
        <v>5</v>
      </c>
      <c r="D383" s="23" t="s">
        <v>5</v>
      </c>
      <c r="E383" s="16" t="s">
        <v>46</v>
      </c>
      <c r="F383" s="40" t="str">
        <f ca="1">IF(AND(C383="NO",D383="NO"),IF(F383="",TODAY(),F383),"")</f>
        <v/>
      </c>
      <c r="G383" s="47"/>
    </row>
    <row r="384" spans="1:9" ht="13.5" customHeight="1" x14ac:dyDescent="0.25">
      <c r="A384" s="11">
        <v>91</v>
      </c>
      <c r="B384" s="8" t="s">
        <v>1949</v>
      </c>
      <c r="C384" s="23" t="s">
        <v>5</v>
      </c>
      <c r="D384" s="23" t="s">
        <v>6</v>
      </c>
      <c r="E384" s="16" t="s">
        <v>1815</v>
      </c>
      <c r="F384" s="40" t="str">
        <f ca="1">IF(AND(C384="NO",D384="NO"),IF(F384="",TODAY(),F384),"")</f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1951</v>
      </c>
      <c r="C385" s="23" t="s">
        <v>5</v>
      </c>
      <c r="D385" s="23" t="s">
        <v>6</v>
      </c>
      <c r="E385" s="16" t="s">
        <v>1815</v>
      </c>
      <c r="F385" s="40" t="str">
        <f ca="1">IF(AND(C385="NO",D385="NO"),IF(F385="",TODAY(),F385),"")</f>
        <v/>
      </c>
      <c r="G385" s="47"/>
    </row>
    <row r="386" spans="1:8" ht="13.5" customHeight="1" x14ac:dyDescent="0.25">
      <c r="A386" s="11">
        <v>93</v>
      </c>
      <c r="B386" s="8" t="s">
        <v>1952</v>
      </c>
      <c r="C386" s="23" t="s">
        <v>5</v>
      </c>
      <c r="D386" s="23" t="s">
        <v>6</v>
      </c>
      <c r="E386" s="16" t="s">
        <v>1815</v>
      </c>
      <c r="F386" s="40" t="str">
        <f ca="1">IF(AND(C386="NO",D386="NO"),IF(F386="",TODAY(),F386),"")</f>
        <v/>
      </c>
      <c r="G386" s="47"/>
    </row>
    <row r="387" spans="1:8" ht="13.5" customHeight="1" x14ac:dyDescent="0.25">
      <c r="A387" s="11">
        <v>94</v>
      </c>
      <c r="B387" s="8" t="s">
        <v>1953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1955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1954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1950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95" t="s">
        <v>1965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1966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1968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1967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0" t="s">
        <v>54</v>
      </c>
      <c r="B396" s="151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1924</v>
      </c>
      <c r="G396" s="31"/>
      <c r="H396" s="120"/>
    </row>
    <row r="397" spans="1:8" ht="45" x14ac:dyDescent="0.25">
      <c r="A397" s="150" t="s">
        <v>55</v>
      </c>
      <c r="B397" s="151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1925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0" t="s">
        <v>56</v>
      </c>
      <c r="B399" s="151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0" t="s">
        <v>57</v>
      </c>
      <c r="B400" s="151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46" t="s">
        <v>1064</v>
      </c>
      <c r="B402" s="147"/>
      <c r="C402" s="141">
        <f>COUNTIFS(C294:C394,"SI",D294:D394,"SI")</f>
        <v>29</v>
      </c>
      <c r="D402" s="142" t="s">
        <v>51</v>
      </c>
      <c r="E402" s="144">
        <f>C402/A394*100</f>
        <v>28.71287128712871</v>
      </c>
      <c r="F402" s="159" t="s">
        <v>1066</v>
      </c>
    </row>
    <row r="403" spans="1:10" x14ac:dyDescent="0.25">
      <c r="A403" s="148"/>
      <c r="B403" s="149"/>
      <c r="C403" s="141"/>
      <c r="D403" s="143"/>
      <c r="E403" s="145"/>
      <c r="F403" s="160"/>
    </row>
    <row r="404" spans="1:10" x14ac:dyDescent="0.25">
      <c r="A404" s="146" t="s">
        <v>1065</v>
      </c>
      <c r="B404" s="147"/>
      <c r="C404" s="141">
        <f>COUNTIFS(C289:C394,"NO",D289:D394,"NO")</f>
        <v>26</v>
      </c>
      <c r="D404" s="142" t="s">
        <v>51</v>
      </c>
      <c r="E404" s="144">
        <f>C404/A394*100</f>
        <v>25.742574257425744</v>
      </c>
      <c r="F404" s="159" t="s">
        <v>1067</v>
      </c>
    </row>
    <row r="405" spans="1:10" x14ac:dyDescent="0.25">
      <c r="A405" s="148"/>
      <c r="B405" s="149"/>
      <c r="C405" s="141"/>
      <c r="D405" s="143"/>
      <c r="E405" s="145"/>
      <c r="F405" s="160"/>
    </row>
    <row r="407" spans="1:10" ht="15" customHeight="1" x14ac:dyDescent="0.25">
      <c r="A407" s="138" t="s">
        <v>1915</v>
      </c>
      <c r="B407" s="139"/>
      <c r="C407" s="139"/>
      <c r="D407" s="139"/>
      <c r="E407" s="14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ca="1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ca="1">IF(AND(C410="NO",D410="NO"),IF(F410="",TODAY(),F410),"")</f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ca="1">IF(AND(C411="NO",D411="NO"),IF(F411="",TODAY(),F411),"")</f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ca="1">IF(AND(C412="NO",D412="NO"),IF(F412="",TODAY(),F412),"")</f>
        <v/>
      </c>
      <c r="I412" s="152" t="s">
        <v>1915</v>
      </c>
      <c r="J412" s="152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ca="1">IF(AND(C413="NO",D413="NO"),IF(F413="",TODAY(),F413),"")</f>
        <v/>
      </c>
      <c r="I413" s="152"/>
      <c r="J413" s="152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ca="1">IF(AND(C414="NO",D414="NO"),IF(F414="",TODAY(),F414),"")</f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ca="1">IF(AND(C415="NO",D415="NO"),IF(F415="",TODAY(),F415),"")</f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ca="1">IF(AND(C416="NO",D416="NO"),IF(F416="",TODAY(),F416),"")</f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ca="1">IF(AND(C417="NO",D417="NO"),IF(F417="",TODAY(),F417),"")</f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ca="1">IF(AND(C418="NO",D418="NO"),IF(F418="",TODAY(),F418),"")</f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ca="1">IF(AND(C419="NO",D419="NO"),IF(F419="",TODAY(),F419),"")</f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ca="1">IF(AND(C420="NO",D420="NO"),IF(F420="",TODAY(),F420),"")</f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1942</v>
      </c>
      <c r="C421" s="23" t="s">
        <v>5</v>
      </c>
      <c r="D421" s="23" t="s">
        <v>6</v>
      </c>
      <c r="E421" s="16" t="s">
        <v>154</v>
      </c>
      <c r="F421" s="40" t="str">
        <f ca="1">IF(AND(C421="NO",D421="NO"),IF(F421="",TODAY(),F421),"")</f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ca="1">IF(AND(C422="NO",D422="NO"),IF(F422="",TODAY(),F422),"")</f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ca="1">IF(AND(C423="NO",D423="NO"),IF(F423="",TODAY(),F423),"")</f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ca="1">IF(AND(C424="NO",D424="NO"),IF(F424="",TODAY(),F424),"")</f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ca="1">IF(AND(C425="NO",D425="NO"),IF(F425="",TODAY(),F425),"")</f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ca="1">IF(AND(C426="NO",D426="NO"),IF(F426="",TODAY(),F426),"")</f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ca="1">IF(AND(C427="NO",D427="NO"),IF(F427="",TODAY(),F427),"")</f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ca="1">IF(AND(C428="NO",D428="NO"),IF(F428="",TODAY(),F428),"")</f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ca="1">IF(AND(C429="NO",D429="NO"),IF(F429="",TODAY(),F429),"")</f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ca="1">IF(AND(C430="NO",D430="NO"),IF(F430="",TODAY(),F430),"")</f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ca="1">IF(AND(C431="NO",D431="NO"),IF(F431="",TODAY(),F431),"")</f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1937</v>
      </c>
      <c r="C432" s="23" t="s">
        <v>6</v>
      </c>
      <c r="D432" s="23" t="s">
        <v>5</v>
      </c>
      <c r="E432" s="16" t="s">
        <v>359</v>
      </c>
      <c r="F432" s="40" t="str">
        <f ca="1">IF(AND(C432="NO",D432="NO"),IF(F432="",TODAY(),F432),"")</f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ca="1">IF(AND(C433="NO",D433="NO"),IF(F433="",TODAY(),F433),"")</f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ca="1">IF(AND(C434="NO",D434="NO"),IF(F434="",TODAY(),F434),"")</f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ca="1">IF(AND(C435="NO",D435="NO"),IF(F435="",TODAY(),F435),"")</f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ca="1">IF(AND(C436="NO",D436="NO"),IF(F436="",TODAY(),F436),"")</f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ca="1">IF(AND(C437="NO",D437="NO"),IF(F437="",TODAY(),F437),"")</f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ca="1">IF(AND(C438="NO",D438="NO"),IF(F438="",TODAY(),F438),"")</f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ca="1">IF(AND(C439="NO",D439="NO"),IF(F439="",TODAY(),F439),"")</f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ca="1">IF(AND(C440="NO",D440="NO"),IF(F440="",TODAY(),F440),"")</f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ca="1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ca="1">IF(AND(C442="NO",D442="NO"),IF(F442="",TODAY(),F442),"")</f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ca="1">IF(AND(C443="NO",D443="NO"),IF(F443="",TODAY(),F443),"")</f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ca="1">IF(AND(C444="NO",D444="NO"),IF(F444="",TODAY(),F444),"")</f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ca="1">IF(AND(C445="NO",D445="NO"),IF(F445="",TODAY(),F445),"")</f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ca="1">IF(AND(C446="NO",D446="NO"),IF(F446="",TODAY(),F446),"")</f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ca="1">IF(AND(C447="NO",D447="NO"),IF(F447="",TODAY(),F447),"")</f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ca="1">IF(AND(C448="NO",D448="NO"),IF(F448="",TODAY(),F448),"")</f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ca="1">IF(AND(C449="NO",D449="NO"),IF(F449="",TODAY(),F449),"")</f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ca="1">IF(AND(C450="NO",D450="NO"),IF(F450="",TODAY(),F450),"")</f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ca="1">IF(AND(C451="NO",D451="NO"),IF(F451="",TODAY(),F451),"")</f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ca="1">IF(AND(C452="NO",D452="NO"),IF(F452="",TODAY(),F452),"")</f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ca="1">IF(AND(C453="NO",D453="NO"),IF(F453="",TODAY(),F453),"")</f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ca="1">IF(AND(C454="NO",D454="NO"),IF(F454="",TODAY(),F454),"")</f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ca="1">IF(AND(C455="NO",D455="NO"),IF(F455="",TODAY(),F455),"")</f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ca="1">IF(AND(C456="NO",D456="NO"),IF(F456="",TODAY(),F456),"")</f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ca="1">IF(AND(C457="NO",D457="NO"),IF(F457="",TODAY(),F457),"")</f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ca="1">IF(AND(C458="NO",D458="NO"),IF(F458="",TODAY(),F458),"")</f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ca="1">IF(AND(C459="NO",D459="NO"),IF(F459="",TODAY(),F459),"")</f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ca="1">IF(AND(C460="NO",D460="NO"),IF(F460="",TODAY(),F460),"")</f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ca="1">IF(AND(C461="NO",D461="NO"),IF(F461="",TODAY(),F461),"")</f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ca="1">IF(AND(C462="NO",D462="NO"),IF(F462="",TODAY(),F462),"")</f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ca="1">IF(AND(C463="NO",D463="NO"),IF(F463="",TODAY(),F463),"")</f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ca="1">IF(AND(C464="NO",D464="NO"),IF(F464="",TODAY(),F464),"")</f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ca="1">IF(AND(C465="NO",D465="NO"),IF(F465="",TODAY(),F465),"")</f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ca="1">IF(AND(C466="NO",D466="NO"),IF(F466="",TODAY(),F466),"")</f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ca="1">IF(AND(C467="NO",D467="NO"),IF(F467="",TODAY(),F467),"")</f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ca="1">IF(AND(C468="NO",D468="NO"),IF(F468="",TODAY(),F468),"")</f>
        <v/>
      </c>
      <c r="G468" s="61"/>
    </row>
    <row r="469" spans="1:8" x14ac:dyDescent="0.25">
      <c r="A469" s="11">
        <v>61</v>
      </c>
      <c r="B469" s="42" t="s">
        <v>1940</v>
      </c>
      <c r="C469" s="23" t="s">
        <v>6</v>
      </c>
      <c r="D469" s="23" t="s">
        <v>6</v>
      </c>
      <c r="E469" s="24" t="s">
        <v>46</v>
      </c>
      <c r="F469" s="40">
        <f ca="1">IF(AND(C469="NO",D469="NO"),IF(F469="",TODAY(),F469),"")</f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ca="1">IF(AND(C470="NO",D470="NO"),IF(F470="",TODAY(),F470),"")</f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ca="1">IF(AND(C471="NO",D471="NO"),IF(F471="",TODAY(),F471),"")</f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ca="1">IF(AND(C472="NO",D472="NO"),IF(F472="",TODAY(),F472),"")</f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ca="1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ca="1">IF(AND(C474="NO",D474="NO"),IF(F474="",TODAY(),F474),"")</f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ca="1">IF(AND(C475="NO",D475="NO"),IF(F475="",TODAY(),F475),"")</f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ca="1">IF(AND(C476="NO",D476="NO"),IF(F476="",TODAY(),F476),"")</f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ca="1">IF(AND(C477="NO",D477="NO"),IF(F477="",TODAY(),F477),"")</f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ca="1">IF(AND(C478="NO",D478="NO"),IF(F478="",TODAY(),F478),"")</f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ca="1">IF(AND(C479="NO",D479="NO"),IF(F479="",TODAY(),F479),"")</f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ca="1">IF(AND(C480="NO",D480="NO"),IF(F480="",TODAY(),F480),"")</f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ca="1">IF(AND(C481="NO",D481="NO"),IF(F481="",TODAY(),F481),"")</f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ca="1">IF(AND(C482="NO",D482="NO"),IF(F482="",TODAY(),F482),"")</f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ca="1">IF(AND(C483="NO",D483="NO"),IF(F483="",TODAY(),F483),"")</f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ca="1">IF(AND(C484="NO",D484="NO"),IF(F484="",TODAY(),F484),"")</f>
        <v/>
      </c>
      <c r="G484" s="86"/>
    </row>
    <row r="485" spans="1:8" ht="15" customHeight="1" x14ac:dyDescent="0.25">
      <c r="A485" s="11">
        <v>77</v>
      </c>
      <c r="B485" s="42" t="s">
        <v>1943</v>
      </c>
      <c r="C485" s="23" t="s">
        <v>5</v>
      </c>
      <c r="D485" s="23" t="s">
        <v>5</v>
      </c>
      <c r="E485" s="24" t="s">
        <v>46</v>
      </c>
      <c r="F485" s="40" t="str">
        <f ca="1">IF(AND(C485="NO",D485="NO"),IF(F485="",TODAY(),F485),"")</f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ca="1">IF(AND(C486="NO",D486="NO"),IF(F486="",TODAY(),F486),"")</f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ca="1">IF(AND(C487="NO",D487="NO"),IF(F487="",TODAY(),F487),"")</f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ca="1">IF(AND(C488="NO",D488="NO"),IF(F488="",TODAY(),F488),"")</f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ca="1">IF(AND(C489="NO",D489="NO"),IF(F489="",TODAY(),F489),"")</f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ca="1">IF(AND(C490="NO",D490="NO"),IF(F490="",TODAY(),F490),"")</f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ca="1">IF(AND(C491="NO",D491="NO"),IF(F491="",TODAY(),F491),"")</f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ca="1">IF(AND(C492="NO",D492="NO"),IF(F492="",TODAY(),F492),"")</f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ca="1">IF(AND(C493="NO",D493="NO"),IF(F493="",TODAY(),F493),"")</f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ca="1">IF(AND(C494="NO",D494="NO"),IF(F494="",TODAY(),F494),"")</f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ca="1">IF(AND(C495="NO",D495="NO"),IF(F495="",TODAY(),F495),"")</f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ca="1">IF(AND(C496="NO",D496="NO"),IF(F496="",TODAY(),F496),"")</f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ca="1">IF(AND(C497="NO",D497="NO"),IF(F497="",TODAY(),F497),"")</f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ca="1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ca="1">IF(AND(C501="NO",D501="NO"),IF(F501="",TODAY(),F501),"")</f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ca="1">IF(AND(C502="NO",D502="NO"),IF(F502="",TODAY(),F502),"")</f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ca="1">IF(AND(C503="NO",D503="NO"),IF(F503="",TODAY(),F503),"")</f>
        <v/>
      </c>
      <c r="G503" s="47"/>
      <c r="H503" s="126"/>
    </row>
    <row r="504" spans="1:9" ht="15" customHeight="1" x14ac:dyDescent="0.25">
      <c r="A504" s="11">
        <v>96</v>
      </c>
      <c r="B504" s="42" t="s">
        <v>1909</v>
      </c>
      <c r="C504" s="23" t="s">
        <v>6</v>
      </c>
      <c r="D504" s="23" t="s">
        <v>6</v>
      </c>
      <c r="E504" s="16" t="s">
        <v>46</v>
      </c>
      <c r="F504" s="40">
        <f ca="1">IF(AND(C504="NO",D504="NO"),IF(F504="",TODAY(),F504),"")</f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1912</v>
      </c>
      <c r="C505" s="23" t="s">
        <v>6</v>
      </c>
      <c r="D505" s="23" t="s">
        <v>5</v>
      </c>
      <c r="E505" s="16" t="s">
        <v>359</v>
      </c>
      <c r="F505" s="40" t="str">
        <f ca="1">IF(AND(C505="NO",D505="NO"),IF(F505="",TODAY(),F505),"")</f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1913</v>
      </c>
      <c r="C506" s="23" t="s">
        <v>6</v>
      </c>
      <c r="D506" s="23" t="s">
        <v>6</v>
      </c>
      <c r="E506" s="16" t="s">
        <v>46</v>
      </c>
      <c r="F506" s="40">
        <f ca="1">IF(AND(C506="NO",D506="NO"),IF(F506="",TODAY(),F506),"")</f>
        <v>46202</v>
      </c>
      <c r="G506" s="47"/>
      <c r="H506" s="134"/>
    </row>
    <row r="507" spans="1:9" ht="15" customHeight="1" x14ac:dyDescent="0.25">
      <c r="A507" s="11">
        <v>99</v>
      </c>
      <c r="B507" s="42" t="s">
        <v>1945</v>
      </c>
      <c r="C507" s="23" t="s">
        <v>5</v>
      </c>
      <c r="D507" s="23" t="s">
        <v>6</v>
      </c>
      <c r="E507" s="16" t="s">
        <v>1815</v>
      </c>
      <c r="F507" s="40" t="str">
        <f ca="1">IF(AND(C507="NO",D507="NO"),IF(F507="",TODAY(),F507),"")</f>
        <v/>
      </c>
      <c r="G507" s="47"/>
      <c r="H507" s="134"/>
    </row>
    <row r="508" spans="1:9" ht="15" customHeight="1" x14ac:dyDescent="0.25">
      <c r="A508" s="11">
        <v>100</v>
      </c>
      <c r="B508" s="42" t="s">
        <v>1946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1963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1964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0" t="s">
        <v>54</v>
      </c>
      <c r="B512" s="151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1924</v>
      </c>
      <c r="G512" s="31"/>
      <c r="H512" s="47"/>
    </row>
    <row r="513" spans="1:9" ht="45" x14ac:dyDescent="0.25">
      <c r="A513" s="150" t="s">
        <v>55</v>
      </c>
      <c r="B513" s="151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1925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0" t="s">
        <v>56</v>
      </c>
      <c r="B515" s="151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0" t="s">
        <v>57</v>
      </c>
      <c r="B516" s="151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>IF(AND(C511="SI",D511="SI"),B511,"")</f>
        <v/>
      </c>
    </row>
    <row r="518" spans="1:9" x14ac:dyDescent="0.25">
      <c r="A518" s="146" t="s">
        <v>1064</v>
      </c>
      <c r="B518" s="147"/>
      <c r="C518" s="141">
        <f>COUNTIFS(C409:C510,"SI",D409:D510,"SI")</f>
        <v>30</v>
      </c>
      <c r="D518" s="142" t="s">
        <v>51</v>
      </c>
      <c r="E518" s="144">
        <f>C518/A510*100</f>
        <v>29.411764705882355</v>
      </c>
      <c r="F518" s="159" t="s">
        <v>1066</v>
      </c>
      <c r="I518" t="str">
        <f>IF(AND(C512="SI",D512="SI"),B512,"")</f>
        <v/>
      </c>
    </row>
    <row r="519" spans="1:9" x14ac:dyDescent="0.25">
      <c r="A519" s="148"/>
      <c r="B519" s="149"/>
      <c r="C519" s="141"/>
      <c r="D519" s="143"/>
      <c r="E519" s="145"/>
      <c r="F519" s="160"/>
      <c r="I519" t="str">
        <f>IF(AND(C513="SI",D513="SI"),B513,"")</f>
        <v/>
      </c>
    </row>
    <row r="520" spans="1:9" x14ac:dyDescent="0.25">
      <c r="A520" s="146" t="s">
        <v>1065</v>
      </c>
      <c r="B520" s="147"/>
      <c r="C520" s="141">
        <f>COUNTIFS(C409:C510,"NO",D409:D510,"NO")</f>
        <v>31</v>
      </c>
      <c r="D520" s="142" t="s">
        <v>51</v>
      </c>
      <c r="E520" s="144">
        <f>C520/A510*100</f>
        <v>30.392156862745097</v>
      </c>
      <c r="F520" s="159" t="s">
        <v>1067</v>
      </c>
      <c r="H520" s="47"/>
      <c r="I520" t="str">
        <f>IF(AND(C514="SI",D514="SI"),B514,"")</f>
        <v/>
      </c>
    </row>
    <row r="521" spans="1:9" x14ac:dyDescent="0.25">
      <c r="A521" s="148"/>
      <c r="B521" s="149"/>
      <c r="C521" s="141"/>
      <c r="D521" s="143"/>
      <c r="E521" s="145"/>
      <c r="F521" s="160"/>
      <c r="I521" t="str">
        <f>IF(AND(C515="SI",D515="SI"),B515,"")</f>
        <v/>
      </c>
    </row>
    <row r="522" spans="1:9" ht="15.75" x14ac:dyDescent="0.25">
      <c r="A522" s="76"/>
      <c r="B522" s="76"/>
      <c r="C522" s="43"/>
      <c r="D522" s="43"/>
      <c r="I522" t="str">
        <f>IF(AND(C516="SI",D516="SI"),B516,"")</f>
        <v/>
      </c>
    </row>
    <row r="523" spans="1:9" x14ac:dyDescent="0.25">
      <c r="A523" s="138" t="s">
        <v>1371</v>
      </c>
      <c r="B523" s="139"/>
      <c r="C523" s="139"/>
      <c r="D523" s="139"/>
      <c r="E523" s="140"/>
      <c r="I523" t="str">
        <f>IF(AND(C517="SI",D517="SI"),B517,"")</f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>IF(AND(C518="SI",D518="SI"),B518,"")</f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ca="1">IF(AND(C525="NO",D525="NO"),IF(F525="",TODAY(),F525),"")</f>
        <v/>
      </c>
      <c r="I525" t="str">
        <f>IF(AND(C519="SI",D519="SI"),B519,"")</f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ca="1">IF(AND(C526="NO",D526="NO"),IF(F526="",TODAY(),F526),"")</f>
        <v/>
      </c>
      <c r="I526" t="str">
        <f>IF(AND(C520="SI",D520="SI"),B520,"")</f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ca="1">IF(AND(C527="NO",D527="NO"),IF(F527="",TODAY(),F527),"")</f>
        <v/>
      </c>
      <c r="I527" t="str">
        <f>IF(AND(C521="SI",D521="SI"),B521,"")</f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ca="1">IF(AND(C528="NO",D528="NO"),IF(F528="",TODAY(),F528),"")</f>
        <v/>
      </c>
      <c r="I528" t="str">
        <f>IF(AND(C522="SI",D522="SI"),B522,"")</f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ca="1">IF(AND(C529="NO",D529="NO"),IF(F529="",TODAY(),F529),"")</f>
        <v/>
      </c>
      <c r="I529" s="152" t="s">
        <v>1816</v>
      </c>
      <c r="J529" s="152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ca="1">IF(AND(C530="NO",D530="NO"),IF(F530="",TODAY(),F530),"")</f>
        <v/>
      </c>
      <c r="H530" s="61"/>
      <c r="I530" s="152"/>
      <c r="J530" s="152"/>
    </row>
    <row r="531" spans="1:10" ht="15" customHeight="1" x14ac:dyDescent="0.25">
      <c r="A531" s="11">
        <v>7</v>
      </c>
      <c r="B531" s="8" t="s">
        <v>1941</v>
      </c>
      <c r="C531" s="23" t="s">
        <v>5</v>
      </c>
      <c r="D531" s="23" t="s">
        <v>5</v>
      </c>
      <c r="E531" s="16" t="s">
        <v>154</v>
      </c>
      <c r="F531" s="40" t="str">
        <f ca="1">IF(AND(C531="NO",D531="NO"),IF(F531="",TODAY(),F531),"")</f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ca="1">IF(AND(C532="NO",D532="NO"),IF(F532="",TODAY(),F532),"")</f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ca="1">IF(AND(C533="NO",D533="NO"),IF(F533="",TODAY(),F533),"")</f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ca="1">IF(AND(C534="NO",D534="NO"),IF(F534="",TODAY(),F534),"")</f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ca="1">IF(AND(C535="NO",D535="NO"),IF(F535="",TODAY(),F535),"")</f>
        <v>46202</v>
      </c>
      <c r="I535" s="116" t="str">
        <v>MiLAN Pirela</v>
      </c>
      <c r="J535" s="116"/>
    </row>
    <row r="536" spans="1:10" ht="15.75" customHeight="1" x14ac:dyDescent="0.25">
      <c r="A536" s="11">
        <v>14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ca="1">IF(AND(C536="NO",D536="NO"),IF(F536="",TODAY(),F536),"")</f>
        <v>46202</v>
      </c>
      <c r="I536" s="116" t="str">
        <v>Emiro Ortega</v>
      </c>
      <c r="J536" s="116"/>
    </row>
    <row r="537" spans="1:10" x14ac:dyDescent="0.25">
      <c r="A537" s="11">
        <v>18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ca="1">IF(AND(C537="NO",D537="NO"),IF(F537="",TODAY(),F537),"")</f>
        <v>46202</v>
      </c>
      <c r="J537" s="199">
        <f>C564</f>
        <v>6</v>
      </c>
    </row>
    <row r="538" spans="1:10" x14ac:dyDescent="0.25">
      <c r="A538" s="11">
        <v>19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ca="1">IF(AND(C538="NO",D538="NO"),IF(F538="",TODAY(),F538),"")</f>
        <v>46202</v>
      </c>
    </row>
    <row r="539" spans="1:10" x14ac:dyDescent="0.25">
      <c r="A539" s="11">
        <v>20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ca="1">IF(AND(C539="NO",D539="NO"),IF(F539="",TODAY(),F539),"")</f>
        <v>46202</v>
      </c>
    </row>
    <row r="540" spans="1:10" x14ac:dyDescent="0.25">
      <c r="A540" s="11">
        <v>21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ca="1">IF(AND(C540="NO",D540="NO"),IF(F540="",TODAY(),F540),"")</f>
        <v/>
      </c>
    </row>
    <row r="541" spans="1:10" x14ac:dyDescent="0.25">
      <c r="A541" s="11">
        <v>24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ca="1">IF(AND(C541="NO",D541="NO"),IF(F541="",TODAY(),F541),"")</f>
        <v>46202</v>
      </c>
    </row>
    <row r="542" spans="1:10" x14ac:dyDescent="0.25">
      <c r="A542" s="11">
        <v>25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ca="1">IF(AND(C542="NO",D542="NO"),IF(F542="",TODAY(),F542),"")</f>
        <v>46202</v>
      </c>
    </row>
    <row r="543" spans="1:10" x14ac:dyDescent="0.25">
      <c r="A543" s="11">
        <v>26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ca="1">IF(AND(C543="NO",D543="NO"),IF(F543="",TODAY(),F543),"")</f>
        <v>46202</v>
      </c>
    </row>
    <row r="544" spans="1:10" x14ac:dyDescent="0.25">
      <c r="A544" s="11">
        <v>27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ca="1">IF(AND(C544="NO",D544="NO"),IF(F544="",TODAY(),F544),"")</f>
        <v>46202</v>
      </c>
    </row>
    <row r="545" spans="1:9" x14ac:dyDescent="0.25">
      <c r="A545" s="11">
        <v>30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ca="1">IF(AND(C545="NO",D545="NO"),IF(F545="",TODAY(),F545),"")</f>
        <v/>
      </c>
    </row>
    <row r="546" spans="1:9" ht="15.75" x14ac:dyDescent="0.25">
      <c r="A546" s="11">
        <v>32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ca="1">IF(AND(C546="NO",D546="NO"),IF(F546="",TODAY(),F546),"")</f>
        <v>46202</v>
      </c>
    </row>
    <row r="547" spans="1:9" x14ac:dyDescent="0.25">
      <c r="A547" s="11">
        <v>38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ca="1">IF(AND(C547="NO",D547="NO"),IF(F547="",TODAY(),F547),"")</f>
        <v>46202</v>
      </c>
    </row>
    <row r="548" spans="1:9" x14ac:dyDescent="0.25">
      <c r="A548" s="11">
        <v>39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ca="1">IF(AND(C548="NO",D548="NO"),IF(F548="",TODAY(),F548),"")</f>
        <v>46202</v>
      </c>
    </row>
    <row r="549" spans="1:9" x14ac:dyDescent="0.25">
      <c r="A549" s="11">
        <v>41</v>
      </c>
      <c r="B549" s="21" t="s">
        <v>1928</v>
      </c>
      <c r="C549" s="23" t="s">
        <v>6</v>
      </c>
      <c r="D549" s="23" t="s">
        <v>6</v>
      </c>
      <c r="E549" s="24" t="s">
        <v>46</v>
      </c>
      <c r="F549" s="40">
        <f ca="1">IF(AND(C549="NO",D549="NO"),IF(F549="",TODAY(),F549),"")</f>
        <v>46202</v>
      </c>
    </row>
    <row r="550" spans="1:9" x14ac:dyDescent="0.25">
      <c r="A550" s="11">
        <v>43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ca="1">IF(AND(C550="NO",D550="NO"),IF(F550="",TODAY(),F550),"")</f>
        <v/>
      </c>
    </row>
    <row r="551" spans="1:9" x14ac:dyDescent="0.25">
      <c r="A551" s="11">
        <v>45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ca="1">IF(AND(C551="NO",D551="NO"),IF(F551="",TODAY(),F551),"")</f>
        <v>46202</v>
      </c>
      <c r="G551" s="79"/>
    </row>
    <row r="552" spans="1:9" x14ac:dyDescent="0.25">
      <c r="A552" s="11">
        <v>46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ca="1">IF(AND(C552="NO",D552="NO"),IF(F552="",TODAY(),F552),"")</f>
        <v/>
      </c>
    </row>
    <row r="553" spans="1:9" ht="14.25" customHeight="1" x14ac:dyDescent="0.25">
      <c r="A553" s="11">
        <v>47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ca="1">IF(AND(C553="NO",D553="NO"),IF(F553="",TODAY(),F553),"")</f>
        <v/>
      </c>
    </row>
    <row r="554" spans="1:9" x14ac:dyDescent="0.25">
      <c r="A554" s="11">
        <v>48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ca="1">IF(AND(C554="NO",D554="NO"),IF(F554="",TODAY(),F554),"")</f>
        <v/>
      </c>
      <c r="G554" s="124"/>
      <c r="I554">
        <f>9+5</f>
        <v>14</v>
      </c>
    </row>
    <row r="555" spans="1:9" x14ac:dyDescent="0.25">
      <c r="A555" s="11">
        <v>49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ca="1">IF(AND(C555="NO",D555="NO"),IF(F555="",TODAY(),F555),"")</f>
        <v>46202</v>
      </c>
      <c r="G555" s="126"/>
      <c r="I555">
        <v>8</v>
      </c>
    </row>
    <row r="556" spans="1:9" x14ac:dyDescent="0.25">
      <c r="A556" s="11">
        <v>50</v>
      </c>
      <c r="B556" s="21" t="s">
        <v>1910</v>
      </c>
      <c r="C556" s="23" t="s">
        <v>6</v>
      </c>
      <c r="D556" s="23" t="s">
        <v>6</v>
      </c>
      <c r="E556" s="16" t="s">
        <v>359</v>
      </c>
      <c r="F556" s="40">
        <f ca="1">IF(AND(C556="NO",D556="NO"),IF(F556="",TODAY(),F556),"")</f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0" t="s">
        <v>54</v>
      </c>
      <c r="B558" s="151"/>
      <c r="C558" s="12">
        <f>COUNTIF(C525:C556, "SI")</f>
        <v>14</v>
      </c>
      <c r="D558" s="6" t="s">
        <v>51</v>
      </c>
      <c r="E558" s="32">
        <f>C558/A556*100</f>
        <v>28.000000000000004</v>
      </c>
      <c r="F558" s="13" t="s">
        <v>1924</v>
      </c>
      <c r="H558" s="79"/>
    </row>
    <row r="559" spans="1:9" ht="45" x14ac:dyDescent="0.25">
      <c r="A559" s="150" t="s">
        <v>55</v>
      </c>
      <c r="B559" s="151"/>
      <c r="C559" s="12">
        <f>COUNTIF(C525:C556, "NO")</f>
        <v>18</v>
      </c>
      <c r="D559" s="6" t="s">
        <v>51</v>
      </c>
      <c r="E559" s="32">
        <f>C559/A556*100</f>
        <v>36</v>
      </c>
      <c r="F559" s="13" t="s">
        <v>1925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0" t="s">
        <v>56</v>
      </c>
      <c r="B561" s="151"/>
      <c r="C561" s="12">
        <f>COUNTIF(D525:D556, "SI")</f>
        <v>8</v>
      </c>
      <c r="D561" s="6" t="s">
        <v>51</v>
      </c>
      <c r="E561" s="32">
        <f>C561/A556*100</f>
        <v>16</v>
      </c>
      <c r="F561" s="13" t="s">
        <v>58</v>
      </c>
    </row>
    <row r="562" spans="1:6" ht="45" x14ac:dyDescent="0.25">
      <c r="A562" s="150" t="s">
        <v>57</v>
      </c>
      <c r="B562" s="151"/>
      <c r="C562" s="12">
        <f>COUNTIF(D525:D556, "NO")</f>
        <v>24</v>
      </c>
      <c r="D562" s="6" t="s">
        <v>51</v>
      </c>
      <c r="E562" s="32">
        <f>C562/A556*100</f>
        <v>48</v>
      </c>
      <c r="F562" s="13" t="s">
        <v>59</v>
      </c>
    </row>
    <row r="564" spans="1:6" x14ac:dyDescent="0.25">
      <c r="A564" s="146" t="s">
        <v>1064</v>
      </c>
      <c r="B564" s="147"/>
      <c r="C564" s="141">
        <f>COUNTIFS(C525:C556,"SI",D525:D556,"SI")</f>
        <v>6</v>
      </c>
      <c r="D564" s="142" t="s">
        <v>51</v>
      </c>
      <c r="E564" s="144">
        <f>C564/A556*100</f>
        <v>12</v>
      </c>
      <c r="F564" s="159" t="s">
        <v>1066</v>
      </c>
    </row>
    <row r="565" spans="1:6" ht="36" customHeight="1" x14ac:dyDescent="0.25">
      <c r="A565" s="148"/>
      <c r="B565" s="149"/>
      <c r="C565" s="141"/>
      <c r="D565" s="143"/>
      <c r="E565" s="145"/>
      <c r="F565" s="160"/>
    </row>
    <row r="566" spans="1:6" x14ac:dyDescent="0.25">
      <c r="A566" s="146" t="s">
        <v>1065</v>
      </c>
      <c r="B566" s="147"/>
      <c r="C566" s="141">
        <f>COUNTIFS(C525:C556,"NO",D525:D556,"NO")</f>
        <v>16</v>
      </c>
      <c r="D566" s="142" t="s">
        <v>51</v>
      </c>
      <c r="E566" s="144">
        <f>C566/A556*100</f>
        <v>32</v>
      </c>
      <c r="F566" s="159" t="s">
        <v>1067</v>
      </c>
    </row>
    <row r="567" spans="1:6" x14ac:dyDescent="0.25">
      <c r="A567" s="148"/>
      <c r="B567" s="149"/>
      <c r="C567" s="141"/>
      <c r="D567" s="143"/>
      <c r="E567" s="145"/>
      <c r="F567" s="160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270" priority="83" operator="containsText" text="NO+$D$4:$D$10">
      <formula>NOT(ISERROR(SEARCH("NO+$D$4:$D$10",C324)))</formula>
    </cfRule>
  </conditionalFormatting>
  <conditionalFormatting sqref="C324:D324">
    <cfRule type="containsText" dxfId="6269" priority="81" operator="containsText" text="SI">
      <formula>NOT(ISERROR(SEARCH("SI",C324)))</formula>
    </cfRule>
    <cfRule type="containsText" dxfId="6268" priority="82" operator="containsText" text="NO">
      <formula>NOT(ISERROR(SEARCH("NO",C324)))</formula>
    </cfRule>
  </conditionalFormatting>
  <conditionalFormatting sqref="C324:D324">
    <cfRule type="containsText" dxfId="6267" priority="80" operator="containsText" text="NUEVO">
      <formula>NOT(ISERROR(SEARCH("NUEVO",C324)))</formula>
    </cfRule>
  </conditionalFormatting>
  <conditionalFormatting sqref="E324">
    <cfRule type="containsText" dxfId="6266" priority="84" operator="containsText" text="NUEVO">
      <formula>NOT(ISERROR(SEARCH("NUEVO",#REF!)))</formula>
    </cfRule>
  </conditionalFormatting>
  <conditionalFormatting sqref="E324">
    <cfRule type="containsText" dxfId="6265" priority="85" operator="containsText" text="Sin información">
      <formula>NOT(ISERROR(SEARCH("Sin información",#REF!)))</formula>
    </cfRule>
  </conditionalFormatting>
  <conditionalFormatting sqref="C351:D351">
    <cfRule type="containsText" dxfId="6264" priority="75" operator="containsText" text="NO+$D$4:$D$10">
      <formula>NOT(ISERROR(SEARCH("NO+$D$4:$D$10",C351)))</formula>
    </cfRule>
  </conditionalFormatting>
  <conditionalFormatting sqref="C351:D351">
    <cfRule type="containsText" dxfId="6263" priority="73" operator="containsText" text="SI">
      <formula>NOT(ISERROR(SEARCH("SI",C351)))</formula>
    </cfRule>
    <cfRule type="containsText" dxfId="6262" priority="74" operator="containsText" text="NO">
      <formula>NOT(ISERROR(SEARCH("NO",C351)))</formula>
    </cfRule>
  </conditionalFormatting>
  <conditionalFormatting sqref="C351:D351">
    <cfRule type="containsText" dxfId="6261" priority="72" operator="containsText" text="NUEVO">
      <formula>NOT(ISERROR(SEARCH("NUEVO",C351)))</formula>
    </cfRule>
  </conditionalFormatting>
  <conditionalFormatting sqref="E351">
    <cfRule type="containsText" dxfId="6260" priority="71" operator="containsText" text="Sin información">
      <formula>NOT(ISERROR(SEARCH("Sin información",E351)))</formula>
    </cfRule>
  </conditionalFormatting>
  <conditionalFormatting sqref="E351">
    <cfRule type="containsText" dxfId="6259" priority="70" operator="containsText" text="NUEVO">
      <formula>NOT(ISERROR(SEARCH("NUEVO",E351)))</formula>
    </cfRule>
  </conditionalFormatting>
  <conditionalFormatting sqref="C343:D343">
    <cfRule type="containsText" dxfId="6258" priority="65" operator="containsText" text="NO+$D$4:$D$10">
      <formula>NOT(ISERROR(SEARCH("NO+$D$4:$D$10",C343)))</formula>
    </cfRule>
  </conditionalFormatting>
  <conditionalFormatting sqref="C343:D343">
    <cfRule type="containsText" dxfId="6257" priority="63" operator="containsText" text="SI">
      <formula>NOT(ISERROR(SEARCH("SI",C343)))</formula>
    </cfRule>
    <cfRule type="containsText" dxfId="6256" priority="64" operator="containsText" text="NO">
      <formula>NOT(ISERROR(SEARCH("NO",C343)))</formula>
    </cfRule>
  </conditionalFormatting>
  <conditionalFormatting sqref="E343">
    <cfRule type="containsText" dxfId="6255" priority="62" operator="containsText" text="Sin información">
      <formula>NOT(ISERROR(SEARCH("Sin información",E343)))</formula>
    </cfRule>
  </conditionalFormatting>
  <conditionalFormatting sqref="C343:E343">
    <cfRule type="containsText" dxfId="6254" priority="61" operator="containsText" text="NUEVO">
      <formula>NOT(ISERROR(SEARCH("NUEVO",C343)))</formula>
    </cfRule>
  </conditionalFormatting>
  <conditionalFormatting sqref="E343">
    <cfRule type="containsText" dxfId="6253" priority="60" operator="containsText" text="Sin Información">
      <formula>NOT(ISERROR(SEARCH("Sin Información",E343)))</formula>
    </cfRule>
  </conditionalFormatting>
  <conditionalFormatting sqref="C345:D345">
    <cfRule type="containsText" dxfId="6252" priority="59" operator="containsText" text="NO+$D$4:$D$10">
      <formula>NOT(ISERROR(SEARCH("NO+$D$4:$D$10",C345)))</formula>
    </cfRule>
  </conditionalFormatting>
  <conditionalFormatting sqref="C345:D345">
    <cfRule type="containsText" dxfId="6251" priority="57" operator="containsText" text="SI">
      <formula>NOT(ISERROR(SEARCH("SI",C345)))</formula>
    </cfRule>
    <cfRule type="containsText" dxfId="6250" priority="58" operator="containsText" text="NO">
      <formula>NOT(ISERROR(SEARCH("NO",C345)))</formula>
    </cfRule>
  </conditionalFormatting>
  <conditionalFormatting sqref="C345:D345">
    <cfRule type="containsText" dxfId="6249" priority="56" operator="containsText" text="NUEVO">
      <formula>NOT(ISERROR(SEARCH("NUEVO",C345)))</formula>
    </cfRule>
  </conditionalFormatting>
  <conditionalFormatting sqref="E345">
    <cfRule type="containsText" dxfId="6248" priority="55" operator="containsText" text="NUEVO">
      <formula>NOT(ISERROR(SEARCH("NUEVO",E345)))</formula>
    </cfRule>
  </conditionalFormatting>
  <conditionalFormatting sqref="E345">
    <cfRule type="containsText" dxfId="6247" priority="54" operator="containsText" text="Sin información">
      <formula>NOT(ISERROR(SEARCH("Sin información",E345)))</formula>
    </cfRule>
  </conditionalFormatting>
  <conditionalFormatting sqref="C390:D390">
    <cfRule type="containsText" dxfId="6246" priority="53" operator="containsText" text="NO+$D$4:$D$10">
      <formula>NOT(ISERROR(SEARCH("NO+$D$4:$D$10",C390)))</formula>
    </cfRule>
  </conditionalFormatting>
  <conditionalFormatting sqref="C390:D390">
    <cfRule type="containsText" dxfId="6245" priority="51" operator="containsText" text="SI">
      <formula>NOT(ISERROR(SEARCH("SI",C390)))</formula>
    </cfRule>
    <cfRule type="containsText" dxfId="6244" priority="52" operator="containsText" text="NO">
      <formula>NOT(ISERROR(SEARCH("NO",C390)))</formula>
    </cfRule>
  </conditionalFormatting>
  <conditionalFormatting sqref="C390:D390">
    <cfRule type="containsText" dxfId="6243" priority="50" operator="containsText" text="NUEVO">
      <formula>NOT(ISERROR(SEARCH("NUEVO",C390)))</formula>
    </cfRule>
  </conditionalFormatting>
  <conditionalFormatting sqref="E390">
    <cfRule type="containsText" dxfId="6242" priority="49" operator="containsText" text="NUEVO">
      <formula>NOT(ISERROR(SEARCH("NUEVO",E390)))</formula>
    </cfRule>
  </conditionalFormatting>
  <conditionalFormatting sqref="E390">
    <cfRule type="containsText" dxfId="6241" priority="48" operator="containsText" text="Sin Información">
      <formula>NOT(ISERROR(SEARCH("Sin Información",E390)))</formula>
    </cfRule>
  </conditionalFormatting>
  <conditionalFormatting sqref="C392:C394">
    <cfRule type="containsText" dxfId="6240" priority="47" operator="containsText" text="NO+$D$4:$D$10">
      <formula>NOT(ISERROR(SEARCH("NO+$D$4:$D$10",C392)))</formula>
    </cfRule>
  </conditionalFormatting>
  <conditionalFormatting sqref="C392:C394">
    <cfRule type="containsText" dxfId="6239" priority="45" operator="containsText" text="SI">
      <formula>NOT(ISERROR(SEARCH("SI",C392)))</formula>
    </cfRule>
    <cfRule type="containsText" dxfId="6238" priority="46" operator="containsText" text="NO">
      <formula>NOT(ISERROR(SEARCH("NO",C392)))</formula>
    </cfRule>
  </conditionalFormatting>
  <conditionalFormatting sqref="C392:C394">
    <cfRule type="containsText" dxfId="6237" priority="44" operator="containsText" text="NUEVO">
      <formula>NOT(ISERROR(SEARCH("NUEVO",C392)))</formula>
    </cfRule>
  </conditionalFormatting>
  <conditionalFormatting sqref="C344:D344">
    <cfRule type="containsText" dxfId="6236" priority="43" operator="containsText" text="NO+$D$4:$D$10">
      <formula>NOT(ISERROR(SEARCH("NO+$D$4:$D$10",C344)))</formula>
    </cfRule>
  </conditionalFormatting>
  <conditionalFormatting sqref="C344:D344">
    <cfRule type="containsText" dxfId="6235" priority="41" operator="containsText" text="SI">
      <formula>NOT(ISERROR(SEARCH("SI",C344)))</formula>
    </cfRule>
    <cfRule type="containsText" dxfId="6234" priority="42" operator="containsText" text="NO">
      <formula>NOT(ISERROR(SEARCH("NO",C344)))</formula>
    </cfRule>
  </conditionalFormatting>
  <conditionalFormatting sqref="E344">
    <cfRule type="containsText" dxfId="6233" priority="40" operator="containsText" text="Sin información">
      <formula>NOT(ISERROR(SEARCH("Sin información",E344)))</formula>
    </cfRule>
  </conditionalFormatting>
  <conditionalFormatting sqref="C344:E344">
    <cfRule type="containsText" dxfId="6232" priority="39" operator="containsText" text="NUEVO">
      <formula>NOT(ISERROR(SEARCH("NUEVO",C344)))</formula>
    </cfRule>
  </conditionalFormatting>
  <conditionalFormatting sqref="E334">
    <cfRule type="containsText" dxfId="6231" priority="25833" operator="containsText" text="NUEVO">
      <formula>NOT(ISERROR(SEARCH("NUEVO",E344)))</formula>
    </cfRule>
  </conditionalFormatting>
  <conditionalFormatting sqref="E334">
    <cfRule type="containsText" dxfId="6230" priority="25859" operator="containsText" text="Sin información">
      <formula>NOT(ISERROR(SEARCH("Sin información",E344)))</formula>
    </cfRule>
  </conditionalFormatting>
  <conditionalFormatting sqref="C277:D277">
    <cfRule type="containsText" dxfId="6229" priority="38" operator="containsText" text="NO+$D$4:$D$10">
      <formula>NOT(ISERROR(SEARCH("NO+$D$4:$D$10",C277)))</formula>
    </cfRule>
  </conditionalFormatting>
  <conditionalFormatting sqref="C277:D277">
    <cfRule type="containsText" dxfId="6228" priority="36" operator="containsText" text="SI">
      <formula>NOT(ISERROR(SEARCH("SI",C277)))</formula>
    </cfRule>
    <cfRule type="containsText" dxfId="6227" priority="37" operator="containsText" text="NO">
      <formula>NOT(ISERROR(SEARCH("NO",C277)))</formula>
    </cfRule>
  </conditionalFormatting>
  <conditionalFormatting sqref="C277:D277">
    <cfRule type="containsText" dxfId="6226" priority="35" operator="containsText" text="NUEVO">
      <formula>NOT(ISERROR(SEARCH("NUEVO",C277)))</formula>
    </cfRule>
  </conditionalFormatting>
  <conditionalFormatting sqref="E277">
    <cfRule type="containsText" dxfId="6225" priority="33" operator="containsText" text="Sin Información">
      <formula>NOT(ISERROR(SEARCH("Sin Información",E277)))</formula>
    </cfRule>
  </conditionalFormatting>
  <conditionalFormatting sqref="E277">
    <cfRule type="containsText" dxfId="6224" priority="34" operator="containsText" text="NUEVO">
      <formula>NOT(ISERROR(SEARCH("NUEVO",E277)))</formula>
    </cfRule>
  </conditionalFormatting>
  <conditionalFormatting sqref="C278:D278">
    <cfRule type="containsText" dxfId="6223" priority="32" operator="containsText" text="NO+$D$4:$D$10">
      <formula>NOT(ISERROR(SEARCH("NO+$D$4:$D$10",C278)))</formula>
    </cfRule>
  </conditionalFormatting>
  <conditionalFormatting sqref="C278:D278">
    <cfRule type="containsText" dxfId="6222" priority="30" operator="containsText" text="SI">
      <formula>NOT(ISERROR(SEARCH("SI",C278)))</formula>
    </cfRule>
    <cfRule type="containsText" dxfId="6221" priority="31" operator="containsText" text="NO">
      <formula>NOT(ISERROR(SEARCH("NO",C278)))</formula>
    </cfRule>
  </conditionalFormatting>
  <conditionalFormatting sqref="C278:D278">
    <cfRule type="containsText" dxfId="6220" priority="29" operator="containsText" text="NUEVO">
      <formula>NOT(ISERROR(SEARCH("NUEVO",C278)))</formula>
    </cfRule>
  </conditionalFormatting>
  <conditionalFormatting sqref="E278">
    <cfRule type="containsText" dxfId="6219" priority="27" operator="containsText" text="Sin Información">
      <formula>NOT(ISERROR(SEARCH("Sin Información",E278)))</formula>
    </cfRule>
  </conditionalFormatting>
  <conditionalFormatting sqref="E278">
    <cfRule type="containsText" dxfId="6218" priority="28" operator="containsText" text="NUEVO">
      <formula>NOT(ISERROR(SEARCH("NUEVO",E278)))</formula>
    </cfRule>
  </conditionalFormatting>
  <conditionalFormatting sqref="C553:D553">
    <cfRule type="containsText" dxfId="6217" priority="26" operator="containsText" text="NO+$D$4:$D$10">
      <formula>NOT(ISERROR(SEARCH("NO+$D$4:$D$10",C553)))</formula>
    </cfRule>
  </conditionalFormatting>
  <conditionalFormatting sqref="C553:D553">
    <cfRule type="containsText" dxfId="6216" priority="24" operator="containsText" text="SI">
      <formula>NOT(ISERROR(SEARCH("SI",C553)))</formula>
    </cfRule>
    <cfRule type="containsText" dxfId="6215" priority="25" operator="containsText" text="NO">
      <formula>NOT(ISERROR(SEARCH("NO",C553)))</formula>
    </cfRule>
  </conditionalFormatting>
  <conditionalFormatting sqref="E553">
    <cfRule type="containsText" dxfId="6214" priority="23" operator="containsText" text="Sin información">
      <formula>NOT(ISERROR(SEARCH("Sin información",E553)))</formula>
    </cfRule>
  </conditionalFormatting>
  <conditionalFormatting sqref="E553">
    <cfRule type="containsText" dxfId="6213" priority="22" operator="containsText" text="NUEVO">
      <formula>NOT(ISERROR(SEARCH("NUEVO",E553)))</formula>
    </cfRule>
  </conditionalFormatting>
  <conditionalFormatting sqref="C553:D553">
    <cfRule type="containsText" dxfId="6212" priority="21" operator="containsText" text="NUEVO">
      <formula>NOT(ISERROR(SEARCH("NUEVO",C553)))</formula>
    </cfRule>
  </conditionalFormatting>
  <conditionalFormatting sqref="E242">
    <cfRule type="containsText" dxfId="6200" priority="26462" operator="containsText" text="NUEVO">
      <formula>NOT(ISERROR(SEARCH("NUEVO",#REF!)))</formula>
    </cfRule>
  </conditionalFormatting>
  <conditionalFormatting sqref="E242">
    <cfRule type="containsText" dxfId="6199" priority="26463" operator="containsText" text="Sin Información">
      <formula>NOT(ISERROR(SEARCH("Sin Información",#REF!)))</formula>
    </cfRule>
  </conditionalFormatting>
  <conditionalFormatting sqref="C269:E269">
    <cfRule type="containsText" dxfId="6196" priority="17" operator="containsText" text="NUEVO">
      <formula>NOT(ISERROR(SEARCH("NUEVO",C269)))</formula>
    </cfRule>
  </conditionalFormatting>
  <conditionalFormatting sqref="E269">
    <cfRule type="containsText" dxfId="6195" priority="16" operator="containsText" text="Sin Información">
      <formula>NOT(ISERROR(SEARCH("Sin Información",E269)))</formula>
    </cfRule>
  </conditionalFormatting>
  <conditionalFormatting sqref="C269:D269">
    <cfRule type="containsText" dxfId="6194" priority="20" operator="containsText" text="NO+$D$4:$D$10">
      <formula>NOT(ISERROR(SEARCH("NO+$D$4:$D$10",C269)))</formula>
    </cfRule>
  </conditionalFormatting>
  <conditionalFormatting sqref="C269:D269">
    <cfRule type="containsText" dxfId="6193" priority="18" operator="containsText" text="SI">
      <formula>NOT(ISERROR(SEARCH("SI",C269)))</formula>
    </cfRule>
    <cfRule type="containsText" dxfId="6192" priority="19" operator="containsText" text="NO">
      <formula>NOT(ISERROR(SEARCH("NO",C269)))</formula>
    </cfRule>
  </conditionalFormatting>
  <conditionalFormatting sqref="C267:D267">
    <cfRule type="containsText" dxfId="6187" priority="15" operator="containsText" text="NO+$D$4:$D$10">
      <formula>NOT(ISERROR(SEARCH("NO+$D$4:$D$10",C267)))</formula>
    </cfRule>
  </conditionalFormatting>
  <conditionalFormatting sqref="C267:D267">
    <cfRule type="containsText" dxfId="6186" priority="13" operator="containsText" text="SI">
      <formula>NOT(ISERROR(SEARCH("SI",C267)))</formula>
    </cfRule>
    <cfRule type="containsText" dxfId="6185" priority="14" operator="containsText" text="NO">
      <formula>NOT(ISERROR(SEARCH("NO",C267)))</formula>
    </cfRule>
  </conditionalFormatting>
  <conditionalFormatting sqref="C267:E267">
    <cfRule type="containsText" dxfId="6184" priority="12" operator="containsText" text="NUEVO">
      <formula>NOT(ISERROR(SEARCH("NUEVO",C267)))</formula>
    </cfRule>
  </conditionalFormatting>
  <conditionalFormatting sqref="E267">
    <cfRule type="containsText" dxfId="6183" priority="11" operator="containsText" text="Sin Información">
      <formula>NOT(ISERROR(SEARCH("Sin Información",E267)))</formula>
    </cfRule>
  </conditionalFormatting>
  <conditionalFormatting sqref="C498:D498">
    <cfRule type="containsText" dxfId="6179" priority="10" operator="containsText" text="NO+$D$4:$D$10">
      <formula>NOT(ISERROR(SEARCH("NO+$D$4:$D$10",C498)))</formula>
    </cfRule>
  </conditionalFormatting>
  <conditionalFormatting sqref="C498:D498">
    <cfRule type="containsText" dxfId="6178" priority="8" operator="containsText" text="SI">
      <formula>NOT(ISERROR(SEARCH("SI",C498)))</formula>
    </cfRule>
    <cfRule type="containsText" dxfId="6177" priority="9" operator="containsText" text="NO">
      <formula>NOT(ISERROR(SEARCH("NO",C498)))</formula>
    </cfRule>
  </conditionalFormatting>
  <conditionalFormatting sqref="E498">
    <cfRule type="containsText" dxfId="6176" priority="7" operator="containsText" text="Sin información">
      <formula>NOT(ISERROR(SEARCH("Sin información",E498)))</formula>
    </cfRule>
  </conditionalFormatting>
  <conditionalFormatting sqref="C498:E498">
    <cfRule type="containsText" dxfId="6175" priority="6" operator="containsText" text="NUEVO">
      <formula>NOT(ISERROR(SEARCH("NUEVO",C498)))</formula>
    </cfRule>
  </conditionalFormatting>
  <conditionalFormatting sqref="C499:D499">
    <cfRule type="containsText" dxfId="6174" priority="5" operator="containsText" text="NO+$D$4:$D$10">
      <formula>NOT(ISERROR(SEARCH("NO+$D$4:$D$10",C499)))</formula>
    </cfRule>
  </conditionalFormatting>
  <conditionalFormatting sqref="C499:D499">
    <cfRule type="containsText" dxfId="6173" priority="3" operator="containsText" text="SI">
      <formula>NOT(ISERROR(SEARCH("SI",C499)))</formula>
    </cfRule>
    <cfRule type="containsText" dxfId="6172" priority="4" operator="containsText" text="NO">
      <formula>NOT(ISERROR(SEARCH("NO",C499)))</formula>
    </cfRule>
  </conditionalFormatting>
  <conditionalFormatting sqref="E499">
    <cfRule type="containsText" dxfId="6171" priority="2" operator="containsText" text="Sin información">
      <formula>NOT(ISERROR(SEARCH("Sin información",E499)))</formula>
    </cfRule>
  </conditionalFormatting>
  <conditionalFormatting sqref="C499:E499">
    <cfRule type="containsText" dxfId="6170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192" t="s">
        <v>4</v>
      </c>
      <c r="B1" s="192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194"/>
      <c r="B1" s="194"/>
      <c r="C1" s="194"/>
    </row>
    <row r="2" spans="1:3" ht="42.75" customHeight="1" x14ac:dyDescent="0.25">
      <c r="A2" s="194" t="s">
        <v>377</v>
      </c>
      <c r="B2" s="194"/>
      <c r="C2" s="194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193" t="s">
        <v>393</v>
      </c>
      <c r="B17" s="193"/>
      <c r="C17" s="49" t="s">
        <v>382</v>
      </c>
    </row>
    <row r="18" spans="1:3" ht="45" customHeight="1" x14ac:dyDescent="0.25">
      <c r="A18" s="193" t="s">
        <v>394</v>
      </c>
      <c r="B18" s="193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tabSelected="1"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200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200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200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200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200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200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200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201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201">
        <v>46166</v>
      </c>
    </row>
    <row r="633" spans="1:6" x14ac:dyDescent="0.25">
      <c r="A633" s="11">
        <v>460</v>
      </c>
      <c r="B633" s="42" t="s">
        <v>1931</v>
      </c>
      <c r="C633" s="11" t="s">
        <v>6</v>
      </c>
      <c r="D633" s="11" t="s">
        <v>6</v>
      </c>
      <c r="E633" s="24" t="s">
        <v>46</v>
      </c>
      <c r="F633" s="201">
        <v>46166</v>
      </c>
    </row>
    <row r="634" spans="1:6" x14ac:dyDescent="0.25">
      <c r="A634" s="11">
        <v>461</v>
      </c>
      <c r="B634" s="8" t="s">
        <v>1932</v>
      </c>
      <c r="C634" s="11" t="s">
        <v>6</v>
      </c>
      <c r="D634" s="11" t="s">
        <v>6</v>
      </c>
      <c r="E634" s="17" t="s">
        <v>46</v>
      </c>
      <c r="F634" s="201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201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201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201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201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201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201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201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201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202">
        <v>46173</v>
      </c>
      <c r="I643" s="196"/>
      <c r="J643" s="196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202">
        <v>46173</v>
      </c>
      <c r="I644" s="196"/>
      <c r="J644" s="196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202">
        <v>46173</v>
      </c>
      <c r="I645" s="196"/>
      <c r="J645" s="196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202">
        <v>46173</v>
      </c>
      <c r="I646" s="196"/>
      <c r="J646" s="196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202">
        <v>46173</v>
      </c>
      <c r="I647" s="196"/>
      <c r="J647" s="196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202">
        <v>46173</v>
      </c>
      <c r="I648" s="196"/>
      <c r="J648" s="196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202">
        <v>46173</v>
      </c>
      <c r="I649" s="196"/>
      <c r="J649" s="196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202">
        <v>46173</v>
      </c>
      <c r="I650" s="196"/>
      <c r="J650" s="196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202">
        <v>46173</v>
      </c>
      <c r="I651" s="196"/>
      <c r="J651" s="196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202">
        <v>46173</v>
      </c>
      <c r="I652" s="196"/>
      <c r="J652" s="196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202">
        <v>46173</v>
      </c>
      <c r="I653" s="196"/>
      <c r="J653" s="196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202">
        <v>46173</v>
      </c>
      <c r="I654" s="196"/>
      <c r="J654" s="196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202">
        <v>46173</v>
      </c>
      <c r="I655" s="196"/>
      <c r="J655" s="196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202">
        <v>46173</v>
      </c>
      <c r="I656" s="196"/>
      <c r="J656" s="196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202">
        <v>46173</v>
      </c>
      <c r="I657" s="196"/>
      <c r="J657" s="196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202">
        <v>46173</v>
      </c>
      <c r="I658" s="196"/>
      <c r="J658" s="196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202">
        <v>46173</v>
      </c>
      <c r="I659" s="196"/>
      <c r="J659" s="196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202">
        <v>46173</v>
      </c>
      <c r="I660" s="196"/>
      <c r="J660" s="196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202">
        <v>46173</v>
      </c>
      <c r="I661" s="196"/>
      <c r="J661" s="196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202">
        <v>46173</v>
      </c>
      <c r="I662" s="196"/>
      <c r="J662" s="196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202">
        <v>46173</v>
      </c>
      <c r="I663" s="196"/>
      <c r="J663" s="196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202">
        <v>46173</v>
      </c>
      <c r="I664" s="196"/>
      <c r="J664" s="196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202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202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203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203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203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203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1972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202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202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202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202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202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202">
        <v>46173</v>
      </c>
    </row>
    <row r="1281" spans="1:6" x14ac:dyDescent="0.25">
      <c r="A1281" s="11">
        <v>224</v>
      </c>
      <c r="B1281" s="8" t="s">
        <v>1938</v>
      </c>
      <c r="C1281" s="23" t="s">
        <v>6</v>
      </c>
      <c r="D1281" s="23" t="s">
        <v>6</v>
      </c>
      <c r="E1281" s="16" t="s">
        <v>46</v>
      </c>
      <c r="F1281" s="202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202">
        <v>46173</v>
      </c>
    </row>
    <row r="1283" spans="1:6" x14ac:dyDescent="0.25">
      <c r="A1283" s="11">
        <v>226</v>
      </c>
      <c r="B1283" s="42" t="s">
        <v>1939</v>
      </c>
      <c r="C1283" s="23" t="s">
        <v>6</v>
      </c>
      <c r="D1283" s="23" t="s">
        <v>6</v>
      </c>
      <c r="E1283" s="24" t="s">
        <v>154</v>
      </c>
      <c r="F1283" s="202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202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202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202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202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202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202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202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202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200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202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202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202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202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202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202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202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202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202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202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202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202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202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202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202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202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202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202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5" priority="532" operator="containsText" text="NO+$D$4:$D$10">
      <formula>NOT(ISERROR(SEARCH("NO+$D$4:$D$10",C165)))</formula>
    </cfRule>
  </conditionalFormatting>
  <conditionalFormatting sqref="C165:D165">
    <cfRule type="containsText" dxfId="504" priority="530" operator="containsText" text="SI">
      <formula>NOT(ISERROR(SEARCH("SI",C165)))</formula>
    </cfRule>
    <cfRule type="containsText" dxfId="503" priority="531" operator="containsText" text="NO">
      <formula>NOT(ISERROR(SEARCH("NO",C165)))</formula>
    </cfRule>
  </conditionalFormatting>
  <conditionalFormatting sqref="C165:D165">
    <cfRule type="containsText" dxfId="502" priority="529" operator="containsText" text="NUEVO">
      <formula>NOT(ISERROR(SEARCH("NUEVO",C165)))</formula>
    </cfRule>
  </conditionalFormatting>
  <conditionalFormatting sqref="E165">
    <cfRule type="containsText" dxfId="501" priority="528" operator="containsText" text="Sin información">
      <formula>NOT(ISERROR(SEARCH("Sin información",E165)))</formula>
    </cfRule>
  </conditionalFormatting>
  <conditionalFormatting sqref="E165">
    <cfRule type="containsText" dxfId="500" priority="527" operator="containsText" text="NUEVO">
      <formula>NOT(ISERROR(SEARCH("NUEVO",E165)))</formula>
    </cfRule>
  </conditionalFormatting>
  <conditionalFormatting sqref="E165">
    <cfRule type="containsText" dxfId="499" priority="526" operator="containsText" text="Sin Información">
      <formula>NOT(ISERROR(SEARCH("Sin Información",E165)))</formula>
    </cfRule>
  </conditionalFormatting>
  <conditionalFormatting sqref="C166:D166">
    <cfRule type="containsText" dxfId="498" priority="525" operator="containsText" text="NO+$D$4:$D$10">
      <formula>NOT(ISERROR(SEARCH("NO+$D$4:$D$10",C166)))</formula>
    </cfRule>
  </conditionalFormatting>
  <conditionalFormatting sqref="C166:D166">
    <cfRule type="containsText" dxfId="497" priority="523" operator="containsText" text="SI">
      <formula>NOT(ISERROR(SEARCH("SI",C166)))</formula>
    </cfRule>
    <cfRule type="containsText" dxfId="496" priority="524" operator="containsText" text="NO">
      <formula>NOT(ISERROR(SEARCH("NO",C166)))</formula>
    </cfRule>
  </conditionalFormatting>
  <conditionalFormatting sqref="C166:D166">
    <cfRule type="containsText" dxfId="495" priority="522" operator="containsText" text="NUEVO">
      <formula>NOT(ISERROR(SEARCH("NUEVO",C166)))</formula>
    </cfRule>
  </conditionalFormatting>
  <conditionalFormatting sqref="E166">
    <cfRule type="containsText" dxfId="494" priority="520" operator="containsText" text="NUEVO">
      <formula>NOT(ISERROR(SEARCH("NUEVO",E166)))</formula>
    </cfRule>
  </conditionalFormatting>
  <conditionalFormatting sqref="E166">
    <cfRule type="containsText" dxfId="493" priority="521" operator="containsText" text="Sin información">
      <formula>NOT(ISERROR(SEARCH("Sin información",E166)))</formula>
    </cfRule>
  </conditionalFormatting>
  <conditionalFormatting sqref="E166">
    <cfRule type="containsText" dxfId="492" priority="519" operator="containsText" text="Sin Información">
      <formula>NOT(ISERROR(SEARCH("Sin Información",E166)))</formula>
    </cfRule>
  </conditionalFormatting>
  <conditionalFormatting sqref="C167:D167">
    <cfRule type="containsText" dxfId="491" priority="518" operator="containsText" text="NO+$D$4:$D$10">
      <formula>NOT(ISERROR(SEARCH("NO+$D$4:$D$10",C167)))</formula>
    </cfRule>
  </conditionalFormatting>
  <conditionalFormatting sqref="C167:D167">
    <cfRule type="containsText" dxfId="490" priority="516" operator="containsText" text="SI">
      <formula>NOT(ISERROR(SEARCH("SI",C167)))</formula>
    </cfRule>
    <cfRule type="containsText" dxfId="489" priority="517" operator="containsText" text="NO">
      <formula>NOT(ISERROR(SEARCH("NO",C167)))</formula>
    </cfRule>
  </conditionalFormatting>
  <conditionalFormatting sqref="C167:D167">
    <cfRule type="containsText" dxfId="488" priority="515" operator="containsText" text="NUEVO">
      <formula>NOT(ISERROR(SEARCH("NUEVO",C167)))</formula>
    </cfRule>
  </conditionalFormatting>
  <conditionalFormatting sqref="E167">
    <cfRule type="containsText" dxfId="487" priority="513" operator="containsText" text="NUEVO">
      <formula>NOT(ISERROR(SEARCH("NUEVO",E167)))</formula>
    </cfRule>
  </conditionalFormatting>
  <conditionalFormatting sqref="E167">
    <cfRule type="containsText" dxfId="486" priority="514" operator="containsText" text="Sin información">
      <formula>NOT(ISERROR(SEARCH("Sin información",E167)))</formula>
    </cfRule>
  </conditionalFormatting>
  <conditionalFormatting sqref="E167">
    <cfRule type="containsText" dxfId="485" priority="512" operator="containsText" text="Sin Información">
      <formula>NOT(ISERROR(SEARCH("Sin Información",E167)))</formula>
    </cfRule>
  </conditionalFormatting>
  <conditionalFormatting sqref="C168:D168">
    <cfRule type="containsText" dxfId="484" priority="511" operator="containsText" text="NO+$D$4:$D$10">
      <formula>NOT(ISERROR(SEARCH("NO+$D$4:$D$10",C168)))</formula>
    </cfRule>
  </conditionalFormatting>
  <conditionalFormatting sqref="C168:D168">
    <cfRule type="containsText" dxfId="483" priority="509" operator="containsText" text="SI">
      <formula>NOT(ISERROR(SEARCH("SI",C168)))</formula>
    </cfRule>
    <cfRule type="containsText" dxfId="482" priority="510" operator="containsText" text="NO">
      <formula>NOT(ISERROR(SEARCH("NO",C168)))</formula>
    </cfRule>
  </conditionalFormatting>
  <conditionalFormatting sqref="C168:D168">
    <cfRule type="containsText" dxfId="481" priority="508" operator="containsText" text="NUEVO">
      <formula>NOT(ISERROR(SEARCH("NUEVO",C168)))</formula>
    </cfRule>
  </conditionalFormatting>
  <conditionalFormatting sqref="E168">
    <cfRule type="containsText" dxfId="480" priority="506" operator="containsText" text="NUEVO">
      <formula>NOT(ISERROR(SEARCH("NUEVO",E168)))</formula>
    </cfRule>
  </conditionalFormatting>
  <conditionalFormatting sqref="E168">
    <cfRule type="containsText" dxfId="479" priority="507" operator="containsText" text="Sin información">
      <formula>NOT(ISERROR(SEARCH("Sin información",E168)))</formula>
    </cfRule>
  </conditionalFormatting>
  <conditionalFormatting sqref="E168">
    <cfRule type="containsText" dxfId="478" priority="505" operator="containsText" text="Sin Información">
      <formula>NOT(ISERROR(SEARCH("Sin Información",E168)))</formula>
    </cfRule>
  </conditionalFormatting>
  <conditionalFormatting sqref="C631:D631">
    <cfRule type="containsText" dxfId="477" priority="504" operator="containsText" text="NO+$D$4:$D$10">
      <formula>NOT(ISERROR(SEARCH("NO+$D$4:$D$10",C631)))</formula>
    </cfRule>
  </conditionalFormatting>
  <conditionalFormatting sqref="C631:D631">
    <cfRule type="containsText" dxfId="476" priority="502" operator="containsText" text="SI">
      <formula>NOT(ISERROR(SEARCH("SI",C631)))</formula>
    </cfRule>
    <cfRule type="containsText" dxfId="475" priority="503" operator="containsText" text="NO">
      <formula>NOT(ISERROR(SEARCH("NO",C631)))</formula>
    </cfRule>
  </conditionalFormatting>
  <conditionalFormatting sqref="C631:D631">
    <cfRule type="containsText" dxfId="474" priority="501" operator="containsText" text="NUEVO">
      <formula>NOT(ISERROR(SEARCH("NUEVO",C631)))</formula>
    </cfRule>
  </conditionalFormatting>
  <conditionalFormatting sqref="E631">
    <cfRule type="containsText" dxfId="473" priority="500" operator="containsText" text="NUEVO">
      <formula>NOT(ISERROR(SEARCH("NUEVO",E631)))</formula>
    </cfRule>
  </conditionalFormatting>
  <conditionalFormatting sqref="E631">
    <cfRule type="containsText" dxfId="472" priority="499" operator="containsText" text="Sin Información">
      <formula>NOT(ISERROR(SEARCH("Sin Información",E631)))</formula>
    </cfRule>
  </conditionalFormatting>
  <conditionalFormatting sqref="C632:D632">
    <cfRule type="containsText" dxfId="471" priority="498" operator="containsText" text="NO+$D$4:$D$10">
      <formula>NOT(ISERROR(SEARCH("NO+$D$4:$D$10",C632)))</formula>
    </cfRule>
  </conditionalFormatting>
  <conditionalFormatting sqref="C632:D632">
    <cfRule type="containsText" dxfId="470" priority="496" operator="containsText" text="SI">
      <formula>NOT(ISERROR(SEARCH("SI",C632)))</formula>
    </cfRule>
    <cfRule type="containsText" dxfId="469" priority="497" operator="containsText" text="NO">
      <formula>NOT(ISERROR(SEARCH("NO",C632)))</formula>
    </cfRule>
  </conditionalFormatting>
  <conditionalFormatting sqref="C632:D632">
    <cfRule type="containsText" dxfId="468" priority="495" operator="containsText" text="NUEVO">
      <formula>NOT(ISERROR(SEARCH("NUEVO",C632)))</formula>
    </cfRule>
  </conditionalFormatting>
  <conditionalFormatting sqref="E632">
    <cfRule type="containsText" dxfId="467" priority="493" operator="containsText" text="Sin Información">
      <formula>NOT(ISERROR(SEARCH("Sin Información",E632)))</formula>
    </cfRule>
  </conditionalFormatting>
  <conditionalFormatting sqref="E632">
    <cfRule type="containsText" dxfId="466" priority="494" operator="containsText" text="NUEVO">
      <formula>NOT(ISERROR(SEARCH("NUEVO",E632)))</formula>
    </cfRule>
  </conditionalFormatting>
  <conditionalFormatting sqref="C633:D633">
    <cfRule type="containsText" dxfId="465" priority="490" operator="containsText" text="NO+$D$4:$D$10">
      <formula>NOT(ISERROR(SEARCH("NO+$D$4:$D$10",C633)))</formula>
    </cfRule>
  </conditionalFormatting>
  <conditionalFormatting sqref="C633:D633">
    <cfRule type="containsText" dxfId="464" priority="488" operator="containsText" text="SI">
      <formula>NOT(ISERROR(SEARCH("SI",C633)))</formula>
    </cfRule>
    <cfRule type="containsText" dxfId="463" priority="489" operator="containsText" text="NO">
      <formula>NOT(ISERROR(SEARCH("NO",C633)))</formula>
    </cfRule>
  </conditionalFormatting>
  <conditionalFormatting sqref="C633:D633">
    <cfRule type="containsText" dxfId="462" priority="487" operator="containsText" text="NUEVO">
      <formula>NOT(ISERROR(SEARCH("NUEVO",C633)))</formula>
    </cfRule>
  </conditionalFormatting>
  <conditionalFormatting sqref="E633">
    <cfRule type="containsText" dxfId="461" priority="491" operator="containsText" text="Sin Información">
      <formula>NOT(ISERROR(SEARCH("Sin Información",E1711)))</formula>
    </cfRule>
  </conditionalFormatting>
  <conditionalFormatting sqref="E633">
    <cfRule type="containsText" dxfId="460" priority="492" operator="containsText" text="NUEVO">
      <formula>NOT(ISERROR(SEARCH("NUEVO",E1711)))</formula>
    </cfRule>
  </conditionalFormatting>
  <conditionalFormatting sqref="C634:D634">
    <cfRule type="containsText" dxfId="459" priority="484" operator="containsText" text="NO+$D$4:$D$10">
      <formula>NOT(ISERROR(SEARCH("NO+$D$4:$D$10",C634)))</formula>
    </cfRule>
  </conditionalFormatting>
  <conditionalFormatting sqref="C634:D634">
    <cfRule type="containsText" dxfId="458" priority="482" operator="containsText" text="SI">
      <formula>NOT(ISERROR(SEARCH("SI",C634)))</formula>
    </cfRule>
    <cfRule type="containsText" dxfId="457" priority="483" operator="containsText" text="NO">
      <formula>NOT(ISERROR(SEARCH("NO",C634)))</formula>
    </cfRule>
  </conditionalFormatting>
  <conditionalFormatting sqref="C634:D634">
    <cfRule type="containsText" dxfId="456" priority="481" operator="containsText" text="NUEVO">
      <formula>NOT(ISERROR(SEARCH("NUEVO",C634)))</formula>
    </cfRule>
  </conditionalFormatting>
  <conditionalFormatting sqref="E634">
    <cfRule type="containsText" dxfId="455" priority="485" operator="containsText" text="Sin Información">
      <formula>NOT(ISERROR(SEARCH("Sin Información",E1711)))</formula>
    </cfRule>
  </conditionalFormatting>
  <conditionalFormatting sqref="E634">
    <cfRule type="containsText" dxfId="454" priority="486" operator="containsText" text="NUEVO">
      <formula>NOT(ISERROR(SEARCH("NUEVO",E1711)))</formula>
    </cfRule>
  </conditionalFormatting>
  <conditionalFormatting sqref="C635:D635">
    <cfRule type="containsText" dxfId="453" priority="480" operator="containsText" text="NO+$D$4:$D$10">
      <formula>NOT(ISERROR(SEARCH("NO+$D$4:$D$10",C635)))</formula>
    </cfRule>
  </conditionalFormatting>
  <conditionalFormatting sqref="C635:D635">
    <cfRule type="containsText" dxfId="452" priority="478" operator="containsText" text="SI">
      <formula>NOT(ISERROR(SEARCH("SI",C635)))</formula>
    </cfRule>
    <cfRule type="containsText" dxfId="451" priority="479" operator="containsText" text="NO">
      <formula>NOT(ISERROR(SEARCH("NO",C635)))</formula>
    </cfRule>
  </conditionalFormatting>
  <conditionalFormatting sqref="C635:D635">
    <cfRule type="containsText" dxfId="450" priority="477" operator="containsText" text="NUEVO">
      <formula>NOT(ISERROR(SEARCH("NUEVO",C635)))</formula>
    </cfRule>
  </conditionalFormatting>
  <conditionalFormatting sqref="E635">
    <cfRule type="containsText" dxfId="449" priority="476" operator="containsText" text="NUEVO">
      <formula>NOT(ISERROR(SEARCH("NUEVO",E635)))</formula>
    </cfRule>
  </conditionalFormatting>
  <conditionalFormatting sqref="E635">
    <cfRule type="containsText" dxfId="448" priority="475" operator="containsText" text="Sin Información">
      <formula>NOT(ISERROR(SEARCH("Sin Información",E635)))</formula>
    </cfRule>
  </conditionalFormatting>
  <conditionalFormatting sqref="C636:D636">
    <cfRule type="containsText" dxfId="447" priority="474" operator="containsText" text="NO+$D$4:$D$10">
      <formula>NOT(ISERROR(SEARCH("NO+$D$4:$D$10",C636)))</formula>
    </cfRule>
  </conditionalFormatting>
  <conditionalFormatting sqref="C636:D636">
    <cfRule type="containsText" dxfId="446" priority="472" operator="containsText" text="SI">
      <formula>NOT(ISERROR(SEARCH("SI",C636)))</formula>
    </cfRule>
    <cfRule type="containsText" dxfId="445" priority="473" operator="containsText" text="NO">
      <formula>NOT(ISERROR(SEARCH("NO",C636)))</formula>
    </cfRule>
  </conditionalFormatting>
  <conditionalFormatting sqref="C636:D636">
    <cfRule type="containsText" dxfId="444" priority="471" operator="containsText" text="NUEVO">
      <formula>NOT(ISERROR(SEARCH("NUEVO",C636)))</formula>
    </cfRule>
  </conditionalFormatting>
  <conditionalFormatting sqref="E636">
    <cfRule type="containsText" dxfId="443" priority="470" operator="containsText" text="NUEVO">
      <formula>NOT(ISERROR(SEARCH("NUEVO",E636)))</formula>
    </cfRule>
  </conditionalFormatting>
  <conditionalFormatting sqref="E636">
    <cfRule type="containsText" dxfId="442" priority="469" operator="containsText" text="Sin Información">
      <formula>NOT(ISERROR(SEARCH("Sin Información",E636)))</formula>
    </cfRule>
  </conditionalFormatting>
  <conditionalFormatting sqref="C637:D637">
    <cfRule type="containsText" dxfId="441" priority="468" operator="containsText" text="NO+$D$4:$D$10">
      <formula>NOT(ISERROR(SEARCH("NO+$D$4:$D$10",C637)))</formula>
    </cfRule>
  </conditionalFormatting>
  <conditionalFormatting sqref="C637:D637">
    <cfRule type="containsText" dxfId="440" priority="466" operator="containsText" text="SI">
      <formula>NOT(ISERROR(SEARCH("SI",C637)))</formula>
    </cfRule>
    <cfRule type="containsText" dxfId="439" priority="467" operator="containsText" text="NO">
      <formula>NOT(ISERROR(SEARCH("NO",C637)))</formula>
    </cfRule>
  </conditionalFormatting>
  <conditionalFormatting sqref="C637:D637">
    <cfRule type="containsText" dxfId="438" priority="465" operator="containsText" text="NUEVO">
      <formula>NOT(ISERROR(SEARCH("NUEVO",C637)))</formula>
    </cfRule>
  </conditionalFormatting>
  <conditionalFormatting sqref="E637">
    <cfRule type="containsText" dxfId="437" priority="464" operator="containsText" text="NUEVO">
      <formula>NOT(ISERROR(SEARCH("NUEVO",E637)))</formula>
    </cfRule>
  </conditionalFormatting>
  <conditionalFormatting sqref="E637">
    <cfRule type="containsText" dxfId="436" priority="463" operator="containsText" text="Sin Información">
      <formula>NOT(ISERROR(SEARCH("Sin Información",E637)))</formula>
    </cfRule>
  </conditionalFormatting>
  <conditionalFormatting sqref="C638:D638">
    <cfRule type="containsText" dxfId="435" priority="462" operator="containsText" text="NO+$D$4:$D$10">
      <formula>NOT(ISERROR(SEARCH("NO+$D$4:$D$10",C638)))</formula>
    </cfRule>
  </conditionalFormatting>
  <conditionalFormatting sqref="C638:D638">
    <cfRule type="containsText" dxfId="434" priority="460" operator="containsText" text="SI">
      <formula>NOT(ISERROR(SEARCH("SI",C638)))</formula>
    </cfRule>
    <cfRule type="containsText" dxfId="433" priority="461" operator="containsText" text="NO">
      <formula>NOT(ISERROR(SEARCH("NO",C638)))</formula>
    </cfRule>
  </conditionalFormatting>
  <conditionalFormatting sqref="C638:D638">
    <cfRule type="containsText" dxfId="432" priority="459" operator="containsText" text="NUEVO">
      <formula>NOT(ISERROR(SEARCH("NUEVO",C638)))</formula>
    </cfRule>
  </conditionalFormatting>
  <conditionalFormatting sqref="E638">
    <cfRule type="containsText" dxfId="431" priority="457" operator="containsText" text="NUEVO">
      <formula>NOT(ISERROR(SEARCH("NUEVO",E638)))</formula>
    </cfRule>
  </conditionalFormatting>
  <conditionalFormatting sqref="E638">
    <cfRule type="containsText" dxfId="430" priority="458" operator="containsText" text="Sin información">
      <formula>NOT(ISERROR(SEARCH("Sin información",E638)))</formula>
    </cfRule>
  </conditionalFormatting>
  <conditionalFormatting sqref="E638">
    <cfRule type="containsText" dxfId="429" priority="456" operator="containsText" text="Sin Información">
      <formula>NOT(ISERROR(SEARCH("Sin Información",E638)))</formula>
    </cfRule>
  </conditionalFormatting>
  <conditionalFormatting sqref="C639:D639">
    <cfRule type="containsText" dxfId="428" priority="455" operator="containsText" text="NO+$D$4:$D$10">
      <formula>NOT(ISERROR(SEARCH("NO+$D$4:$D$10",C639)))</formula>
    </cfRule>
  </conditionalFormatting>
  <conditionalFormatting sqref="C639:D639">
    <cfRule type="containsText" dxfId="427" priority="453" operator="containsText" text="SI">
      <formula>NOT(ISERROR(SEARCH("SI",C639)))</formula>
    </cfRule>
    <cfRule type="containsText" dxfId="426" priority="454" operator="containsText" text="NO">
      <formula>NOT(ISERROR(SEARCH("NO",C639)))</formula>
    </cfRule>
  </conditionalFormatting>
  <conditionalFormatting sqref="C639:D639">
    <cfRule type="containsText" dxfId="425" priority="452" operator="containsText" text="NUEVO">
      <formula>NOT(ISERROR(SEARCH("NUEVO",C639)))</formula>
    </cfRule>
  </conditionalFormatting>
  <conditionalFormatting sqref="E639">
    <cfRule type="containsText" dxfId="424" priority="450" operator="containsText" text="Sin Información">
      <formula>NOT(ISERROR(SEARCH("Sin Información",E639)))</formula>
    </cfRule>
  </conditionalFormatting>
  <conditionalFormatting sqref="E639">
    <cfRule type="containsText" dxfId="423" priority="451" operator="containsText" text="NUEVO">
      <formula>NOT(ISERROR(SEARCH("NUEVO",E639)))</formula>
    </cfRule>
  </conditionalFormatting>
  <conditionalFormatting sqref="C640:D640">
    <cfRule type="containsText" dxfId="422" priority="447" operator="containsText" text="NO+$D$4:$D$10">
      <formula>NOT(ISERROR(SEARCH("NO+$D$4:$D$10",C640)))</formula>
    </cfRule>
  </conditionalFormatting>
  <conditionalFormatting sqref="C640:D640">
    <cfRule type="containsText" dxfId="421" priority="445" operator="containsText" text="SI">
      <formula>NOT(ISERROR(SEARCH("SI",C640)))</formula>
    </cfRule>
    <cfRule type="containsText" dxfId="420" priority="446" operator="containsText" text="NO">
      <formula>NOT(ISERROR(SEARCH("NO",C640)))</formula>
    </cfRule>
  </conditionalFormatting>
  <conditionalFormatting sqref="C640:D640">
    <cfRule type="containsText" dxfId="419" priority="444" operator="containsText" text="NUEVO">
      <formula>NOT(ISERROR(SEARCH("NUEVO",C640)))</formula>
    </cfRule>
  </conditionalFormatting>
  <conditionalFormatting sqref="E640">
    <cfRule type="containsText" dxfId="418" priority="448" operator="containsText" text="NUEVO">
      <formula>NOT(ISERROR(SEARCH("NUEVO",E1721)))</formula>
    </cfRule>
  </conditionalFormatting>
  <conditionalFormatting sqref="E640">
    <cfRule type="containsText" dxfId="417" priority="449" operator="containsText" text="Sin Información">
      <formula>NOT(ISERROR(SEARCH("Sin Información",E1721)))</formula>
    </cfRule>
  </conditionalFormatting>
  <conditionalFormatting sqref="C641:D641">
    <cfRule type="containsText" dxfId="416" priority="443" operator="containsText" text="NO+$D$4:$D$10">
      <formula>NOT(ISERROR(SEARCH("NO+$D$4:$D$10",C641)))</formula>
    </cfRule>
  </conditionalFormatting>
  <conditionalFormatting sqref="C641:D641">
    <cfRule type="containsText" dxfId="415" priority="441" operator="containsText" text="SI">
      <formula>NOT(ISERROR(SEARCH("SI",C641)))</formula>
    </cfRule>
    <cfRule type="containsText" dxfId="414" priority="442" operator="containsText" text="NO">
      <formula>NOT(ISERROR(SEARCH("NO",C641)))</formula>
    </cfRule>
  </conditionalFormatting>
  <conditionalFormatting sqref="C641:D641">
    <cfRule type="containsText" dxfId="413" priority="440" operator="containsText" text="NUEVO">
      <formula>NOT(ISERROR(SEARCH("NUEVO",C641)))</formula>
    </cfRule>
  </conditionalFormatting>
  <conditionalFormatting sqref="E641">
    <cfRule type="containsText" dxfId="412" priority="439" operator="containsText" text="NUEVO">
      <formula>NOT(ISERROR(SEARCH("NUEVO",E641)))</formula>
    </cfRule>
  </conditionalFormatting>
  <conditionalFormatting sqref="E641">
    <cfRule type="containsText" dxfId="411" priority="438" operator="containsText" text="Sin Información">
      <formula>NOT(ISERROR(SEARCH("Sin Información",E641)))</formula>
    </cfRule>
  </conditionalFormatting>
  <conditionalFormatting sqref="C642:D642">
    <cfRule type="containsText" dxfId="410" priority="435" operator="containsText" text="NO+$D$4:$D$10">
      <formula>NOT(ISERROR(SEARCH("NO+$D$4:$D$10",C642)))</formula>
    </cfRule>
  </conditionalFormatting>
  <conditionalFormatting sqref="C642:D642">
    <cfRule type="containsText" dxfId="409" priority="433" operator="containsText" text="SI">
      <formula>NOT(ISERROR(SEARCH("SI",C642)))</formula>
    </cfRule>
    <cfRule type="containsText" dxfId="408" priority="434" operator="containsText" text="NO">
      <formula>NOT(ISERROR(SEARCH("NO",C642)))</formula>
    </cfRule>
  </conditionalFormatting>
  <conditionalFormatting sqref="C642:D642">
    <cfRule type="containsText" dxfId="407" priority="432" operator="containsText" text="NUEVO">
      <formula>NOT(ISERROR(SEARCH("NUEVO",C642)))</formula>
    </cfRule>
  </conditionalFormatting>
  <conditionalFormatting sqref="E642">
    <cfRule type="containsText" dxfId="406" priority="436" operator="containsText" text="Sin Información">
      <formula>NOT(ISERROR(SEARCH("Sin Información",E1750)))</formula>
    </cfRule>
  </conditionalFormatting>
  <conditionalFormatting sqref="E642">
    <cfRule type="containsText" dxfId="405" priority="437" operator="containsText" text="NUEVO">
      <formula>NOT(ISERROR(SEARCH("NUEVO",E1750)))</formula>
    </cfRule>
  </conditionalFormatting>
  <conditionalFormatting sqref="C643:D643">
    <cfRule type="containsText" dxfId="404" priority="418" operator="containsText" text="NO+$D$4:$D$10">
      <formula>NOT(ISERROR(SEARCH("NO+$D$4:$D$10",C643)))</formula>
    </cfRule>
  </conditionalFormatting>
  <conditionalFormatting sqref="C643:D643">
    <cfRule type="containsText" dxfId="403" priority="416" operator="containsText" text="SI">
      <formula>NOT(ISERROR(SEARCH("SI",C643)))</formula>
    </cfRule>
    <cfRule type="containsText" dxfId="402" priority="417" operator="containsText" text="NO">
      <formula>NOT(ISERROR(SEARCH("NO",C643)))</formula>
    </cfRule>
  </conditionalFormatting>
  <conditionalFormatting sqref="C643:D643">
    <cfRule type="containsText" dxfId="401" priority="415" operator="containsText" text="NUEVO">
      <formula>NOT(ISERROR(SEARCH("NUEVO",C643)))</formula>
    </cfRule>
  </conditionalFormatting>
  <conditionalFormatting sqref="E643">
    <cfRule type="containsText" dxfId="400" priority="419" operator="containsText" text="Sin Información">
      <formula>NOT(ISERROR(SEARCH("Sin Información",E1722)))</formula>
    </cfRule>
  </conditionalFormatting>
  <conditionalFormatting sqref="E643">
    <cfRule type="containsText" dxfId="399" priority="420" operator="containsText" text="NUEVO">
      <formula>NOT(ISERROR(SEARCH("NUEVO",E1722)))</formula>
    </cfRule>
  </conditionalFormatting>
  <conditionalFormatting sqref="C644:D644">
    <cfRule type="containsText" dxfId="398" priority="414" operator="containsText" text="NO+$D$4:$D$10">
      <formula>NOT(ISERROR(SEARCH("NO+$D$4:$D$10",C644)))</formula>
    </cfRule>
  </conditionalFormatting>
  <conditionalFormatting sqref="C644:D644">
    <cfRule type="containsText" dxfId="397" priority="412" operator="containsText" text="SI">
      <formula>NOT(ISERROR(SEARCH("SI",C644)))</formula>
    </cfRule>
    <cfRule type="containsText" dxfId="396" priority="413" operator="containsText" text="NO">
      <formula>NOT(ISERROR(SEARCH("NO",C644)))</formula>
    </cfRule>
  </conditionalFormatting>
  <conditionalFormatting sqref="C644:E644">
    <cfRule type="containsText" dxfId="395" priority="411" operator="containsText" text="NUEVO">
      <formula>NOT(ISERROR(SEARCH("NUEVO",C644)))</formula>
    </cfRule>
  </conditionalFormatting>
  <conditionalFormatting sqref="E644">
    <cfRule type="containsText" dxfId="394" priority="410" operator="containsText" text="Sin Información">
      <formula>NOT(ISERROR(SEARCH("Sin Información",E644)))</formula>
    </cfRule>
  </conditionalFormatting>
  <conditionalFormatting sqref="C645:D645">
    <cfRule type="containsText" dxfId="393" priority="409" operator="containsText" text="NO+$D$4:$D$10">
      <formula>NOT(ISERROR(SEARCH("NO+$D$4:$D$10",C645)))</formula>
    </cfRule>
  </conditionalFormatting>
  <conditionalFormatting sqref="C645:D645">
    <cfRule type="containsText" dxfId="392" priority="407" operator="containsText" text="SI">
      <formula>NOT(ISERROR(SEARCH("SI",C645)))</formula>
    </cfRule>
    <cfRule type="containsText" dxfId="391" priority="408" operator="containsText" text="NO">
      <formula>NOT(ISERROR(SEARCH("NO",C645)))</formula>
    </cfRule>
  </conditionalFormatting>
  <conditionalFormatting sqref="C645:D645">
    <cfRule type="containsText" dxfId="390" priority="406" operator="containsText" text="NUEVO">
      <formula>NOT(ISERROR(SEARCH("NUEVO",C645)))</formula>
    </cfRule>
  </conditionalFormatting>
  <conditionalFormatting sqref="E645">
    <cfRule type="containsText" dxfId="389" priority="405" operator="containsText" text="NUEVO">
      <formula>NOT(ISERROR(SEARCH("NUEVO",E645)))</formula>
    </cfRule>
  </conditionalFormatting>
  <conditionalFormatting sqref="E645">
    <cfRule type="containsText" dxfId="388" priority="404" operator="containsText" text="Sin Información">
      <formula>NOT(ISERROR(SEARCH("Sin Información",E645)))</formula>
    </cfRule>
  </conditionalFormatting>
  <conditionalFormatting sqref="C646:D646">
    <cfRule type="containsText" dxfId="387" priority="398" operator="containsText" text="NO+$D$4:$D$10">
      <formula>NOT(ISERROR(SEARCH("NO+$D$4:$D$10",C646)))</formula>
    </cfRule>
  </conditionalFormatting>
  <conditionalFormatting sqref="C646:D646">
    <cfRule type="containsText" dxfId="386" priority="396" operator="containsText" text="SI">
      <formula>NOT(ISERROR(SEARCH("SI",C646)))</formula>
    </cfRule>
    <cfRule type="containsText" dxfId="385" priority="397" operator="containsText" text="NO">
      <formula>NOT(ISERROR(SEARCH("NO",C646)))</formula>
    </cfRule>
  </conditionalFormatting>
  <conditionalFormatting sqref="C646:E646">
    <cfRule type="containsText" dxfId="384" priority="395" operator="containsText" text="NUEVO">
      <formula>NOT(ISERROR(SEARCH("NUEVO",C646)))</formula>
    </cfRule>
  </conditionalFormatting>
  <conditionalFormatting sqref="E646">
    <cfRule type="containsText" dxfId="383" priority="394" operator="containsText" text="Sin Información">
      <formula>NOT(ISERROR(SEARCH("Sin Información",E646)))</formula>
    </cfRule>
  </conditionalFormatting>
  <conditionalFormatting sqref="C647:D647">
    <cfRule type="containsText" dxfId="382" priority="393" operator="containsText" text="NO+$D$4:$D$10">
      <formula>NOT(ISERROR(SEARCH("NO+$D$4:$D$10",C647)))</formula>
    </cfRule>
  </conditionalFormatting>
  <conditionalFormatting sqref="C647:D647">
    <cfRule type="containsText" dxfId="381" priority="391" operator="containsText" text="SI">
      <formula>NOT(ISERROR(SEARCH("SI",C647)))</formula>
    </cfRule>
    <cfRule type="containsText" dxfId="380" priority="392" operator="containsText" text="NO">
      <formula>NOT(ISERROR(SEARCH("NO",C647)))</formula>
    </cfRule>
  </conditionalFormatting>
  <conditionalFormatting sqref="C647:D647">
    <cfRule type="containsText" dxfId="379" priority="390" operator="containsText" text="NUEVO">
      <formula>NOT(ISERROR(SEARCH("NUEVO",C647)))</formula>
    </cfRule>
  </conditionalFormatting>
  <conditionalFormatting sqref="E647">
    <cfRule type="containsText" dxfId="378" priority="389" operator="containsText" text="NUEVO">
      <formula>NOT(ISERROR(SEARCH("NUEVO",E647)))</formula>
    </cfRule>
  </conditionalFormatting>
  <conditionalFormatting sqref="E647">
    <cfRule type="containsText" dxfId="377" priority="388" operator="containsText" text="Sin Información">
      <formula>NOT(ISERROR(SEARCH("Sin Información",E647)))</formula>
    </cfRule>
  </conditionalFormatting>
  <conditionalFormatting sqref="C648:D648">
    <cfRule type="containsText" dxfId="376" priority="387" operator="containsText" text="NO+$D$4:$D$10">
      <formula>NOT(ISERROR(SEARCH("NO+$D$4:$D$10",C648)))</formula>
    </cfRule>
  </conditionalFormatting>
  <conditionalFormatting sqref="C648:D648">
    <cfRule type="containsText" dxfId="375" priority="385" operator="containsText" text="SI">
      <formula>NOT(ISERROR(SEARCH("SI",C648)))</formula>
    </cfRule>
    <cfRule type="containsText" dxfId="374" priority="386" operator="containsText" text="NO">
      <formula>NOT(ISERROR(SEARCH("NO",C648)))</formula>
    </cfRule>
  </conditionalFormatting>
  <conditionalFormatting sqref="C648:E648">
    <cfRule type="containsText" dxfId="373" priority="384" operator="containsText" text="NUEVO">
      <formula>NOT(ISERROR(SEARCH("NUEVO",C648)))</formula>
    </cfRule>
  </conditionalFormatting>
  <conditionalFormatting sqref="E648">
    <cfRule type="containsText" dxfId="372" priority="383" operator="containsText" text="Sin Información">
      <formula>NOT(ISERROR(SEARCH("Sin Información",E648)))</formula>
    </cfRule>
  </conditionalFormatting>
  <conditionalFormatting sqref="C649:D649">
    <cfRule type="containsText" dxfId="371" priority="382" operator="containsText" text="NO+$D$4:$D$10">
      <formula>NOT(ISERROR(SEARCH("NO+$D$4:$D$10",C649)))</formula>
    </cfRule>
  </conditionalFormatting>
  <conditionalFormatting sqref="C649:D649">
    <cfRule type="containsText" dxfId="370" priority="380" operator="containsText" text="SI">
      <formula>NOT(ISERROR(SEARCH("SI",C649)))</formula>
    </cfRule>
    <cfRule type="containsText" dxfId="369" priority="381" operator="containsText" text="NO">
      <formula>NOT(ISERROR(SEARCH("NO",C649)))</formula>
    </cfRule>
  </conditionalFormatting>
  <conditionalFormatting sqref="C649:D649">
    <cfRule type="containsText" dxfId="368" priority="379" operator="containsText" text="NUEVO">
      <formula>NOT(ISERROR(SEARCH("NUEVO",C649)))</formula>
    </cfRule>
  </conditionalFormatting>
  <conditionalFormatting sqref="E649">
    <cfRule type="containsText" dxfId="367" priority="378" operator="containsText" text="NUEVO">
      <formula>NOT(ISERROR(SEARCH("NUEVO",E649)))</formula>
    </cfRule>
  </conditionalFormatting>
  <conditionalFormatting sqref="E649">
    <cfRule type="containsText" dxfId="366" priority="377" operator="containsText" text="Sin Información">
      <formula>NOT(ISERROR(SEARCH("Sin Información",E649)))</formula>
    </cfRule>
  </conditionalFormatting>
  <conditionalFormatting sqref="C650:D650">
    <cfRule type="containsText" dxfId="365" priority="375" operator="containsText" text="NO+$D$4:$D$10">
      <formula>NOT(ISERROR(SEARCH("NO+$D$4:$D$10",C650)))</formula>
    </cfRule>
  </conditionalFormatting>
  <conditionalFormatting sqref="C650:D650">
    <cfRule type="containsText" dxfId="364" priority="373" operator="containsText" text="SI">
      <formula>NOT(ISERROR(SEARCH("SI",C650)))</formula>
    </cfRule>
    <cfRule type="containsText" dxfId="363" priority="374" operator="containsText" text="NO">
      <formula>NOT(ISERROR(SEARCH("NO",C650)))</formula>
    </cfRule>
  </conditionalFormatting>
  <conditionalFormatting sqref="C650:D650">
    <cfRule type="containsText" dxfId="362" priority="372" operator="containsText" text="NUEVO">
      <formula>NOT(ISERROR(SEARCH("NUEVO",C650)))</formula>
    </cfRule>
  </conditionalFormatting>
  <conditionalFormatting sqref="E650">
    <cfRule type="containsText" dxfId="361" priority="376" operator="containsText" text="Sin información">
      <formula>NOT(ISERROR(SEARCH("Sin información",E1718)))</formula>
    </cfRule>
  </conditionalFormatting>
  <conditionalFormatting sqref="C651:D651">
    <cfRule type="containsText" dxfId="360" priority="371" operator="containsText" text="NO+$D$4:$D$10">
      <formula>NOT(ISERROR(SEARCH("NO+$D$4:$D$10",C651)))</formula>
    </cfRule>
  </conditionalFormatting>
  <conditionalFormatting sqref="C651:D651">
    <cfRule type="containsText" dxfId="359" priority="369" operator="containsText" text="SI">
      <formula>NOT(ISERROR(SEARCH("SI",C651)))</formula>
    </cfRule>
    <cfRule type="containsText" dxfId="358" priority="370" operator="containsText" text="NO">
      <formula>NOT(ISERROR(SEARCH("NO",C651)))</formula>
    </cfRule>
  </conditionalFormatting>
  <conditionalFormatting sqref="C651:E651">
    <cfRule type="containsText" dxfId="357" priority="368" operator="containsText" text="NUEVO">
      <formula>NOT(ISERROR(SEARCH("NUEVO",C651)))</formula>
    </cfRule>
  </conditionalFormatting>
  <conditionalFormatting sqref="E651">
    <cfRule type="containsText" dxfId="356" priority="367" operator="containsText" text="Sin Información">
      <formula>NOT(ISERROR(SEARCH("Sin Información",E651)))</formula>
    </cfRule>
  </conditionalFormatting>
  <conditionalFormatting sqref="C652:D652">
    <cfRule type="containsText" dxfId="355" priority="364" operator="containsText" text="NO+$D$4:$D$10">
      <formula>NOT(ISERROR(SEARCH("NO+$D$4:$D$10",C652)))</formula>
    </cfRule>
  </conditionalFormatting>
  <conditionalFormatting sqref="C652:D652">
    <cfRule type="containsText" dxfId="354" priority="362" operator="containsText" text="SI">
      <formula>NOT(ISERROR(SEARCH("SI",C652)))</formula>
    </cfRule>
    <cfRule type="containsText" dxfId="353" priority="363" operator="containsText" text="NO">
      <formula>NOT(ISERROR(SEARCH("NO",C652)))</formula>
    </cfRule>
  </conditionalFormatting>
  <conditionalFormatting sqref="C652:D652">
    <cfRule type="containsText" dxfId="352" priority="361" operator="containsText" text="NUEVO">
      <formula>NOT(ISERROR(SEARCH("NUEVO",C652)))</formula>
    </cfRule>
  </conditionalFormatting>
  <conditionalFormatting sqref="E652">
    <cfRule type="containsText" dxfId="351" priority="365" operator="containsText" text="Sin Información">
      <formula>NOT(ISERROR(SEARCH("Sin Información",E1721)))</formula>
    </cfRule>
  </conditionalFormatting>
  <conditionalFormatting sqref="E652">
    <cfRule type="containsText" dxfId="350" priority="366" operator="containsText" text="NUEVO">
      <formula>NOT(ISERROR(SEARCH("NUEVO",E1721)))</formula>
    </cfRule>
  </conditionalFormatting>
  <conditionalFormatting sqref="C653:D653">
    <cfRule type="containsText" dxfId="349" priority="358" operator="containsText" text="NO+$D$4:$D$10">
      <formula>NOT(ISERROR(SEARCH("NO+$D$4:$D$10",C653)))</formula>
    </cfRule>
  </conditionalFormatting>
  <conditionalFormatting sqref="C653:D653">
    <cfRule type="containsText" dxfId="348" priority="356" operator="containsText" text="SI">
      <formula>NOT(ISERROR(SEARCH("SI",C653)))</formula>
    </cfRule>
    <cfRule type="containsText" dxfId="347" priority="357" operator="containsText" text="NO">
      <formula>NOT(ISERROR(SEARCH("NO",C653)))</formula>
    </cfRule>
  </conditionalFormatting>
  <conditionalFormatting sqref="C653:D653">
    <cfRule type="containsText" dxfId="346" priority="355" operator="containsText" text="NUEVO">
      <formula>NOT(ISERROR(SEARCH("NUEVO",C653)))</formula>
    </cfRule>
  </conditionalFormatting>
  <conditionalFormatting sqref="E653">
    <cfRule type="containsText" dxfId="345" priority="359" operator="containsText" text="Sin información">
      <formula>NOT(ISERROR(SEARCH("Sin información",E1730)))</formula>
    </cfRule>
  </conditionalFormatting>
  <conditionalFormatting sqref="E653">
    <cfRule type="containsText" dxfId="344" priority="360" operator="containsText" text="NUEVO">
      <formula>NOT(ISERROR(SEARCH("NUEVO",E1730)))</formula>
    </cfRule>
  </conditionalFormatting>
  <conditionalFormatting sqref="C654:D654">
    <cfRule type="containsText" dxfId="343" priority="354" operator="containsText" text="NO+$D$4:$D$10">
      <formula>NOT(ISERROR(SEARCH("NO+$D$4:$D$10",C654)))</formula>
    </cfRule>
  </conditionalFormatting>
  <conditionalFormatting sqref="C654:D654">
    <cfRule type="containsText" dxfId="342" priority="352" operator="containsText" text="SI">
      <formula>NOT(ISERROR(SEARCH("SI",C654)))</formula>
    </cfRule>
    <cfRule type="containsText" dxfId="341" priority="353" operator="containsText" text="NO">
      <formula>NOT(ISERROR(SEARCH("NO",C654)))</formula>
    </cfRule>
  </conditionalFormatting>
  <conditionalFormatting sqref="C654:D654">
    <cfRule type="containsText" dxfId="340" priority="351" operator="containsText" text="NUEVO">
      <formula>NOT(ISERROR(SEARCH("NUEVO",C654)))</formula>
    </cfRule>
  </conditionalFormatting>
  <conditionalFormatting sqref="E654">
    <cfRule type="containsText" dxfId="339" priority="349" operator="containsText" text="Sin Información">
      <formula>NOT(ISERROR(SEARCH("Sin Información",E654)))</formula>
    </cfRule>
  </conditionalFormatting>
  <conditionalFormatting sqref="E654">
    <cfRule type="containsText" dxfId="338" priority="350" operator="containsText" text="NUEVO">
      <formula>NOT(ISERROR(SEARCH("NUEVO",E654)))</formula>
    </cfRule>
  </conditionalFormatting>
  <conditionalFormatting sqref="C655:D655">
    <cfRule type="containsText" dxfId="337" priority="348" operator="containsText" text="NO+$D$4:$D$10">
      <formula>NOT(ISERROR(SEARCH("NO+$D$4:$D$10",C655)))</formula>
    </cfRule>
  </conditionalFormatting>
  <conditionalFormatting sqref="C655:D655">
    <cfRule type="containsText" dxfId="336" priority="346" operator="containsText" text="SI">
      <formula>NOT(ISERROR(SEARCH("SI",C655)))</formula>
    </cfRule>
    <cfRule type="containsText" dxfId="335" priority="347" operator="containsText" text="NO">
      <formula>NOT(ISERROR(SEARCH("NO",C655)))</formula>
    </cfRule>
  </conditionalFormatting>
  <conditionalFormatting sqref="C655:D655">
    <cfRule type="containsText" dxfId="334" priority="345" operator="containsText" text="NUEVO">
      <formula>NOT(ISERROR(SEARCH("NUEVO",C655)))</formula>
    </cfRule>
  </conditionalFormatting>
  <conditionalFormatting sqref="E655">
    <cfRule type="containsText" dxfId="333" priority="343" operator="containsText" text="Sin Información">
      <formula>NOT(ISERROR(SEARCH("Sin Información",E655)))</formula>
    </cfRule>
  </conditionalFormatting>
  <conditionalFormatting sqref="E655">
    <cfRule type="containsText" dxfId="332" priority="344" operator="containsText" text="NUEVO">
      <formula>NOT(ISERROR(SEARCH("NUEVO",E655)))</formula>
    </cfRule>
  </conditionalFormatting>
  <conditionalFormatting sqref="C656:D656">
    <cfRule type="containsText" dxfId="331" priority="342" operator="containsText" text="NO+$D$4:$D$10">
      <formula>NOT(ISERROR(SEARCH("NO+$D$4:$D$10",C656)))</formula>
    </cfRule>
  </conditionalFormatting>
  <conditionalFormatting sqref="C656:D656">
    <cfRule type="containsText" dxfId="330" priority="340" operator="containsText" text="SI">
      <formula>NOT(ISERROR(SEARCH("SI",C656)))</formula>
    </cfRule>
    <cfRule type="containsText" dxfId="329" priority="341" operator="containsText" text="NO">
      <formula>NOT(ISERROR(SEARCH("NO",C656)))</formula>
    </cfRule>
  </conditionalFormatting>
  <conditionalFormatting sqref="C656:E656">
    <cfRule type="containsText" dxfId="328" priority="339" operator="containsText" text="NUEVO">
      <formula>NOT(ISERROR(SEARCH("NUEVO",C656)))</formula>
    </cfRule>
  </conditionalFormatting>
  <conditionalFormatting sqref="E656">
    <cfRule type="containsText" dxfId="327" priority="338" operator="containsText" text="Sin Información">
      <formula>NOT(ISERROR(SEARCH("Sin Información",E656)))</formula>
    </cfRule>
  </conditionalFormatting>
  <conditionalFormatting sqref="C657:D657">
    <cfRule type="containsText" dxfId="326" priority="337" operator="containsText" text="NO+$D$4:$D$10">
      <formula>NOT(ISERROR(SEARCH("NO+$D$4:$D$10",C657)))</formula>
    </cfRule>
  </conditionalFormatting>
  <conditionalFormatting sqref="C657:D657">
    <cfRule type="containsText" dxfId="325" priority="335" operator="containsText" text="SI">
      <formula>NOT(ISERROR(SEARCH("SI",C657)))</formula>
    </cfRule>
    <cfRule type="containsText" dxfId="324" priority="336" operator="containsText" text="NO">
      <formula>NOT(ISERROR(SEARCH("NO",C657)))</formula>
    </cfRule>
  </conditionalFormatting>
  <conditionalFormatting sqref="C657:D657">
    <cfRule type="containsText" dxfId="323" priority="334" operator="containsText" text="NUEVO">
      <formula>NOT(ISERROR(SEARCH("NUEVO",C657)))</formula>
    </cfRule>
  </conditionalFormatting>
  <conditionalFormatting sqref="E657">
    <cfRule type="containsText" dxfId="322" priority="333" operator="containsText" text="NUEVO">
      <formula>NOT(ISERROR(SEARCH("NUEVO",E657)))</formula>
    </cfRule>
  </conditionalFormatting>
  <conditionalFormatting sqref="E657">
    <cfRule type="containsText" dxfId="321" priority="332" operator="containsText" text="Sin Información">
      <formula>NOT(ISERROR(SEARCH("Sin Información",E657)))</formula>
    </cfRule>
  </conditionalFormatting>
  <conditionalFormatting sqref="C658:D658">
    <cfRule type="containsText" dxfId="320" priority="331" operator="containsText" text="NO+$D$4:$D$10">
      <formula>NOT(ISERROR(SEARCH("NO+$D$4:$D$10",C658)))</formula>
    </cfRule>
  </conditionalFormatting>
  <conditionalFormatting sqref="C658:D658">
    <cfRule type="containsText" dxfId="319" priority="329" operator="containsText" text="SI">
      <formula>NOT(ISERROR(SEARCH("SI",C658)))</formula>
    </cfRule>
    <cfRule type="containsText" dxfId="318" priority="330" operator="containsText" text="NO">
      <formula>NOT(ISERROR(SEARCH("NO",C658)))</formula>
    </cfRule>
  </conditionalFormatting>
  <conditionalFormatting sqref="C658:D658">
    <cfRule type="containsText" dxfId="317" priority="328" operator="containsText" text="NUEVO">
      <formula>NOT(ISERROR(SEARCH("NUEVO",C658)))</formula>
    </cfRule>
  </conditionalFormatting>
  <conditionalFormatting sqref="E658">
    <cfRule type="containsText" dxfId="316" priority="327" operator="containsText" text="Sin información">
      <formula>NOT(ISERROR(SEARCH("Sin información",E658)))</formula>
    </cfRule>
  </conditionalFormatting>
  <conditionalFormatting sqref="E658">
    <cfRule type="containsText" dxfId="315" priority="326" operator="containsText" text="NUEVO">
      <formula>NOT(ISERROR(SEARCH("NUEVO",E658)))</formula>
    </cfRule>
  </conditionalFormatting>
  <conditionalFormatting sqref="E658">
    <cfRule type="containsText" dxfId="314" priority="325" operator="containsText" text="Sin Información">
      <formula>NOT(ISERROR(SEARCH("Sin Información",E658)))</formula>
    </cfRule>
  </conditionalFormatting>
  <conditionalFormatting sqref="E658">
    <cfRule type="containsText" dxfId="313" priority="324" operator="containsText" text="Sin información">
      <formula>NOT(ISERROR(SEARCH("Sin información",E658)))</formula>
    </cfRule>
  </conditionalFormatting>
  <conditionalFormatting sqref="E658">
    <cfRule type="containsText" dxfId="312" priority="323" operator="containsText" text="NUEVO">
      <formula>NOT(ISERROR(SEARCH("NUEVO",E658)))</formula>
    </cfRule>
  </conditionalFormatting>
  <conditionalFormatting sqref="C659:D659">
    <cfRule type="containsText" dxfId="311" priority="320" operator="containsText" text="NO+$D$4:$D$10">
      <formula>NOT(ISERROR(SEARCH("NO+$D$4:$D$10",C659)))</formula>
    </cfRule>
  </conditionalFormatting>
  <conditionalFormatting sqref="C659:D659">
    <cfRule type="containsText" dxfId="310" priority="318" operator="containsText" text="SI">
      <formula>NOT(ISERROR(SEARCH("SI",C659)))</formula>
    </cfRule>
    <cfRule type="containsText" dxfId="309" priority="319" operator="containsText" text="NO">
      <formula>NOT(ISERROR(SEARCH("NO",C659)))</formula>
    </cfRule>
  </conditionalFormatting>
  <conditionalFormatting sqref="C659:D659">
    <cfRule type="containsText" dxfId="308" priority="317" operator="containsText" text="NUEVO">
      <formula>NOT(ISERROR(SEARCH("NUEVO",C659)))</formula>
    </cfRule>
  </conditionalFormatting>
  <conditionalFormatting sqref="E659">
    <cfRule type="containsText" dxfId="307" priority="321" operator="containsText" text="Sin Información">
      <formula>NOT(ISERROR(SEARCH("Sin Información",E1733)))</formula>
    </cfRule>
  </conditionalFormatting>
  <conditionalFormatting sqref="E659">
    <cfRule type="containsText" dxfId="306" priority="322" operator="containsText" text="NUEVO">
      <formula>NOT(ISERROR(SEARCH("NUEVO",E1733)))</formula>
    </cfRule>
  </conditionalFormatting>
  <conditionalFormatting sqref="C660:D660">
    <cfRule type="containsText" dxfId="305" priority="316" operator="containsText" text="NO+$D$4:$D$10">
      <formula>NOT(ISERROR(SEARCH("NO+$D$4:$D$10",C660)))</formula>
    </cfRule>
  </conditionalFormatting>
  <conditionalFormatting sqref="C660:D660">
    <cfRule type="containsText" dxfId="304" priority="314" operator="containsText" text="SI">
      <formula>NOT(ISERROR(SEARCH("SI",C660)))</formula>
    </cfRule>
    <cfRule type="containsText" dxfId="303" priority="315" operator="containsText" text="NO">
      <formula>NOT(ISERROR(SEARCH("NO",C660)))</formula>
    </cfRule>
  </conditionalFormatting>
  <conditionalFormatting sqref="C660:E660">
    <cfRule type="containsText" dxfId="302" priority="313" operator="containsText" text="NUEVO">
      <formula>NOT(ISERROR(SEARCH("NUEVO",C660)))</formula>
    </cfRule>
  </conditionalFormatting>
  <conditionalFormatting sqref="E660">
    <cfRule type="containsText" dxfId="301" priority="312" operator="containsText" text="Sin Información">
      <formula>NOT(ISERROR(SEARCH("Sin Información",E660)))</formula>
    </cfRule>
  </conditionalFormatting>
  <conditionalFormatting sqref="C661:D661">
    <cfRule type="containsText" dxfId="300" priority="311" operator="containsText" text="NO+$D$4:$D$10">
      <formula>NOT(ISERROR(SEARCH("NO+$D$4:$D$10",C661)))</formula>
    </cfRule>
  </conditionalFormatting>
  <conditionalFormatting sqref="C661:D661">
    <cfRule type="containsText" dxfId="299" priority="309" operator="containsText" text="SI">
      <formula>NOT(ISERROR(SEARCH("SI",C661)))</formula>
    </cfRule>
    <cfRule type="containsText" dxfId="298" priority="310" operator="containsText" text="NO">
      <formula>NOT(ISERROR(SEARCH("NO",C661)))</formula>
    </cfRule>
  </conditionalFormatting>
  <conditionalFormatting sqref="C661:E661">
    <cfRule type="containsText" dxfId="297" priority="308" operator="containsText" text="NUEVO">
      <formula>NOT(ISERROR(SEARCH("NUEVO",C661)))</formula>
    </cfRule>
  </conditionalFormatting>
  <conditionalFormatting sqref="E661">
    <cfRule type="containsText" dxfId="296" priority="307" operator="containsText" text="Sin Información">
      <formula>NOT(ISERROR(SEARCH("Sin Información",E661)))</formula>
    </cfRule>
  </conditionalFormatting>
  <conditionalFormatting sqref="C662:D662">
    <cfRule type="containsText" dxfId="295" priority="306" operator="containsText" text="NO+$D$4:$D$10">
      <formula>NOT(ISERROR(SEARCH("NO+$D$4:$D$10",C662)))</formula>
    </cfRule>
  </conditionalFormatting>
  <conditionalFormatting sqref="C662:D662">
    <cfRule type="containsText" dxfId="294" priority="304" operator="containsText" text="SI">
      <formula>NOT(ISERROR(SEARCH("SI",C662)))</formula>
    </cfRule>
    <cfRule type="containsText" dxfId="293" priority="305" operator="containsText" text="NO">
      <formula>NOT(ISERROR(SEARCH("NO",C662)))</formula>
    </cfRule>
  </conditionalFormatting>
  <conditionalFormatting sqref="C662:D662">
    <cfRule type="containsText" dxfId="292" priority="303" operator="containsText" text="NUEVO">
      <formula>NOT(ISERROR(SEARCH("NUEVO",C662)))</formula>
    </cfRule>
  </conditionalFormatting>
  <conditionalFormatting sqref="E662">
    <cfRule type="containsText" dxfId="291" priority="301" operator="containsText" text="Sin Información">
      <formula>NOT(ISERROR(SEARCH("Sin Información",E662)))</formula>
    </cfRule>
  </conditionalFormatting>
  <conditionalFormatting sqref="E662">
    <cfRule type="containsText" dxfId="290" priority="302" operator="containsText" text="NUEVO">
      <formula>NOT(ISERROR(SEARCH("NUEVO",E662)))</formula>
    </cfRule>
  </conditionalFormatting>
  <conditionalFormatting sqref="C663:D663">
    <cfRule type="containsText" dxfId="289" priority="300" operator="containsText" text="NO+$D$4:$D$10">
      <formula>NOT(ISERROR(SEARCH("NO+$D$4:$D$10",C663)))</formula>
    </cfRule>
  </conditionalFormatting>
  <conditionalFormatting sqref="C663:D663">
    <cfRule type="containsText" dxfId="288" priority="298" operator="containsText" text="SI">
      <formula>NOT(ISERROR(SEARCH("SI",C663)))</formula>
    </cfRule>
    <cfRule type="containsText" dxfId="287" priority="299" operator="containsText" text="NO">
      <formula>NOT(ISERROR(SEARCH("NO",C663)))</formula>
    </cfRule>
  </conditionalFormatting>
  <conditionalFormatting sqref="C663:D663">
    <cfRule type="containsText" dxfId="286" priority="297" operator="containsText" text="NUEVO">
      <formula>NOT(ISERROR(SEARCH("NUEVO",C663)))</formula>
    </cfRule>
  </conditionalFormatting>
  <conditionalFormatting sqref="E663">
    <cfRule type="containsText" dxfId="285" priority="295" operator="containsText" text="Sin Información">
      <formula>NOT(ISERROR(SEARCH("Sin Información",E663)))</formula>
    </cfRule>
  </conditionalFormatting>
  <conditionalFormatting sqref="E663">
    <cfRule type="containsText" dxfId="284" priority="296" operator="containsText" text="NUEVO">
      <formula>NOT(ISERROR(SEARCH("NUEVO",E663)))</formula>
    </cfRule>
  </conditionalFormatting>
  <conditionalFormatting sqref="C664:D664">
    <cfRule type="containsText" dxfId="283" priority="294" operator="containsText" text="NO+$D$4:$D$10">
      <formula>NOT(ISERROR(SEARCH("NO+$D$4:$D$10",C664)))</formula>
    </cfRule>
  </conditionalFormatting>
  <conditionalFormatting sqref="C664:D664">
    <cfRule type="containsText" dxfId="282" priority="292" operator="containsText" text="SI">
      <formula>NOT(ISERROR(SEARCH("SI",C664)))</formula>
    </cfRule>
    <cfRule type="containsText" dxfId="281" priority="293" operator="containsText" text="NO">
      <formula>NOT(ISERROR(SEARCH("NO",C664)))</formula>
    </cfRule>
  </conditionalFormatting>
  <conditionalFormatting sqref="C664:D664">
    <cfRule type="containsText" dxfId="280" priority="291" operator="containsText" text="NUEVO">
      <formula>NOT(ISERROR(SEARCH("NUEVO",C664)))</formula>
    </cfRule>
  </conditionalFormatting>
  <conditionalFormatting sqref="E664">
    <cfRule type="containsText" dxfId="279" priority="289" operator="containsText" text="Sin Información">
      <formula>NOT(ISERROR(SEARCH("Sin Información",E664)))</formula>
    </cfRule>
  </conditionalFormatting>
  <conditionalFormatting sqref="E664">
    <cfRule type="containsText" dxfId="278" priority="290" operator="containsText" text="NUEVO">
      <formula>NOT(ISERROR(SEARCH("NUEVO",E664)))</formula>
    </cfRule>
  </conditionalFormatting>
  <conditionalFormatting sqref="C716:D716">
    <cfRule type="containsText" dxfId="277" priority="288" operator="containsText" text="NO+$D$4:$D$10">
      <formula>NOT(ISERROR(SEARCH("NO+$D$4:$D$10",C716)))</formula>
    </cfRule>
  </conditionalFormatting>
  <conditionalFormatting sqref="C716:D716">
    <cfRule type="containsText" dxfId="276" priority="286" operator="containsText" text="SI">
      <formula>NOT(ISERROR(SEARCH("SI",C716)))</formula>
    </cfRule>
    <cfRule type="containsText" dxfId="275" priority="287" operator="containsText" text="NO">
      <formula>NOT(ISERROR(SEARCH("NO",C716)))</formula>
    </cfRule>
  </conditionalFormatting>
  <conditionalFormatting sqref="C716:D716">
    <cfRule type="containsText" dxfId="274" priority="285" operator="containsText" text="NUEVO">
      <formula>NOT(ISERROR(SEARCH("NUEVO",C716)))</formula>
    </cfRule>
  </conditionalFormatting>
  <conditionalFormatting sqref="E716">
    <cfRule type="containsText" dxfId="273" priority="284" operator="containsText" text="Sin información">
      <formula>NOT(ISERROR(SEARCH("Sin información",E716)))</formula>
    </cfRule>
  </conditionalFormatting>
  <conditionalFormatting sqref="E716">
    <cfRule type="containsText" dxfId="272" priority="283" operator="containsText" text="NUEVO">
      <formula>NOT(ISERROR(SEARCH("NUEVO",E716)))</formula>
    </cfRule>
  </conditionalFormatting>
  <conditionalFormatting sqref="C717:D717">
    <cfRule type="containsText" dxfId="271" priority="282" operator="containsText" text="NO+$D$4:$D$10">
      <formula>NOT(ISERROR(SEARCH("NO+$D$4:$D$10",C717)))</formula>
    </cfRule>
  </conditionalFormatting>
  <conditionalFormatting sqref="C717:D717">
    <cfRule type="containsText" dxfId="270" priority="280" operator="containsText" text="SI">
      <formula>NOT(ISERROR(SEARCH("SI",C717)))</formula>
    </cfRule>
    <cfRule type="containsText" dxfId="269" priority="281" operator="containsText" text="NO">
      <formula>NOT(ISERROR(SEARCH("NO",C717)))</formula>
    </cfRule>
  </conditionalFormatting>
  <conditionalFormatting sqref="C717:D717">
    <cfRule type="containsText" dxfId="268" priority="279" operator="containsText" text="NUEVO">
      <formula>NOT(ISERROR(SEARCH("NUEVO",C717)))</formula>
    </cfRule>
  </conditionalFormatting>
  <conditionalFormatting sqref="E717">
    <cfRule type="containsText" dxfId="267" priority="278" operator="containsText" text="NUEVO">
      <formula>NOT(ISERROR(SEARCH("NUEVO",E717)))</formula>
    </cfRule>
  </conditionalFormatting>
  <conditionalFormatting sqref="E717">
    <cfRule type="containsText" dxfId="266" priority="277" operator="containsText" text="Sin Información">
      <formula>NOT(ISERROR(SEARCH("Sin Información",E717)))</formula>
    </cfRule>
  </conditionalFormatting>
  <conditionalFormatting sqref="C718:D718">
    <cfRule type="containsText" dxfId="265" priority="276" operator="containsText" text="NO+$D$4:$D$10">
      <formula>NOT(ISERROR(SEARCH("NO+$D$4:$D$10",C718)))</formula>
    </cfRule>
  </conditionalFormatting>
  <conditionalFormatting sqref="C718:D718">
    <cfRule type="containsText" dxfId="264" priority="274" operator="containsText" text="SI">
      <formula>NOT(ISERROR(SEARCH("SI",C718)))</formula>
    </cfRule>
    <cfRule type="containsText" dxfId="263" priority="275" operator="containsText" text="NO">
      <formula>NOT(ISERROR(SEARCH("NO",C718)))</formula>
    </cfRule>
  </conditionalFormatting>
  <conditionalFormatting sqref="C718:E718">
    <cfRule type="containsText" dxfId="262" priority="273" operator="containsText" text="NUEVO">
      <formula>NOT(ISERROR(SEARCH("NUEVO",C718)))</formula>
    </cfRule>
  </conditionalFormatting>
  <conditionalFormatting sqref="E718">
    <cfRule type="containsText" dxfId="261" priority="272" operator="containsText" text="Sin Información">
      <formula>NOT(ISERROR(SEARCH("Sin Información",E718)))</formula>
    </cfRule>
  </conditionalFormatting>
  <conditionalFormatting sqref="F718">
    <cfRule type="containsText" dxfId="260" priority="271" operator="containsText" text="NO+$D$4:$D$10">
      <formula>NOT(ISERROR(SEARCH("NO+$D$4:$D$10",F718)))</formula>
    </cfRule>
  </conditionalFormatting>
  <conditionalFormatting sqref="F718">
    <cfRule type="containsText" dxfId="259" priority="269" operator="containsText" text="SI">
      <formula>NOT(ISERROR(SEARCH("SI",F718)))</formula>
    </cfRule>
    <cfRule type="containsText" dxfId="258" priority="270" operator="containsText" text="NO">
      <formula>NOT(ISERROR(SEARCH("NO",F718)))</formula>
    </cfRule>
  </conditionalFormatting>
  <conditionalFormatting sqref="F718">
    <cfRule type="containsText" dxfId="257" priority="268" operator="containsText" text="NUEVO">
      <formula>NOT(ISERROR(SEARCH("NUEVO",F718)))</formula>
    </cfRule>
  </conditionalFormatting>
  <conditionalFormatting sqref="C719:D719">
    <cfRule type="containsText" dxfId="256" priority="265" operator="containsText" text="NO+$D$4:$D$10">
      <formula>NOT(ISERROR(SEARCH("NO+$D$4:$D$10",C719)))</formula>
    </cfRule>
  </conditionalFormatting>
  <conditionalFormatting sqref="C719:D719">
    <cfRule type="containsText" dxfId="255" priority="263" operator="containsText" text="SI">
      <formula>NOT(ISERROR(SEARCH("SI",C719)))</formula>
    </cfRule>
    <cfRule type="containsText" dxfId="254" priority="264" operator="containsText" text="NO">
      <formula>NOT(ISERROR(SEARCH("NO",C719)))</formula>
    </cfRule>
  </conditionalFormatting>
  <conditionalFormatting sqref="C719:D719">
    <cfRule type="containsText" dxfId="253" priority="262" operator="containsText" text="NUEVO">
      <formula>NOT(ISERROR(SEARCH("NUEVO",C719)))</formula>
    </cfRule>
  </conditionalFormatting>
  <conditionalFormatting sqref="F719">
    <cfRule type="containsText" dxfId="252" priority="261" operator="containsText" text="NO+$D$4:$D$10">
      <formula>NOT(ISERROR(SEARCH("NO+$D$4:$D$10",F719)))</formula>
    </cfRule>
  </conditionalFormatting>
  <conditionalFormatting sqref="F719">
    <cfRule type="containsText" dxfId="251" priority="259" operator="containsText" text="SI">
      <formula>NOT(ISERROR(SEARCH("SI",F719)))</formula>
    </cfRule>
    <cfRule type="containsText" dxfId="250" priority="260" operator="containsText" text="NO">
      <formula>NOT(ISERROR(SEARCH("NO",F719)))</formula>
    </cfRule>
  </conditionalFormatting>
  <conditionalFormatting sqref="F719">
    <cfRule type="containsText" dxfId="249" priority="258" operator="containsText" text="NUEVO">
      <formula>NOT(ISERROR(SEARCH("NUEVO",F719)))</formula>
    </cfRule>
  </conditionalFormatting>
  <conditionalFormatting sqref="E719">
    <cfRule type="containsText" dxfId="248" priority="266" operator="containsText" text="NUEVO">
      <formula>NOT(ISERROR(SEARCH("NUEVO",E1811)))</formula>
    </cfRule>
  </conditionalFormatting>
  <conditionalFormatting sqref="E719">
    <cfRule type="containsText" dxfId="247" priority="267" operator="containsText" text="Sin información">
      <formula>NOT(ISERROR(SEARCH("Sin información",E1811)))</formula>
    </cfRule>
  </conditionalFormatting>
  <conditionalFormatting sqref="C720:D720">
    <cfRule type="containsText" dxfId="246" priority="255" operator="containsText" text="NO+$D$4:$D$10">
      <formula>NOT(ISERROR(SEARCH("NO+$D$4:$D$10",C720)))</formula>
    </cfRule>
  </conditionalFormatting>
  <conditionalFormatting sqref="C720:D720">
    <cfRule type="containsText" dxfId="245" priority="253" operator="containsText" text="SI">
      <formula>NOT(ISERROR(SEARCH("SI",C720)))</formula>
    </cfRule>
    <cfRule type="containsText" dxfId="244" priority="254" operator="containsText" text="NO">
      <formula>NOT(ISERROR(SEARCH("NO",C720)))</formula>
    </cfRule>
  </conditionalFormatting>
  <conditionalFormatting sqref="C720:D720">
    <cfRule type="containsText" dxfId="243" priority="252" operator="containsText" text="NUEVO">
      <formula>NOT(ISERROR(SEARCH("NUEVO",C720)))</formula>
    </cfRule>
  </conditionalFormatting>
  <conditionalFormatting sqref="F720">
    <cfRule type="containsText" dxfId="242" priority="251" operator="containsText" text="NO+$D$4:$D$10">
      <formula>NOT(ISERROR(SEARCH("NO+$D$4:$D$10",F720)))</formula>
    </cfRule>
  </conditionalFormatting>
  <conditionalFormatting sqref="F720">
    <cfRule type="containsText" dxfId="241" priority="249" operator="containsText" text="SI">
      <formula>NOT(ISERROR(SEARCH("SI",F720)))</formula>
    </cfRule>
    <cfRule type="containsText" dxfId="240" priority="250" operator="containsText" text="NO">
      <formula>NOT(ISERROR(SEARCH("NO",F720)))</formula>
    </cfRule>
  </conditionalFormatting>
  <conditionalFormatting sqref="F720">
    <cfRule type="containsText" dxfId="239" priority="248" operator="containsText" text="NUEVO">
      <formula>NOT(ISERROR(SEARCH("NUEVO",F720)))</formula>
    </cfRule>
  </conditionalFormatting>
  <conditionalFormatting sqref="E720">
    <cfRule type="containsText" dxfId="238" priority="256" operator="containsText" text="NUEVO">
      <formula>NOT(ISERROR(SEARCH("NUEVO",E1812)))</formula>
    </cfRule>
  </conditionalFormatting>
  <conditionalFormatting sqref="E720">
    <cfRule type="containsText" dxfId="237" priority="257" operator="containsText" text="Sin información">
      <formula>NOT(ISERROR(SEARCH("Sin información",E1812)))</formula>
    </cfRule>
  </conditionalFormatting>
  <conditionalFormatting sqref="C721:D721">
    <cfRule type="containsText" dxfId="236" priority="247" operator="containsText" text="NO+$D$4:$D$10">
      <formula>NOT(ISERROR(SEARCH("NO+$D$4:$D$10",C721)))</formula>
    </cfRule>
  </conditionalFormatting>
  <conditionalFormatting sqref="C721:D721">
    <cfRule type="containsText" dxfId="235" priority="245" operator="containsText" text="SI">
      <formula>NOT(ISERROR(SEARCH("SI",C721)))</formula>
    </cfRule>
    <cfRule type="containsText" dxfId="234" priority="246" operator="containsText" text="NO">
      <formula>NOT(ISERROR(SEARCH("NO",C721)))</formula>
    </cfRule>
  </conditionalFormatting>
  <conditionalFormatting sqref="C721:D721">
    <cfRule type="containsText" dxfId="233" priority="244" operator="containsText" text="NUEVO">
      <formula>NOT(ISERROR(SEARCH("NUEVO",C721)))</formula>
    </cfRule>
  </conditionalFormatting>
  <conditionalFormatting sqref="E721">
    <cfRule type="containsText" dxfId="232" priority="243" operator="containsText" text="NUEVO">
      <formula>NOT(ISERROR(SEARCH("NUEVO",E721)))</formula>
    </cfRule>
  </conditionalFormatting>
  <conditionalFormatting sqref="E721">
    <cfRule type="containsText" dxfId="231" priority="242" operator="containsText" text="Sin Información">
      <formula>NOT(ISERROR(SEARCH("Sin Información",E721)))</formula>
    </cfRule>
  </conditionalFormatting>
  <conditionalFormatting sqref="F721">
    <cfRule type="containsText" dxfId="230" priority="241" operator="containsText" text="NO+$D$4:$D$10">
      <formula>NOT(ISERROR(SEARCH("NO+$D$4:$D$10",F721)))</formula>
    </cfRule>
  </conditionalFormatting>
  <conditionalFormatting sqref="F721">
    <cfRule type="containsText" dxfId="229" priority="239" operator="containsText" text="SI">
      <formula>NOT(ISERROR(SEARCH("SI",F721)))</formula>
    </cfRule>
    <cfRule type="containsText" dxfId="228" priority="240" operator="containsText" text="NO">
      <formula>NOT(ISERROR(SEARCH("NO",F721)))</formula>
    </cfRule>
  </conditionalFormatting>
  <conditionalFormatting sqref="F721">
    <cfRule type="containsText" dxfId="227" priority="238" operator="containsText" text="NUEVO">
      <formula>NOT(ISERROR(SEARCH("NUEVO",F721)))</formula>
    </cfRule>
  </conditionalFormatting>
  <conditionalFormatting sqref="C1275:D1275">
    <cfRule type="containsText" dxfId="226" priority="235" operator="containsText" text="NO+$D$4:$D$10">
      <formula>NOT(ISERROR(SEARCH("NO+$D$4:$D$10",C1275)))</formula>
    </cfRule>
  </conditionalFormatting>
  <conditionalFormatting sqref="C1275:D1275">
    <cfRule type="containsText" dxfId="225" priority="233" operator="containsText" text="SI">
      <formula>NOT(ISERROR(SEARCH("SI",C1275)))</formula>
    </cfRule>
    <cfRule type="containsText" dxfId="224" priority="234" operator="containsText" text="NO">
      <formula>NOT(ISERROR(SEARCH("NO",C1275)))</formula>
    </cfRule>
  </conditionalFormatting>
  <conditionalFormatting sqref="C1275:D1275">
    <cfRule type="containsText" dxfId="223" priority="232" operator="containsText" text="NUEVO">
      <formula>NOT(ISERROR(SEARCH("NUEVO",C1275)))</formula>
    </cfRule>
  </conditionalFormatting>
  <conditionalFormatting sqref="E1275">
    <cfRule type="containsText" dxfId="222" priority="236" operator="containsText" text="NUEVO">
      <formula>NOT(ISERROR(SEARCH("NUEVO",E1911)))</formula>
    </cfRule>
  </conditionalFormatting>
  <conditionalFormatting sqref="E1275">
    <cfRule type="containsText" dxfId="221" priority="237" operator="containsText" text="Sin información">
      <formula>NOT(ISERROR(SEARCH("Sin información",E1911)))</formula>
    </cfRule>
  </conditionalFormatting>
  <conditionalFormatting sqref="C1276:D1276">
    <cfRule type="containsText" dxfId="220" priority="226" operator="containsText" text="NO+$D$4:$D$10">
      <formula>NOT(ISERROR(SEARCH("NO+$D$4:$D$10",C1276)))</formula>
    </cfRule>
  </conditionalFormatting>
  <conditionalFormatting sqref="C1276:D1276">
    <cfRule type="containsText" dxfId="219" priority="224" operator="containsText" text="SI">
      <formula>NOT(ISERROR(SEARCH("SI",C1276)))</formula>
    </cfRule>
    <cfRule type="containsText" dxfId="218" priority="225" operator="containsText" text="NO">
      <formula>NOT(ISERROR(SEARCH("NO",C1276)))</formula>
    </cfRule>
  </conditionalFormatting>
  <conditionalFormatting sqref="C1276:D1276">
    <cfRule type="containsText" dxfId="217" priority="223" operator="containsText" text="NUEVO">
      <formula>NOT(ISERROR(SEARCH("NUEVO",C1276)))</formula>
    </cfRule>
  </conditionalFormatting>
  <conditionalFormatting sqref="E1276">
    <cfRule type="containsText" dxfId="216" priority="221" operator="containsText" text="Sin información">
      <formula>NOT(ISERROR(SEARCH("Sin información",E1276)))</formula>
    </cfRule>
  </conditionalFormatting>
  <conditionalFormatting sqref="E1276">
    <cfRule type="containsText" dxfId="215" priority="220" operator="containsText" text="NUEVO">
      <formula>NOT(ISERROR(SEARCH("NUEVO",E1276)))</formula>
    </cfRule>
  </conditionalFormatting>
  <conditionalFormatting sqref="E1276">
    <cfRule type="containsText" dxfId="214" priority="222" operator="containsText" text="Sin información">
      <formula>NOT(ISERROR(SEARCH("Sin información",E1276)))</formula>
    </cfRule>
  </conditionalFormatting>
  <conditionalFormatting sqref="C1277:D1277">
    <cfRule type="containsText" dxfId="213" priority="219" operator="containsText" text="NO+$D$4:$D$10">
      <formula>NOT(ISERROR(SEARCH("NO+$D$4:$D$10",C1277)))</formula>
    </cfRule>
  </conditionalFormatting>
  <conditionalFormatting sqref="C1277:D1277">
    <cfRule type="containsText" dxfId="212" priority="217" operator="containsText" text="SI">
      <formula>NOT(ISERROR(SEARCH("SI",C1277)))</formula>
    </cfRule>
    <cfRule type="containsText" dxfId="211" priority="218" operator="containsText" text="NO">
      <formula>NOT(ISERROR(SEARCH("NO",C1277)))</formula>
    </cfRule>
  </conditionalFormatting>
  <conditionalFormatting sqref="E1277">
    <cfRule type="containsText" dxfId="210" priority="216" operator="containsText" text="Sin información">
      <formula>NOT(ISERROR(SEARCH("Sin información",E1277)))</formula>
    </cfRule>
  </conditionalFormatting>
  <conditionalFormatting sqref="C1277:E1277">
    <cfRule type="containsText" dxfId="209" priority="215" operator="containsText" text="NUEVO">
      <formula>NOT(ISERROR(SEARCH("NUEVO",C1277)))</formula>
    </cfRule>
  </conditionalFormatting>
  <conditionalFormatting sqref="C1278:D1278">
    <cfRule type="containsText" dxfId="208" priority="214" operator="containsText" text="NO+$D$4:$D$10">
      <formula>NOT(ISERROR(SEARCH("NO+$D$4:$D$10",C1278)))</formula>
    </cfRule>
  </conditionalFormatting>
  <conditionalFormatting sqref="C1278:D1278">
    <cfRule type="containsText" dxfId="207" priority="212" operator="containsText" text="SI">
      <formula>NOT(ISERROR(SEARCH("SI",C1278)))</formula>
    </cfRule>
    <cfRule type="containsText" dxfId="206" priority="213" operator="containsText" text="NO">
      <formula>NOT(ISERROR(SEARCH("NO",C1278)))</formula>
    </cfRule>
  </conditionalFormatting>
  <conditionalFormatting sqref="E1278">
    <cfRule type="containsText" dxfId="205" priority="211" operator="containsText" text="Sin información">
      <formula>NOT(ISERROR(SEARCH("Sin información",E1278)))</formula>
    </cfRule>
  </conditionalFormatting>
  <conditionalFormatting sqref="C1278:E1278">
    <cfRule type="containsText" dxfId="204" priority="210" operator="containsText" text="NUEVO">
      <formula>NOT(ISERROR(SEARCH("NUEVO",C1278)))</formula>
    </cfRule>
  </conditionalFormatting>
  <conditionalFormatting sqref="C1279:D1279">
    <cfRule type="containsText" dxfId="203" priority="209" operator="containsText" text="NO+$D$4:$D$10">
      <formula>NOT(ISERROR(SEARCH("NO+$D$4:$D$10",C1279)))</formula>
    </cfRule>
  </conditionalFormatting>
  <conditionalFormatting sqref="C1279:D1279">
    <cfRule type="containsText" dxfId="202" priority="207" operator="containsText" text="SI">
      <formula>NOT(ISERROR(SEARCH("SI",C1279)))</formula>
    </cfRule>
    <cfRule type="containsText" dxfId="201" priority="208" operator="containsText" text="NO">
      <formula>NOT(ISERROR(SEARCH("NO",C1279)))</formula>
    </cfRule>
  </conditionalFormatting>
  <conditionalFormatting sqref="C1279:D1279">
    <cfRule type="containsText" dxfId="200" priority="206" operator="containsText" text="NUEVO">
      <formula>NOT(ISERROR(SEARCH("NUEVO",C1279)))</formula>
    </cfRule>
  </conditionalFormatting>
  <conditionalFormatting sqref="E1279">
    <cfRule type="containsText" dxfId="199" priority="204" operator="containsText" text="NUEVO">
      <formula>NOT(ISERROR(SEARCH("NUEVO",E1279)))</formula>
    </cfRule>
  </conditionalFormatting>
  <conditionalFormatting sqref="E1279">
    <cfRule type="containsText" dxfId="198" priority="205" operator="containsText" text="Sin información">
      <formula>NOT(ISERROR(SEARCH("Sin información",E1279)))</formula>
    </cfRule>
  </conditionalFormatting>
  <conditionalFormatting sqref="C1280:D1280">
    <cfRule type="containsText" dxfId="197" priority="203" operator="containsText" text="NO+$D$4:$D$10">
      <formula>NOT(ISERROR(SEARCH("NO+$D$4:$D$10",C1280)))</formula>
    </cfRule>
  </conditionalFormatting>
  <conditionalFormatting sqref="C1280:D1280">
    <cfRule type="containsText" dxfId="196" priority="201" operator="containsText" text="SI">
      <formula>NOT(ISERROR(SEARCH("SI",C1280)))</formula>
    </cfRule>
    <cfRule type="containsText" dxfId="195" priority="202" operator="containsText" text="NO">
      <formula>NOT(ISERROR(SEARCH("NO",C1280)))</formula>
    </cfRule>
  </conditionalFormatting>
  <conditionalFormatting sqref="C1280:D1280">
    <cfRule type="containsText" dxfId="194" priority="200" operator="containsText" text="NUEVO">
      <formula>NOT(ISERROR(SEARCH("NUEVO",C1280)))</formula>
    </cfRule>
  </conditionalFormatting>
  <conditionalFormatting sqref="E1280">
    <cfRule type="containsText" dxfId="193" priority="199" operator="containsText" text="Sin información">
      <formula>NOT(ISERROR(SEARCH("Sin información",E1280)))</formula>
    </cfRule>
  </conditionalFormatting>
  <conditionalFormatting sqref="E1280">
    <cfRule type="containsText" dxfId="192" priority="198" operator="containsText" text="NUEVO">
      <formula>NOT(ISERROR(SEARCH("NUEVO",E1280)))</formula>
    </cfRule>
  </conditionalFormatting>
  <conditionalFormatting sqref="E1280">
    <cfRule type="containsText" dxfId="191" priority="197" operator="containsText" text="Sin Información">
      <formula>NOT(ISERROR(SEARCH("Sin Información",E1280)))</formula>
    </cfRule>
  </conditionalFormatting>
  <conditionalFormatting sqref="C1281:D1281">
    <cfRule type="containsText" dxfId="190" priority="196" operator="containsText" text="NO+$D$4:$D$10">
      <formula>NOT(ISERROR(SEARCH("NO+$D$4:$D$10",C1281)))</formula>
    </cfRule>
  </conditionalFormatting>
  <conditionalFormatting sqref="C1281:D1281">
    <cfRule type="containsText" dxfId="189" priority="194" operator="containsText" text="SI">
      <formula>NOT(ISERROR(SEARCH("SI",C1281)))</formula>
    </cfRule>
    <cfRule type="containsText" dxfId="188" priority="195" operator="containsText" text="NO">
      <formula>NOT(ISERROR(SEARCH("NO",C1281)))</formula>
    </cfRule>
  </conditionalFormatting>
  <conditionalFormatting sqref="E1281">
    <cfRule type="containsText" dxfId="187" priority="193" operator="containsText" text="Sin información">
      <formula>NOT(ISERROR(SEARCH("Sin información",E1281)))</formula>
    </cfRule>
  </conditionalFormatting>
  <conditionalFormatting sqref="C1281:E1281">
    <cfRule type="containsText" dxfId="186" priority="192" operator="containsText" text="NUEVO">
      <formula>NOT(ISERROR(SEARCH("NUEVO",C1281)))</formula>
    </cfRule>
  </conditionalFormatting>
  <conditionalFormatting sqref="E1281">
    <cfRule type="containsText" dxfId="185" priority="191" operator="containsText" text="Sin Información">
      <formula>NOT(ISERROR(SEARCH("Sin Información",E1281)))</formula>
    </cfRule>
  </conditionalFormatting>
  <conditionalFormatting sqref="C1282:D1282">
    <cfRule type="containsText" dxfId="184" priority="185" operator="containsText" text="NO+$D$4:$D$10">
      <formula>NOT(ISERROR(SEARCH("NO+$D$4:$D$10",C1282)))</formula>
    </cfRule>
  </conditionalFormatting>
  <conditionalFormatting sqref="C1282:D1282">
    <cfRule type="containsText" dxfId="183" priority="183" operator="containsText" text="SI">
      <formula>NOT(ISERROR(SEARCH("SI",C1282)))</formula>
    </cfRule>
    <cfRule type="containsText" dxfId="182" priority="184" operator="containsText" text="NO">
      <formula>NOT(ISERROR(SEARCH("NO",C1282)))</formula>
    </cfRule>
  </conditionalFormatting>
  <conditionalFormatting sqref="E1282">
    <cfRule type="containsText" dxfId="181" priority="182" operator="containsText" text="Sin información">
      <formula>NOT(ISERROR(SEARCH("Sin información",E1282)))</formula>
    </cfRule>
  </conditionalFormatting>
  <conditionalFormatting sqref="C1282:E1282">
    <cfRule type="containsText" dxfId="180" priority="181" operator="containsText" text="NUEVO">
      <formula>NOT(ISERROR(SEARCH("NUEVO",C1282)))</formula>
    </cfRule>
  </conditionalFormatting>
  <conditionalFormatting sqref="C1283:D1283">
    <cfRule type="containsText" dxfId="179" priority="178" operator="containsText" text="NO+$D$4:$D$10">
      <formula>NOT(ISERROR(SEARCH("NO+$D$4:$D$10",C1283)))</formula>
    </cfRule>
  </conditionalFormatting>
  <conditionalFormatting sqref="C1283:D1283">
    <cfRule type="containsText" dxfId="178" priority="176" operator="containsText" text="SI">
      <formula>NOT(ISERROR(SEARCH("SI",C1283)))</formula>
    </cfRule>
    <cfRule type="containsText" dxfId="177" priority="177" operator="containsText" text="NO">
      <formula>NOT(ISERROR(SEARCH("NO",C1283)))</formula>
    </cfRule>
  </conditionalFormatting>
  <conditionalFormatting sqref="C1283:D1283">
    <cfRule type="containsText" dxfId="176" priority="175" operator="containsText" text="NUEVO">
      <formula>NOT(ISERROR(SEARCH("NUEVO",C1283)))</formula>
    </cfRule>
  </conditionalFormatting>
  <conditionalFormatting sqref="E1283">
    <cfRule type="containsText" dxfId="175" priority="179" operator="containsText" text="Sin Información">
      <formula>NOT(ISERROR(SEARCH("Sin Información",E1837)))</formula>
    </cfRule>
  </conditionalFormatting>
  <conditionalFormatting sqref="E1283">
    <cfRule type="containsText" dxfId="174" priority="180" operator="containsText" text="NUEVO">
      <formula>NOT(ISERROR(SEARCH("NUEVO",E1837)))</formula>
    </cfRule>
  </conditionalFormatting>
  <conditionalFormatting sqref="C1284:D1284">
    <cfRule type="containsText" dxfId="173" priority="174" operator="containsText" text="NO+$D$4:$D$10">
      <formula>NOT(ISERROR(SEARCH("NO+$D$4:$D$10",C1284)))</formula>
    </cfRule>
  </conditionalFormatting>
  <conditionalFormatting sqref="C1284:D1284">
    <cfRule type="containsText" dxfId="172" priority="172" operator="containsText" text="SI">
      <formula>NOT(ISERROR(SEARCH("SI",C1284)))</formula>
    </cfRule>
    <cfRule type="containsText" dxfId="171" priority="173" operator="containsText" text="NO">
      <formula>NOT(ISERROR(SEARCH("NO",C1284)))</formula>
    </cfRule>
  </conditionalFormatting>
  <conditionalFormatting sqref="C1284:D1284">
    <cfRule type="containsText" dxfId="170" priority="171" operator="containsText" text="NUEVO">
      <formula>NOT(ISERROR(SEARCH("NUEVO",C1284)))</formula>
    </cfRule>
  </conditionalFormatting>
  <conditionalFormatting sqref="E1284">
    <cfRule type="containsText" dxfId="169" priority="169" operator="containsText" text="NUEVO">
      <formula>NOT(ISERROR(SEARCH("NUEVO",E1284)))</formula>
    </cfRule>
  </conditionalFormatting>
  <conditionalFormatting sqref="E1284">
    <cfRule type="containsText" dxfId="168" priority="170" operator="containsText" text="Sin información">
      <formula>NOT(ISERROR(SEARCH("Sin información",E1284)))</formula>
    </cfRule>
  </conditionalFormatting>
  <conditionalFormatting sqref="C1285:D1285">
    <cfRule type="containsText" dxfId="167" priority="168" operator="containsText" text="NO+$D$4:$D$10">
      <formula>NOT(ISERROR(SEARCH("NO+$D$4:$D$10",C1285)))</formula>
    </cfRule>
  </conditionalFormatting>
  <conditionalFormatting sqref="C1285:D1285">
    <cfRule type="containsText" dxfId="166" priority="166" operator="containsText" text="SI">
      <formula>NOT(ISERROR(SEARCH("SI",C1285)))</formula>
    </cfRule>
    <cfRule type="containsText" dxfId="165" priority="167" operator="containsText" text="NO">
      <formula>NOT(ISERROR(SEARCH("NO",C1285)))</formula>
    </cfRule>
  </conditionalFormatting>
  <conditionalFormatting sqref="C1285:D1285">
    <cfRule type="containsText" dxfId="164" priority="165" operator="containsText" text="NUEVO">
      <formula>NOT(ISERROR(SEARCH("NUEVO",C1285)))</formula>
    </cfRule>
  </conditionalFormatting>
  <conditionalFormatting sqref="E1285">
    <cfRule type="containsText" dxfId="163" priority="163" operator="containsText" text="Sin información">
      <formula>NOT(ISERROR(SEARCH("Sin información",E1285)))</formula>
    </cfRule>
  </conditionalFormatting>
  <conditionalFormatting sqref="E1285">
    <cfRule type="containsText" dxfId="162" priority="162" operator="containsText" text="NUEVO">
      <formula>NOT(ISERROR(SEARCH("NUEVO",E1285)))</formula>
    </cfRule>
  </conditionalFormatting>
  <conditionalFormatting sqref="E1285">
    <cfRule type="containsText" dxfId="161" priority="164" operator="containsText" text="Sin información">
      <formula>NOT(ISERROR(SEARCH("Sin información",E1285)))</formula>
    </cfRule>
  </conditionalFormatting>
  <conditionalFormatting sqref="C1286:D1286">
    <cfRule type="containsText" dxfId="160" priority="161" operator="containsText" text="NO+$D$4:$D$10">
      <formula>NOT(ISERROR(SEARCH("NO+$D$4:$D$10",C1286)))</formula>
    </cfRule>
  </conditionalFormatting>
  <conditionalFormatting sqref="C1286:D1286">
    <cfRule type="containsText" dxfId="159" priority="159" operator="containsText" text="SI">
      <formula>NOT(ISERROR(SEARCH("SI",C1286)))</formula>
    </cfRule>
    <cfRule type="containsText" dxfId="158" priority="160" operator="containsText" text="NO">
      <formula>NOT(ISERROR(SEARCH("NO",C1286)))</formula>
    </cfRule>
  </conditionalFormatting>
  <conditionalFormatting sqref="C1286:D1286">
    <cfRule type="containsText" dxfId="157" priority="158" operator="containsText" text="NUEVO">
      <formula>NOT(ISERROR(SEARCH("NUEVO",C1286)))</formula>
    </cfRule>
  </conditionalFormatting>
  <conditionalFormatting sqref="E1286">
    <cfRule type="containsText" dxfId="156" priority="156" operator="containsText" text="Sin información">
      <formula>NOT(ISERROR(SEARCH("Sin información",E1286)))</formula>
    </cfRule>
  </conditionalFormatting>
  <conditionalFormatting sqref="E1286">
    <cfRule type="containsText" dxfId="155" priority="155" operator="containsText" text="NUEVO">
      <formula>NOT(ISERROR(SEARCH("NUEVO",E1286)))</formula>
    </cfRule>
  </conditionalFormatting>
  <conditionalFormatting sqref="E1286">
    <cfRule type="containsText" dxfId="154" priority="157" operator="containsText" text="Sin información">
      <formula>NOT(ISERROR(SEARCH("Sin información",E1286)))</formula>
    </cfRule>
  </conditionalFormatting>
  <conditionalFormatting sqref="C1287:D1287">
    <cfRule type="containsText" dxfId="153" priority="154" operator="containsText" text="NO+$D$4:$D$10">
      <formula>NOT(ISERROR(SEARCH("NO+$D$4:$D$10",C1287)))</formula>
    </cfRule>
  </conditionalFormatting>
  <conditionalFormatting sqref="C1287:D1287">
    <cfRule type="containsText" dxfId="152" priority="152" operator="containsText" text="SI">
      <formula>NOT(ISERROR(SEARCH("SI",C1287)))</formula>
    </cfRule>
    <cfRule type="containsText" dxfId="151" priority="153" operator="containsText" text="NO">
      <formula>NOT(ISERROR(SEARCH("NO",C1287)))</formula>
    </cfRule>
  </conditionalFormatting>
  <conditionalFormatting sqref="E1287">
    <cfRule type="containsText" dxfId="150" priority="151" operator="containsText" text="Sin información">
      <formula>NOT(ISERROR(SEARCH("Sin información",E1287)))</formula>
    </cfRule>
  </conditionalFormatting>
  <conditionalFormatting sqref="C1287:E1287">
    <cfRule type="containsText" dxfId="149" priority="150" operator="containsText" text="NUEVO">
      <formula>NOT(ISERROR(SEARCH("NUEVO",C1287)))</formula>
    </cfRule>
  </conditionalFormatting>
  <conditionalFormatting sqref="C1288:D1288">
    <cfRule type="containsText" dxfId="148" priority="149" operator="containsText" text="NO+$D$4:$D$10">
      <formula>NOT(ISERROR(SEARCH("NO+$D$4:$D$10",C1288)))</formula>
    </cfRule>
  </conditionalFormatting>
  <conditionalFormatting sqref="C1288:D1288">
    <cfRule type="containsText" dxfId="147" priority="147" operator="containsText" text="SI">
      <formula>NOT(ISERROR(SEARCH("SI",C1288)))</formula>
    </cfRule>
    <cfRule type="containsText" dxfId="146" priority="148" operator="containsText" text="NO">
      <formula>NOT(ISERROR(SEARCH("NO",C1288)))</formula>
    </cfRule>
  </conditionalFormatting>
  <conditionalFormatting sqref="E1288">
    <cfRule type="containsText" dxfId="145" priority="146" operator="containsText" text="Sin información">
      <formula>NOT(ISERROR(SEARCH("Sin información",E1288)))</formula>
    </cfRule>
  </conditionalFormatting>
  <conditionalFormatting sqref="C1288:E1288">
    <cfRule type="containsText" dxfId="144" priority="145" operator="containsText" text="NUEVO">
      <formula>NOT(ISERROR(SEARCH("NUEVO",C1288)))</formula>
    </cfRule>
  </conditionalFormatting>
  <conditionalFormatting sqref="C1289:D1289">
    <cfRule type="containsText" dxfId="143" priority="144" operator="containsText" text="NO+$D$4:$D$10">
      <formula>NOT(ISERROR(SEARCH("NO+$D$4:$D$10",C1289)))</formula>
    </cfRule>
  </conditionalFormatting>
  <conditionalFormatting sqref="C1289:D1289">
    <cfRule type="containsText" dxfId="142" priority="142" operator="containsText" text="SI">
      <formula>NOT(ISERROR(SEARCH("SI",C1289)))</formula>
    </cfRule>
    <cfRule type="containsText" dxfId="141" priority="143" operator="containsText" text="NO">
      <formula>NOT(ISERROR(SEARCH("NO",C1289)))</formula>
    </cfRule>
  </conditionalFormatting>
  <conditionalFormatting sqref="C1289:D1289">
    <cfRule type="containsText" dxfId="140" priority="141" operator="containsText" text="NUEVO">
      <formula>NOT(ISERROR(SEARCH("NUEVO",C1289)))</formula>
    </cfRule>
  </conditionalFormatting>
  <conditionalFormatting sqref="E1289">
    <cfRule type="containsText" dxfId="139" priority="140" operator="containsText" text="NUEVO">
      <formula>NOT(ISERROR(SEARCH("NUEVO",E1289)))</formula>
    </cfRule>
  </conditionalFormatting>
  <conditionalFormatting sqref="E1289">
    <cfRule type="containsText" dxfId="138" priority="139" operator="containsText" text="Sin Información">
      <formula>NOT(ISERROR(SEARCH("Sin Información",E1289)))</formula>
    </cfRule>
  </conditionalFormatting>
  <conditionalFormatting sqref="C1290:D1290">
    <cfRule type="containsText" dxfId="137" priority="138" operator="containsText" text="NO+$D$4:$D$10">
      <formula>NOT(ISERROR(SEARCH("NO+$D$4:$D$10",C1290)))</formula>
    </cfRule>
  </conditionalFormatting>
  <conditionalFormatting sqref="C1290:D1290">
    <cfRule type="containsText" dxfId="136" priority="136" operator="containsText" text="SI">
      <formula>NOT(ISERROR(SEARCH("SI",C1290)))</formula>
    </cfRule>
    <cfRule type="containsText" dxfId="135" priority="137" operator="containsText" text="NO">
      <formula>NOT(ISERROR(SEARCH("NO",C1290)))</formula>
    </cfRule>
  </conditionalFormatting>
  <conditionalFormatting sqref="C1290:D1290">
    <cfRule type="containsText" dxfId="134" priority="135" operator="containsText" text="NUEVO">
      <formula>NOT(ISERROR(SEARCH("NUEVO",C1290)))</formula>
    </cfRule>
  </conditionalFormatting>
  <conditionalFormatting sqref="E1290">
    <cfRule type="containsText" dxfId="133" priority="134" operator="containsText" text="NUEVO">
      <formula>NOT(ISERROR(SEARCH("NUEVO",E1290)))</formula>
    </cfRule>
  </conditionalFormatting>
  <conditionalFormatting sqref="E1290">
    <cfRule type="containsText" dxfId="132" priority="133" operator="containsText" text="Sin Información">
      <formula>NOT(ISERROR(SEARCH("Sin Información",E1290)))</formula>
    </cfRule>
  </conditionalFormatting>
  <conditionalFormatting sqref="C1291:D1291">
    <cfRule type="containsText" dxfId="131" priority="132" operator="containsText" text="NO+$D$4:$D$10">
      <formula>NOT(ISERROR(SEARCH("NO+$D$4:$D$10",C1291)))</formula>
    </cfRule>
  </conditionalFormatting>
  <conditionalFormatting sqref="C1291:D1291">
    <cfRule type="containsText" dxfId="130" priority="130" operator="containsText" text="SI">
      <formula>NOT(ISERROR(SEARCH("SI",C1291)))</formula>
    </cfRule>
    <cfRule type="containsText" dxfId="129" priority="131" operator="containsText" text="NO">
      <formula>NOT(ISERROR(SEARCH("NO",C1291)))</formula>
    </cfRule>
  </conditionalFormatting>
  <conditionalFormatting sqref="C1291:D1291">
    <cfRule type="containsText" dxfId="128" priority="129" operator="containsText" text="NUEVO">
      <formula>NOT(ISERROR(SEARCH("NUEVO",C1291)))</formula>
    </cfRule>
  </conditionalFormatting>
  <conditionalFormatting sqref="E1291">
    <cfRule type="containsText" dxfId="127" priority="128" operator="containsText" text="NUEVO">
      <formula>NOT(ISERROR(SEARCH("NUEVO",E1291)))</formula>
    </cfRule>
  </conditionalFormatting>
  <conditionalFormatting sqref="E1291">
    <cfRule type="containsText" dxfId="126" priority="127" operator="containsText" text="Sin Información">
      <formula>NOT(ISERROR(SEARCH("Sin Información",E1291)))</formula>
    </cfRule>
  </conditionalFormatting>
  <conditionalFormatting sqref="C1462:D1462">
    <cfRule type="containsText" dxfId="125" priority="126" operator="containsText" text="NO+$D$4:$D$10">
      <formula>NOT(ISERROR(SEARCH("NO+$D$4:$D$10",C1462)))</formula>
    </cfRule>
  </conditionalFormatting>
  <conditionalFormatting sqref="C1462:D1462">
    <cfRule type="containsText" dxfId="124" priority="124" operator="containsText" text="SI">
      <formula>NOT(ISERROR(SEARCH("SI",C1462)))</formula>
    </cfRule>
    <cfRule type="containsText" dxfId="123" priority="125" operator="containsText" text="NO">
      <formula>NOT(ISERROR(SEARCH("NO",C1462)))</formula>
    </cfRule>
  </conditionalFormatting>
  <conditionalFormatting sqref="E1462">
    <cfRule type="containsText" dxfId="122" priority="123" operator="containsText" text="Sin información">
      <formula>NOT(ISERROR(SEARCH("Sin información",E1462)))</formula>
    </cfRule>
  </conditionalFormatting>
  <conditionalFormatting sqref="C1462:E1462">
    <cfRule type="containsText" dxfId="121" priority="122" operator="containsText" text="NUEVO">
      <formula>NOT(ISERROR(SEARCH("NUEVO",C1462)))</formula>
    </cfRule>
  </conditionalFormatting>
  <conditionalFormatting sqref="C1463:D1463">
    <cfRule type="containsText" dxfId="120" priority="121" operator="containsText" text="NO+$D$4:$D$10">
      <formula>NOT(ISERROR(SEARCH("NO+$D$4:$D$10",C1463)))</formula>
    </cfRule>
  </conditionalFormatting>
  <conditionalFormatting sqref="C1463:D1463">
    <cfRule type="containsText" dxfId="119" priority="119" operator="containsText" text="SI">
      <formula>NOT(ISERROR(SEARCH("SI",C1463)))</formula>
    </cfRule>
    <cfRule type="containsText" dxfId="118" priority="120" operator="containsText" text="NO">
      <formula>NOT(ISERROR(SEARCH("NO",C1463)))</formula>
    </cfRule>
  </conditionalFormatting>
  <conditionalFormatting sqref="E1463">
    <cfRule type="containsText" dxfId="117" priority="118" operator="containsText" text="Sin información">
      <formula>NOT(ISERROR(SEARCH("Sin información",E1463)))</formula>
    </cfRule>
  </conditionalFormatting>
  <conditionalFormatting sqref="C1463:E1463">
    <cfRule type="containsText" dxfId="116" priority="117" operator="containsText" text="NUEVO">
      <formula>NOT(ISERROR(SEARCH("NUEVO",C1463)))</formula>
    </cfRule>
  </conditionalFormatting>
  <conditionalFormatting sqref="C1464:D1464">
    <cfRule type="containsText" dxfId="115" priority="116" operator="containsText" text="NO+$D$4:$D$10">
      <formula>NOT(ISERROR(SEARCH("NO+$D$4:$D$10",C1464)))</formula>
    </cfRule>
  </conditionalFormatting>
  <conditionalFormatting sqref="C1464:D1464">
    <cfRule type="containsText" dxfId="114" priority="114" operator="containsText" text="SI">
      <formula>NOT(ISERROR(SEARCH("SI",C1464)))</formula>
    </cfRule>
    <cfRule type="containsText" dxfId="113" priority="115" operator="containsText" text="NO">
      <formula>NOT(ISERROR(SEARCH("NO",C1464)))</formula>
    </cfRule>
  </conditionalFormatting>
  <conditionalFormatting sqref="C1464:D1464">
    <cfRule type="containsText" dxfId="112" priority="113" operator="containsText" text="NUEVO">
      <formula>NOT(ISERROR(SEARCH("NUEVO",C1464)))</formula>
    </cfRule>
  </conditionalFormatting>
  <conditionalFormatting sqref="E1464">
    <cfRule type="containsText" dxfId="111" priority="111" operator="containsText" text="NUEVO">
      <formula>NOT(ISERROR(SEARCH("NUEVO",E1464)))</formula>
    </cfRule>
  </conditionalFormatting>
  <conditionalFormatting sqref="E1464">
    <cfRule type="containsText" dxfId="110" priority="112" operator="containsText" text="Sin información">
      <formula>NOT(ISERROR(SEARCH("Sin información",E1464)))</formula>
    </cfRule>
  </conditionalFormatting>
  <conditionalFormatting sqref="C1465:D1465">
    <cfRule type="containsText" dxfId="109" priority="110" operator="containsText" text="NO+$D$4:$D$10">
      <formula>NOT(ISERROR(SEARCH("NO+$D$4:$D$10",C1465)))</formula>
    </cfRule>
  </conditionalFormatting>
  <conditionalFormatting sqref="C1465:D1465">
    <cfRule type="containsText" dxfId="108" priority="108" operator="containsText" text="SI">
      <formula>NOT(ISERROR(SEARCH("SI",C1465)))</formula>
    </cfRule>
    <cfRule type="containsText" dxfId="107" priority="109" operator="containsText" text="NO">
      <formula>NOT(ISERROR(SEARCH("NO",C1465)))</formula>
    </cfRule>
  </conditionalFormatting>
  <conditionalFormatting sqref="C1465:D1465">
    <cfRule type="containsText" dxfId="106" priority="107" operator="containsText" text="NUEVO">
      <formula>NOT(ISERROR(SEARCH("NUEVO",C1465)))</formula>
    </cfRule>
  </conditionalFormatting>
  <conditionalFormatting sqref="E1465">
    <cfRule type="containsText" dxfId="105" priority="106" operator="containsText" text="Sin información">
      <formula>NOT(ISERROR(SEARCH("Sin información",E1465)))</formula>
    </cfRule>
  </conditionalFormatting>
  <conditionalFormatting sqref="E1465">
    <cfRule type="containsText" dxfId="104" priority="105" operator="containsText" text="NUEVO">
      <formula>NOT(ISERROR(SEARCH("NUEVO",E1465)))</formula>
    </cfRule>
  </conditionalFormatting>
  <conditionalFormatting sqref="C1466:D1466">
    <cfRule type="containsText" dxfId="103" priority="104" operator="containsText" text="NO+$D$4:$D$10">
      <formula>NOT(ISERROR(SEARCH("NO+$D$4:$D$10",C1466)))</formula>
    </cfRule>
  </conditionalFormatting>
  <conditionalFormatting sqref="C1466:D1466">
    <cfRule type="containsText" dxfId="102" priority="102" operator="containsText" text="SI">
      <formula>NOT(ISERROR(SEARCH("SI",C1466)))</formula>
    </cfRule>
    <cfRule type="containsText" dxfId="101" priority="103" operator="containsText" text="NO">
      <formula>NOT(ISERROR(SEARCH("NO",C1466)))</formula>
    </cfRule>
  </conditionalFormatting>
  <conditionalFormatting sqref="C1466:D1466">
    <cfRule type="containsText" dxfId="100" priority="101" operator="containsText" text="NUEVO">
      <formula>NOT(ISERROR(SEARCH("NUEVO",C1466)))</formula>
    </cfRule>
  </conditionalFormatting>
  <conditionalFormatting sqref="E1466">
    <cfRule type="containsText" dxfId="99" priority="99" operator="containsText" text="NUEVO">
      <formula>NOT(ISERROR(SEARCH("NUEVO",E1466)))</formula>
    </cfRule>
  </conditionalFormatting>
  <conditionalFormatting sqref="E1466">
    <cfRule type="containsText" dxfId="98" priority="100" operator="containsText" text="Sin información">
      <formula>NOT(ISERROR(SEARCH("Sin información",E1466)))</formula>
    </cfRule>
  </conditionalFormatting>
  <conditionalFormatting sqref="C1467:D1467">
    <cfRule type="containsText" dxfId="97" priority="98" operator="containsText" text="NO+$D$4:$D$10">
      <formula>NOT(ISERROR(SEARCH("NO+$D$4:$D$10",C1467)))</formula>
    </cfRule>
  </conditionalFormatting>
  <conditionalFormatting sqref="C1467:D1467">
    <cfRule type="containsText" dxfId="96" priority="96" operator="containsText" text="SI">
      <formula>NOT(ISERROR(SEARCH("SI",C1467)))</formula>
    </cfRule>
    <cfRule type="containsText" dxfId="95" priority="97" operator="containsText" text="NO">
      <formula>NOT(ISERROR(SEARCH("NO",C1467)))</formula>
    </cfRule>
  </conditionalFormatting>
  <conditionalFormatting sqref="C1467:D1467">
    <cfRule type="containsText" dxfId="94" priority="95" operator="containsText" text="NUEVO">
      <formula>NOT(ISERROR(SEARCH("NUEVO",C1467)))</formula>
    </cfRule>
  </conditionalFormatting>
  <conditionalFormatting sqref="E1467">
    <cfRule type="containsText" dxfId="93" priority="94" operator="containsText" text="Sin información">
      <formula>NOT(ISERROR(SEARCH("Sin información",E1467)))</formula>
    </cfRule>
  </conditionalFormatting>
  <conditionalFormatting sqref="E1467">
    <cfRule type="containsText" dxfId="92" priority="93" operator="containsText" text="NUEVO">
      <formula>NOT(ISERROR(SEARCH("NUEVO",E1467)))</formula>
    </cfRule>
  </conditionalFormatting>
  <conditionalFormatting sqref="C1468:D1468">
    <cfRule type="containsText" dxfId="91" priority="92" operator="containsText" text="NO+$D$4:$D$10">
      <formula>NOT(ISERROR(SEARCH("NO+$D$4:$D$10",C1468)))</formula>
    </cfRule>
  </conditionalFormatting>
  <conditionalFormatting sqref="C1468:D1468">
    <cfRule type="containsText" dxfId="90" priority="90" operator="containsText" text="SI">
      <formula>NOT(ISERROR(SEARCH("SI",C1468)))</formula>
    </cfRule>
    <cfRule type="containsText" dxfId="89" priority="91" operator="containsText" text="NO">
      <formula>NOT(ISERROR(SEARCH("NO",C1468)))</formula>
    </cfRule>
  </conditionalFormatting>
  <conditionalFormatting sqref="C1468:D1468">
    <cfRule type="containsText" dxfId="88" priority="89" operator="containsText" text="NUEVO">
      <formula>NOT(ISERROR(SEARCH("NUEVO",C1468)))</formula>
    </cfRule>
  </conditionalFormatting>
  <conditionalFormatting sqref="E1468">
    <cfRule type="containsText" dxfId="87" priority="88" operator="containsText" text="NUEVO">
      <formula>NOT(ISERROR(SEARCH("NUEVO",E1468)))</formula>
    </cfRule>
  </conditionalFormatting>
  <conditionalFormatting sqref="E1468">
    <cfRule type="containsText" dxfId="86" priority="87" operator="containsText" text="Sin Información">
      <formula>NOT(ISERROR(SEARCH("Sin Información",E1468)))</formula>
    </cfRule>
  </conditionalFormatting>
  <conditionalFormatting sqref="C1469:D1469">
    <cfRule type="containsText" dxfId="85" priority="86" operator="containsText" text="NO+$D$4:$D$10">
      <formula>NOT(ISERROR(SEARCH("NO+$D$4:$D$10",C1469)))</formula>
    </cfRule>
  </conditionalFormatting>
  <conditionalFormatting sqref="C1469:D1469">
    <cfRule type="containsText" dxfId="84" priority="84" operator="containsText" text="SI">
      <formula>NOT(ISERROR(SEARCH("SI",C1469)))</formula>
    </cfRule>
    <cfRule type="containsText" dxfId="83" priority="85" operator="containsText" text="NO">
      <formula>NOT(ISERROR(SEARCH("NO",C1469)))</formula>
    </cfRule>
  </conditionalFormatting>
  <conditionalFormatting sqref="E1469">
    <cfRule type="containsText" dxfId="82" priority="83" operator="containsText" text="Sin información">
      <formula>NOT(ISERROR(SEARCH("Sin información",E1469)))</formula>
    </cfRule>
  </conditionalFormatting>
  <conditionalFormatting sqref="C1469:E1469">
    <cfRule type="containsText" dxfId="81" priority="82" operator="containsText" text="NUEVO">
      <formula>NOT(ISERROR(SEARCH("NUEVO",C1469)))</formula>
    </cfRule>
  </conditionalFormatting>
  <conditionalFormatting sqref="C1470:D1470">
    <cfRule type="containsText" dxfId="80" priority="81" operator="containsText" text="NO+$D$4:$D$10">
      <formula>NOT(ISERROR(SEARCH("NO+$D$4:$D$10",C1470)))</formula>
    </cfRule>
  </conditionalFormatting>
  <conditionalFormatting sqref="C1470:D1470">
    <cfRule type="containsText" dxfId="79" priority="79" operator="containsText" text="SI">
      <formula>NOT(ISERROR(SEARCH("SI",C1470)))</formula>
    </cfRule>
    <cfRule type="containsText" dxfId="78" priority="80" operator="containsText" text="NO">
      <formula>NOT(ISERROR(SEARCH("NO",C1470)))</formula>
    </cfRule>
  </conditionalFormatting>
  <conditionalFormatting sqref="E1470">
    <cfRule type="containsText" dxfId="77" priority="78" operator="containsText" text="Sin información">
      <formula>NOT(ISERROR(SEARCH("Sin información",E1470)))</formula>
    </cfRule>
  </conditionalFormatting>
  <conditionalFormatting sqref="C1470:E1470">
    <cfRule type="containsText" dxfId="76" priority="77" operator="containsText" text="NUEVO">
      <formula>NOT(ISERROR(SEARCH("NUEVO",C1470)))</formula>
    </cfRule>
  </conditionalFormatting>
  <conditionalFormatting sqref="C1471:D1471">
    <cfRule type="containsText" dxfId="75" priority="76" operator="containsText" text="NO+$D$4:$D$10">
      <formula>NOT(ISERROR(SEARCH("NO+$D$4:$D$10",C1471)))</formula>
    </cfRule>
  </conditionalFormatting>
  <conditionalFormatting sqref="C1471:D1471">
    <cfRule type="containsText" dxfId="74" priority="74" operator="containsText" text="SI">
      <formula>NOT(ISERROR(SEARCH("SI",C1471)))</formula>
    </cfRule>
    <cfRule type="containsText" dxfId="73" priority="75" operator="containsText" text="NO">
      <formula>NOT(ISERROR(SEARCH("NO",C1471)))</formula>
    </cfRule>
  </conditionalFormatting>
  <conditionalFormatting sqref="E1471">
    <cfRule type="containsText" dxfId="72" priority="73" operator="containsText" text="Sin información">
      <formula>NOT(ISERROR(SEARCH("Sin información",E1471)))</formula>
    </cfRule>
  </conditionalFormatting>
  <conditionalFormatting sqref="C1471:E1471">
    <cfRule type="containsText" dxfId="71" priority="72" operator="containsText" text="NUEVO">
      <formula>NOT(ISERROR(SEARCH("NUEVO",C1471)))</formula>
    </cfRule>
  </conditionalFormatting>
  <conditionalFormatting sqref="E1471">
    <cfRule type="containsText" dxfId="70" priority="71" operator="containsText" text="Sin información">
      <formula>NOT(ISERROR(SEARCH("Sin información",E1471)))</formula>
    </cfRule>
  </conditionalFormatting>
  <conditionalFormatting sqref="E1471">
    <cfRule type="containsText" dxfId="69" priority="70" operator="containsText" text="NUEVO">
      <formula>NOT(ISERROR(SEARCH("NUEVO",E1471)))</formula>
    </cfRule>
  </conditionalFormatting>
  <conditionalFormatting sqref="C1472:D1472">
    <cfRule type="containsText" dxfId="68" priority="69" operator="containsText" text="NO+$D$4:$D$10">
      <formula>NOT(ISERROR(SEARCH("NO+$D$4:$D$10",C1472)))</formula>
    </cfRule>
  </conditionalFormatting>
  <conditionalFormatting sqref="C1472:D1472">
    <cfRule type="containsText" dxfId="67" priority="67" operator="containsText" text="SI">
      <formula>NOT(ISERROR(SEARCH("SI",C1472)))</formula>
    </cfRule>
    <cfRule type="containsText" dxfId="66" priority="68" operator="containsText" text="NO">
      <formula>NOT(ISERROR(SEARCH("NO",C1472)))</formula>
    </cfRule>
  </conditionalFormatting>
  <conditionalFormatting sqref="C1472:E1472">
    <cfRule type="containsText" dxfId="65" priority="66" operator="containsText" text="NUEVO">
      <formula>NOT(ISERROR(SEARCH("NUEVO",C1472)))</formula>
    </cfRule>
  </conditionalFormatting>
  <conditionalFormatting sqref="E1472">
    <cfRule type="containsText" dxfId="64" priority="65" operator="containsText" text="Sin Información">
      <formula>NOT(ISERROR(SEARCH("Sin Información",E1472)))</formula>
    </cfRule>
  </conditionalFormatting>
  <conditionalFormatting sqref="C1473:D1473">
    <cfRule type="containsText" dxfId="63" priority="64" operator="containsText" text="NO+$D$4:$D$10">
      <formula>NOT(ISERROR(SEARCH("NO+$D$4:$D$10",C1473)))</formula>
    </cfRule>
  </conditionalFormatting>
  <conditionalFormatting sqref="C1473:D1473">
    <cfRule type="containsText" dxfId="62" priority="62" operator="containsText" text="SI">
      <formula>NOT(ISERROR(SEARCH("SI",C1473)))</formula>
    </cfRule>
    <cfRule type="containsText" dxfId="61" priority="63" operator="containsText" text="NO">
      <formula>NOT(ISERROR(SEARCH("NO",C1473)))</formula>
    </cfRule>
  </conditionalFormatting>
  <conditionalFormatting sqref="C1473:E1473">
    <cfRule type="containsText" dxfId="60" priority="61" operator="containsText" text="NUEVO">
      <formula>NOT(ISERROR(SEARCH("NUEVO",C1473)))</formula>
    </cfRule>
  </conditionalFormatting>
  <conditionalFormatting sqref="E1473">
    <cfRule type="containsText" dxfId="59" priority="60" operator="containsText" text="Sin Información">
      <formula>NOT(ISERROR(SEARCH("Sin Información",E1473)))</formula>
    </cfRule>
  </conditionalFormatting>
  <conditionalFormatting sqref="C1474:D1474">
    <cfRule type="containsText" dxfId="58" priority="59" operator="containsText" text="NO+$D$4:$D$10">
      <formula>NOT(ISERROR(SEARCH("NO+$D$4:$D$10",C1474)))</formula>
    </cfRule>
  </conditionalFormatting>
  <conditionalFormatting sqref="C1474:D1474">
    <cfRule type="containsText" dxfId="57" priority="57" operator="containsText" text="SI">
      <formula>NOT(ISERROR(SEARCH("SI",C1474)))</formula>
    </cfRule>
    <cfRule type="containsText" dxfId="56" priority="58" operator="containsText" text="NO">
      <formula>NOT(ISERROR(SEARCH("NO",C1474)))</formula>
    </cfRule>
  </conditionalFormatting>
  <conditionalFormatting sqref="C1474:E1474">
    <cfRule type="containsText" dxfId="55" priority="56" operator="containsText" text="NUEVO">
      <formula>NOT(ISERROR(SEARCH("NUEVO",C1474)))</formula>
    </cfRule>
  </conditionalFormatting>
  <conditionalFormatting sqref="E1474">
    <cfRule type="containsText" dxfId="54" priority="55" operator="containsText" text="Sin Información">
      <formula>NOT(ISERROR(SEARCH("Sin Información",E1474)))</formula>
    </cfRule>
  </conditionalFormatting>
  <conditionalFormatting sqref="C1475:D1475">
    <cfRule type="containsText" dxfId="53" priority="54" operator="containsText" text="NO+$D$4:$D$10">
      <formula>NOT(ISERROR(SEARCH("NO+$D$4:$D$10",C1475)))</formula>
    </cfRule>
  </conditionalFormatting>
  <conditionalFormatting sqref="C1475:D1475">
    <cfRule type="containsText" dxfId="52" priority="52" operator="containsText" text="SI">
      <formula>NOT(ISERROR(SEARCH("SI",C1475)))</formula>
    </cfRule>
    <cfRule type="containsText" dxfId="51" priority="53" operator="containsText" text="NO">
      <formula>NOT(ISERROR(SEARCH("NO",C1475)))</formula>
    </cfRule>
  </conditionalFormatting>
  <conditionalFormatting sqref="C1475:D1475">
    <cfRule type="containsText" dxfId="50" priority="51" operator="containsText" text="NUEVO">
      <formula>NOT(ISERROR(SEARCH("NUEVO",C1475)))</formula>
    </cfRule>
  </conditionalFormatting>
  <conditionalFormatting sqref="E1475">
    <cfRule type="containsText" dxfId="49" priority="50" operator="containsText" text="NUEVO">
      <formula>NOT(ISERROR(SEARCH("NUEVO",E1475)))</formula>
    </cfRule>
  </conditionalFormatting>
  <conditionalFormatting sqref="E1475">
    <cfRule type="containsText" dxfId="48" priority="49" operator="containsText" text="Sin Información">
      <formula>NOT(ISERROR(SEARCH("Sin Información",E1475)))</formula>
    </cfRule>
  </conditionalFormatting>
  <conditionalFormatting sqref="C1476:D1476">
    <cfRule type="containsText" dxfId="47" priority="46" operator="containsText" text="NO+$D$4:$D$10">
      <formula>NOT(ISERROR(SEARCH("NO+$D$4:$D$10",C1476)))</formula>
    </cfRule>
  </conditionalFormatting>
  <conditionalFormatting sqref="C1476:D1476">
    <cfRule type="containsText" dxfId="46" priority="44" operator="containsText" text="SI">
      <formula>NOT(ISERROR(SEARCH("SI",C1476)))</formula>
    </cfRule>
    <cfRule type="containsText" dxfId="45" priority="45" operator="containsText" text="NO">
      <formula>NOT(ISERROR(SEARCH("NO",C1476)))</formula>
    </cfRule>
  </conditionalFormatting>
  <conditionalFormatting sqref="C1476:D1476">
    <cfRule type="containsText" dxfId="44" priority="43" operator="containsText" text="NUEVO">
      <formula>NOT(ISERROR(SEARCH("NUEVO",C1476)))</formula>
    </cfRule>
  </conditionalFormatting>
  <conditionalFormatting sqref="E1476">
    <cfRule type="containsText" dxfId="43" priority="47" operator="containsText" text="Sin información">
      <formula>NOT(ISERROR(SEARCH("Sin información",E1823)))</formula>
    </cfRule>
  </conditionalFormatting>
  <conditionalFormatting sqref="E1476">
    <cfRule type="containsText" dxfId="42" priority="48" operator="containsText" text="NUEVO">
      <formula>NOT(ISERROR(SEARCH("NUEVO",E1823)))</formula>
    </cfRule>
  </conditionalFormatting>
  <conditionalFormatting sqref="C1477:D1477">
    <cfRule type="containsText" dxfId="41" priority="42" operator="containsText" text="NO+$D$4:$D$10">
      <formula>NOT(ISERROR(SEARCH("NO+$D$4:$D$10",C1477)))</formula>
    </cfRule>
  </conditionalFormatting>
  <conditionalFormatting sqref="C1477:D1477">
    <cfRule type="containsText" dxfId="40" priority="40" operator="containsText" text="SI">
      <formula>NOT(ISERROR(SEARCH("SI",C1477)))</formula>
    </cfRule>
    <cfRule type="containsText" dxfId="39" priority="41" operator="containsText" text="NO">
      <formula>NOT(ISERROR(SEARCH("NO",C1477)))</formula>
    </cfRule>
  </conditionalFormatting>
  <conditionalFormatting sqref="C1477:E1477">
    <cfRule type="containsText" dxfId="38" priority="39" operator="containsText" text="NUEVO">
      <formula>NOT(ISERROR(SEARCH("NUEVO",C1477)))</formula>
    </cfRule>
  </conditionalFormatting>
  <conditionalFormatting sqref="E1477">
    <cfRule type="containsText" dxfId="37" priority="38" operator="containsText" text="Sin Información">
      <formula>NOT(ISERROR(SEARCH("Sin Información",E1477)))</formula>
    </cfRule>
  </conditionalFormatting>
  <conditionalFormatting sqref="C1478:D1478">
    <cfRule type="containsText" dxfId="36" priority="37" operator="containsText" text="NO+$D$4:$D$10">
      <formula>NOT(ISERROR(SEARCH("NO+$D$4:$D$10",C1478)))</formula>
    </cfRule>
  </conditionalFormatting>
  <conditionalFormatting sqref="C1478:D1478">
    <cfRule type="containsText" dxfId="35" priority="35" operator="containsText" text="SI">
      <formula>NOT(ISERROR(SEARCH("SI",C1478)))</formula>
    </cfRule>
    <cfRule type="containsText" dxfId="34" priority="36" operator="containsText" text="NO">
      <formula>NOT(ISERROR(SEARCH("NO",C1478)))</formula>
    </cfRule>
  </conditionalFormatting>
  <conditionalFormatting sqref="C1478:D1478">
    <cfRule type="containsText" dxfId="33" priority="34" operator="containsText" text="NUEVO">
      <formula>NOT(ISERROR(SEARCH("NUEVO",C1478)))</formula>
    </cfRule>
  </conditionalFormatting>
  <conditionalFormatting sqref="E1478">
    <cfRule type="containsText" dxfId="32" priority="33" operator="containsText" text="NUEVO">
      <formula>NOT(ISERROR(SEARCH("NUEVO",E1478)))</formula>
    </cfRule>
  </conditionalFormatting>
  <conditionalFormatting sqref="E1478">
    <cfRule type="containsText" dxfId="31" priority="32" operator="containsText" text="Sin Información">
      <formula>NOT(ISERROR(SEARCH("Sin Información",E1478)))</formula>
    </cfRule>
  </conditionalFormatting>
  <conditionalFormatting sqref="C1479:D1479">
    <cfRule type="containsText" dxfId="30" priority="31" operator="containsText" text="NO+$D$4:$D$10">
      <formula>NOT(ISERROR(SEARCH("NO+$D$4:$D$10",C1479)))</formula>
    </cfRule>
  </conditionalFormatting>
  <conditionalFormatting sqref="C1479:D1479">
    <cfRule type="containsText" dxfId="29" priority="29" operator="containsText" text="SI">
      <formula>NOT(ISERROR(SEARCH("SI",C1479)))</formula>
    </cfRule>
    <cfRule type="containsText" dxfId="28" priority="30" operator="containsText" text="NO">
      <formula>NOT(ISERROR(SEARCH("NO",C1479)))</formula>
    </cfRule>
  </conditionalFormatting>
  <conditionalFormatting sqref="C1479:D1479">
    <cfRule type="containsText" dxfId="27" priority="28" operator="containsText" text="NUEVO">
      <formula>NOT(ISERROR(SEARCH("NUEVO",C1479)))</formula>
    </cfRule>
  </conditionalFormatting>
  <conditionalFormatting sqref="E1479">
    <cfRule type="containsText" dxfId="26" priority="27" operator="containsText" text="NUEVO">
      <formula>NOT(ISERROR(SEARCH("NUEVO",E1479)))</formula>
    </cfRule>
  </conditionalFormatting>
  <conditionalFormatting sqref="E1479">
    <cfRule type="containsText" dxfId="25" priority="26" operator="containsText" text="Sin Información">
      <formula>NOT(ISERROR(SEARCH("Sin Información",E1479)))</formula>
    </cfRule>
  </conditionalFormatting>
  <conditionalFormatting sqref="C1410:D1410">
    <cfRule type="containsText" dxfId="24" priority="25" operator="containsText" text="NO+$D$4:$D$10">
      <formula>NOT(ISERROR(SEARCH("NO+$D$4:$D$10",C1410)))</formula>
    </cfRule>
  </conditionalFormatting>
  <conditionalFormatting sqref="C1410:D1410">
    <cfRule type="containsText" dxfId="23" priority="23" operator="containsText" text="SI">
      <formula>NOT(ISERROR(SEARCH("SI",C1410)))</formula>
    </cfRule>
    <cfRule type="containsText" dxfId="22" priority="24" operator="containsText" text="NO">
      <formula>NOT(ISERROR(SEARCH("NO",C1410)))</formula>
    </cfRule>
  </conditionalFormatting>
  <conditionalFormatting sqref="E1410">
    <cfRule type="containsText" dxfId="21" priority="22" operator="containsText" text="Sin información">
      <formula>NOT(ISERROR(SEARCH("Sin información",E1410)))</formula>
    </cfRule>
  </conditionalFormatting>
  <conditionalFormatting sqref="C1410:E1410">
    <cfRule type="containsText" dxfId="20" priority="21" operator="containsText" text="NUEVO">
      <formula>NOT(ISERROR(SEARCH("NUEVO",C1410)))</formula>
    </cfRule>
  </conditionalFormatting>
  <conditionalFormatting sqref="C169:D169">
    <cfRule type="containsText" dxfId="19" priority="18" operator="containsText" text="NO+$D$4:$D$10">
      <formula>NOT(ISERROR(SEARCH("NO+$D$4:$D$10",C169)))</formula>
    </cfRule>
  </conditionalFormatting>
  <conditionalFormatting sqref="C169:D169">
    <cfRule type="containsText" dxfId="18" priority="16" operator="containsText" text="SI">
      <formula>NOT(ISERROR(SEARCH("SI",C169)))</formula>
    </cfRule>
    <cfRule type="containsText" dxfId="17" priority="17" operator="containsText" text="NO">
      <formula>NOT(ISERROR(SEARCH("NO",C169)))</formula>
    </cfRule>
  </conditionalFormatting>
  <conditionalFormatting sqref="C169:D169">
    <cfRule type="containsText" dxfId="16" priority="15" operator="containsText" text="NUEVO">
      <formula>NOT(ISERROR(SEARCH("NUEVO",C169)))</formula>
    </cfRule>
  </conditionalFormatting>
  <conditionalFormatting sqref="E169">
    <cfRule type="containsText" dxfId="15" priority="19" operator="containsText" text="Sin información">
      <formula>NOT(ISERROR(SEARCH("Sin información",E1234)))</formula>
    </cfRule>
  </conditionalFormatting>
  <conditionalFormatting sqref="E169">
    <cfRule type="containsText" dxfId="14" priority="20" operator="containsText" text="NUEVO">
      <formula>NOT(ISERROR(SEARCH("NUEVO",E1234)))</formula>
    </cfRule>
  </conditionalFormatting>
  <conditionalFormatting sqref="C170:D170">
    <cfRule type="containsText" dxfId="13" priority="11" operator="containsText" text="NO+$D$4:$D$10">
      <formula>NOT(ISERROR(SEARCH("NO+$D$4:$D$10",C170)))</formula>
    </cfRule>
  </conditionalFormatting>
  <conditionalFormatting sqref="C170:D170">
    <cfRule type="containsText" dxfId="12" priority="9" operator="containsText" text="SI">
      <formula>NOT(ISERROR(SEARCH("SI",C170)))</formula>
    </cfRule>
    <cfRule type="containsText" dxfId="11" priority="10" operator="containsText" text="NO">
      <formula>NOT(ISERROR(SEARCH("NO",C170)))</formula>
    </cfRule>
  </conditionalFormatting>
  <conditionalFormatting sqref="C170:D170">
    <cfRule type="containsText" dxfId="10" priority="8" operator="containsText" text="NUEVO">
      <formula>NOT(ISERROR(SEARCH("NUEVO",C170)))</formula>
    </cfRule>
  </conditionalFormatting>
  <conditionalFormatting sqref="E170">
    <cfRule type="containsText" dxfId="9" priority="12" operator="containsText" text="Sin Información">
      <formula>NOT(ISERROR(SEARCH("Sin Información",E1235)))</formula>
    </cfRule>
  </conditionalFormatting>
  <conditionalFormatting sqref="E170">
    <cfRule type="containsText" dxfId="8" priority="13" operator="containsText" text="Sin información">
      <formula>NOT(ISERROR(SEARCH("Sin información",E1235)))</formula>
    </cfRule>
  </conditionalFormatting>
  <conditionalFormatting sqref="E170">
    <cfRule type="containsText" dxfId="7" priority="14" operator="containsText" text="NUEVO">
      <formula>NOT(ISERROR(SEARCH("NUEVO",E1235)))</formula>
    </cfRule>
  </conditionalFormatting>
  <conditionalFormatting sqref="C171:D171">
    <cfRule type="containsText" dxfId="6" priority="7" operator="containsText" text="NO+$D$4:$D$10">
      <formula>NOT(ISERROR(SEARCH("NO+$D$4:$D$10",C171)))</formula>
    </cfRule>
  </conditionalFormatting>
  <conditionalFormatting sqref="C171:D171">
    <cfRule type="containsText" dxfId="5" priority="5" operator="containsText" text="SI">
      <formula>NOT(ISERROR(SEARCH("SI",C171)))</formula>
    </cfRule>
    <cfRule type="containsText" dxfId="4" priority="6" operator="containsText" text="NO">
      <formula>NOT(ISERROR(SEARCH("NO",C171)))</formula>
    </cfRule>
  </conditionalFormatting>
  <conditionalFormatting sqref="C171:D171">
    <cfRule type="containsText" dxfId="3" priority="4" operator="containsText" text="NUEVO">
      <formula>NOT(ISERROR(SEARCH("NUEVO",C171)))</formula>
    </cfRule>
  </conditionalFormatting>
  <conditionalFormatting sqref="E171">
    <cfRule type="containsText" dxfId="2" priority="2" operator="containsText" text="NUEVO">
      <formula>NOT(ISERROR(SEARCH("NUEVO",E171)))</formula>
    </cfRule>
  </conditionalFormatting>
  <conditionalFormatting sqref="E171">
    <cfRule type="containsText" dxfId="1" priority="3" operator="containsText" text="Sin información">
      <formula>NOT(ISERROR(SEARCH("Sin información",E171)))</formula>
    </cfRule>
  </conditionalFormatting>
  <conditionalFormatting sqref="E171">
    <cfRule type="containsText" dxfId="0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NOT(ISERROR(SEARCH("NUEVO",'15-06-2026 A 21-06-2026'!E196)))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información",'15-06-2026 A 21-06-2026'!E196)))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15-06-2026 A 21-06-2026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2026-06-29T22:31:55Z</dcterms:modified>
</cp:coreProperties>
</file>