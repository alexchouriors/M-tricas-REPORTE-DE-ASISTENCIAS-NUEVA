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FD7AEB24-D455-429F-BF97-984A3974829C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<sst xmlns="http://schemas.openxmlformats.org/spreadsheetml/2006/main" count="7998" uniqueCount="1973">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</sst>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GuardarYSubirAGitHub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I10" sqref="I10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76" t="s">
        <v>47</v>
      </c>
      <c r="B1" s="177"/>
      <c r="C1" s="177"/>
      <c r="D1" s="177"/>
      <c r="E1" s="177"/>
      <c r="F1" s="177"/>
      <c r="G1" s="178"/>
      <c r="L1" t="s">
        <v>1812</v>
      </c>
    </row>
    <row r="2" spans="1:12" ht="15.75" x14ac:dyDescent="0.25">
      <c r="A2" s="179" t="s">
        <v>1972</v>
      </c>
      <c r="B2" s="180"/>
      <c r="C2" s="180"/>
      <c r="D2" s="180"/>
      <c r="E2" s="180"/>
      <c r="F2" s="180"/>
      <c r="G2" s="181"/>
      <c r="H2" s="39"/>
      <c r="L2" s="40" t="str">
        <f ca="1">IF(AND(I2="NO",J2="NO"),IF(L2="",TODAY(),L2),"")</f>
        <v/>
      </c>
    </row>
    <row r="3" spans="1:12" x14ac:dyDescent="0.25">
      <c r="A3" s="190" t="s">
        <v>48</v>
      </c>
      <c r="B3" s="191"/>
      <c r="C3" s="194" t="s">
        <v>1971</v>
      </c>
      <c r="D3" s="195"/>
      <c r="E3" s="195"/>
      <c r="F3" s="195"/>
      <c r="G3" s="196"/>
    </row>
    <row r="4" spans="1:12" x14ac:dyDescent="0.25">
      <c r="A4" s="192"/>
      <c r="B4" s="193"/>
      <c r="C4" s="197"/>
      <c r="D4" s="198"/>
      <c r="E4" s="198"/>
      <c r="F4" s="198"/>
      <c r="G4" s="199"/>
    </row>
    <row r="5" spans="1:12" ht="44.25" customHeight="1" x14ac:dyDescent="0.25">
      <c r="A5" s="173" t="s">
        <v>49</v>
      </c>
      <c r="B5" s="174"/>
      <c r="C5" s="171">
        <f>C98+C281+C396+C512+C558</f>
        <v>219</v>
      </c>
      <c r="D5" s="172"/>
      <c r="E5" s="22" t="s">
        <v>51</v>
      </c>
      <c r="F5" s="35">
        <f>C5/C19*100</f>
        <v>45.911949685534594</v>
      </c>
      <c r="G5" s="13" t="s">
        <v>1920</v>
      </c>
      <c r="H5" s="53"/>
      <c r="J5" s="146" t="s">
        <v>1880</v>
      </c>
      <c r="K5" s="146"/>
    </row>
    <row r="6" spans="1:12" ht="45.75" customHeight="1" x14ac:dyDescent="0.25">
      <c r="A6" s="173" t="s">
        <v>50</v>
      </c>
      <c r="B6" s="174"/>
      <c r="C6" s="182">
        <f>C99+C282+C397+C513+C559</f>
        <v>244</v>
      </c>
      <c r="D6" s="183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3" t="s">
        <v>52</v>
      </c>
      <c r="B8" s="174"/>
      <c r="C8" s="171">
        <f>C101+C284+C399+C515+C561</f>
        <v>203</v>
      </c>
      <c r="D8" s="172"/>
      <c r="E8" s="7" t="s">
        <v>51</v>
      </c>
      <c r="F8" s="35">
        <f>C8/C19*100</f>
        <v>42.55765199161425</v>
      </c>
      <c r="G8" s="13" t="s">
        <v>282</v>
      </c>
      <c r="J8" s="146" t="s">
        <v>1881</v>
      </c>
      <c r="K8" s="146"/>
    </row>
    <row r="9" spans="1:12" ht="58.5" customHeight="1" x14ac:dyDescent="0.25">
      <c r="A9" s="173" t="s">
        <v>53</v>
      </c>
      <c r="B9" s="174"/>
      <c r="C9" s="182">
        <f>C102+C285+C400+C516+C562</f>
        <v>274</v>
      </c>
      <c r="D9" s="183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62" t="s">
        <v>1074</v>
      </c>
      <c r="B11" s="163"/>
      <c r="C11" s="166">
        <f>C104+C287+C402+C518+C564</f>
        <v>108</v>
      </c>
      <c r="D11" s="151" t="s">
        <v>51</v>
      </c>
      <c r="E11" s="153">
        <f>C11/C19*100</f>
        <v>22.641509433962266</v>
      </c>
      <c r="F11" s="186" t="s">
        <v>1066</v>
      </c>
      <c r="G11" s="187"/>
      <c r="H11" s="43"/>
    </row>
    <row r="12" spans="1:12" x14ac:dyDescent="0.25">
      <c r="A12" s="164"/>
      <c r="B12" s="165"/>
      <c r="C12" s="167"/>
      <c r="D12" s="152"/>
      <c r="E12" s="154"/>
      <c r="F12" s="188"/>
      <c r="G12" s="189"/>
      <c r="H12" s="43"/>
    </row>
    <row r="13" spans="1:12" ht="15" customHeight="1" x14ac:dyDescent="0.25">
      <c r="A13" s="162" t="s">
        <v>1075</v>
      </c>
      <c r="B13" s="163"/>
      <c r="C13" s="166">
        <f>C106+C289+C404+C520+C566</f>
        <v>163</v>
      </c>
      <c r="D13" s="151" t="s">
        <v>51</v>
      </c>
      <c r="E13" s="153">
        <f>C13/C19*100</f>
        <v>34.171907756813418</v>
      </c>
      <c r="F13" s="186" t="s">
        <v>1067</v>
      </c>
      <c r="G13" s="187"/>
      <c r="H13" s="43"/>
    </row>
    <row r="14" spans="1:12" ht="15" customHeight="1" x14ac:dyDescent="0.25">
      <c r="A14" s="164"/>
      <c r="B14" s="165"/>
      <c r="C14" s="167"/>
      <c r="D14" s="152"/>
      <c r="E14" s="154"/>
      <c r="F14" s="188"/>
      <c r="G14" s="189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73" t="s">
        <v>375</v>
      </c>
      <c r="B16" s="174"/>
      <c r="C16" s="184">
        <f>COUNTIF(E23:E556,"NUEVO")</f>
        <v>12</v>
      </c>
      <c r="D16" s="185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73" t="s">
        <v>376</v>
      </c>
      <c r="B17" s="174"/>
      <c r="C17" s="184">
        <f>COUNTIF(C23:C556,"NUEVO")</f>
        <v>14</v>
      </c>
      <c r="D17" s="185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3" t="s">
        <v>281</v>
      </c>
      <c r="B19" s="174"/>
      <c r="C19" s="184">
        <f>A96+A279+A394+A510+A556</f>
        <v>477</v>
      </c>
      <c r="D19" s="185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1969</v>
      </c>
      <c r="B21" s="148"/>
      <c r="C21" s="148"/>
      <c r="D21" s="148"/>
      <c r="E21" s="149"/>
      <c r="I21" s="175" t="s">
        <v>1969</v>
      </c>
      <c r="J21" s="175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75"/>
      <c r="J22" s="175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59" t="s">
        <v>54</v>
      </c>
      <c r="B98" s="160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59" t="s">
        <v>55</v>
      </c>
      <c r="B99" s="160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59" t="s">
        <v>56</v>
      </c>
      <c r="B101" s="160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59" t="s">
        <v>57</v>
      </c>
      <c r="B102" s="160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5" t="s">
        <v>1064</v>
      </c>
      <c r="B104" s="156"/>
      <c r="C104" s="150">
        <f>COUNTIFS(C23:C96,"SI",D23:D96,"SI")</f>
        <v>17</v>
      </c>
      <c r="D104" s="151" t="s">
        <v>51</v>
      </c>
      <c r="E104" s="153">
        <f>C104/A96*100</f>
        <v>22.972972972972975</v>
      </c>
      <c r="F104" s="168" t="s">
        <v>1066</v>
      </c>
    </row>
    <row r="105" spans="1:10" ht="15" customHeight="1" x14ac:dyDescent="0.25">
      <c r="A105" s="157"/>
      <c r="B105" s="158"/>
      <c r="C105" s="150"/>
      <c r="D105" s="152"/>
      <c r="E105" s="154"/>
      <c r="F105" s="169"/>
    </row>
    <row r="106" spans="1:10" ht="15" customHeight="1" x14ac:dyDescent="0.25">
      <c r="A106" s="155" t="s">
        <v>1065</v>
      </c>
      <c r="B106" s="156"/>
      <c r="C106" s="150">
        <f>COUNTIFS(C23:C96,"NO",D23:D96,"NO")</f>
        <v>24</v>
      </c>
      <c r="D106" s="151" t="s">
        <v>51</v>
      </c>
      <c r="E106" s="153">
        <f>C106/A96*100</f>
        <v>32.432432432432435</v>
      </c>
      <c r="F106" s="168" t="s">
        <v>1067</v>
      </c>
    </row>
    <row r="107" spans="1:10" ht="15" customHeight="1" x14ac:dyDescent="0.25">
      <c r="A107" s="157"/>
      <c r="B107" s="158"/>
      <c r="C107" s="150"/>
      <c r="D107" s="152"/>
      <c r="E107" s="154"/>
      <c r="F107" s="16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47" t="s">
        <v>570</v>
      </c>
      <c r="B110" s="148"/>
      <c r="C110" s="148"/>
      <c r="D110" s="148"/>
      <c r="E110" s="149"/>
      <c r="I110" s="161" t="s">
        <v>1813</v>
      </c>
      <c r="J110" s="161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1"/>
      <c r="J111" s="161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59" t="s">
        <v>54</v>
      </c>
      <c r="B281" s="160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59" t="s">
        <v>55</v>
      </c>
      <c r="B282" s="160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59" t="s">
        <v>56</v>
      </c>
      <c r="B284" s="160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59" t="s">
        <v>57</v>
      </c>
      <c r="B285" s="160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5" t="s">
        <v>1064</v>
      </c>
      <c r="B287" s="156"/>
      <c r="C287" s="150">
        <f>COUNTIFS(C112:C279,"SI",D112:D279,"SI")</f>
        <v>26</v>
      </c>
      <c r="D287" s="200" t="s">
        <v>51</v>
      </c>
      <c r="E287" s="153">
        <f>C287/A279*100</f>
        <v>15.476190476190476</v>
      </c>
      <c r="F287" s="170" t="s">
        <v>1066</v>
      </c>
    </row>
    <row r="288" spans="1:9" x14ac:dyDescent="0.25">
      <c r="A288" s="157"/>
      <c r="B288" s="158"/>
      <c r="C288" s="150"/>
      <c r="D288" s="152"/>
      <c r="E288" s="154"/>
      <c r="F288" s="169"/>
    </row>
    <row r="289" spans="1:10" x14ac:dyDescent="0.25">
      <c r="A289" s="155" t="s">
        <v>1065</v>
      </c>
      <c r="B289" s="156"/>
      <c r="C289" s="150">
        <f>COUNTIFS(C112:C279,"NO",D112:D279,"NO")</f>
        <v>66</v>
      </c>
      <c r="D289" s="151" t="s">
        <v>51</v>
      </c>
      <c r="E289" s="153">
        <f>C289/A279*100</f>
        <v>39.285714285714285</v>
      </c>
      <c r="F289" s="168" t="s">
        <v>1067</v>
      </c>
    </row>
    <row r="290" spans="1:10" ht="15" customHeight="1" x14ac:dyDescent="0.25">
      <c r="A290" s="157"/>
      <c r="B290" s="158"/>
      <c r="C290" s="150"/>
      <c r="D290" s="152"/>
      <c r="E290" s="154"/>
      <c r="F290" s="169"/>
    </row>
    <row r="291" spans="1:10" ht="15" customHeight="1" x14ac:dyDescent="0.25"/>
    <row r="292" spans="1:10" ht="15" customHeight="1" x14ac:dyDescent="0.25">
      <c r="A292" s="147" t="s">
        <v>1914</v>
      </c>
      <c r="B292" s="148"/>
      <c r="C292" s="148"/>
      <c r="D292" s="148"/>
      <c r="E292" s="149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61" t="s">
        <v>1814</v>
      </c>
      <c r="J295" s="161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61"/>
      <c r="J296" s="161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59" t="s">
        <v>54</v>
      </c>
      <c r="B396" s="160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59" t="s">
        <v>55</v>
      </c>
      <c r="B397" s="160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59" t="s">
        <v>56</v>
      </c>
      <c r="B399" s="160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59" t="s">
        <v>57</v>
      </c>
      <c r="B400" s="160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5" t="s">
        <v>1064</v>
      </c>
      <c r="B402" s="156"/>
      <c r="C402" s="150">
        <f>COUNTIFS(C294:C394,"SI",D294:D394,"SI")</f>
        <v>29</v>
      </c>
      <c r="D402" s="151" t="s">
        <v>51</v>
      </c>
      <c r="E402" s="153">
        <f>C402/A394*100</f>
        <v>28.71287128712871</v>
      </c>
      <c r="F402" s="168" t="s">
        <v>1066</v>
      </c>
    </row>
    <row r="403" spans="1:10" x14ac:dyDescent="0.25">
      <c r="A403" s="157"/>
      <c r="B403" s="158"/>
      <c r="C403" s="150"/>
      <c r="D403" s="152"/>
      <c r="E403" s="154"/>
      <c r="F403" s="169"/>
    </row>
    <row r="404" spans="1:10" x14ac:dyDescent="0.25">
      <c r="A404" s="155" t="s">
        <v>1065</v>
      </c>
      <c r="B404" s="156"/>
      <c r="C404" s="150">
        <f>COUNTIFS(C289:C394,"NO",D289:D394,"NO")</f>
        <v>26</v>
      </c>
      <c r="D404" s="151" t="s">
        <v>51</v>
      </c>
      <c r="E404" s="153">
        <f>C404/A394*100</f>
        <v>25.742574257425744</v>
      </c>
      <c r="F404" s="168" t="s">
        <v>1067</v>
      </c>
    </row>
    <row r="405" spans="1:10" x14ac:dyDescent="0.25">
      <c r="A405" s="157"/>
      <c r="B405" s="158"/>
      <c r="C405" s="150"/>
      <c r="D405" s="152"/>
      <c r="E405" s="154"/>
      <c r="F405" s="169"/>
    </row>
    <row r="407" spans="1:10" ht="15" customHeight="1" x14ac:dyDescent="0.25">
      <c r="A407" s="147" t="s">
        <v>1913</v>
      </c>
      <c r="B407" s="148"/>
      <c r="C407" s="148"/>
      <c r="D407" s="148"/>
      <c r="E407" s="149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61" t="s">
        <v>1913</v>
      </c>
      <c r="J412" s="161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61"/>
      <c r="J413" s="161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59" t="s">
        <v>54</v>
      </c>
      <c r="B512" s="160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59" t="s">
        <v>55</v>
      </c>
      <c r="B513" s="160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59" t="s">
        <v>56</v>
      </c>
      <c r="B515" s="160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59" t="s">
        <v>57</v>
      </c>
      <c r="B516" s="160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5" t="s">
        <v>1064</v>
      </c>
      <c r="B518" s="156"/>
      <c r="C518" s="150">
        <f>COUNTIFS(C409:C510,"SI",D409:D510,"SI")</f>
        <v>30</v>
      </c>
      <c r="D518" s="151" t="s">
        <v>51</v>
      </c>
      <c r="E518" s="153">
        <f>C518/A510*100</f>
        <v>29.411764705882355</v>
      </c>
      <c r="F518" s="168" t="s">
        <v>1066</v>
      </c>
      <c r="I518" t="str">
        <f t="shared" si="16"/>
        <v/>
      </c>
    </row>
    <row r="519" spans="1:9" x14ac:dyDescent="0.25">
      <c r="A519" s="157"/>
      <c r="B519" s="158"/>
      <c r="C519" s="150"/>
      <c r="D519" s="152"/>
      <c r="E519" s="154"/>
      <c r="F519" s="169"/>
      <c r="I519" t="str">
        <f t="shared" si="16"/>
        <v/>
      </c>
    </row>
    <row r="520" spans="1:9" x14ac:dyDescent="0.25">
      <c r="A520" s="155" t="s">
        <v>1065</v>
      </c>
      <c r="B520" s="156"/>
      <c r="C520" s="150">
        <f>COUNTIFS(C409:C510,"NO",D409:D510,"NO")</f>
        <v>31</v>
      </c>
      <c r="D520" s="151" t="s">
        <v>51</v>
      </c>
      <c r="E520" s="153">
        <f>C520/A510*100</f>
        <v>30.392156862745097</v>
      </c>
      <c r="F520" s="168" t="s">
        <v>1067</v>
      </c>
      <c r="H520" s="47"/>
      <c r="I520" t="str">
        <f t="shared" si="16"/>
        <v/>
      </c>
    </row>
    <row r="521" spans="1:9" x14ac:dyDescent="0.25">
      <c r="A521" s="157"/>
      <c r="B521" s="158"/>
      <c r="C521" s="150"/>
      <c r="D521" s="152"/>
      <c r="E521" s="154"/>
      <c r="F521" s="16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47" t="s">
        <v>1371</v>
      </c>
      <c r="B523" s="148"/>
      <c r="C523" s="148"/>
      <c r="D523" s="148"/>
      <c r="E523" s="149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61" t="s">
        <v>1816</v>
      </c>
      <c r="J529" s="161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61"/>
      <c r="J530" s="161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59" t="s">
        <v>54</v>
      </c>
      <c r="B558" s="160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59" t="s">
        <v>55</v>
      </c>
      <c r="B559" s="160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59" t="s">
        <v>56</v>
      </c>
      <c r="B561" s="160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59" t="s">
        <v>57</v>
      </c>
      <c r="B562" s="160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5" t="s">
        <v>1064</v>
      </c>
      <c r="B564" s="156"/>
      <c r="C564" s="150">
        <f>COUNTIFS(C525:C556,"SI",D525:D556,"SI")</f>
        <v>6</v>
      </c>
      <c r="D564" s="151" t="s">
        <v>51</v>
      </c>
      <c r="E564" s="153">
        <f>C564/A556*100</f>
        <v>18.75</v>
      </c>
      <c r="F564" s="168" t="s">
        <v>1066</v>
      </c>
    </row>
    <row r="565" spans="1:6" ht="36" customHeight="1" x14ac:dyDescent="0.25">
      <c r="A565" s="157"/>
      <c r="B565" s="158"/>
      <c r="C565" s="150"/>
      <c r="D565" s="152"/>
      <c r="E565" s="154"/>
      <c r="F565" s="169"/>
    </row>
    <row r="566" spans="1:6" x14ac:dyDescent="0.25">
      <c r="A566" s="155" t="s">
        <v>1065</v>
      </c>
      <c r="B566" s="156"/>
      <c r="C566" s="150">
        <f>COUNTIFS(C525:C556,"NO",D525:D556,"NO")</f>
        <v>16</v>
      </c>
      <c r="D566" s="151" t="s">
        <v>51</v>
      </c>
      <c r="E566" s="153">
        <f>C566/A556*100</f>
        <v>50</v>
      </c>
      <c r="F566" s="168" t="s">
        <v>1067</v>
      </c>
    </row>
    <row r="567" spans="1:6" x14ac:dyDescent="0.25">
      <c r="A567" s="157"/>
      <c r="B567" s="158"/>
      <c r="C567" s="150"/>
      <c r="D567" s="152"/>
      <c r="E567" s="154"/>
      <c r="F567" s="16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2026-06-30T03:09:45Z</dcterms:modified>
</cp:coreProperties>
</file>