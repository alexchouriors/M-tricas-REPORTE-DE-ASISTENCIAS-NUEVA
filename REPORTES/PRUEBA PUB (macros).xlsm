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66E487A2-CDE5-4403-9CAF-4366F6CC7BD7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2-06-2026 A 28-06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'22-06-2026 A 28-06-2026'!$A$22:$F$96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9" i="1" l="1"/>
  <c r="C101" i="1"/>
  <c r="A1483" i="8"/>
  <c r="I505" i="1"/>
  <c r="F268" i="1"/>
  <c r="F267" i="1"/>
  <c r="C512" i="1"/>
  <c r="C520" i="1"/>
  <c r="E520" i="1" s="1"/>
  <c r="C516" i="1"/>
  <c r="C513" i="1"/>
  <c r="C515" i="1"/>
  <c r="F553" i="1"/>
  <c r="I275" i="1"/>
  <c r="I384" i="1"/>
  <c r="F343" i="1"/>
  <c r="F364" i="1"/>
  <c r="F342" i="1"/>
  <c r="F351" i="1"/>
  <c r="I88" i="1"/>
  <c r="I554" i="1"/>
  <c r="I382" i="1"/>
  <c r="F311" i="1"/>
  <c r="I504" i="1"/>
  <c r="I274" i="1"/>
  <c r="I87" i="1"/>
  <c r="F260" i="1"/>
  <c r="F276" i="1"/>
  <c r="F258" i="1"/>
  <c r="F257" i="1"/>
  <c r="F552" i="1"/>
  <c r="F507" i="1"/>
  <c r="F54" i="1"/>
  <c r="F444" i="1"/>
  <c r="C104" i="1"/>
  <c r="C106" i="1"/>
  <c r="I531" i="1" a="1"/>
  <c r="I531" i="1" s="1"/>
  <c r="I414" i="1" a="1"/>
  <c r="I414" i="1" s="1"/>
  <c r="I297" i="1" a="1"/>
  <c r="I297" i="1" s="1"/>
  <c r="I112" i="1" a="1"/>
  <c r="I112" i="1" s="1"/>
  <c r="I528" i="1"/>
  <c r="I527" i="1"/>
  <c r="I525" i="1"/>
  <c r="I523" i="1"/>
  <c r="I520" i="1"/>
  <c r="I517" i="1"/>
  <c r="C566" i="1"/>
  <c r="E566" i="1" s="1"/>
  <c r="C564" i="1"/>
  <c r="E564" i="1" s="1"/>
  <c r="C518" i="1"/>
  <c r="E518" i="1" s="1"/>
  <c r="C402" i="1"/>
  <c r="E402" i="1" s="1"/>
  <c r="C289" i="1"/>
  <c r="C404" i="1" s="1"/>
  <c r="E404" i="1" s="1"/>
  <c r="C287" i="1"/>
  <c r="E287" i="1" s="1"/>
  <c r="J537" i="1" l="1"/>
  <c r="C13" i="1"/>
  <c r="E13" i="1" s="1"/>
  <c r="J444" i="1"/>
  <c r="J326" i="1"/>
  <c r="J138" i="1"/>
  <c r="I526" i="1"/>
  <c r="I524" i="1"/>
  <c r="E289" i="1"/>
  <c r="C399" i="1"/>
  <c r="C282" i="1" l="1"/>
  <c r="C285" i="1"/>
  <c r="C396" i="1"/>
  <c r="C400" i="1"/>
  <c r="E400" i="1" s="1"/>
  <c r="C562" i="1"/>
  <c r="E562" i="1" s="1"/>
  <c r="C561" i="1"/>
  <c r="E561" i="1" s="1"/>
  <c r="C559" i="1"/>
  <c r="E559" i="1" s="1"/>
  <c r="C558" i="1"/>
  <c r="E558" i="1" s="1"/>
  <c r="C397" i="1"/>
  <c r="E397" i="1" s="1"/>
  <c r="C102" i="1"/>
  <c r="C284" i="1"/>
  <c r="I522" i="1" l="1"/>
  <c r="E102" i="1"/>
  <c r="E101" i="1"/>
  <c r="C8" i="1" l="1"/>
  <c r="F8" i="1" s="1"/>
  <c r="I521" i="1"/>
  <c r="C9" i="1"/>
  <c r="E516" i="1" l="1"/>
  <c r="E285" i="1"/>
  <c r="E399" i="1"/>
  <c r="E396" i="1" l="1"/>
  <c r="F9" i="1"/>
  <c r="C281" i="1" l="1"/>
  <c r="I518" i="1"/>
  <c r="E515" i="1"/>
  <c r="E513" i="1" l="1"/>
  <c r="I519" i="1"/>
  <c r="E512" i="1"/>
  <c r="E282" i="1"/>
  <c r="E284" i="1"/>
  <c r="E281" i="1"/>
  <c r="L2" i="1"/>
  <c r="I23" i="1" a="1"/>
  <c r="I23" i="1" s="1"/>
  <c r="C98" i="1"/>
  <c r="C99" i="1"/>
  <c r="E99" i="1" s="1"/>
  <c r="J40" i="1"/>
  <c r="E106" i="1"/>
  <c r="C11" i="1" l="1"/>
  <c r="E11" i="1" s="1"/>
  <c r="C5" i="1"/>
  <c r="F5" i="1" s="1"/>
  <c r="C17" i="1"/>
  <c r="F17" i="1" s="1"/>
  <c r="E104" i="1"/>
  <c r="E98" i="1"/>
  <c r="C6" i="1"/>
  <c r="F6" i="1" s="1"/>
  <c r="C16" i="1" l="1"/>
  <c r="F16" i="1" s="1"/>
  <c r="F417" i="1"/>
  <c r="F418" i="1"/>
  <c r="F419" i="1"/>
  <c r="F420" i="1"/>
  <c r="F422" i="1"/>
  <c r="F425" i="1"/>
  <c r="F440" i="1"/>
  <c r="F452" i="1"/>
  <c r="F421" i="1"/>
  <c r="F436" i="1"/>
  <c r="F437" i="1"/>
  <c r="F447" i="1"/>
  <c r="F458" i="1"/>
  <c r="F467" i="1"/>
  <c r="F473" i="1"/>
  <c r="F503" i="1"/>
  <c r="F443" i="1"/>
  <c r="F439" i="1"/>
  <c r="F429" i="1"/>
  <c r="F414" i="1"/>
  <c r="F415" i="1"/>
  <c r="F427" i="1"/>
  <c r="F428" i="1"/>
  <c r="F434" i="1"/>
  <c r="F435" i="1"/>
  <c r="F457" i="1"/>
  <c r="F461" i="1"/>
  <c r="F474" i="1"/>
  <c r="F476" i="1"/>
  <c r="F479" i="1"/>
  <c r="F483" i="1"/>
  <c r="F484" i="1"/>
  <c r="F485" i="1"/>
  <c r="F486" i="1"/>
  <c r="F372" i="1"/>
  <c r="F525" i="1"/>
  <c r="F526" i="1"/>
  <c r="F527" i="1"/>
  <c r="F529" i="1"/>
  <c r="F530" i="1"/>
  <c r="F531" i="1"/>
  <c r="F532" i="1"/>
  <c r="F533" i="1"/>
  <c r="F528" i="1"/>
  <c r="F412" i="1"/>
  <c r="F413" i="1"/>
  <c r="F416" i="1"/>
  <c r="F446" i="1"/>
  <c r="F448" i="1"/>
  <c r="F453" i="1"/>
  <c r="F472" i="1"/>
  <c r="F468" i="1"/>
  <c r="F25" i="1"/>
  <c r="F27" i="1"/>
  <c r="F28" i="1"/>
  <c r="F26" i="1"/>
  <c r="F45" i="1"/>
  <c r="F46" i="1"/>
  <c r="F33" i="1"/>
  <c r="F36" i="1"/>
  <c r="F38" i="1"/>
  <c r="F42" i="1"/>
  <c r="F23" i="1"/>
  <c r="F24" i="1"/>
  <c r="F47" i="1"/>
  <c r="F65" i="1"/>
  <c r="F67" i="1"/>
  <c r="F68" i="1"/>
  <c r="F50" i="1"/>
  <c r="F62" i="1"/>
  <c r="F44" i="1"/>
  <c r="F51" i="1"/>
  <c r="F76" i="1"/>
  <c r="F77" i="1"/>
  <c r="F78" i="1"/>
  <c r="F83" i="1"/>
  <c r="F84" i="1"/>
  <c r="F43" i="1"/>
  <c r="F53" i="1"/>
  <c r="F79" i="1"/>
  <c r="F52" i="1"/>
  <c r="F80" i="1"/>
  <c r="F81" i="1"/>
  <c r="F82" i="1"/>
  <c r="F87" i="1"/>
  <c r="F450" i="1"/>
  <c r="F466" i="1"/>
  <c r="F490" i="1"/>
  <c r="F48" i="1"/>
  <c r="F510" i="1"/>
  <c r="F534" i="1"/>
  <c r="F550" i="1"/>
  <c r="F554" i="1"/>
  <c r="F354" i="1"/>
  <c r="F545" i="1"/>
  <c r="F122" i="1"/>
  <c r="F123" i="1"/>
  <c r="F173" i="1"/>
  <c r="F189" i="1"/>
  <c r="F244" i="1"/>
  <c r="F245" i="1"/>
  <c r="F247" i="1"/>
  <c r="F248" i="1"/>
  <c r="F249" i="1"/>
  <c r="F477" i="1"/>
  <c r="F481" i="1"/>
  <c r="F120" i="1"/>
  <c r="F174" i="1"/>
  <c r="F270" i="1"/>
  <c r="F279" i="1"/>
  <c r="F209" i="1"/>
  <c r="F240" i="1"/>
  <c r="F235" i="1"/>
  <c r="F213" i="1"/>
  <c r="F217" i="1"/>
  <c r="F117" i="1"/>
  <c r="F143" i="1"/>
  <c r="F176" i="1"/>
  <c r="F211" i="1"/>
  <c r="F212" i="1"/>
  <c r="F220" i="1"/>
  <c r="F223" i="1"/>
  <c r="F237" i="1"/>
  <c r="F115" i="1"/>
  <c r="F119" i="1"/>
  <c r="F124" i="1"/>
  <c r="F182" i="1"/>
  <c r="F205" i="1"/>
  <c r="F228" i="1"/>
  <c r="F243" i="1"/>
  <c r="F118" i="1"/>
  <c r="F250" i="1"/>
  <c r="F252" i="1"/>
  <c r="F180" i="1"/>
  <c r="F186" i="1"/>
  <c r="F187" i="1"/>
  <c r="F132" i="1"/>
  <c r="F138" i="1"/>
  <c r="F194" i="1"/>
  <c r="F218" i="1"/>
  <c r="F227" i="1"/>
  <c r="F409" i="1"/>
  <c r="F229" i="1"/>
  <c r="F178" i="1"/>
  <c r="F179" i="1"/>
  <c r="F242" i="1"/>
  <c r="F199" i="1"/>
  <c r="F204" i="1"/>
  <c r="F181" i="1"/>
  <c r="F188" i="1"/>
  <c r="F256" i="1"/>
  <c r="F29" i="1"/>
  <c r="F37" i="1"/>
  <c r="F61" i="1"/>
  <c r="F88" i="1"/>
  <c r="F449" i="1"/>
  <c r="F30" i="1"/>
  <c r="F296" i="1"/>
  <c r="F297" i="1"/>
  <c r="F299" i="1"/>
  <c r="F319" i="1"/>
  <c r="F339" i="1"/>
  <c r="F365" i="1"/>
  <c r="F300" i="1"/>
  <c r="F302" i="1"/>
  <c r="F357" i="1"/>
  <c r="F316" i="1"/>
  <c r="F340" i="1"/>
  <c r="F384" i="1"/>
  <c r="F385" i="1"/>
  <c r="F386" i="1"/>
  <c r="F394" i="1"/>
  <c r="F317" i="1"/>
  <c r="F318" i="1"/>
  <c r="F320" i="1"/>
  <c r="F323" i="1"/>
  <c r="F330" i="1"/>
  <c r="F332" i="1"/>
  <c r="F337" i="1"/>
  <c r="F355" i="1"/>
  <c r="F362" i="1"/>
  <c r="F383" i="1"/>
  <c r="F356" i="1"/>
  <c r="F336" i="1"/>
  <c r="F303" i="1"/>
  <c r="F304" i="1"/>
  <c r="F305" i="1"/>
  <c r="F338" i="1"/>
  <c r="F348" i="1"/>
  <c r="F347" i="1"/>
  <c r="F306" i="1"/>
  <c r="F363" i="1"/>
  <c r="F312" i="1"/>
  <c r="F315" i="1"/>
  <c r="F334" i="1"/>
  <c r="F346" i="1"/>
  <c r="F359" i="1"/>
  <c r="F374" i="1"/>
  <c r="F377" i="1"/>
  <c r="F379" i="1"/>
  <c r="F381" i="1"/>
  <c r="F308" i="1"/>
  <c r="F380" i="1"/>
  <c r="F371" i="1"/>
  <c r="F49" i="1"/>
  <c r="F60" i="1"/>
  <c r="F57" i="1"/>
  <c r="F96" i="1"/>
  <c r="F426" i="1"/>
  <c r="F432" i="1"/>
  <c r="F465" i="1"/>
  <c r="F460" i="1"/>
  <c r="F455" i="1"/>
  <c r="F154" i="1"/>
  <c r="F441" i="1"/>
  <c r="F456" i="1"/>
  <c r="F431" i="1"/>
  <c r="F153" i="1"/>
  <c r="F478" i="1"/>
  <c r="F442" i="1"/>
  <c r="F482" i="1"/>
  <c r="F487" i="1"/>
  <c r="F410" i="1"/>
  <c r="F505" i="1"/>
  <c r="F464" i="1"/>
  <c r="F224" i="1"/>
  <c r="F324" i="1"/>
  <c r="F331" i="1"/>
  <c r="F294" i="1"/>
  <c r="F295" i="1"/>
  <c r="F298" i="1"/>
  <c r="F301" i="1"/>
  <c r="F345" i="1"/>
  <c r="F333" i="1"/>
  <c r="F353" i="1"/>
  <c r="F367" i="1"/>
  <c r="F352" i="1"/>
  <c r="F313" i="1"/>
  <c r="F322" i="1"/>
  <c r="F131" i="1"/>
  <c r="F137" i="1"/>
  <c r="F241" i="1"/>
  <c r="F193" i="1"/>
  <c r="F225" i="1"/>
  <c r="F197" i="1"/>
  <c r="F112" i="1"/>
  <c r="F113" i="1"/>
  <c r="F121" i="1"/>
  <c r="F134" i="1"/>
  <c r="F133" i="1"/>
  <c r="F136" i="1"/>
  <c r="F214" i="1"/>
  <c r="F215" i="1"/>
  <c r="F216" i="1"/>
  <c r="F163" i="1"/>
  <c r="F165" i="1"/>
  <c r="F166" i="1"/>
  <c r="F167" i="1"/>
  <c r="F171" i="1"/>
  <c r="F175" i="1"/>
  <c r="F190" i="1"/>
  <c r="F202" i="1"/>
  <c r="F221" i="1"/>
  <c r="F275" i="1"/>
  <c r="F169" i="1"/>
  <c r="F164" i="1"/>
  <c r="F168" i="1"/>
  <c r="F170" i="1"/>
  <c r="F259" i="1"/>
  <c r="F262" i="1"/>
  <c r="F160" i="1"/>
  <c r="F540" i="1"/>
  <c r="F129" i="1"/>
  <c r="F144" i="1"/>
  <c r="F183" i="1"/>
  <c r="F172" i="1"/>
  <c r="F135" i="1"/>
  <c r="F31" i="1"/>
  <c r="F32" i="1"/>
  <c r="F34" i="1"/>
  <c r="F35" i="1"/>
  <c r="F39" i="1"/>
  <c r="F40" i="1"/>
  <c r="F41" i="1"/>
  <c r="F55" i="1"/>
  <c r="F56" i="1"/>
  <c r="F58" i="1"/>
  <c r="F59" i="1"/>
  <c r="F63" i="1"/>
  <c r="F64" i="1"/>
  <c r="F66" i="1"/>
  <c r="F69" i="1"/>
  <c r="F70" i="1"/>
  <c r="F71" i="1"/>
  <c r="F72" i="1"/>
  <c r="F73" i="1"/>
  <c r="F74" i="1"/>
  <c r="F75" i="1"/>
  <c r="F85" i="1"/>
  <c r="F86" i="1"/>
  <c r="F89" i="1"/>
  <c r="F114" i="1"/>
  <c r="F116" i="1"/>
  <c r="F125" i="1"/>
  <c r="F126" i="1"/>
  <c r="F127" i="1"/>
  <c r="F128" i="1"/>
  <c r="F130" i="1"/>
  <c r="F139" i="1"/>
  <c r="F140" i="1"/>
  <c r="F141" i="1"/>
  <c r="F142" i="1"/>
  <c r="F145" i="1"/>
  <c r="F146" i="1"/>
  <c r="F147" i="1"/>
  <c r="F148" i="1"/>
  <c r="F149" i="1"/>
  <c r="F150" i="1"/>
  <c r="F151" i="1"/>
  <c r="F152" i="1"/>
  <c r="F155" i="1"/>
  <c r="F156" i="1"/>
  <c r="F157" i="1"/>
  <c r="F158" i="1"/>
  <c r="F159" i="1"/>
  <c r="F161" i="1"/>
  <c r="F162" i="1"/>
  <c r="F177" i="1"/>
  <c r="F184" i="1"/>
  <c r="F185" i="1"/>
  <c r="F191" i="1"/>
  <c r="F192" i="1"/>
  <c r="F195" i="1"/>
  <c r="F196" i="1"/>
  <c r="F198" i="1"/>
  <c r="F200" i="1"/>
  <c r="F201" i="1"/>
  <c r="F203" i="1"/>
  <c r="F206" i="1"/>
  <c r="F207" i="1"/>
  <c r="F208" i="1"/>
  <c r="F210" i="1"/>
  <c r="F219" i="1"/>
  <c r="F222" i="1"/>
  <c r="F226" i="1"/>
  <c r="F230" i="1"/>
  <c r="F231" i="1"/>
  <c r="F232" i="1"/>
  <c r="F233" i="1"/>
  <c r="F234" i="1"/>
  <c r="F236" i="1"/>
  <c r="F238" i="1"/>
  <c r="F239" i="1"/>
  <c r="F246" i="1"/>
  <c r="F251" i="1"/>
  <c r="F253" i="1"/>
  <c r="F254" i="1"/>
  <c r="F255" i="1"/>
  <c r="F261" i="1"/>
  <c r="F263" i="1"/>
  <c r="F264" i="1"/>
  <c r="F265" i="1"/>
  <c r="F266" i="1"/>
  <c r="F271" i="1"/>
  <c r="F272" i="1"/>
  <c r="F273" i="1"/>
  <c r="F274" i="1"/>
  <c r="F307" i="1"/>
  <c r="F309" i="1"/>
  <c r="F310" i="1"/>
  <c r="F314" i="1"/>
  <c r="F321" i="1"/>
  <c r="F325" i="1"/>
  <c r="F326" i="1"/>
  <c r="F327" i="1"/>
  <c r="F328" i="1"/>
  <c r="F329" i="1"/>
  <c r="F335" i="1"/>
  <c r="F341" i="1"/>
  <c r="F349" i="1"/>
  <c r="F350" i="1"/>
  <c r="F358" i="1"/>
  <c r="F360" i="1"/>
  <c r="F361" i="1"/>
  <c r="F366" i="1"/>
  <c r="F368" i="1"/>
  <c r="F369" i="1"/>
  <c r="F370" i="1"/>
  <c r="F373" i="1"/>
  <c r="F375" i="1"/>
  <c r="F376" i="1"/>
  <c r="F378" i="1"/>
  <c r="F382" i="1"/>
  <c r="F411" i="1"/>
  <c r="F423" i="1"/>
  <c r="F424" i="1"/>
  <c r="F430" i="1"/>
  <c r="F433" i="1"/>
  <c r="F438" i="1"/>
  <c r="F445" i="1"/>
  <c r="F451" i="1"/>
  <c r="F454" i="1"/>
  <c r="F459" i="1"/>
  <c r="F462" i="1"/>
  <c r="F463" i="1"/>
  <c r="F469" i="1"/>
  <c r="F470" i="1"/>
  <c r="F471" i="1"/>
  <c r="F475" i="1"/>
  <c r="F480" i="1"/>
  <c r="F488" i="1"/>
  <c r="F489" i="1"/>
  <c r="F491" i="1"/>
  <c r="F492" i="1"/>
  <c r="F493" i="1"/>
  <c r="F494" i="1"/>
  <c r="F495" i="1"/>
  <c r="F496" i="1"/>
  <c r="F497" i="1"/>
  <c r="F500" i="1"/>
  <c r="F501" i="1"/>
  <c r="F502" i="1"/>
  <c r="F504" i="1"/>
  <c r="F506" i="1"/>
  <c r="F535" i="1"/>
  <c r="F536" i="1"/>
  <c r="F537" i="1"/>
  <c r="F538" i="1"/>
  <c r="F539" i="1"/>
  <c r="F541" i="1"/>
  <c r="F542" i="1"/>
  <c r="F543" i="1"/>
  <c r="F544" i="1"/>
  <c r="F546" i="1"/>
  <c r="F547" i="1"/>
  <c r="F548" i="1"/>
  <c r="F549" i="1"/>
  <c r="F551" i="1"/>
  <c r="F555" i="1"/>
  <c r="F55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<sst xmlns="http://schemas.openxmlformats.org/spreadsheetml/2006/main" count="7998" uniqueCount="1973">
  <si>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</si>
  <si>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</si>
  <si>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</si>
  <si>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</si>
  <si>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</si>
  <si>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</si>
  <si>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</si>
  <si>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</si>
  <si>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</si>
  <si>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</si>
  <si>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</si>
  <si>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</si>
  <si>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</si>
  <si>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</si>
  <si>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</si>
  <si>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</si>
  <si>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</si>
  <si>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</si>
  <si>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</si>
  <si>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</si>
  <si>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</si>
  <si>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</si>
  <si>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</si>
  <si>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</si>
  <si>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</si>
  <si>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</si>
  <si>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</si>
  <si>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</si>
  <si>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</si>
  <si>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</si>
  <si>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</si>
  <si>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</si>
  <si>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</si>
  <si>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</si>
  <si>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</si>
  <si>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</si>
  <si>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</si>
  <si>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</si>
  <si>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</si>
  <si>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</si>
  <si>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</si>
  <si>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</si>
  <si>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</si>
  <si>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</si>
  <si>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</si>
  <si>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</si>
  <si>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</si>
  <si>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</si>
  <si>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</si>
  <si>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</si>
  <si>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</si>
  <si>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</si>
  <si>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</si>
  <si>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</si>
  <si>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</si>
  <si>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</si>
  <si>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</si>
  <si>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</si>
  <si>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</si>
  <si>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</si>
  <si>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</si>
  <si>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</si>
  <si>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</si>
  <si>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</si>
  <si>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</si>
  <si>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</si>
  <si>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</si>
  <si>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</si>
  <si>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</si>
  <si>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</si>
  <si>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</si>
  <si>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</si>
  <si>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</si>
  <si>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</si>
  <si>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</si>
  <si>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</si>
  <si>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</si>
  <si>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</si>
  <si>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</si>
  <si>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</si>
  <si>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</si>
  <si>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</si>
  <si>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</si>
  <si>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</si>
  <si>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</si>
  <si>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</si>
  <si>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</si>
  <si>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</si>
  <si>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</si>
  <si>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</si>
  <si>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</si>
  <si>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</si>
  <si>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</si>
  <si>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</si>
  <si>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</si>
  <si>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</si>
  <si>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</si>
  <si>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</si>
  <si>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</si>
  <si>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</si>
  <si>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</si>
  <si>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</si>
  <si>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</si>
  <si>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</si>
  <si>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</si>
  <si>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</si>
  <si>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</si>
  <si>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</si>
  <si>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</si>
  <si>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</si>
  <si>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</si>
  <si>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</si>
  <si>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</si>
  <si>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</si>
  <si>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</si>
  <si>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</si>
  <si>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</si>
  <si>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</si>
  <si>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</si>
  <si>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</si>
  <si>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</si>
  <si>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</si>
  <si>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</si>
  <si>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</si>
  <si>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</si>
  <si>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</si>
  <si>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</si>
  <si>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</si>
  <si>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</si>
  <si>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</si>
  <si>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</si>
  <si>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</si>
  <si>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</si>
  <si>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</si>
  <si>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</si>
  <si>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</si>
  <si>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</si>
  <si>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</si>
  <si>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</si>
  <si>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</si>
  <si>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</si>
  <si>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</si>
  <si>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</si>
  <si>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</si>
  <si>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</si>
  <si>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</si>
  <si>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</si>
  <si>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</si>
  <si>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</si>
  <si>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</si>
  <si>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</si>
  <si>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</si>
  <si>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</si>
  <si>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</si>
  <si>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</si>
  <si>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</si>
  <si>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</si>
  <si>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</si>
  <si>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</si>
  <si>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</si>
  <si>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</si>
  <si>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</si>
  <si>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</si>
  <si>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</si>
  <si>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</si>
  <si>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</si>
  <si>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</si>
  <si>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</si>
  <si>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</si>
  <si>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</si>
  <si>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</si>
  <si>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</si>
  <si>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</si>
  <si>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</si>
  <si>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Ziomara Urdaneta 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</si>
  <si>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</si>
  <si>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</si>
  <si>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</si>
  <si>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</si>
  <si>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</si>
  <si>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</si>
  <si>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</si>
  <si>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</si>
  <si>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</si>
  <si>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</si>
  <si>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</si>
  <si>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</si>
  <si>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</si>
  <si>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</si>
  <si>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</si>
  <si>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Roger Chirinos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</si>
  <si>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</si>
  <si>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</si>
  <si>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</si>
  <si>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</si>
  <si>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</si>
  <si>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</si>
  <si>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</si>
  <si>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</si>
  <si>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</si>
  <si>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</si>
  <si>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</si>
  <si>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</si>
  <si>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</si>
  <si>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</si>
  <si>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</si>
  <si>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</si>
  <si>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</si>
  <si>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</si>
  <si>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</si>
  <si>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</si>
  <si>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</si>
  <si>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</si>
  <si>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</si>
  <si>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>Enc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</si>
  <si>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</si>
  <si>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</si>
  <si>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</si>
  <si>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</si>
  <si>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</si>
  <si>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</si>
  <si>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</si>
  <si>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</si>
  <si>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</si>
  <si>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</si>
  <si>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</si>
  <si>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</si>
  <si>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</si>
  <si>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</si>
  <si>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</si>
  <si>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</si>
  <si>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</si>
  <si>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</si>
  <si>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</si>
  <si>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</si>
  <si>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</si>
  <si>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</si>
  <si>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</si>
  <si>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</si>
  <si>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</si>
  <si>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</si>
  <si>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</si>
  <si>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</si>
  <si>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</si>
  <si>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</si>
  <si>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</si>
  <si>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</si>
  <si>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</si>
  <si>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</si>
  <si>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</si>
  <si>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</si>
  <si>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</si>
  <si>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</si>
  <si>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</si>
  <si>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</si>
  <si>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</si>
  <si>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</si>
  <si>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</si>
  <si>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</si>
  <si>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</si>
  <si>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</si>
  <si>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</si>
  <si>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</si>
  <si>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</si>
  <si>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</si>
  <si>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</si>
  <si>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</si>
  <si>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</si>
  <si>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</si>
  <si>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</si>
  <si>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</si>
  <si>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</si>
  <si>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</si>
  <si>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</si>
  <si>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</si>
  <si>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</si>
  <si>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</si>
  <si>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</si>
  <si>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</si>
  <si>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</si>
  <si>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</si>
  <si>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</si>
  <si>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</si>
  <si>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</si>
  <si>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</si>
  <si>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</si>
  <si>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</si>
  <si>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</si>
  <si>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</si>
  <si>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</si>
  <si>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</si>
  <si>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Josefa</t>
  </si>
  <si>
    <t>renny</t>
  </si>
  <si>
    <t>magalis</t>
  </si>
  <si>
    <t>keiber</t>
  </si>
  <si>
    <t>jonathan</t>
  </si>
  <si>
    <t>yulia</t>
  </si>
  <si>
    <t>alexandro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</si>
  <si>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</si>
  <si>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</si>
  <si>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</si>
  <si>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</si>
  <si>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</si>
  <si>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</si>
  <si>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</si>
  <si>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</si>
  <si>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</si>
  <si>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</si>
  <si>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</si>
  <si>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</si>
  <si>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</si>
  <si>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</si>
  <si>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</si>
  <si>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</si>
  <si>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</si>
  <si>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</si>
  <si>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</si>
  <si>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</si>
  <si>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</si>
  <si>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</si>
  <si>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</si>
  <si>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</si>
  <si>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</si>
  <si>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</si>
  <si>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</si>
  <si>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</si>
  <si>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</si>
  <si>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</si>
  <si>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</si>
  <si>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</si>
  <si>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</si>
  <si>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</si>
  <si>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</si>
  <si>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</si>
  <si>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</si>
  <si>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</si>
  <si>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</si>
  <si>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</si>
  <si>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</si>
  <si>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</si>
  <si>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</si>
  <si>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</si>
  <si>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</si>
  <si>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</si>
  <si>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</si>
  <si>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</si>
  <si>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</si>
  <si>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</si>
  <si>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José Tetman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</si>
  <si>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</si>
  <si>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</si>
  <si>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</si>
  <si>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</si>
  <si>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</si>
  <si>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</si>
  <si>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</si>
  <si>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</si>
  <si>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</si>
  <si>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</si>
  <si>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</si>
  <si>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</si>
  <si>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</si>
  <si>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</si>
  <si>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</si>
  <si>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</si>
  <si>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</si>
  <si>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</si>
  <si>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</si>
  <si>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</si>
  <si>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</si>
  <si>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</si>
  <si>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</si>
  <si>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</si>
  <si>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</si>
  <si>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</si>
  <si>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</si>
  <si>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</si>
  <si>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</si>
  <si>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</si>
  <si>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</si>
  <si>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</si>
  <si>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</si>
  <si>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</si>
  <si>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</si>
  <si>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</si>
  <si>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</si>
  <si>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</si>
  <si>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</si>
  <si>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</si>
  <si>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</si>
  <si>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</si>
  <si>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</si>
  <si>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</si>
  <si>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</si>
  <si>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</si>
  <si>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</si>
  <si>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</si>
  <si>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</si>
  <si>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</si>
  <si>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</si>
  <si>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</si>
  <si>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</si>
  <si>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</si>
  <si>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</si>
  <si>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</si>
  <si>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</si>
  <si>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</si>
  <si>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</si>
  <si>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</si>
  <si>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</si>
  <si>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</si>
  <si>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</si>
  <si>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</si>
  <si>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</si>
  <si>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</si>
  <si>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</si>
  <si>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</si>
  <si>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</si>
  <si>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</si>
  <si>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</si>
  <si>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</si>
  <si>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</si>
  <si>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</si>
  <si>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</si>
  <si>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</si>
  <si>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</si>
  <si>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</si>
  <si>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</si>
  <si>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</si>
  <si>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</si>
  <si>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</si>
  <si>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</si>
  <si>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</si>
  <si>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</si>
  <si>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</si>
  <si>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</si>
  <si>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</si>
  <si>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</si>
  <si>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</si>
  <si>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Santiago Gonzalez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</si>
  <si>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</si>
  <si>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</si>
  <si>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</si>
  <si>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</si>
  <si>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</si>
  <si>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</si>
  <si>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</si>
  <si>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</si>
  <si>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</si>
  <si>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</si>
  <si>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</si>
  <si>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</si>
  <si>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</si>
  <si>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</si>
  <si>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</si>
  <si>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</si>
  <si>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</si>
  <si>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</si>
  <si>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</si>
  <si>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</si>
  <si>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</si>
  <si>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</si>
  <si>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</si>
  <si>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</si>
  <si>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</si>
  <si>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</si>
  <si>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</si>
  <si>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</si>
  <si>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</si>
  <si>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</si>
  <si>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</si>
  <si>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</si>
  <si>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</si>
  <si>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</si>
  <si>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</si>
  <si>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</si>
  <si>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</si>
  <si>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</si>
  <si>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</si>
  <si>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</si>
  <si>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</si>
  <si>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</si>
  <si>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</si>
  <si>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</si>
  <si>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</si>
  <si>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</si>
  <si>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</si>
  <si>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</si>
  <si>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</si>
  <si>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</si>
  <si>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</si>
  <si>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</si>
  <si>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</si>
  <si>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</si>
  <si>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</si>
  <si>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</si>
  <si>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</si>
  <si>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</si>
  <si>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</si>
  <si>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</si>
  <si>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</si>
  <si>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</si>
  <si>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</si>
  <si>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</si>
  <si>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</si>
  <si>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</si>
  <si>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</si>
  <si>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</si>
  <si>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</si>
  <si>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</si>
  <si>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</si>
  <si>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</si>
  <si>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</si>
  <si>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</si>
  <si>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</si>
  <si>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</si>
  <si>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</si>
  <si>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</si>
  <si>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</si>
  <si>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</si>
  <si>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</si>
  <si>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</si>
  <si>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</si>
  <si>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</si>
  <si>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</si>
  <si>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</si>
  <si>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</si>
  <si>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</si>
  <si>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</si>
  <si>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</si>
  <si>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</si>
  <si>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</si>
  <si>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</si>
  <si>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</si>
  <si>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</si>
  <si>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</si>
  <si>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</si>
  <si>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</si>
  <si>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</si>
  <si>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</si>
  <si>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</si>
  <si>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</si>
  <si>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</si>
  <si>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</si>
  <si>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</si>
  <si>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</si>
  <si>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</si>
  <si>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</si>
  <si>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</si>
  <si>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</si>
  <si>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</si>
  <si>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</si>
  <si>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</si>
  <si>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</si>
  <si>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</si>
  <si>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</si>
  <si>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</si>
  <si>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</si>
  <si>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</si>
  <si>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</si>
  <si>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</si>
  <si>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</si>
  <si>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</si>
  <si>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</si>
  <si>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</si>
  <si>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</si>
  <si>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</si>
  <si>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</si>
  <si>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</si>
  <si>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</si>
  <si>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Ministra Magalis, Omiria y Alexandro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</si>
  <si>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</si>
  <si>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</si>
  <si>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</si>
  <si>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</si>
  <si>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</si>
  <si>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</si>
  <si>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</si>
  <si>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</si>
  <si>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</si>
  <si>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</si>
  <si>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</si>
  <si>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</si>
  <si>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</si>
  <si>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</si>
  <si>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</si>
  <si>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</si>
  <si>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</si>
  <si>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</si>
  <si>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</si>
  <si>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</si>
  <si>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</si>
  <si>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</si>
  <si>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</si>
  <si>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</si>
  <si>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</si>
  <si>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</si>
  <si>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</si>
  <si>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</si>
  <si>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</si>
  <si>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</si>
  <si>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</si>
  <si>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</si>
  <si>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</si>
  <si>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</si>
  <si>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</si>
  <si>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</si>
  <si>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</si>
  <si>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</si>
  <si>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</si>
  <si>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</si>
  <si>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</si>
  <si>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</si>
  <si>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</si>
  <si>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</si>
  <si>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</si>
  <si>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</si>
  <si>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</si>
  <si>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</si>
  <si>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</si>
  <si>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</si>
  <si>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</si>
  <si>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</si>
  <si>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</si>
  <si>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</si>
  <si>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</si>
  <si>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</si>
  <si>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</si>
  <si>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</si>
  <si>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</si>
  <si>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</si>
  <si>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</si>
  <si>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</si>
  <si>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</si>
  <si>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</si>
  <si>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</si>
  <si>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</si>
  <si>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</si>
  <si>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</si>
  <si>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</si>
  <si>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</si>
  <si>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</si>
  <si>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</si>
  <si>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</si>
  <si>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</si>
  <si>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</si>
  <si>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</si>
  <si>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</si>
  <si>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</si>
  <si>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</si>
  <si>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</si>
  <si>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</si>
  <si>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</si>
  <si>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</si>
  <si>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</si>
  <si>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</si>
  <si>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Leidimar Jordan(niña)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</si>
  <si>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</si>
  <si>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</si>
  <si>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</si>
  <si>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</si>
  <si>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</si>
  <si>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</si>
  <si>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</si>
  <si>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</si>
  <si>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</si>
  <si>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</si>
  <si>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</si>
  <si>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</si>
  <si>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</si>
  <si>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</si>
  <si>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</si>
  <si>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</si>
  <si>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</si>
  <si>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</si>
  <si>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</si>
  <si>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</si>
  <si>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</si>
  <si>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</si>
  <si>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</si>
  <si>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</si>
  <si>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</si>
  <si>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</si>
  <si>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</si>
  <si>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</si>
  <si>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</si>
  <si>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</si>
  <si>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</si>
  <si>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</si>
  <si>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</si>
  <si>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</si>
  <si>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</si>
  <si>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</si>
  <si>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</si>
  <si>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</si>
  <si>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</si>
  <si>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</si>
  <si>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</si>
  <si>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</si>
  <si>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</si>
  <si>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</si>
  <si>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</si>
  <si>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</si>
  <si>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</si>
  <si>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</si>
  <si>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</si>
  <si>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</si>
  <si>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</si>
  <si>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</si>
  <si>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</si>
  <si>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</si>
  <si>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</si>
  <si>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</si>
  <si>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</si>
  <si>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</si>
  <si>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</si>
  <si>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</si>
  <si>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</si>
  <si>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</si>
  <si>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</si>
  <si>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</si>
  <si>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</si>
  <si>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</si>
  <si>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</si>
  <si>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</si>
  <si>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</si>
  <si>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</si>
  <si>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</si>
  <si>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</si>
  <si>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</si>
  <si>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</si>
  <si>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</si>
  <si>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</si>
  <si>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</si>
  <si>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</si>
  <si>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</si>
  <si>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</si>
  <si>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</si>
  <si>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</si>
  <si>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</si>
  <si>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</si>
  <si>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</si>
  <si>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</si>
  <si>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</si>
  <si>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</si>
  <si>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</si>
  <si>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</si>
  <si>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</si>
  <si>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</si>
  <si>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</si>
  <si>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</si>
  <si>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</si>
  <si>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</si>
  <si>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</si>
  <si>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</si>
  <si>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</si>
  <si>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</si>
  <si>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</si>
  <si>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</si>
  <si>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</si>
  <si>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</si>
  <si>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</si>
  <si>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</si>
  <si>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</si>
  <si>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</si>
  <si>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</si>
  <si>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</si>
  <si>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</si>
  <si>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</si>
  <si>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</si>
  <si>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</si>
  <si>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</si>
  <si>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</si>
  <si>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</si>
  <si>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</si>
  <si>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</si>
  <si>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</si>
  <si>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</si>
  <si>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</si>
  <si>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</si>
  <si>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</si>
  <si>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</si>
  <si>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</si>
  <si>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</si>
  <si>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</si>
  <si>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</si>
  <si>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</si>
  <si>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</si>
  <si>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</si>
  <si>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</si>
  <si>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</si>
  <si>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</si>
  <si>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</si>
  <si>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</si>
  <si>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</si>
  <si>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</si>
  <si>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</si>
  <si>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</si>
  <si>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</si>
  <si>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</si>
  <si>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</si>
  <si>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</si>
  <si>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</si>
  <si>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</si>
  <si>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</si>
  <si>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</si>
  <si>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</si>
  <si>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</si>
  <si>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</si>
  <si>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</si>
  <si>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</si>
  <si>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</si>
  <si>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</si>
  <si>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</si>
  <si>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</si>
  <si>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</si>
  <si>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</si>
  <si>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</si>
  <si>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</si>
  <si>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</si>
  <si>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</si>
  <si>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</si>
  <si>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</si>
  <si>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</si>
  <si>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</si>
  <si>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</si>
  <si>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</si>
  <si>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</si>
  <si>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</si>
  <si>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</si>
  <si>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</si>
  <si>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</si>
  <si>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</si>
  <si>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</si>
  <si>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</si>
  <si>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</si>
  <si>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</si>
  <si>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</si>
  <si>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</si>
  <si>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</si>
  <si>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</si>
  <si>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</si>
  <si>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</si>
  <si>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</si>
  <si>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</si>
  <si>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</si>
  <si>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</si>
  <si>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</si>
  <si>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</si>
  <si>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</si>
  <si>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</si>
  <si>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</si>
  <si>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</si>
  <si>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</si>
  <si>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</si>
  <si>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</si>
  <si>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</si>
  <si>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</si>
  <si>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</si>
  <si>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</si>
  <si>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</si>
  <si>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</si>
  <si>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</si>
  <si>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</si>
  <si>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</si>
  <si>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</si>
  <si>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</si>
  <si>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</si>
  <si>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</si>
  <si>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</si>
  <si>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</si>
  <si>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</si>
  <si>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</si>
  <si>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>Jose Alberto Tetman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</si>
  <si>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</si>
  <si>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</si>
  <si>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</si>
  <si>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</si>
  <si>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</si>
  <si>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</si>
  <si>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</si>
  <si>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</si>
  <si>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</si>
  <si>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</si>
  <si>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</si>
  <si>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</si>
  <si>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</si>
  <si>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</si>
  <si>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</si>
  <si>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</si>
  <si>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</si>
  <si>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</si>
  <si>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</si>
  <si>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</si>
  <si>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</si>
  <si>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</si>
  <si>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</si>
  <si>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</si>
  <si>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</si>
  <si>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</si>
  <si>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</si>
  <si>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</si>
  <si>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</si>
  <si>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</si>
  <si>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</si>
  <si>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</si>
  <si>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</si>
  <si>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</si>
  <si>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</si>
  <si>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</si>
  <si>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</si>
  <si>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</si>
  <si>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</si>
  <si>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</si>
  <si>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</si>
  <si>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</si>
  <si>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</si>
  <si>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</si>
  <si>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</si>
  <si>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</si>
  <si>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</si>
  <si>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</si>
  <si>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</si>
  <si>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</si>
  <si>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</si>
  <si>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</si>
  <si>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</si>
  <si>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</si>
  <si>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</si>
  <si>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</si>
  <si>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</si>
  <si>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</si>
  <si>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</si>
  <si>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</si>
  <si>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</si>
  <si>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</si>
  <si>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</si>
  <si>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</si>
  <si>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</si>
  <si>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</si>
  <si>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</si>
  <si>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</si>
  <si>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</si>
  <si>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</si>
  <si>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</si>
  <si>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</si>
  <si>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</si>
  <si>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</si>
  <si>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</si>
  <si>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</si>
  <si>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</si>
  <si>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</si>
  <si>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</si>
  <si>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</si>
  <si>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</si>
  <si>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</si>
  <si>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</si>
  <si>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</si>
  <si>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</si>
  <si>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</si>
  <si>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</si>
  <si>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Luciana Pérez</t>
  </si>
  <si>
    <t>Ana Pérez</t>
  </si>
  <si>
    <t>Orlyn Rodríguez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</si>
  <si>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</si>
  <si>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</si>
  <si>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</si>
  <si>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</si>
  <si>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</si>
  <si>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</si>
  <si>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</si>
  <si>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</si>
  <si>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</si>
  <si>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</si>
  <si>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</si>
  <si>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</si>
  <si>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</si>
  <si>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</si>
  <si>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</si>
  <si>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</si>
  <si>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</si>
  <si>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</si>
  <si>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</si>
  <si>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</si>
  <si>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</si>
  <si>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</si>
  <si>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</si>
  <si>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</si>
  <si>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</si>
  <si>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</si>
  <si>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</si>
  <si>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</si>
  <si>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</si>
  <si>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</si>
  <si>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</si>
  <si>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</si>
  <si>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</si>
  <si>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</si>
  <si>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</si>
  <si>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</si>
  <si>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</si>
  <si>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</si>
  <si>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</si>
  <si>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</si>
  <si>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</si>
  <si>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</si>
  <si>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</si>
  <si>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</si>
  <si>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</si>
  <si>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</si>
  <si>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</si>
  <si>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</si>
  <si>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</si>
  <si>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</si>
  <si>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</si>
  <si>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</si>
  <si>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</si>
  <si>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</si>
  <si>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</si>
  <si>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</si>
  <si>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</si>
  <si>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</si>
  <si>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</si>
  <si>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</si>
  <si>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</si>
  <si>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</si>
  <si>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</si>
  <si>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</si>
  <si>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</si>
  <si>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</si>
  <si>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</si>
  <si>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</si>
  <si>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</si>
  <si>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</si>
  <si>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</si>
  <si>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</si>
  <si>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MARIA VICITORIA MARQUEZ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</si>
  <si>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</si>
  <si>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</si>
  <si>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</si>
  <si>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</si>
  <si>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</si>
  <si>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</si>
  <si>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</si>
  <si>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</si>
  <si>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</si>
  <si>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</si>
  <si>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</si>
  <si>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</si>
  <si>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</si>
  <si>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</si>
  <si>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</si>
  <si>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</si>
  <si>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</si>
  <si>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</si>
  <si>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</si>
  <si>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</si>
  <si>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</si>
  <si>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</si>
  <si>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</si>
  <si>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</si>
  <si>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</si>
  <si>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</si>
  <si>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</si>
  <si>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</si>
  <si>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</si>
  <si>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</si>
  <si>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</si>
  <si>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</si>
  <si>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</si>
  <si>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</si>
  <si>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</si>
  <si>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</si>
  <si>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</si>
  <si>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</si>
  <si>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</si>
  <si>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</si>
  <si>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</si>
  <si>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</si>
  <si>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</si>
  <si>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</si>
  <si>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</si>
  <si>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</si>
  <si>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</si>
  <si>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</si>
  <si>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</si>
  <si>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</si>
  <si>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</si>
  <si>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</si>
  <si>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</si>
  <si>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</si>
  <si>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</si>
  <si>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</si>
  <si>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</si>
  <si>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</si>
  <si>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</si>
  <si>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</si>
  <si>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</si>
  <si>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</si>
  <si>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</si>
  <si>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</si>
  <si>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</si>
  <si>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</si>
  <si>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</si>
  <si>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</si>
  <si>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</si>
  <si>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</si>
  <si>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</si>
  <si>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</si>
  <si>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</si>
  <si>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</si>
  <si>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</si>
  <si>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</si>
  <si>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</si>
  <si>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</si>
  <si>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</si>
  <si>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</si>
  <si>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</si>
  <si>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</si>
  <si>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</si>
  <si>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</si>
  <si>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</si>
  <si>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</si>
  <si>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</si>
  <si>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</si>
  <si>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</si>
  <si>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</si>
  <si>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</si>
  <si>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</si>
  <si>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</si>
  <si>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</si>
  <si>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</si>
  <si>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</si>
  <si>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</si>
  <si>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</si>
  <si>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</si>
  <si>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</si>
  <si>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</si>
  <si>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</si>
  <si>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</si>
  <si>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</si>
  <si>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</si>
  <si>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</si>
  <si>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</si>
  <si>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</si>
  <si>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</si>
  <si>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</si>
  <si>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</si>
  <si>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</si>
  <si>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</si>
  <si>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</si>
  <si>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</si>
  <si>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</si>
  <si>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</si>
  <si>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</si>
  <si>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</si>
  <si>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</si>
  <si>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</si>
  <si>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</si>
  <si>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</si>
  <si>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</si>
  <si>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</si>
  <si>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</si>
  <si>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</si>
  <si>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</si>
  <si>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</si>
  <si>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</si>
  <si>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</si>
  <si>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</si>
  <si>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</si>
  <si>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</si>
  <si>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</si>
  <si>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</si>
  <si>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</si>
  <si>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</si>
  <si>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</si>
  <si>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</si>
  <si>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</si>
  <si>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</si>
  <si>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</si>
  <si>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</si>
  <si>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</si>
  <si>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</si>
  <si>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</si>
  <si>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</si>
  <si>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</si>
  <si>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</si>
  <si>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</si>
  <si>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</si>
  <si>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</si>
  <si>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</si>
  <si>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</si>
  <si>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</si>
  <si>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</si>
  <si>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</si>
  <si>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</si>
  <si>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</si>
  <si>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</si>
  <si>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</si>
  <si>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</si>
  <si>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</si>
  <si>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</si>
  <si>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</si>
  <si>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</si>
  <si>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</si>
  <si>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</si>
  <si>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</si>
  <si>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</si>
  <si>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</si>
  <si>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</si>
  <si>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</si>
  <si>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</si>
  <si>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</si>
  <si>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</si>
  <si>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</si>
  <si>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</si>
  <si>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</si>
  <si>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</si>
  <si>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</si>
  <si>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</si>
  <si>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</si>
  <si>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</si>
  <si>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</si>
  <si>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</si>
  <si>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</si>
  <si>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</si>
  <si>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</si>
  <si>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</si>
  <si>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</si>
  <si>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</si>
  <si>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</si>
  <si>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</si>
  <si>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</si>
  <si>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</si>
  <si>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</si>
  <si>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</si>
  <si>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</si>
  <si>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</si>
  <si>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</si>
  <si>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</si>
  <si>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</si>
  <si>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</si>
  <si>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</si>
  <si>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</si>
  <si>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</si>
  <si>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</si>
  <si>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</si>
  <si>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</si>
  <si>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</si>
  <si>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</si>
  <si>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</si>
  <si>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</si>
  <si>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</si>
  <si>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</si>
  <si>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</si>
  <si>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</si>
  <si>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</si>
  <si>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</si>
  <si>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</si>
  <si>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</si>
  <si>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</si>
  <si>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</si>
  <si>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</si>
  <si>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</si>
  <si>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</si>
  <si>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</si>
  <si>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</si>
  <si>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</si>
  <si>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</si>
  <si>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</si>
  <si>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</si>
  <si>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</si>
  <si>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</si>
  <si>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</si>
  <si>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</si>
  <si>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</si>
  <si>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</si>
  <si>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</si>
  <si>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</si>
  <si>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</si>
  <si>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</si>
  <si>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</si>
  <si>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</si>
  <si>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</si>
  <si>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</si>
  <si>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</si>
  <si>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</si>
  <si>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</si>
  <si>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</si>
  <si>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</si>
  <si>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</si>
  <si>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</si>
  <si>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</si>
  <si>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</si>
  <si>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</si>
  <si>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</si>
  <si>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</si>
  <si>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</si>
  <si>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</si>
  <si>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</si>
  <si>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</si>
  <si>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Antonella Pineda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</si>
  <si>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</si>
  <si>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</si>
  <si>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</si>
  <si>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</si>
  <si>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</si>
  <si>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</si>
  <si>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</si>
  <si>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</si>
  <si>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</si>
  <si>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</si>
  <si>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</si>
  <si>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</si>
  <si>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</si>
  <si>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</si>
  <si>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</si>
  <si>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</si>
  <si>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</si>
  <si>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</si>
  <si>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</si>
  <si>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</si>
  <si>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</si>
  <si>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</si>
  <si>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</si>
  <si>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</si>
  <si>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</si>
  <si>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</si>
  <si>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</si>
  <si>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</si>
  <si>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</si>
  <si>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</si>
  <si>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</si>
  <si>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</si>
  <si>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</si>
  <si>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</si>
  <si>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</si>
  <si>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</si>
  <si>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</si>
  <si>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</si>
  <si>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</si>
  <si>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</si>
  <si>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</si>
  <si>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</si>
  <si>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</si>
  <si>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</si>
  <si>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</si>
  <si>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</si>
  <si>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</si>
  <si>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</si>
  <si>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</si>
  <si>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</si>
  <si>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</si>
  <si>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</si>
  <si>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</si>
  <si>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</si>
  <si>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</si>
  <si>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</si>
  <si>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</si>
  <si>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</si>
  <si>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</si>
  <si>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</si>
  <si>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</si>
  <si>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</si>
  <si>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</si>
  <si>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</si>
  <si>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</si>
  <si>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</si>
  <si>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</si>
  <si>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</si>
  <si>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</si>
  <si>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</si>
  <si>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</si>
  <si>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</si>
  <si>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</si>
  <si>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</si>
  <si>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</si>
  <si>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</si>
  <si>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</si>
  <si>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</si>
  <si>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</si>
  <si>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</si>
  <si>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</si>
  <si>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</si>
  <si>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</si>
  <si>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</si>
  <si>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</si>
  <si>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</si>
  <si>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</si>
  <si>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</si>
  <si>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</si>
  <si>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</si>
  <si>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Luis Piña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</si>
  <si>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</si>
  <si>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</si>
  <si>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</si>
  <si>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</si>
  <si>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</si>
  <si>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</si>
  <si>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</si>
  <si>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</si>
  <si>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</si>
  <si>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</si>
  <si>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</si>
  <si>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</si>
  <si>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</si>
  <si>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</si>
  <si>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</si>
  <si>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</si>
  <si>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</si>
  <si>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</si>
  <si>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</si>
  <si>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</si>
  <si>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</si>
  <si>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</si>
  <si>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</si>
  <si>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</si>
  <si>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</si>
  <si>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</si>
  <si>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</si>
  <si>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</si>
  <si>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</si>
  <si>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</si>
  <si>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</si>
  <si>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</si>
  <si>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</si>
  <si>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</si>
  <si>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</si>
  <si>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</si>
  <si>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</si>
  <si>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</si>
  <si>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</si>
  <si>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</si>
  <si>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</si>
  <si>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</si>
  <si>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</si>
  <si>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</si>
  <si>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</si>
  <si>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</si>
  <si>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</si>
  <si>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</si>
  <si>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</si>
  <si>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</si>
  <si>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</si>
  <si>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</si>
  <si>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</si>
  <si>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</si>
  <si>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</si>
  <si>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</si>
  <si>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</si>
  <si>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</si>
  <si>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</si>
  <si>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</si>
  <si>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</si>
  <si>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</si>
  <si>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</si>
  <si>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</si>
  <si>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</si>
  <si>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</si>
  <si>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</si>
  <si>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</si>
  <si>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</si>
  <si>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</si>
  <si>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</si>
  <si>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</si>
  <si>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</si>
  <si>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</si>
  <si>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</si>
  <si>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</si>
  <si>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</si>
  <si>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</si>
  <si>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</si>
  <si>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</si>
  <si>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</si>
  <si>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</si>
  <si>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</si>
  <si>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</si>
  <si>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</si>
  <si>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</si>
  <si>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</si>
  <si>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</si>
  <si>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</si>
  <si>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</si>
  <si>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</si>
  <si>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</si>
  <si>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</si>
  <si>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</si>
  <si>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</si>
  <si>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</si>
  <si>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</si>
  <si>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</si>
  <si>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</si>
  <si>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</si>
  <si>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</si>
  <si>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</si>
  <si>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</si>
  <si>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</si>
  <si>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</si>
  <si>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</si>
  <si>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</si>
  <si>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</si>
  <si>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</si>
  <si>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</si>
  <si>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</si>
  <si>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</si>
  <si>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</si>
  <si>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</si>
  <si>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</si>
  <si>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</si>
  <si>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</si>
  <si>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</si>
  <si>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</si>
  <si>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</si>
  <si>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</si>
  <si>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</si>
  <si>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</si>
  <si>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</si>
  <si>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</si>
  <si>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</si>
  <si>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</si>
  <si>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</si>
  <si>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</si>
  <si>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</si>
  <si>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</si>
  <si>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</si>
  <si>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</si>
  <si>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</si>
  <si>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</si>
  <si>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</si>
  <si>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</si>
  <si>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</si>
  <si>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</si>
  <si>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</si>
  <si>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</si>
  <si>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</si>
  <si>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</si>
  <si>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</si>
  <si>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</si>
  <si>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</si>
  <si>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</si>
  <si>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</si>
  <si>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</si>
  <si>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</si>
  <si>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</si>
  <si>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</si>
  <si>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</si>
  <si>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</si>
  <si>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</si>
  <si>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</si>
  <si>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</si>
  <si>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</si>
  <si>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</si>
  <si>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</si>
  <si>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</si>
  <si>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</si>
  <si>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</si>
  <si>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</si>
  <si>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</si>
  <si>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</si>
  <si>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</si>
  <si>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</si>
  <si>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</si>
  <si>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</si>
  <si>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</si>
  <si>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</si>
  <si>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</si>
  <si>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</si>
  <si>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</si>
  <si>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</si>
  <si>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</si>
  <si>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</si>
  <si>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</si>
  <si>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</si>
  <si>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</si>
  <si>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</si>
  <si>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</si>
  <si>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</si>
  <si>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</si>
  <si>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</si>
  <si>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</si>
  <si>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</si>
  <si>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</si>
  <si>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</si>
  <si>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</si>
  <si>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</si>
  <si>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</si>
  <si>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</si>
  <si>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</si>
  <si>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</si>
  <si>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</si>
  <si>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</si>
  <si>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Johyner Villareal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</si>
  <si>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</si>
  <si>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</si>
  <si>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</si>
  <si>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</si>
  <si>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</si>
  <si>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</si>
  <si>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</si>
  <si>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</si>
  <si>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</si>
  <si>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</si>
  <si>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</si>
  <si>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</si>
  <si>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</si>
  <si>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</si>
  <si>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</si>
  <si>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</si>
  <si>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</si>
  <si>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</si>
  <si>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</si>
  <si>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</si>
  <si>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</si>
  <si>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</si>
  <si>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</si>
  <si>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</si>
  <si>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</si>
  <si>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</si>
  <si>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</si>
  <si>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</si>
  <si>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</si>
  <si>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</si>
  <si>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</si>
  <si>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</si>
  <si>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</si>
  <si>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</si>
  <si>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</si>
  <si>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</si>
  <si>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</si>
  <si>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</si>
  <si>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</si>
  <si>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</si>
  <si>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</si>
  <si>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</si>
  <si>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</si>
  <si>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</si>
  <si>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</si>
  <si>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</si>
  <si>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</si>
  <si>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</si>
  <si>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</si>
  <si>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</si>
  <si>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</si>
  <si>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</si>
  <si>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</si>
  <si>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</si>
  <si>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</si>
  <si>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</si>
  <si>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</si>
  <si>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</si>
  <si>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</si>
  <si>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</si>
  <si>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</si>
  <si>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</si>
  <si>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</si>
  <si>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</si>
  <si>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</si>
  <si>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</si>
  <si>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</si>
  <si>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</si>
  <si>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</si>
  <si>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</si>
  <si>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</si>
  <si>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</si>
  <si>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</si>
  <si>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Deisy PINEDA</t>
  </si>
  <si>
    <t>Jesús Cárdenas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</si>
  <si>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</si>
  <si>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</si>
  <si>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</si>
  <si>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</si>
  <si>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</si>
  <si>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</si>
  <si>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</si>
  <si>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</si>
  <si>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</si>
  <si>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</si>
  <si>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</si>
  <si>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</si>
  <si>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</si>
  <si>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</si>
  <si>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</si>
  <si>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</si>
  <si>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</si>
  <si>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</si>
  <si>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</si>
  <si>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</si>
  <si>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</si>
  <si>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</si>
  <si>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</si>
  <si>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</si>
  <si>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</si>
  <si>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</si>
  <si>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</si>
  <si>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</si>
  <si>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</si>
  <si>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</si>
  <si>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</si>
  <si>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</si>
  <si>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</si>
  <si>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</si>
  <si>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</si>
  <si>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</si>
  <si>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</si>
  <si>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</si>
  <si>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</si>
  <si>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</si>
  <si>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</si>
  <si>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</si>
  <si>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</si>
  <si>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</si>
  <si>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</si>
  <si>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</si>
  <si>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</si>
  <si>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</si>
  <si>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</si>
  <si>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</si>
  <si>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</si>
  <si>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</si>
  <si>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</si>
  <si>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</si>
  <si>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</si>
  <si>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</si>
  <si>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</si>
  <si>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</si>
  <si>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</si>
  <si>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</si>
  <si>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</si>
  <si>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Santiago Puche</t>
  </si>
  <si>
    <t xml:space="preserve"> Javier Paredes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</si>
  <si>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</si>
  <si>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</si>
  <si>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</si>
  <si>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</si>
  <si>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</si>
  <si>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</si>
  <si>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</si>
  <si>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</si>
  <si>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</si>
  <si>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</si>
  <si>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</si>
  <si>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</si>
  <si>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</si>
  <si>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</si>
  <si>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</si>
  <si>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</si>
  <si>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</si>
  <si>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</si>
  <si>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</si>
  <si>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</si>
  <si>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</si>
  <si>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</si>
  <si>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</si>
  <si>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</si>
  <si>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</si>
  <si>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</si>
  <si>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</si>
  <si>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</si>
  <si>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</si>
  <si>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</si>
  <si>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</si>
  <si>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</si>
  <si>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</si>
  <si>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</si>
  <si>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</si>
  <si>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</si>
  <si>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</si>
  <si>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</si>
  <si>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</si>
  <si>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</si>
  <si>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</si>
  <si>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</si>
  <si>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</si>
  <si>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</si>
  <si>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</si>
  <si>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</si>
  <si>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</si>
  <si>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</si>
  <si>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</si>
  <si>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</si>
  <si>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</si>
  <si>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</si>
  <si>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</si>
  <si>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</si>
  <si>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</si>
  <si>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</si>
  <si>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</si>
  <si>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</si>
  <si>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</si>
  <si>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</si>
  <si>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</si>
  <si>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</si>
  <si>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</si>
  <si>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</si>
  <si>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</si>
  <si>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</si>
  <si>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</si>
  <si>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</si>
  <si>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</si>
  <si>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</si>
  <si>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</si>
  <si>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</si>
  <si>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</si>
  <si>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</si>
  <si>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</si>
  <si>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</si>
  <si>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</si>
  <si>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</si>
  <si>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</si>
  <si>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</si>
  <si>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</si>
  <si>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</si>
  <si>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</si>
  <si>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Magalis, Omiria y Alexandro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</si>
  <si>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</si>
  <si>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</si>
  <si>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</si>
  <si>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</si>
  <si>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</si>
  <si>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</si>
  <si>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</si>
  <si>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</si>
  <si>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</si>
  <si>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</si>
  <si>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</si>
  <si>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</si>
  <si>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</si>
  <si>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</si>
  <si>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</si>
  <si>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</si>
  <si>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</si>
  <si>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</si>
  <si>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</si>
  <si>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</si>
  <si>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</si>
  <si>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</si>
  <si>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</si>
  <si>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</si>
  <si>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</si>
  <si>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</si>
  <si>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</si>
  <si>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</si>
  <si>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</si>
  <si>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</si>
  <si>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</si>
  <si>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</si>
  <si>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</si>
  <si>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</si>
  <si>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</si>
  <si>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</si>
  <si>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</si>
  <si>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</si>
  <si>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</si>
  <si>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</si>
  <si>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</si>
  <si>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</si>
  <si>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</si>
  <si>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</si>
  <si>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</si>
  <si>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</si>
  <si>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</si>
  <si>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</si>
  <si>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</si>
  <si>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</si>
  <si>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</si>
  <si>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</si>
  <si>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</si>
  <si>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</si>
  <si>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</si>
  <si>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</si>
  <si>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</si>
  <si>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</si>
  <si>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</si>
  <si>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</si>
  <si>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</si>
  <si>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</si>
  <si>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</si>
  <si>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</si>
  <si>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</si>
  <si>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</si>
  <si>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</si>
  <si>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</si>
  <si>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</si>
  <si>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</si>
  <si>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</si>
  <si>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</si>
  <si>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</si>
  <si>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</si>
  <si>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</si>
  <si>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</si>
  <si>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</si>
  <si>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</si>
  <si>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</si>
  <si>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</si>
  <si>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</si>
  <si>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</si>
  <si>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</si>
  <si>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</si>
  <si>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</si>
  <si>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</si>
  <si>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</si>
  <si>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</si>
  <si>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</si>
  <si>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</si>
  <si>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</si>
  <si>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</si>
  <si>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</si>
  <si>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</si>
  <si>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</si>
  <si>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</si>
  <si>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</si>
  <si>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</si>
  <si>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</si>
  <si>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</si>
  <si>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</si>
  <si>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</si>
  <si>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</si>
  <si>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</si>
  <si>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</si>
  <si>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</si>
  <si>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</si>
  <si>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</si>
  <si>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</si>
  <si>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</si>
  <si>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</si>
  <si>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</si>
  <si>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</si>
  <si>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 xml:space="preserve">LAN 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</si>
  <si>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</si>
  <si>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</si>
  <si>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</si>
  <si>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</si>
  <si>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</si>
  <si>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</si>
  <si>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</si>
  <si>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</si>
  <si>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</si>
  <si>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</si>
  <si>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</si>
  <si>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</si>
  <si>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</si>
  <si>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</si>
  <si>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</si>
  <si>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</si>
  <si>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</si>
  <si>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</si>
  <si>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Mathyas Alvarado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</si>
  <si>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</si>
  <si>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</si>
  <si>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</si>
  <si>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</si>
  <si>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</si>
  <si>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</si>
  <si>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</si>
  <si>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</si>
  <si>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</si>
  <si>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</si>
  <si>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</si>
  <si>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</si>
  <si>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</si>
  <si>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</si>
  <si>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</si>
  <si>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</si>
  <si>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</si>
  <si>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</si>
  <si>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Naivelyn Meléndez</t>
  </si>
  <si>
    <t>Eliana Morales</t>
  </si>
  <si>
    <t>Anabel Monsalve</t>
  </si>
  <si>
    <t>NIRUZCA BRACHO</t>
  </si>
  <si>
    <t xml:space="preserve">MINISTROS Renny y Airam </t>
  </si>
  <si>
    <t>Ministro Jonathan y Mayerling</t>
  </si>
  <si>
    <t>EL MEJOR PADRE DE LA HISTORIA</t>
  </si>
  <si>
    <t>22-06-2026 A 28-06-2026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</si>
</sst>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20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3" borderId="1" xfId="0" applyFont="1" applyFill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7" fillId="0" borderId="0" xfId="0" applyFont="1"/>
    <xf numFmtId="0" fontId="18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12" fillId="3" borderId="1" xfId="0" applyFont="1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4" fillId="0" borderId="1" xfId="0" applyFont="1" applyBorder="1" applyAlignment="1">
      <alignment horizontal="center" vertical="center"/>
    </xf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0" fontId="16" fillId="0" borderId="4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8" fillId="0" borderId="0" xfId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6797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291</xdr:row>
      <xdr:rowOff>119062</xdr:rowOff>
    </xdr:from>
    <xdr:to>
      <xdr:col>8</xdr:col>
      <xdr:colOff>1524000</xdr:colOff>
      <xdr:row>293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291</xdr:row>
      <xdr:rowOff>119062</xdr:rowOff>
    </xdr:from>
    <xdr:to>
      <xdr:col>11</xdr:col>
      <xdr:colOff>23812</xdr:colOff>
      <xdr:row>293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408</xdr:row>
      <xdr:rowOff>83344</xdr:rowOff>
    </xdr:from>
    <xdr:to>
      <xdr:col>8</xdr:col>
      <xdr:colOff>1512094</xdr:colOff>
      <xdr:row>410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408</xdr:row>
      <xdr:rowOff>83344</xdr:rowOff>
    </xdr:from>
    <xdr:to>
      <xdr:col>11</xdr:col>
      <xdr:colOff>11906</xdr:colOff>
      <xdr:row>410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525</xdr:row>
      <xdr:rowOff>107157</xdr:rowOff>
    </xdr:from>
    <xdr:to>
      <xdr:col>8</xdr:col>
      <xdr:colOff>1512094</xdr:colOff>
      <xdr:row>527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525</xdr:row>
      <xdr:rowOff>107157</xdr:rowOff>
    </xdr:from>
    <xdr:to>
      <xdr:col>11</xdr:col>
      <xdr:colOff>11906</xdr:colOff>
      <xdr:row>527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288</xdr:row>
      <xdr:rowOff>190500</xdr:rowOff>
    </xdr:from>
    <xdr:to>
      <xdr:col>9</xdr:col>
      <xdr:colOff>619125</xdr:colOff>
      <xdr:row>291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405</xdr:row>
      <xdr:rowOff>95250</xdr:rowOff>
    </xdr:from>
    <xdr:to>
      <xdr:col>9</xdr:col>
      <xdr:colOff>595313</xdr:colOff>
      <xdr:row>407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522</xdr:row>
      <xdr:rowOff>130969</xdr:rowOff>
    </xdr:from>
    <xdr:to>
      <xdr:col>9</xdr:col>
      <xdr:colOff>619126</xdr:colOff>
      <xdr:row>525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GuardarYSubirAGitHub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599"/>
  <sheetViews>
    <sheetView tabSelected="1" zoomScale="80" zoomScaleNormal="80" workbookViewId="0">
      <selection activeCell="R9" sqref="R9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2.42578125" customWidth="1"/>
    <col min="8" max="8" width="13.5703125" customWidth="1"/>
    <col min="9" max="9" width="23.28515625" customWidth="1"/>
    <col min="13" max="13" width="11.42578125" customWidth="1"/>
  </cols>
  <sheetData>
    <row r="1" spans="1:12" x14ac:dyDescent="0.25">
      <c r="A1" s="176" t="s">
        <v>47</v>
      </c>
      <c r="B1" s="177"/>
      <c r="C1" s="177"/>
      <c r="D1" s="177"/>
      <c r="E1" s="177"/>
      <c r="F1" s="177"/>
      <c r="G1" s="178"/>
      <c r="L1" t="s">
        <v>1812</v>
      </c>
    </row>
    <row r="2" spans="1:12" ht="15.75" x14ac:dyDescent="0.25">
      <c r="A2" s="179" t="s">
        <v>1972</v>
      </c>
      <c r="B2" s="180"/>
      <c r="C2" s="180"/>
      <c r="D2" s="180"/>
      <c r="E2" s="180"/>
      <c r="F2" s="180"/>
      <c r="G2" s="181"/>
      <c r="H2" s="39"/>
      <c r="L2" s="40" t="str">
        <f ca="1">IF(AND(I2="NO",J2="NO"),IF(L2="",TODAY(),L2),"")</f>
        <v/>
      </c>
    </row>
    <row r="3" spans="1:12" x14ac:dyDescent="0.25">
      <c r="A3" s="190" t="s">
        <v>48</v>
      </c>
      <c r="B3" s="191"/>
      <c r="C3" s="194" t="s">
        <v>1971</v>
      </c>
      <c r="D3" s="195"/>
      <c r="E3" s="195"/>
      <c r="F3" s="195"/>
      <c r="G3" s="196"/>
    </row>
    <row r="4" spans="1:12" x14ac:dyDescent="0.25">
      <c r="A4" s="192"/>
      <c r="B4" s="193"/>
      <c r="C4" s="197"/>
      <c r="D4" s="198"/>
      <c r="E4" s="198"/>
      <c r="F4" s="198"/>
      <c r="G4" s="199"/>
    </row>
    <row r="5" spans="1:12" ht="44.25" customHeight="1" x14ac:dyDescent="0.25">
      <c r="A5" s="173" t="s">
        <v>49</v>
      </c>
      <c r="B5" s="174"/>
      <c r="C5" s="171">
        <f>C98+C281+C396+C512+C558</f>
        <v>219</v>
      </c>
      <c r="D5" s="172"/>
      <c r="E5" s="22" t="s">
        <v>51</v>
      </c>
      <c r="F5" s="35">
        <f>C5/C19*100</f>
        <v>45.911949685534594</v>
      </c>
      <c r="G5" s="13" t="s">
        <v>1920</v>
      </c>
      <c r="H5" s="53"/>
      <c r="J5" s="146" t="s">
        <v>1880</v>
      </c>
      <c r="K5" s="146"/>
    </row>
    <row r="6" spans="1:12" ht="45.75" customHeight="1" x14ac:dyDescent="0.25">
      <c r="A6" s="173" t="s">
        <v>50</v>
      </c>
      <c r="B6" s="174"/>
      <c r="C6" s="182">
        <f>C99+C282+C397+C513+C559</f>
        <v>244</v>
      </c>
      <c r="D6" s="183"/>
      <c r="E6" s="7" t="s">
        <v>51</v>
      </c>
      <c r="F6" s="35">
        <f>C6/C19*100</f>
        <v>51.153039832285117</v>
      </c>
      <c r="G6" s="13" t="s">
        <v>1921</v>
      </c>
      <c r="H6" s="53"/>
    </row>
    <row r="7" spans="1:12" x14ac:dyDescent="0.25">
      <c r="A7" s="5"/>
      <c r="B7" s="5"/>
      <c r="C7" s="3"/>
      <c r="D7" s="3"/>
      <c r="E7" s="3"/>
    </row>
    <row r="8" spans="1:12" ht="45.75" customHeight="1" x14ac:dyDescent="0.25">
      <c r="A8" s="173" t="s">
        <v>52</v>
      </c>
      <c r="B8" s="174"/>
      <c r="C8" s="171">
        <f>C101+C284+C399+C515+C561</f>
        <v>203</v>
      </c>
      <c r="D8" s="172"/>
      <c r="E8" s="7" t="s">
        <v>51</v>
      </c>
      <c r="F8" s="35">
        <f>C8/C19*100</f>
        <v>42.55765199161425</v>
      </c>
      <c r="G8" s="13" t="s">
        <v>282</v>
      </c>
      <c r="J8" s="146" t="s">
        <v>1881</v>
      </c>
      <c r="K8" s="146"/>
    </row>
    <row r="9" spans="1:12" ht="58.5" customHeight="1" x14ac:dyDescent="0.25">
      <c r="A9" s="173" t="s">
        <v>53</v>
      </c>
      <c r="B9" s="174"/>
      <c r="C9" s="182">
        <f>C102+C285+C400+C516+C562</f>
        <v>274</v>
      </c>
      <c r="D9" s="183"/>
      <c r="E9" s="7" t="s">
        <v>51</v>
      </c>
      <c r="F9" s="36">
        <f>C9/C19*100</f>
        <v>57.44234800838575</v>
      </c>
      <c r="G9" s="13" t="s">
        <v>283</v>
      </c>
    </row>
    <row r="10" spans="1:12" ht="18" x14ac:dyDescent="0.25">
      <c r="A10" s="69"/>
      <c r="B10" s="69"/>
      <c r="C10" s="27"/>
      <c r="D10" s="27"/>
      <c r="E10" s="70"/>
      <c r="F10" s="71"/>
      <c r="G10" s="30"/>
      <c r="H10" s="43"/>
    </row>
    <row r="11" spans="1:12" ht="15" customHeight="1" x14ac:dyDescent="0.25">
      <c r="A11" s="162" t="s">
        <v>1074</v>
      </c>
      <c r="B11" s="163"/>
      <c r="C11" s="166">
        <f>C104+C287+C402+C518+C564</f>
        <v>108</v>
      </c>
      <c r="D11" s="151" t="s">
        <v>51</v>
      </c>
      <c r="E11" s="153">
        <f>C11/C19*100</f>
        <v>22.641509433962266</v>
      </c>
      <c r="F11" s="186" t="s">
        <v>1066</v>
      </c>
      <c r="G11" s="187"/>
      <c r="H11" s="43"/>
    </row>
    <row r="12" spans="1:12" x14ac:dyDescent="0.25">
      <c r="A12" s="164"/>
      <c r="B12" s="165"/>
      <c r="C12" s="167"/>
      <c r="D12" s="152"/>
      <c r="E12" s="154"/>
      <c r="F12" s="188"/>
      <c r="G12" s="189"/>
      <c r="H12" s="43"/>
    </row>
    <row r="13" spans="1:12" ht="15" customHeight="1" x14ac:dyDescent="0.25">
      <c r="A13" s="162" t="s">
        <v>1075</v>
      </c>
      <c r="B13" s="163"/>
      <c r="C13" s="166">
        <f>C106+C289+C404+C520+C566</f>
        <v>163</v>
      </c>
      <c r="D13" s="151" t="s">
        <v>51</v>
      </c>
      <c r="E13" s="153">
        <f>C13/C19*100</f>
        <v>34.171907756813418</v>
      </c>
      <c r="F13" s="186" t="s">
        <v>1067</v>
      </c>
      <c r="G13" s="187"/>
      <c r="H13" s="43"/>
    </row>
    <row r="14" spans="1:12" ht="15" customHeight="1" x14ac:dyDescent="0.25">
      <c r="A14" s="164"/>
      <c r="B14" s="165"/>
      <c r="C14" s="167"/>
      <c r="D14" s="152"/>
      <c r="E14" s="154"/>
      <c r="F14" s="188"/>
      <c r="G14" s="189"/>
      <c r="H14" s="43"/>
    </row>
    <row r="15" spans="1:12" x14ac:dyDescent="0.25">
      <c r="A15" s="69"/>
      <c r="B15" s="69"/>
      <c r="C15" s="69"/>
      <c r="D15" s="69"/>
      <c r="E15" s="69"/>
      <c r="F15" s="69"/>
      <c r="G15" s="69"/>
      <c r="H15" s="69"/>
    </row>
    <row r="16" spans="1:12" ht="45" x14ac:dyDescent="0.25">
      <c r="A16" s="173" t="s">
        <v>375</v>
      </c>
      <c r="B16" s="174"/>
      <c r="C16" s="184">
        <f>COUNTIF(E23:E556,"NUEVO")</f>
        <v>12</v>
      </c>
      <c r="D16" s="185"/>
      <c r="E16" s="7" t="s">
        <v>51</v>
      </c>
      <c r="F16" s="14">
        <f>C16/C19*100</f>
        <v>2.5157232704402519</v>
      </c>
      <c r="G16" s="34" t="s">
        <v>374</v>
      </c>
    </row>
    <row r="17" spans="1:10" ht="45" x14ac:dyDescent="0.25">
      <c r="A17" s="173" t="s">
        <v>376</v>
      </c>
      <c r="B17" s="174"/>
      <c r="C17" s="184">
        <f>COUNTIF(C23:C556,"NUEVO")</f>
        <v>14</v>
      </c>
      <c r="D17" s="185"/>
      <c r="E17" s="7" t="s">
        <v>51</v>
      </c>
      <c r="F17" s="14">
        <f>C17/C19*100</f>
        <v>2.9350104821802936</v>
      </c>
      <c r="G17" s="34" t="s">
        <v>298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73" t="s">
        <v>281</v>
      </c>
      <c r="B19" s="174"/>
      <c r="C19" s="184">
        <f>A96+A279+A394+A510+A556</f>
        <v>477</v>
      </c>
      <c r="D19" s="185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47" t="s">
        <v>1969</v>
      </c>
      <c r="B21" s="148"/>
      <c r="C21" s="148"/>
      <c r="D21" s="148"/>
      <c r="E21" s="149"/>
      <c r="I21" s="175" t="s">
        <v>1969</v>
      </c>
      <c r="J21" s="175"/>
    </row>
    <row r="22" spans="1:10" x14ac:dyDescent="0.25">
      <c r="A22" s="15" t="s">
        <v>0</v>
      </c>
      <c r="B22" s="15" t="s">
        <v>1</v>
      </c>
      <c r="C22" s="15" t="s">
        <v>2</v>
      </c>
      <c r="D22" s="15" t="s">
        <v>3</v>
      </c>
      <c r="E22" s="15" t="s">
        <v>7</v>
      </c>
      <c r="I22" s="175"/>
      <c r="J22" s="175"/>
    </row>
    <row r="23" spans="1:10" ht="15.75" customHeight="1" x14ac:dyDescent="0.25">
      <c r="A23" s="11">
        <v>1</v>
      </c>
      <c r="B23" s="8" t="s">
        <v>10</v>
      </c>
      <c r="C23" s="20" t="s">
        <v>5</v>
      </c>
      <c r="D23" s="20" t="s">
        <v>5</v>
      </c>
      <c r="E23" s="8" t="s">
        <v>270</v>
      </c>
      <c r="F23" s="40" t="str">
        <f t="shared" ref="F23:F54" ca="1" si="0">IF(AND(C23="NO",D23="NO"),IF(F23="",TODAY(),F23),"")</f>
        <v/>
      </c>
      <c r="I23" s="118" t="str" cm="1">
        <f t="array" ref="I23:I39">_xlfn._xlws.FILTER(B23:B96,(C23:C96="SI")*(D23:D96="SI"),"")</f>
        <v xml:space="preserve">Janeth Pirela </v>
      </c>
      <c r="J23" s="116"/>
    </row>
    <row r="24" spans="1:10" ht="16.5" customHeight="1" x14ac:dyDescent="0.25">
      <c r="A24" s="11">
        <v>2</v>
      </c>
      <c r="B24" s="8" t="s">
        <v>11</v>
      </c>
      <c r="C24" s="20" t="s">
        <v>5</v>
      </c>
      <c r="D24" s="20" t="s">
        <v>5</v>
      </c>
      <c r="E24" s="8" t="s">
        <v>1927</v>
      </c>
      <c r="F24" s="40" t="str">
        <f t="shared" ca="1" si="0"/>
        <v/>
      </c>
      <c r="I24" s="118" t="str">
        <v>Lillibeth Sosa</v>
      </c>
      <c r="J24" s="116"/>
    </row>
    <row r="25" spans="1:10" x14ac:dyDescent="0.25">
      <c r="A25" s="11">
        <v>3</v>
      </c>
      <c r="B25" s="8" t="s">
        <v>13</v>
      </c>
      <c r="C25" s="20" t="s">
        <v>5</v>
      </c>
      <c r="D25" s="20" t="s">
        <v>5</v>
      </c>
      <c r="E25" s="8" t="s">
        <v>270</v>
      </c>
      <c r="F25" s="40" t="str">
        <f t="shared" ca="1" si="0"/>
        <v/>
      </c>
      <c r="I25" s="118" t="str">
        <v>Yolimar Manzanilla</v>
      </c>
      <c r="J25" s="116"/>
    </row>
    <row r="26" spans="1:10" ht="16.5" customHeight="1" x14ac:dyDescent="0.25">
      <c r="A26" s="11">
        <v>4</v>
      </c>
      <c r="B26" s="8" t="s">
        <v>14</v>
      </c>
      <c r="C26" s="20" t="s">
        <v>5</v>
      </c>
      <c r="D26" s="20" t="s">
        <v>5</v>
      </c>
      <c r="E26" s="8" t="s">
        <v>46</v>
      </c>
      <c r="F26" s="40" t="str">
        <f t="shared" ca="1" si="0"/>
        <v/>
      </c>
      <c r="I26" s="118" t="str">
        <v>Sandy Rincon</v>
      </c>
      <c r="J26" s="116"/>
    </row>
    <row r="27" spans="1:10" ht="15" customHeight="1" x14ac:dyDescent="0.25">
      <c r="A27" s="11">
        <v>5</v>
      </c>
      <c r="B27" s="8" t="s">
        <v>12</v>
      </c>
      <c r="C27" s="20" t="s">
        <v>5</v>
      </c>
      <c r="D27" s="20" t="s">
        <v>6</v>
      </c>
      <c r="E27" s="8" t="s">
        <v>46</v>
      </c>
      <c r="F27" s="40" t="str">
        <f t="shared" ca="1" si="0"/>
        <v/>
      </c>
      <c r="I27" s="118" t="str">
        <v>Zoraida Castillo</v>
      </c>
      <c r="J27" s="116"/>
    </row>
    <row r="28" spans="1:10" x14ac:dyDescent="0.25">
      <c r="A28" s="11">
        <v>6</v>
      </c>
      <c r="B28" s="8" t="s">
        <v>15</v>
      </c>
      <c r="C28" s="20" t="s">
        <v>5</v>
      </c>
      <c r="D28" s="20" t="s">
        <v>5</v>
      </c>
      <c r="E28" s="8" t="s">
        <v>46</v>
      </c>
      <c r="F28" s="40" t="str">
        <f t="shared" ca="1" si="0"/>
        <v/>
      </c>
      <c r="I28" s="118" t="str">
        <v>Yadira Carrillo</v>
      </c>
      <c r="J28" s="116"/>
    </row>
    <row r="29" spans="1:10" x14ac:dyDescent="0.25">
      <c r="A29" s="11">
        <v>7</v>
      </c>
      <c r="B29" s="8" t="s">
        <v>16</v>
      </c>
      <c r="C29" s="20" t="s">
        <v>5</v>
      </c>
      <c r="D29" s="20" t="s">
        <v>6</v>
      </c>
      <c r="E29" s="8" t="s">
        <v>270</v>
      </c>
      <c r="F29" s="40" t="str">
        <f t="shared" ca="1" si="0"/>
        <v/>
      </c>
      <c r="I29" s="118" t="str">
        <v>Minerva Castillo</v>
      </c>
      <c r="J29" s="116"/>
    </row>
    <row r="30" spans="1:10" x14ac:dyDescent="0.25">
      <c r="A30" s="11">
        <v>8</v>
      </c>
      <c r="B30" s="8" t="s">
        <v>595</v>
      </c>
      <c r="C30" s="20" t="s">
        <v>5</v>
      </c>
      <c r="D30" s="20" t="s">
        <v>6</v>
      </c>
      <c r="E30" s="8" t="s">
        <v>270</v>
      </c>
      <c r="F30" s="40" t="str">
        <f t="shared" ca="1" si="0"/>
        <v/>
      </c>
      <c r="I30" s="116" t="str">
        <v>Isaura Lopez</v>
      </c>
      <c r="J30" s="125"/>
    </row>
    <row r="31" spans="1:10" ht="15" customHeight="1" x14ac:dyDescent="0.25">
      <c r="A31" s="11">
        <v>9</v>
      </c>
      <c r="B31" s="8" t="s">
        <v>1840</v>
      </c>
      <c r="C31" s="20" t="s">
        <v>6</v>
      </c>
      <c r="D31" s="20" t="s">
        <v>6</v>
      </c>
      <c r="E31" s="9" t="s">
        <v>46</v>
      </c>
      <c r="F31" s="40">
        <f t="shared" ca="1" si="0"/>
        <v>46202</v>
      </c>
      <c r="I31" s="116" t="str">
        <v>SILFREDO ACOSTA</v>
      </c>
      <c r="J31" s="116"/>
    </row>
    <row r="32" spans="1:10" ht="16.5" customHeight="1" x14ac:dyDescent="0.25">
      <c r="A32" s="11">
        <v>10</v>
      </c>
      <c r="B32" s="8" t="s">
        <v>18</v>
      </c>
      <c r="C32" s="20" t="s">
        <v>6</v>
      </c>
      <c r="D32" s="20" t="s">
        <v>6</v>
      </c>
      <c r="E32" s="9" t="s">
        <v>46</v>
      </c>
      <c r="F32" s="40">
        <f t="shared" ca="1" si="0"/>
        <v>46195</v>
      </c>
      <c r="I32" s="118" t="str">
        <v>Renny Chávez</v>
      </c>
      <c r="J32" s="116"/>
    </row>
    <row r="33" spans="1:10" ht="15" customHeight="1" x14ac:dyDescent="0.25">
      <c r="A33" s="11">
        <v>11</v>
      </c>
      <c r="B33" s="8" t="s">
        <v>19</v>
      </c>
      <c r="C33" s="20" t="s">
        <v>5</v>
      </c>
      <c r="D33" s="20" t="s">
        <v>5</v>
      </c>
      <c r="E33" s="9" t="s">
        <v>270</v>
      </c>
      <c r="F33" s="40" t="str">
        <f t="shared" ca="1" si="0"/>
        <v/>
      </c>
      <c r="I33" s="118" t="str">
        <v>Airam Chourio</v>
      </c>
      <c r="J33" s="116"/>
    </row>
    <row r="34" spans="1:10" x14ac:dyDescent="0.25">
      <c r="A34" s="11">
        <v>12</v>
      </c>
      <c r="B34" s="8" t="s">
        <v>35</v>
      </c>
      <c r="C34" s="20" t="s">
        <v>6</v>
      </c>
      <c r="D34" s="20" t="s">
        <v>6</v>
      </c>
      <c r="E34" s="9" t="s">
        <v>46</v>
      </c>
      <c r="F34" s="40">
        <f t="shared" ca="1" si="0"/>
        <v>46202</v>
      </c>
      <c r="I34" s="118" t="str">
        <v xml:space="preserve">Isabel de Colmenares </v>
      </c>
      <c r="J34" s="116"/>
    </row>
    <row r="35" spans="1:10" x14ac:dyDescent="0.25">
      <c r="A35" s="11">
        <v>13</v>
      </c>
      <c r="B35" s="8" t="s">
        <v>304</v>
      </c>
      <c r="C35" s="20" t="s">
        <v>6</v>
      </c>
      <c r="D35" s="20" t="s">
        <v>6</v>
      </c>
      <c r="E35" s="9" t="s">
        <v>46</v>
      </c>
      <c r="F35" s="40">
        <f t="shared" ca="1" si="0"/>
        <v>46202</v>
      </c>
      <c r="I35" s="118" t="str">
        <v>Lorena Acosta</v>
      </c>
      <c r="J35" s="116"/>
    </row>
    <row r="36" spans="1:10" ht="15.75" customHeight="1" x14ac:dyDescent="0.25">
      <c r="A36" s="11">
        <v>14</v>
      </c>
      <c r="B36" s="8" t="s">
        <v>20</v>
      </c>
      <c r="C36" s="20" t="s">
        <v>5</v>
      </c>
      <c r="D36" s="20" t="s">
        <v>5</v>
      </c>
      <c r="E36" s="9" t="s">
        <v>46</v>
      </c>
      <c r="F36" s="40" t="str">
        <f t="shared" ca="1" si="0"/>
        <v/>
      </c>
      <c r="I36" s="118" t="str">
        <v>José Luis García</v>
      </c>
      <c r="J36" s="116"/>
    </row>
    <row r="37" spans="1:10" ht="15" customHeight="1" x14ac:dyDescent="0.25">
      <c r="A37" s="11">
        <v>15</v>
      </c>
      <c r="B37" s="8" t="s">
        <v>594</v>
      </c>
      <c r="C37" s="20" t="s">
        <v>5</v>
      </c>
      <c r="D37" s="20" t="s">
        <v>6</v>
      </c>
      <c r="E37" s="9" t="s">
        <v>46</v>
      </c>
      <c r="F37" s="40" t="str">
        <f t="shared" ca="1" si="0"/>
        <v/>
      </c>
      <c r="I37" s="116" t="str">
        <v xml:space="preserve">Luis Gutiérrez </v>
      </c>
      <c r="J37" s="116"/>
    </row>
    <row r="38" spans="1:10" ht="15" customHeight="1" x14ac:dyDescent="0.25">
      <c r="A38" s="11">
        <v>16</v>
      </c>
      <c r="B38" s="8" t="s">
        <v>21</v>
      </c>
      <c r="C38" s="20" t="s">
        <v>5</v>
      </c>
      <c r="D38" s="20" t="s">
        <v>6</v>
      </c>
      <c r="E38" s="9" t="s">
        <v>46</v>
      </c>
      <c r="F38" s="40" t="str">
        <f t="shared" ca="1" si="0"/>
        <v/>
      </c>
      <c r="I38" s="116" t="str">
        <v>Alexa Gutierrez</v>
      </c>
      <c r="J38" s="116"/>
    </row>
    <row r="39" spans="1:10" x14ac:dyDescent="0.25">
      <c r="A39" s="11">
        <v>17</v>
      </c>
      <c r="B39" s="52" t="s">
        <v>34</v>
      </c>
      <c r="C39" s="20" t="s">
        <v>6</v>
      </c>
      <c r="D39" s="20" t="s">
        <v>6</v>
      </c>
      <c r="E39" s="24" t="s">
        <v>46</v>
      </c>
      <c r="F39" s="40">
        <f t="shared" ca="1" si="0"/>
        <v>46202</v>
      </c>
      <c r="I39" s="116" t="str">
        <v>Samantha Silva</v>
      </c>
      <c r="J39" s="116"/>
    </row>
    <row r="40" spans="1:10" ht="21" x14ac:dyDescent="0.25">
      <c r="A40" s="11">
        <v>18</v>
      </c>
      <c r="B40" s="8" t="s">
        <v>473</v>
      </c>
      <c r="C40" s="20" t="s">
        <v>6</v>
      </c>
      <c r="D40" s="20" t="s">
        <v>6</v>
      </c>
      <c r="E40" s="8" t="s">
        <v>46</v>
      </c>
      <c r="F40" s="40">
        <f t="shared" ca="1" si="0"/>
        <v>46188</v>
      </c>
      <c r="I40" s="4"/>
      <c r="J40" s="117">
        <f>C104</f>
        <v>17</v>
      </c>
    </row>
    <row r="41" spans="1:10" ht="15" customHeight="1" x14ac:dyDescent="0.25">
      <c r="A41" s="11">
        <v>19</v>
      </c>
      <c r="B41" s="8" t="s">
        <v>22</v>
      </c>
      <c r="C41" s="20" t="s">
        <v>6</v>
      </c>
      <c r="D41" s="20" t="s">
        <v>6</v>
      </c>
      <c r="E41" s="9" t="s">
        <v>46</v>
      </c>
      <c r="F41" s="40">
        <f t="shared" ca="1" si="0"/>
        <v>46177</v>
      </c>
    </row>
    <row r="42" spans="1:10" x14ac:dyDescent="0.25">
      <c r="A42" s="11">
        <v>20</v>
      </c>
      <c r="B42" s="8" t="s">
        <v>27</v>
      </c>
      <c r="C42" s="20" t="s">
        <v>5</v>
      </c>
      <c r="D42" s="20" t="s">
        <v>6</v>
      </c>
      <c r="E42" s="9" t="s">
        <v>270</v>
      </c>
      <c r="F42" s="40" t="str">
        <f t="shared" ca="1" si="0"/>
        <v/>
      </c>
    </row>
    <row r="43" spans="1:10" x14ac:dyDescent="0.25">
      <c r="A43" s="11">
        <v>21</v>
      </c>
      <c r="B43" s="8" t="s">
        <v>32</v>
      </c>
      <c r="C43" s="20" t="s">
        <v>5</v>
      </c>
      <c r="D43" s="20" t="s">
        <v>5</v>
      </c>
      <c r="E43" s="9" t="s">
        <v>319</v>
      </c>
      <c r="F43" s="40" t="str">
        <f t="shared" ca="1" si="0"/>
        <v/>
      </c>
    </row>
    <row r="44" spans="1:10" x14ac:dyDescent="0.25">
      <c r="A44" s="11">
        <v>22</v>
      </c>
      <c r="B44" s="8" t="s">
        <v>1330</v>
      </c>
      <c r="C44" s="20" t="s">
        <v>5</v>
      </c>
      <c r="D44" s="20" t="s">
        <v>5</v>
      </c>
      <c r="E44" s="9" t="s">
        <v>319</v>
      </c>
      <c r="F44" s="40" t="str">
        <f t="shared" ca="1" si="0"/>
        <v/>
      </c>
    </row>
    <row r="45" spans="1:10" x14ac:dyDescent="0.25">
      <c r="A45" s="11">
        <v>23</v>
      </c>
      <c r="B45" s="8" t="s">
        <v>36</v>
      </c>
      <c r="C45" s="20" t="s">
        <v>5</v>
      </c>
      <c r="D45" s="20" t="s">
        <v>5</v>
      </c>
      <c r="E45" s="9" t="s">
        <v>1311</v>
      </c>
      <c r="F45" s="40" t="str">
        <f t="shared" ca="1" si="0"/>
        <v/>
      </c>
    </row>
    <row r="46" spans="1:10" x14ac:dyDescent="0.25">
      <c r="A46" s="11">
        <v>24</v>
      </c>
      <c r="B46" s="8" t="s">
        <v>37</v>
      </c>
      <c r="C46" s="20" t="s">
        <v>5</v>
      </c>
      <c r="D46" s="20" t="s">
        <v>5</v>
      </c>
      <c r="E46" s="9" t="s">
        <v>1311</v>
      </c>
      <c r="F46" s="40" t="str">
        <f t="shared" ca="1" si="0"/>
        <v/>
      </c>
    </row>
    <row r="47" spans="1:10" x14ac:dyDescent="0.25">
      <c r="A47" s="11">
        <v>25</v>
      </c>
      <c r="B47" s="8" t="s">
        <v>1673</v>
      </c>
      <c r="C47" s="20" t="s">
        <v>5</v>
      </c>
      <c r="D47" s="20" t="s">
        <v>6</v>
      </c>
      <c r="E47" s="9" t="s">
        <v>46</v>
      </c>
      <c r="F47" s="40" t="str">
        <f t="shared" ca="1" si="0"/>
        <v/>
      </c>
    </row>
    <row r="48" spans="1:10" x14ac:dyDescent="0.25">
      <c r="A48" s="11">
        <v>26</v>
      </c>
      <c r="B48" s="8" t="s">
        <v>264</v>
      </c>
      <c r="C48" s="20" t="s">
        <v>5</v>
      </c>
      <c r="D48" s="20" t="s">
        <v>5</v>
      </c>
      <c r="E48" s="16" t="s">
        <v>46</v>
      </c>
      <c r="F48" s="40" t="str">
        <f t="shared" ca="1" si="0"/>
        <v/>
      </c>
    </row>
    <row r="49" spans="1:6" x14ac:dyDescent="0.25">
      <c r="A49" s="11">
        <v>27</v>
      </c>
      <c r="B49" s="8" t="s">
        <v>265</v>
      </c>
      <c r="C49" s="20" t="s">
        <v>6</v>
      </c>
      <c r="D49" s="20" t="s">
        <v>5</v>
      </c>
      <c r="E49" s="16" t="s">
        <v>46</v>
      </c>
      <c r="F49" s="40" t="str">
        <f t="shared" ca="1" si="0"/>
        <v/>
      </c>
    </row>
    <row r="50" spans="1:6" x14ac:dyDescent="0.25">
      <c r="A50" s="11">
        <v>28</v>
      </c>
      <c r="B50" s="52" t="s">
        <v>1647</v>
      </c>
      <c r="C50" s="20" t="s">
        <v>5</v>
      </c>
      <c r="D50" s="20" t="s">
        <v>6</v>
      </c>
      <c r="E50" s="24" t="s">
        <v>46</v>
      </c>
      <c r="F50" s="40" t="str">
        <f t="shared" ca="1" si="0"/>
        <v/>
      </c>
    </row>
    <row r="51" spans="1:6" ht="15" customHeight="1" x14ac:dyDescent="0.25">
      <c r="A51" s="11">
        <v>29</v>
      </c>
      <c r="B51" s="8" t="s">
        <v>416</v>
      </c>
      <c r="C51" s="20" t="s">
        <v>5</v>
      </c>
      <c r="D51" s="20" t="s">
        <v>5</v>
      </c>
      <c r="E51" s="9" t="s">
        <v>46</v>
      </c>
      <c r="F51" s="40" t="str">
        <f t="shared" ca="1" si="0"/>
        <v/>
      </c>
    </row>
    <row r="52" spans="1:6" ht="15" customHeight="1" x14ac:dyDescent="0.25">
      <c r="A52" s="11">
        <v>30</v>
      </c>
      <c r="B52" s="8" t="s">
        <v>1869</v>
      </c>
      <c r="C52" s="20" t="s">
        <v>5</v>
      </c>
      <c r="D52" s="20" t="s">
        <v>5</v>
      </c>
      <c r="E52" s="9" t="s">
        <v>46</v>
      </c>
      <c r="F52" s="40" t="str">
        <f t="shared" ca="1" si="0"/>
        <v/>
      </c>
    </row>
    <row r="53" spans="1:6" x14ac:dyDescent="0.25">
      <c r="A53" s="11">
        <v>31</v>
      </c>
      <c r="B53" s="52" t="s">
        <v>1882</v>
      </c>
      <c r="C53" s="20" t="s">
        <v>5</v>
      </c>
      <c r="D53" s="20" t="s">
        <v>5</v>
      </c>
      <c r="E53" s="24" t="s">
        <v>46</v>
      </c>
      <c r="F53" s="40" t="str">
        <f t="shared" ca="1" si="0"/>
        <v/>
      </c>
    </row>
    <row r="54" spans="1:6" x14ac:dyDescent="0.25">
      <c r="A54" s="11">
        <v>32</v>
      </c>
      <c r="B54" s="52" t="s">
        <v>1607</v>
      </c>
      <c r="C54" s="20" t="s">
        <v>5</v>
      </c>
      <c r="D54" s="20" t="s">
        <v>6</v>
      </c>
      <c r="E54" s="24" t="s">
        <v>46</v>
      </c>
      <c r="F54" s="40" t="str">
        <f t="shared" ca="1" si="0"/>
        <v/>
      </c>
    </row>
    <row r="55" spans="1:6" x14ac:dyDescent="0.25">
      <c r="A55" s="11">
        <v>33</v>
      </c>
      <c r="B55" s="52" t="s">
        <v>1420</v>
      </c>
      <c r="C55" s="20" t="s">
        <v>6</v>
      </c>
      <c r="D55" s="20" t="s">
        <v>6</v>
      </c>
      <c r="E55" s="24" t="s">
        <v>46</v>
      </c>
      <c r="F55" s="40">
        <f t="shared" ref="F55:F89" ca="1" si="1">IF(AND(C55="NO",D55="NO"),IF(F55="",TODAY(),F55),"")</f>
        <v>46188</v>
      </c>
    </row>
    <row r="56" spans="1:6" x14ac:dyDescent="0.25">
      <c r="A56" s="11">
        <v>34</v>
      </c>
      <c r="B56" s="8" t="s">
        <v>830</v>
      </c>
      <c r="C56" s="20" t="s">
        <v>6</v>
      </c>
      <c r="D56" s="20" t="s">
        <v>6</v>
      </c>
      <c r="E56" s="9" t="s">
        <v>359</v>
      </c>
      <c r="F56" s="40">
        <f t="shared" ca="1" si="1"/>
        <v>46195</v>
      </c>
    </row>
    <row r="57" spans="1:6" x14ac:dyDescent="0.25">
      <c r="A57" s="11">
        <v>35</v>
      </c>
      <c r="B57" s="8" t="s">
        <v>17</v>
      </c>
      <c r="C57" s="20" t="s">
        <v>6</v>
      </c>
      <c r="D57" s="20" t="s">
        <v>5</v>
      </c>
      <c r="E57" s="9" t="s">
        <v>359</v>
      </c>
      <c r="F57" s="40" t="str">
        <f t="shared" ca="1" si="1"/>
        <v/>
      </c>
    </row>
    <row r="58" spans="1:6" x14ac:dyDescent="0.25">
      <c r="A58" s="11">
        <v>36</v>
      </c>
      <c r="B58" s="37" t="s">
        <v>342</v>
      </c>
      <c r="C58" s="20" t="s">
        <v>6</v>
      </c>
      <c r="D58" s="20" t="s">
        <v>6</v>
      </c>
      <c r="E58" s="24" t="s">
        <v>46</v>
      </c>
      <c r="F58" s="40">
        <f t="shared" ca="1" si="1"/>
        <v>46195</v>
      </c>
    </row>
    <row r="59" spans="1:6" x14ac:dyDescent="0.25">
      <c r="A59" s="11">
        <v>37</v>
      </c>
      <c r="B59" s="8" t="s">
        <v>263</v>
      </c>
      <c r="C59" s="20" t="s">
        <v>6</v>
      </c>
      <c r="D59" s="20" t="s">
        <v>6</v>
      </c>
      <c r="E59" s="24" t="s">
        <v>46</v>
      </c>
      <c r="F59" s="40">
        <f t="shared" ca="1" si="1"/>
        <v>46202</v>
      </c>
    </row>
    <row r="60" spans="1:6" x14ac:dyDescent="0.25">
      <c r="A60" s="11">
        <v>38</v>
      </c>
      <c r="B60" s="52" t="s">
        <v>938</v>
      </c>
      <c r="C60" s="20" t="s">
        <v>6</v>
      </c>
      <c r="D60" s="20" t="s">
        <v>5</v>
      </c>
      <c r="E60" s="24" t="s">
        <v>46</v>
      </c>
      <c r="F60" s="40" t="str">
        <f t="shared" ca="1" si="1"/>
        <v/>
      </c>
    </row>
    <row r="61" spans="1:6" x14ac:dyDescent="0.25">
      <c r="A61" s="11">
        <v>39</v>
      </c>
      <c r="B61" s="37" t="s">
        <v>341</v>
      </c>
      <c r="C61" s="20" t="s">
        <v>5</v>
      </c>
      <c r="D61" s="20" t="s">
        <v>6</v>
      </c>
      <c r="E61" s="24" t="s">
        <v>46</v>
      </c>
      <c r="F61" s="40" t="str">
        <f t="shared" ca="1" si="1"/>
        <v/>
      </c>
    </row>
    <row r="62" spans="1:6" x14ac:dyDescent="0.25">
      <c r="A62" s="11">
        <v>40</v>
      </c>
      <c r="B62" s="52" t="s">
        <v>1605</v>
      </c>
      <c r="C62" s="20" t="s">
        <v>5</v>
      </c>
      <c r="D62" s="20" t="s">
        <v>6</v>
      </c>
      <c r="E62" s="24" t="s">
        <v>46</v>
      </c>
      <c r="F62" s="40" t="str">
        <f t="shared" ca="1" si="1"/>
        <v/>
      </c>
    </row>
    <row r="63" spans="1:6" x14ac:dyDescent="0.25">
      <c r="A63" s="11">
        <v>41</v>
      </c>
      <c r="B63" s="42" t="s">
        <v>1645</v>
      </c>
      <c r="C63" s="20" t="s">
        <v>6</v>
      </c>
      <c r="D63" s="20" t="s">
        <v>6</v>
      </c>
      <c r="E63" s="16" t="s">
        <v>46</v>
      </c>
      <c r="F63" s="40">
        <f t="shared" ca="1" si="1"/>
        <v>46177</v>
      </c>
    </row>
    <row r="64" spans="1:6" x14ac:dyDescent="0.25">
      <c r="A64" s="11">
        <v>42</v>
      </c>
      <c r="B64" s="52" t="s">
        <v>1262</v>
      </c>
      <c r="C64" s="20" t="s">
        <v>6</v>
      </c>
      <c r="D64" s="20" t="s">
        <v>6</v>
      </c>
      <c r="E64" s="24" t="s">
        <v>46</v>
      </c>
      <c r="F64" s="40">
        <f t="shared" ca="1" si="1"/>
        <v>46177</v>
      </c>
    </row>
    <row r="65" spans="1:7" x14ac:dyDescent="0.25">
      <c r="A65" s="11">
        <v>43</v>
      </c>
      <c r="B65" s="52" t="s">
        <v>1598</v>
      </c>
      <c r="C65" s="20" t="s">
        <v>5</v>
      </c>
      <c r="D65" s="20" t="s">
        <v>6</v>
      </c>
      <c r="E65" s="24" t="s">
        <v>46</v>
      </c>
      <c r="F65" s="40" t="str">
        <f t="shared" ca="1" si="1"/>
        <v/>
      </c>
    </row>
    <row r="66" spans="1:7" x14ac:dyDescent="0.25">
      <c r="A66" s="11">
        <v>44</v>
      </c>
      <c r="B66" s="52" t="s">
        <v>31</v>
      </c>
      <c r="C66" s="20" t="s">
        <v>6</v>
      </c>
      <c r="D66" s="20" t="s">
        <v>6</v>
      </c>
      <c r="E66" s="24" t="s">
        <v>46</v>
      </c>
      <c r="F66" s="40">
        <f t="shared" ca="1" si="1"/>
        <v>46177</v>
      </c>
    </row>
    <row r="67" spans="1:7" x14ac:dyDescent="0.25">
      <c r="A67" s="11">
        <v>45</v>
      </c>
      <c r="B67" s="52" t="s">
        <v>1856</v>
      </c>
      <c r="C67" s="20" t="s">
        <v>5</v>
      </c>
      <c r="D67" s="20" t="s">
        <v>6</v>
      </c>
      <c r="E67" s="24" t="s">
        <v>46</v>
      </c>
      <c r="F67" s="40" t="str">
        <f t="shared" ca="1" si="1"/>
        <v/>
      </c>
    </row>
    <row r="68" spans="1:7" x14ac:dyDescent="0.25">
      <c r="A68" s="11">
        <v>46</v>
      </c>
      <c r="B68" s="52" t="s">
        <v>1790</v>
      </c>
      <c r="C68" s="20" t="s">
        <v>5</v>
      </c>
      <c r="D68" s="20" t="s">
        <v>6</v>
      </c>
      <c r="E68" s="24" t="s">
        <v>46</v>
      </c>
      <c r="F68" s="40" t="str">
        <f t="shared" ca="1" si="1"/>
        <v/>
      </c>
    </row>
    <row r="69" spans="1:7" x14ac:dyDescent="0.25">
      <c r="A69" s="11">
        <v>47</v>
      </c>
      <c r="B69" s="52" t="s">
        <v>1809</v>
      </c>
      <c r="C69" s="20" t="s">
        <v>6</v>
      </c>
      <c r="D69" s="20" t="s">
        <v>6</v>
      </c>
      <c r="E69" s="24" t="s">
        <v>46</v>
      </c>
      <c r="F69" s="40">
        <f t="shared" ca="1" si="1"/>
        <v>46177</v>
      </c>
    </row>
    <row r="70" spans="1:7" x14ac:dyDescent="0.25">
      <c r="A70" s="11">
        <v>48</v>
      </c>
      <c r="B70" s="52" t="s">
        <v>1810</v>
      </c>
      <c r="C70" s="20" t="s">
        <v>6</v>
      </c>
      <c r="D70" s="20" t="s">
        <v>6</v>
      </c>
      <c r="E70" s="24" t="s">
        <v>46</v>
      </c>
      <c r="F70" s="40">
        <f t="shared" ca="1" si="1"/>
        <v>46177</v>
      </c>
    </row>
    <row r="71" spans="1:7" x14ac:dyDescent="0.25">
      <c r="A71" s="11">
        <v>49</v>
      </c>
      <c r="B71" s="52" t="s">
        <v>1811</v>
      </c>
      <c r="C71" s="20" t="s">
        <v>6</v>
      </c>
      <c r="D71" s="20" t="s">
        <v>6</v>
      </c>
      <c r="E71" s="24" t="s">
        <v>46</v>
      </c>
      <c r="F71" s="40">
        <f t="shared" ca="1" si="1"/>
        <v>46177</v>
      </c>
    </row>
    <row r="72" spans="1:7" x14ac:dyDescent="0.25">
      <c r="A72" s="11">
        <v>50</v>
      </c>
      <c r="B72" s="52" t="s">
        <v>1857</v>
      </c>
      <c r="C72" s="20" t="s">
        <v>6</v>
      </c>
      <c r="D72" s="20" t="s">
        <v>6</v>
      </c>
      <c r="E72" s="24" t="s">
        <v>46</v>
      </c>
      <c r="F72" s="40">
        <f t="shared" ca="1" si="1"/>
        <v>46188</v>
      </c>
      <c r="G72" s="44"/>
    </row>
    <row r="73" spans="1:7" x14ac:dyDescent="0.25">
      <c r="A73" s="11">
        <v>51</v>
      </c>
      <c r="B73" s="52" t="s">
        <v>1858</v>
      </c>
      <c r="C73" s="20" t="s">
        <v>6</v>
      </c>
      <c r="D73" s="20" t="s">
        <v>6</v>
      </c>
      <c r="E73" s="24" t="s">
        <v>46</v>
      </c>
      <c r="F73" s="40">
        <f t="shared" ca="1" si="1"/>
        <v>46188</v>
      </c>
      <c r="G73" s="124"/>
    </row>
    <row r="74" spans="1:7" x14ac:dyDescent="0.25">
      <c r="A74" s="11">
        <v>52</v>
      </c>
      <c r="B74" s="52" t="s">
        <v>1870</v>
      </c>
      <c r="C74" s="20" t="s">
        <v>6</v>
      </c>
      <c r="D74" s="20" t="s">
        <v>6</v>
      </c>
      <c r="E74" s="24" t="s">
        <v>359</v>
      </c>
      <c r="F74" s="40">
        <f t="shared" ca="1" si="1"/>
        <v>46202</v>
      </c>
      <c r="G74" s="124"/>
    </row>
    <row r="75" spans="1:7" x14ac:dyDescent="0.25">
      <c r="A75" s="11">
        <v>53</v>
      </c>
      <c r="B75" s="52" t="s">
        <v>1896</v>
      </c>
      <c r="C75" s="20" t="s">
        <v>6</v>
      </c>
      <c r="D75" s="20" t="s">
        <v>6</v>
      </c>
      <c r="E75" s="24" t="s">
        <v>359</v>
      </c>
      <c r="F75" s="40">
        <f t="shared" ca="1" si="1"/>
        <v>46202</v>
      </c>
      <c r="G75" s="124"/>
    </row>
    <row r="76" spans="1:7" x14ac:dyDescent="0.25">
      <c r="A76" s="11">
        <v>54</v>
      </c>
      <c r="B76" s="52" t="s">
        <v>1887</v>
      </c>
      <c r="C76" s="20" t="s">
        <v>5</v>
      </c>
      <c r="D76" s="20" t="s">
        <v>6</v>
      </c>
      <c r="E76" s="24" t="s">
        <v>46</v>
      </c>
      <c r="F76" s="40" t="str">
        <f t="shared" ca="1" si="1"/>
        <v/>
      </c>
      <c r="G76" s="124"/>
    </row>
    <row r="77" spans="1:7" x14ac:dyDescent="0.25">
      <c r="A77" s="11">
        <v>55</v>
      </c>
      <c r="B77" s="52" t="s">
        <v>1888</v>
      </c>
      <c r="C77" s="20" t="s">
        <v>5</v>
      </c>
      <c r="D77" s="20" t="s">
        <v>6</v>
      </c>
      <c r="E77" s="24" t="s">
        <v>46</v>
      </c>
      <c r="F77" s="40" t="str">
        <f t="shared" ca="1" si="1"/>
        <v/>
      </c>
      <c r="G77" s="124"/>
    </row>
    <row r="78" spans="1:7" x14ac:dyDescent="0.25">
      <c r="A78" s="11">
        <v>56</v>
      </c>
      <c r="B78" s="52" t="s">
        <v>1889</v>
      </c>
      <c r="C78" s="20" t="s">
        <v>5</v>
      </c>
      <c r="D78" s="20" t="s">
        <v>6</v>
      </c>
      <c r="E78" s="24" t="s">
        <v>46</v>
      </c>
      <c r="F78" s="40" t="str">
        <f t="shared" ca="1" si="1"/>
        <v/>
      </c>
      <c r="G78" s="124"/>
    </row>
    <row r="79" spans="1:7" x14ac:dyDescent="0.25">
      <c r="A79" s="11">
        <v>57</v>
      </c>
      <c r="B79" s="52" t="s">
        <v>1890</v>
      </c>
      <c r="C79" s="20" t="s">
        <v>5</v>
      </c>
      <c r="D79" s="20" t="s">
        <v>6</v>
      </c>
      <c r="E79" s="24" t="s">
        <v>46</v>
      </c>
      <c r="F79" s="40" t="str">
        <f t="shared" ca="1" si="1"/>
        <v/>
      </c>
      <c r="G79" s="124"/>
    </row>
    <row r="80" spans="1:7" x14ac:dyDescent="0.25">
      <c r="A80" s="11">
        <v>58</v>
      </c>
      <c r="B80" s="52" t="s">
        <v>1892</v>
      </c>
      <c r="C80" s="20" t="s">
        <v>5</v>
      </c>
      <c r="D80" s="20" t="s">
        <v>5</v>
      </c>
      <c r="E80" s="24" t="s">
        <v>46</v>
      </c>
      <c r="F80" s="40" t="str">
        <f t="shared" ca="1" si="1"/>
        <v/>
      </c>
      <c r="G80" s="124"/>
    </row>
    <row r="81" spans="1:9" x14ac:dyDescent="0.25">
      <c r="A81" s="11">
        <v>59</v>
      </c>
      <c r="B81" s="52" t="s">
        <v>1893</v>
      </c>
      <c r="C81" s="20" t="s">
        <v>5</v>
      </c>
      <c r="D81" s="20" t="s">
        <v>5</v>
      </c>
      <c r="E81" s="24" t="s">
        <v>46</v>
      </c>
      <c r="F81" s="40" t="str">
        <f t="shared" ca="1" si="1"/>
        <v/>
      </c>
      <c r="G81" s="124"/>
    </row>
    <row r="82" spans="1:9" x14ac:dyDescent="0.25">
      <c r="A82" s="11">
        <v>60</v>
      </c>
      <c r="B82" s="52" t="s">
        <v>1894</v>
      </c>
      <c r="C82" s="20" t="s">
        <v>5</v>
      </c>
      <c r="D82" s="20" t="s">
        <v>6</v>
      </c>
      <c r="E82" s="24" t="s">
        <v>46</v>
      </c>
      <c r="F82" s="40" t="str">
        <f t="shared" ca="1" si="1"/>
        <v/>
      </c>
      <c r="G82" s="124"/>
    </row>
    <row r="83" spans="1:9" x14ac:dyDescent="0.25">
      <c r="A83" s="11">
        <v>61</v>
      </c>
      <c r="B83" s="52" t="s">
        <v>1891</v>
      </c>
      <c r="C83" s="20" t="s">
        <v>5</v>
      </c>
      <c r="D83" s="20" t="s">
        <v>6</v>
      </c>
      <c r="E83" s="24" t="s">
        <v>46</v>
      </c>
      <c r="F83" s="40" t="str">
        <f t="shared" ca="1" si="1"/>
        <v/>
      </c>
      <c r="G83" s="115"/>
    </row>
    <row r="84" spans="1:9" x14ac:dyDescent="0.25">
      <c r="A84" s="11">
        <v>62</v>
      </c>
      <c r="B84" s="52" t="s">
        <v>1886</v>
      </c>
      <c r="C84" s="20" t="s">
        <v>5</v>
      </c>
      <c r="D84" s="20" t="s">
        <v>6</v>
      </c>
      <c r="E84" s="24" t="s">
        <v>46</v>
      </c>
      <c r="F84" s="40" t="str">
        <f t="shared" ca="1" si="1"/>
        <v/>
      </c>
      <c r="G84" s="124"/>
    </row>
    <row r="85" spans="1:9" x14ac:dyDescent="0.25">
      <c r="A85" s="11">
        <v>63</v>
      </c>
      <c r="B85" s="52" t="s">
        <v>1897</v>
      </c>
      <c r="C85" s="20" t="s">
        <v>6</v>
      </c>
      <c r="D85" s="20" t="s">
        <v>6</v>
      </c>
      <c r="E85" s="24" t="s">
        <v>46</v>
      </c>
      <c r="F85" s="40">
        <f t="shared" ca="1" si="1"/>
        <v>46195</v>
      </c>
      <c r="G85" s="126"/>
    </row>
    <row r="86" spans="1:9" x14ac:dyDescent="0.25">
      <c r="A86" s="11">
        <v>64</v>
      </c>
      <c r="B86" s="52" t="s">
        <v>1901</v>
      </c>
      <c r="C86" s="20" t="s">
        <v>6</v>
      </c>
      <c r="D86" s="20" t="s">
        <v>6</v>
      </c>
      <c r="E86" s="24" t="s">
        <v>46</v>
      </c>
      <c r="F86" s="40">
        <f t="shared" ca="1" si="1"/>
        <v>46202</v>
      </c>
      <c r="G86" s="126"/>
    </row>
    <row r="87" spans="1:9" x14ac:dyDescent="0.25">
      <c r="A87" s="11">
        <v>65</v>
      </c>
      <c r="B87" s="52" t="s">
        <v>1902</v>
      </c>
      <c r="C87" s="20" t="s">
        <v>5</v>
      </c>
      <c r="D87" s="20" t="s">
        <v>6</v>
      </c>
      <c r="E87" s="24" t="s">
        <v>46</v>
      </c>
      <c r="F87" s="40" t="str">
        <f t="shared" ca="1" si="1"/>
        <v/>
      </c>
      <c r="G87" s="126"/>
      <c r="I87" s="134">
        <f>10+8+12+6+5</f>
        <v>41</v>
      </c>
    </row>
    <row r="88" spans="1:9" x14ac:dyDescent="0.25">
      <c r="A88" s="11">
        <v>66</v>
      </c>
      <c r="B88" s="52" t="s">
        <v>1903</v>
      </c>
      <c r="C88" s="20" t="s">
        <v>5</v>
      </c>
      <c r="D88" s="20" t="s">
        <v>6</v>
      </c>
      <c r="E88" s="24" t="s">
        <v>46</v>
      </c>
      <c r="F88" s="40" t="str">
        <f t="shared" ca="1" si="1"/>
        <v/>
      </c>
      <c r="G88" s="126"/>
      <c r="I88" s="135">
        <f>11+13</f>
        <v>24</v>
      </c>
    </row>
    <row r="89" spans="1:9" x14ac:dyDescent="0.25">
      <c r="A89" s="11">
        <v>67</v>
      </c>
      <c r="B89" s="52" t="s">
        <v>1909</v>
      </c>
      <c r="C89" s="20" t="s">
        <v>6</v>
      </c>
      <c r="D89" s="20" t="s">
        <v>6</v>
      </c>
      <c r="E89" s="24" t="s">
        <v>359</v>
      </c>
      <c r="F89" s="40">
        <f t="shared" ca="1" si="1"/>
        <v>46202</v>
      </c>
      <c r="G89" s="134"/>
    </row>
    <row r="90" spans="1:9" x14ac:dyDescent="0.25">
      <c r="A90" s="11">
        <v>68</v>
      </c>
      <c r="B90" s="52" t="s">
        <v>1942</v>
      </c>
      <c r="C90" s="20" t="s">
        <v>5</v>
      </c>
      <c r="D90" s="20" t="s">
        <v>6</v>
      </c>
      <c r="E90" s="24" t="s">
        <v>1815</v>
      </c>
      <c r="F90" s="40"/>
      <c r="G90" s="135"/>
    </row>
    <row r="91" spans="1:9" x14ac:dyDescent="0.25">
      <c r="A91" s="11">
        <v>69</v>
      </c>
      <c r="B91" s="52" t="s">
        <v>1954</v>
      </c>
      <c r="C91" s="20" t="s">
        <v>1815</v>
      </c>
      <c r="D91" s="20" t="s">
        <v>5</v>
      </c>
      <c r="E91" s="24" t="s">
        <v>359</v>
      </c>
      <c r="F91" s="40"/>
      <c r="G91" s="135"/>
    </row>
    <row r="92" spans="1:9" x14ac:dyDescent="0.25">
      <c r="A92" s="11">
        <v>70</v>
      </c>
      <c r="B92" s="52" t="s">
        <v>1955</v>
      </c>
      <c r="C92" s="20" t="s">
        <v>1815</v>
      </c>
      <c r="D92" s="20" t="s">
        <v>5</v>
      </c>
      <c r="E92" s="24" t="s">
        <v>359</v>
      </c>
      <c r="F92" s="40"/>
      <c r="G92" s="135"/>
    </row>
    <row r="93" spans="1:9" x14ac:dyDescent="0.25">
      <c r="A93" s="11">
        <v>71</v>
      </c>
      <c r="B93" s="52" t="s">
        <v>1956</v>
      </c>
      <c r="C93" s="20" t="s">
        <v>1815</v>
      </c>
      <c r="D93" s="20" t="s">
        <v>5</v>
      </c>
      <c r="E93" s="24" t="s">
        <v>359</v>
      </c>
      <c r="F93" s="40"/>
      <c r="G93" s="135"/>
    </row>
    <row r="94" spans="1:9" x14ac:dyDescent="0.25">
      <c r="A94" s="11">
        <v>72</v>
      </c>
      <c r="B94" s="52" t="s">
        <v>1957</v>
      </c>
      <c r="C94" s="20" t="s">
        <v>1815</v>
      </c>
      <c r="D94" s="20" t="s">
        <v>5</v>
      </c>
      <c r="E94" s="24" t="s">
        <v>359</v>
      </c>
      <c r="F94" s="40"/>
      <c r="G94" s="135"/>
    </row>
    <row r="95" spans="1:9" x14ac:dyDescent="0.25">
      <c r="A95" s="11">
        <v>73</v>
      </c>
      <c r="B95" s="52" t="s">
        <v>1958</v>
      </c>
      <c r="C95" s="20" t="s">
        <v>1815</v>
      </c>
      <c r="D95" s="20" t="s">
        <v>5</v>
      </c>
      <c r="E95" s="24" t="s">
        <v>359</v>
      </c>
      <c r="F95" s="40"/>
      <c r="G95" s="135"/>
    </row>
    <row r="96" spans="1:9" x14ac:dyDescent="0.25">
      <c r="A96" s="11">
        <v>74</v>
      </c>
      <c r="B96" s="52" t="s">
        <v>1959</v>
      </c>
      <c r="C96" s="20" t="s">
        <v>1815</v>
      </c>
      <c r="D96" s="20" t="s">
        <v>5</v>
      </c>
      <c r="E96" s="24" t="s">
        <v>359</v>
      </c>
      <c r="F96" s="40" t="str">
        <f ca="1">IF(AND(C96="NO",D96="NO"),IF(F96="",TODAY(),F96),"")</f>
        <v/>
      </c>
    </row>
    <row r="98" spans="1:10" ht="45" x14ac:dyDescent="0.25">
      <c r="A98" s="159" t="s">
        <v>54</v>
      </c>
      <c r="B98" s="160"/>
      <c r="C98" s="12">
        <f>COUNTIF(C23:C96, "SI")</f>
        <v>41</v>
      </c>
      <c r="D98" s="6" t="s">
        <v>51</v>
      </c>
      <c r="E98" s="32">
        <f>C98/A96*100</f>
        <v>55.405405405405403</v>
      </c>
      <c r="F98" s="13" t="s">
        <v>1922</v>
      </c>
    </row>
    <row r="99" spans="1:10" ht="45" x14ac:dyDescent="0.25">
      <c r="A99" s="159" t="s">
        <v>55</v>
      </c>
      <c r="B99" s="160"/>
      <c r="C99" s="12">
        <f>COUNTIF(C23:C96, "NO")</f>
        <v>27</v>
      </c>
      <c r="D99" s="6" t="s">
        <v>51</v>
      </c>
      <c r="E99" s="32">
        <f>C99/A96*100</f>
        <v>36.486486486486484</v>
      </c>
      <c r="F99" s="13" t="s">
        <v>1923</v>
      </c>
    </row>
    <row r="100" spans="1:10" ht="18" x14ac:dyDescent="0.25">
      <c r="A100" s="26"/>
      <c r="B100" s="26"/>
      <c r="C100" s="27"/>
      <c r="D100" s="28"/>
      <c r="E100" s="29"/>
      <c r="F100" s="30"/>
    </row>
    <row r="101" spans="1:10" ht="45" x14ac:dyDescent="0.25">
      <c r="A101" s="159" t="s">
        <v>56</v>
      </c>
      <c r="B101" s="160"/>
      <c r="C101" s="12">
        <f>COUNTIF(D22:D96, "SI")</f>
        <v>26</v>
      </c>
      <c r="D101" s="6" t="s">
        <v>51</v>
      </c>
      <c r="E101" s="32">
        <f>C101/A96*100</f>
        <v>35.135135135135137</v>
      </c>
      <c r="F101" s="13" t="s">
        <v>58</v>
      </c>
    </row>
    <row r="102" spans="1:10" ht="45" x14ac:dyDescent="0.25">
      <c r="A102" s="159" t="s">
        <v>57</v>
      </c>
      <c r="B102" s="160"/>
      <c r="C102" s="12">
        <f>COUNTIF(D23:D96, "NO")</f>
        <v>48</v>
      </c>
      <c r="D102" s="6" t="s">
        <v>51</v>
      </c>
      <c r="E102" s="32">
        <f>C102/A96*100</f>
        <v>64.86486486486487</v>
      </c>
      <c r="F102" s="13" t="s">
        <v>59</v>
      </c>
    </row>
    <row r="103" spans="1:10" ht="18" x14ac:dyDescent="0.25">
      <c r="A103" s="26"/>
      <c r="B103" s="26"/>
      <c r="C103" s="27"/>
      <c r="D103" s="28"/>
      <c r="E103" s="29"/>
      <c r="F103" s="63"/>
    </row>
    <row r="104" spans="1:10" ht="15" customHeight="1" x14ac:dyDescent="0.25">
      <c r="A104" s="155" t="s">
        <v>1064</v>
      </c>
      <c r="B104" s="156"/>
      <c r="C104" s="150">
        <f>COUNTIFS(C23:C96,"SI",D23:D96,"SI")</f>
        <v>17</v>
      </c>
      <c r="D104" s="151" t="s">
        <v>51</v>
      </c>
      <c r="E104" s="153">
        <f>C104/A96*100</f>
        <v>22.972972972972975</v>
      </c>
      <c r="F104" s="168" t="s">
        <v>1066</v>
      </c>
    </row>
    <row r="105" spans="1:10" ht="15" customHeight="1" x14ac:dyDescent="0.25">
      <c r="A105" s="157"/>
      <c r="B105" s="158"/>
      <c r="C105" s="150"/>
      <c r="D105" s="152"/>
      <c r="E105" s="154"/>
      <c r="F105" s="169"/>
    </row>
    <row r="106" spans="1:10" ht="15" customHeight="1" x14ac:dyDescent="0.25">
      <c r="A106" s="155" t="s">
        <v>1065</v>
      </c>
      <c r="B106" s="156"/>
      <c r="C106" s="150">
        <f>COUNTIFS(C23:C96,"NO",D23:D96,"NO")</f>
        <v>24</v>
      </c>
      <c r="D106" s="151" t="s">
        <v>51</v>
      </c>
      <c r="E106" s="153">
        <f>C106/A96*100</f>
        <v>32.432432432432435</v>
      </c>
      <c r="F106" s="168" t="s">
        <v>1067</v>
      </c>
    </row>
    <row r="107" spans="1:10" ht="15" customHeight="1" x14ac:dyDescent="0.25">
      <c r="A107" s="157"/>
      <c r="B107" s="158"/>
      <c r="C107" s="150"/>
      <c r="D107" s="152"/>
      <c r="E107" s="154"/>
      <c r="F107" s="169"/>
    </row>
    <row r="108" spans="1:10" ht="18" x14ac:dyDescent="0.25">
      <c r="A108" s="26"/>
      <c r="B108" s="26"/>
      <c r="C108" s="27"/>
      <c r="D108" s="28"/>
      <c r="E108" s="29"/>
      <c r="F108" s="63"/>
    </row>
    <row r="109" spans="1:10" x14ac:dyDescent="0.25">
      <c r="B109" s="4"/>
    </row>
    <row r="110" spans="1:10" ht="14.25" customHeight="1" x14ac:dyDescent="0.25">
      <c r="A110" s="147" t="s">
        <v>570</v>
      </c>
      <c r="B110" s="148"/>
      <c r="C110" s="148"/>
      <c r="D110" s="148"/>
      <c r="E110" s="149"/>
      <c r="I110" s="161" t="s">
        <v>1813</v>
      </c>
      <c r="J110" s="161"/>
    </row>
    <row r="111" spans="1:10" ht="15" customHeight="1" x14ac:dyDescent="0.25">
      <c r="A111" s="15" t="s">
        <v>0</v>
      </c>
      <c r="B111" s="15" t="s">
        <v>1</v>
      </c>
      <c r="C111" s="15" t="s">
        <v>2</v>
      </c>
      <c r="D111" s="15" t="s">
        <v>3</v>
      </c>
      <c r="E111" s="15" t="s">
        <v>7</v>
      </c>
      <c r="I111" s="161"/>
      <c r="J111" s="161"/>
    </row>
    <row r="112" spans="1:10" ht="15" customHeight="1" x14ac:dyDescent="0.25">
      <c r="A112" s="11">
        <v>1</v>
      </c>
      <c r="B112" s="8" t="s">
        <v>60</v>
      </c>
      <c r="C112" s="11" t="s">
        <v>6</v>
      </c>
      <c r="D112" s="11" t="s">
        <v>5</v>
      </c>
      <c r="E112" s="16" t="s">
        <v>46</v>
      </c>
      <c r="F112" s="40" t="str">
        <f t="shared" ref="F112:F143" ca="1" si="2">IF(AND(C112="NO",D112="NO"),IF(F112="",TODAY(),F112),"")</f>
        <v/>
      </c>
      <c r="I112" s="121" t="str" cm="1">
        <f t="array" ref="I112:I137">_xlfn._xlws.FILTER(B112:B279,(C112:C279="SI")*(D112:D279="SI"),"")</f>
        <v>David Rangel</v>
      </c>
      <c r="J112" s="121"/>
    </row>
    <row r="113" spans="1:10" ht="15" customHeight="1" x14ac:dyDescent="0.25">
      <c r="A113" s="11">
        <v>2</v>
      </c>
      <c r="B113" s="8" t="s">
        <v>61</v>
      </c>
      <c r="C113" s="11" t="s">
        <v>6</v>
      </c>
      <c r="D113" s="11" t="s">
        <v>5</v>
      </c>
      <c r="E113" s="16" t="s">
        <v>270</v>
      </c>
      <c r="F113" s="40" t="str">
        <f t="shared" ca="1" si="2"/>
        <v/>
      </c>
      <c r="I113" s="121" t="str">
        <v>Isbelia Puche</v>
      </c>
      <c r="J113" s="121"/>
    </row>
    <row r="114" spans="1:10" ht="15" customHeight="1" x14ac:dyDescent="0.25">
      <c r="A114" s="11">
        <v>3</v>
      </c>
      <c r="B114" s="8" t="s">
        <v>66</v>
      </c>
      <c r="C114" s="11" t="s">
        <v>6</v>
      </c>
      <c r="D114" s="11" t="s">
        <v>6</v>
      </c>
      <c r="E114" s="16" t="s">
        <v>46</v>
      </c>
      <c r="F114" s="40">
        <f t="shared" ca="1" si="2"/>
        <v>46202</v>
      </c>
      <c r="I114" s="121" t="str">
        <v>Andrés Gómez</v>
      </c>
      <c r="J114" s="121"/>
    </row>
    <row r="115" spans="1:10" ht="15" customHeight="1" x14ac:dyDescent="0.25">
      <c r="A115" s="11">
        <v>4</v>
      </c>
      <c r="B115" s="8" t="s">
        <v>67</v>
      </c>
      <c r="C115" s="11" t="s">
        <v>5</v>
      </c>
      <c r="D115" s="11" t="s">
        <v>5</v>
      </c>
      <c r="E115" s="16" t="s">
        <v>46</v>
      </c>
      <c r="F115" s="40" t="str">
        <f t="shared" ca="1" si="2"/>
        <v/>
      </c>
      <c r="I115" s="121" t="str">
        <v>Karol González</v>
      </c>
      <c r="J115" s="121"/>
    </row>
    <row r="116" spans="1:10" x14ac:dyDescent="0.25">
      <c r="A116" s="11">
        <v>5</v>
      </c>
      <c r="B116" s="8" t="s">
        <v>1099</v>
      </c>
      <c r="C116" s="11" t="s">
        <v>6</v>
      </c>
      <c r="D116" s="11" t="s">
        <v>6</v>
      </c>
      <c r="E116" s="16" t="s">
        <v>46</v>
      </c>
      <c r="F116" s="40">
        <f t="shared" ca="1" si="2"/>
        <v>46177</v>
      </c>
      <c r="I116" s="121" t="str">
        <v>Luis Troconis</v>
      </c>
      <c r="J116" s="121"/>
    </row>
    <row r="117" spans="1:10" ht="15" customHeight="1" x14ac:dyDescent="0.25">
      <c r="A117" s="11">
        <v>6</v>
      </c>
      <c r="B117" s="42" t="s">
        <v>1215</v>
      </c>
      <c r="C117" s="11" t="s">
        <v>5</v>
      </c>
      <c r="D117" s="11" t="s">
        <v>6</v>
      </c>
      <c r="E117" s="24" t="s">
        <v>46</v>
      </c>
      <c r="F117" s="40" t="str">
        <f t="shared" ca="1" si="2"/>
        <v/>
      </c>
      <c r="I117" s="121" t="str">
        <v xml:space="preserve">Tibisay Rangel </v>
      </c>
      <c r="J117" s="121"/>
    </row>
    <row r="118" spans="1:10" ht="15" customHeight="1" x14ac:dyDescent="0.25">
      <c r="A118" s="11">
        <v>7</v>
      </c>
      <c r="B118" s="8" t="s">
        <v>73</v>
      </c>
      <c r="C118" s="11" t="s">
        <v>5</v>
      </c>
      <c r="D118" s="11" t="s">
        <v>6</v>
      </c>
      <c r="E118" s="16" t="s">
        <v>46</v>
      </c>
      <c r="F118" s="40" t="str">
        <f t="shared" ca="1" si="2"/>
        <v/>
      </c>
      <c r="I118" s="121" t="str">
        <v xml:space="preserve">Athais Montilla </v>
      </c>
      <c r="J118" s="121"/>
    </row>
    <row r="119" spans="1:10" ht="15" customHeight="1" x14ac:dyDescent="0.25">
      <c r="A119" s="11">
        <v>8</v>
      </c>
      <c r="B119" s="8" t="s">
        <v>75</v>
      </c>
      <c r="C119" s="11" t="s">
        <v>5</v>
      </c>
      <c r="D119" s="11" t="s">
        <v>5</v>
      </c>
      <c r="E119" s="16" t="s">
        <v>46</v>
      </c>
      <c r="F119" s="40" t="str">
        <f t="shared" ca="1" si="2"/>
        <v/>
      </c>
      <c r="I119" s="121" t="str">
        <v xml:space="preserve">Yoana Moncada </v>
      </c>
      <c r="J119" s="121"/>
    </row>
    <row r="120" spans="1:10" x14ac:dyDescent="0.25">
      <c r="A120" s="11">
        <v>9</v>
      </c>
      <c r="B120" s="8" t="s">
        <v>1915</v>
      </c>
      <c r="C120" s="11" t="s">
        <v>5</v>
      </c>
      <c r="D120" s="11" t="s">
        <v>6</v>
      </c>
      <c r="E120" s="16" t="s">
        <v>46</v>
      </c>
      <c r="F120" s="40" t="str">
        <f t="shared" ca="1" si="2"/>
        <v/>
      </c>
      <c r="I120" s="121" t="str">
        <v>Manuel Jordan</v>
      </c>
      <c r="J120" s="121"/>
    </row>
    <row r="121" spans="1:10" x14ac:dyDescent="0.25">
      <c r="A121" s="11">
        <v>10</v>
      </c>
      <c r="B121" s="42" t="s">
        <v>1651</v>
      </c>
      <c r="C121" s="11" t="s">
        <v>6</v>
      </c>
      <c r="D121" s="11" t="s">
        <v>5</v>
      </c>
      <c r="E121" s="16" t="s">
        <v>46</v>
      </c>
      <c r="F121" s="40" t="str">
        <f t="shared" ca="1" si="2"/>
        <v/>
      </c>
      <c r="G121" s="91"/>
      <c r="H121" s="91"/>
      <c r="I121" s="121" t="str">
        <v>Magalis Colina</v>
      </c>
      <c r="J121" s="121"/>
    </row>
    <row r="122" spans="1:10" x14ac:dyDescent="0.25">
      <c r="A122" s="11">
        <v>11</v>
      </c>
      <c r="B122" s="8" t="s">
        <v>78</v>
      </c>
      <c r="C122" s="11" t="s">
        <v>5</v>
      </c>
      <c r="D122" s="11" t="s">
        <v>5</v>
      </c>
      <c r="E122" s="16" t="s">
        <v>46</v>
      </c>
      <c r="F122" s="40" t="str">
        <f t="shared" ca="1" si="2"/>
        <v/>
      </c>
      <c r="I122" s="121" t="str">
        <v>Omiria Aizpurua</v>
      </c>
      <c r="J122" s="121"/>
    </row>
    <row r="123" spans="1:10" x14ac:dyDescent="0.25">
      <c r="A123" s="11">
        <v>12</v>
      </c>
      <c r="B123" s="8" t="s">
        <v>79</v>
      </c>
      <c r="C123" s="11" t="s">
        <v>5</v>
      </c>
      <c r="D123" s="11" t="s">
        <v>5</v>
      </c>
      <c r="E123" s="16" t="s">
        <v>46</v>
      </c>
      <c r="F123" s="40" t="str">
        <f t="shared" ca="1" si="2"/>
        <v/>
      </c>
      <c r="I123" s="121" t="str">
        <v>Sebastián Sánchez</v>
      </c>
      <c r="J123" s="121"/>
    </row>
    <row r="124" spans="1:10" x14ac:dyDescent="0.25">
      <c r="A124" s="11">
        <v>13</v>
      </c>
      <c r="B124" s="8" t="s">
        <v>72</v>
      </c>
      <c r="C124" s="11" t="s">
        <v>5</v>
      </c>
      <c r="D124" s="11" t="s">
        <v>5</v>
      </c>
      <c r="E124" s="16" t="s">
        <v>46</v>
      </c>
      <c r="F124" s="40" t="str">
        <f t="shared" ca="1" si="2"/>
        <v/>
      </c>
      <c r="I124" s="121" t="str">
        <v>Edith Rincón</v>
      </c>
      <c r="J124" s="121"/>
    </row>
    <row r="125" spans="1:10" x14ac:dyDescent="0.25">
      <c r="A125" s="11">
        <v>14</v>
      </c>
      <c r="B125" s="8" t="s">
        <v>1151</v>
      </c>
      <c r="C125" s="11" t="s">
        <v>6</v>
      </c>
      <c r="D125" s="11" t="s">
        <v>6</v>
      </c>
      <c r="E125" s="103" t="s">
        <v>46</v>
      </c>
      <c r="F125" s="40">
        <f t="shared" ca="1" si="2"/>
        <v>46202</v>
      </c>
      <c r="I125" s="116" t="str">
        <v>Omar Rincón</v>
      </c>
      <c r="J125" s="116"/>
    </row>
    <row r="126" spans="1:10" x14ac:dyDescent="0.25">
      <c r="A126" s="11">
        <v>15</v>
      </c>
      <c r="B126" s="8" t="s">
        <v>1195</v>
      </c>
      <c r="C126" s="11" t="s">
        <v>6</v>
      </c>
      <c r="D126" s="11" t="s">
        <v>6</v>
      </c>
      <c r="E126" s="16" t="s">
        <v>46</v>
      </c>
      <c r="F126" s="40">
        <f t="shared" ca="1" si="2"/>
        <v>46202</v>
      </c>
      <c r="I126" s="116" t="str">
        <v>José aldana</v>
      </c>
      <c r="J126" s="116"/>
    </row>
    <row r="127" spans="1:10" x14ac:dyDescent="0.25">
      <c r="A127" s="11">
        <v>16</v>
      </c>
      <c r="B127" s="8" t="s">
        <v>349</v>
      </c>
      <c r="C127" s="11" t="s">
        <v>6</v>
      </c>
      <c r="D127" s="11" t="s">
        <v>6</v>
      </c>
      <c r="E127" s="16" t="s">
        <v>46</v>
      </c>
      <c r="F127" s="40">
        <f t="shared" ca="1" si="2"/>
        <v>46177</v>
      </c>
      <c r="I127" s="121" t="str">
        <v>Alexandro Martinez</v>
      </c>
      <c r="J127" s="121"/>
    </row>
    <row r="128" spans="1:10" x14ac:dyDescent="0.25">
      <c r="A128" s="11">
        <v>17</v>
      </c>
      <c r="B128" s="8" t="s">
        <v>1878</v>
      </c>
      <c r="C128" s="11" t="s">
        <v>6</v>
      </c>
      <c r="D128" s="11" t="s">
        <v>6</v>
      </c>
      <c r="E128" s="16" t="s">
        <v>154</v>
      </c>
      <c r="F128" s="40">
        <f t="shared" ca="1" si="2"/>
        <v>46195</v>
      </c>
      <c r="I128" s="121" t="str">
        <v>Gardys González</v>
      </c>
      <c r="J128" s="121"/>
    </row>
    <row r="129" spans="1:20" x14ac:dyDescent="0.25">
      <c r="A129" s="11">
        <v>18</v>
      </c>
      <c r="B129" s="8" t="s">
        <v>80</v>
      </c>
      <c r="C129" s="11" t="s">
        <v>6</v>
      </c>
      <c r="D129" s="11" t="s">
        <v>5</v>
      </c>
      <c r="E129" s="16" t="s">
        <v>46</v>
      </c>
      <c r="F129" s="40" t="str">
        <f t="shared" ca="1" si="2"/>
        <v/>
      </c>
      <c r="I129" s="121" t="str">
        <v>Francis Perez</v>
      </c>
      <c r="J129" s="121"/>
    </row>
    <row r="130" spans="1:20" x14ac:dyDescent="0.25">
      <c r="A130" s="11">
        <v>19</v>
      </c>
      <c r="B130" s="8" t="s">
        <v>83</v>
      </c>
      <c r="C130" s="11" t="s">
        <v>6</v>
      </c>
      <c r="D130" s="11" t="s">
        <v>6</v>
      </c>
      <c r="E130" s="16" t="s">
        <v>270</v>
      </c>
      <c r="F130" s="40">
        <f t="shared" ca="1" si="2"/>
        <v>46202</v>
      </c>
      <c r="I130" s="121" t="str">
        <v xml:space="preserve">Kelvis arroyo </v>
      </c>
      <c r="J130" s="121"/>
    </row>
    <row r="131" spans="1:20" ht="15" customHeight="1" x14ac:dyDescent="0.25">
      <c r="A131" s="11">
        <v>20</v>
      </c>
      <c r="B131" s="8" t="s">
        <v>1388</v>
      </c>
      <c r="C131" s="11" t="s">
        <v>6</v>
      </c>
      <c r="D131" s="11" t="s">
        <v>5</v>
      </c>
      <c r="E131" s="16" t="s">
        <v>46</v>
      </c>
      <c r="F131" s="40" t="str">
        <f t="shared" ca="1" si="2"/>
        <v/>
      </c>
      <c r="I131" s="121" t="str">
        <v xml:space="preserve">Franyelis Marín </v>
      </c>
      <c r="J131" s="121"/>
    </row>
    <row r="132" spans="1:20" x14ac:dyDescent="0.25">
      <c r="A132" s="11">
        <v>21</v>
      </c>
      <c r="B132" s="8" t="s">
        <v>84</v>
      </c>
      <c r="C132" s="11" t="s">
        <v>5</v>
      </c>
      <c r="D132" s="11" t="s">
        <v>5</v>
      </c>
      <c r="E132" s="16" t="s">
        <v>270</v>
      </c>
      <c r="F132" s="40" t="str">
        <f t="shared" ca="1" si="2"/>
        <v/>
      </c>
      <c r="I132" s="121" t="str">
        <v>Yulimar Arroyo</v>
      </c>
      <c r="J132" s="121"/>
    </row>
    <row r="133" spans="1:20" x14ac:dyDescent="0.25">
      <c r="A133" s="11">
        <v>22</v>
      </c>
      <c r="B133" s="8" t="s">
        <v>1916</v>
      </c>
      <c r="C133" s="11" t="s">
        <v>6</v>
      </c>
      <c r="D133" s="11" t="s">
        <v>5</v>
      </c>
      <c r="E133" s="16" t="s">
        <v>359</v>
      </c>
      <c r="F133" s="40" t="str">
        <f t="shared" ca="1" si="2"/>
        <v/>
      </c>
      <c r="I133" s="121" t="str">
        <v>Juan Carlos Márquez</v>
      </c>
      <c r="J133" s="116"/>
      <c r="M133" s="45"/>
      <c r="N133" s="57"/>
      <c r="O133" s="45"/>
      <c r="P133" s="45"/>
      <c r="Q133" s="56"/>
      <c r="R133" s="50"/>
      <c r="T133" s="51"/>
    </row>
    <row r="134" spans="1:20" ht="14.25" customHeight="1" x14ac:dyDescent="0.25">
      <c r="A134" s="11">
        <v>23</v>
      </c>
      <c r="B134" s="8" t="s">
        <v>1068</v>
      </c>
      <c r="C134" s="11" t="s">
        <v>6</v>
      </c>
      <c r="D134" s="11" t="s">
        <v>5</v>
      </c>
      <c r="E134" s="16" t="s">
        <v>359</v>
      </c>
      <c r="F134" s="40" t="str">
        <f t="shared" ca="1" si="2"/>
        <v/>
      </c>
      <c r="I134" s="121" t="str">
        <v>Rosa HERNÁNDEZ</v>
      </c>
      <c r="J134" s="121"/>
    </row>
    <row r="135" spans="1:20" ht="15" customHeight="1" x14ac:dyDescent="0.25">
      <c r="A135" s="11">
        <v>24</v>
      </c>
      <c r="B135" s="8" t="s">
        <v>1928</v>
      </c>
      <c r="C135" s="11" t="s">
        <v>6</v>
      </c>
      <c r="D135" s="11" t="s">
        <v>5</v>
      </c>
      <c r="E135" s="17" t="s">
        <v>46</v>
      </c>
      <c r="F135" s="40" t="str">
        <f t="shared" ca="1" si="2"/>
        <v/>
      </c>
      <c r="I135" s="121" t="str">
        <v>Yoneida González</v>
      </c>
      <c r="J135" s="121"/>
    </row>
    <row r="136" spans="1:20" x14ac:dyDescent="0.25">
      <c r="A136" s="11">
        <v>25</v>
      </c>
      <c r="B136" s="8" t="s">
        <v>148</v>
      </c>
      <c r="C136" s="11" t="s">
        <v>6</v>
      </c>
      <c r="D136" s="11" t="s">
        <v>5</v>
      </c>
      <c r="E136" s="16" t="s">
        <v>154</v>
      </c>
      <c r="F136" s="40" t="str">
        <f t="shared" ca="1" si="2"/>
        <v/>
      </c>
      <c r="I136" s="116" t="str">
        <v>Lilibeth Linares</v>
      </c>
      <c r="J136" s="116"/>
    </row>
    <row r="137" spans="1:20" x14ac:dyDescent="0.25">
      <c r="A137" s="11">
        <v>26</v>
      </c>
      <c r="B137" s="8" t="s">
        <v>88</v>
      </c>
      <c r="C137" s="11" t="s">
        <v>6</v>
      </c>
      <c r="D137" s="11" t="s">
        <v>5</v>
      </c>
      <c r="E137" s="16" t="s">
        <v>46</v>
      </c>
      <c r="F137" s="40" t="str">
        <f t="shared" ca="1" si="2"/>
        <v/>
      </c>
      <c r="I137" s="116" t="str">
        <v>Jesus Longares</v>
      </c>
      <c r="J137" s="116"/>
    </row>
    <row r="138" spans="1:20" ht="23.25" x14ac:dyDescent="0.35">
      <c r="A138" s="11">
        <v>27</v>
      </c>
      <c r="B138" s="8" t="s">
        <v>89</v>
      </c>
      <c r="C138" s="11" t="s">
        <v>5</v>
      </c>
      <c r="D138" s="11" t="s">
        <v>5</v>
      </c>
      <c r="E138" s="16" t="s">
        <v>46</v>
      </c>
      <c r="F138" s="40" t="str">
        <f t="shared" ca="1" si="2"/>
        <v/>
      </c>
      <c r="I138" s="4"/>
      <c r="J138" s="139">
        <f>C287</f>
        <v>26</v>
      </c>
    </row>
    <row r="139" spans="1:20" x14ac:dyDescent="0.25">
      <c r="A139" s="11">
        <v>28</v>
      </c>
      <c r="B139" s="42" t="s">
        <v>1103</v>
      </c>
      <c r="C139" s="11" t="s">
        <v>6</v>
      </c>
      <c r="D139" s="11" t="s">
        <v>6</v>
      </c>
      <c r="E139" s="24" t="s">
        <v>46</v>
      </c>
      <c r="F139" s="40">
        <f t="shared" ca="1" si="2"/>
        <v>46202</v>
      </c>
      <c r="I139" s="4"/>
      <c r="J139" s="4"/>
    </row>
    <row r="140" spans="1:20" ht="15" customHeight="1" x14ac:dyDescent="0.25">
      <c r="A140" s="11">
        <v>29</v>
      </c>
      <c r="B140" s="42" t="s">
        <v>532</v>
      </c>
      <c r="C140" s="11" t="s">
        <v>6</v>
      </c>
      <c r="D140" s="11" t="s">
        <v>6</v>
      </c>
      <c r="E140" s="24" t="s">
        <v>154</v>
      </c>
      <c r="F140" s="40">
        <f t="shared" ca="1" si="2"/>
        <v>46177</v>
      </c>
      <c r="I140" s="4"/>
      <c r="J140" s="4"/>
    </row>
    <row r="141" spans="1:20" ht="15" customHeight="1" x14ac:dyDescent="0.25">
      <c r="A141" s="11">
        <v>30</v>
      </c>
      <c r="B141" s="8" t="s">
        <v>92</v>
      </c>
      <c r="C141" s="11" t="s">
        <v>6</v>
      </c>
      <c r="D141" s="11" t="s">
        <v>6</v>
      </c>
      <c r="E141" s="16" t="s">
        <v>46</v>
      </c>
      <c r="F141" s="40">
        <f t="shared" ca="1" si="2"/>
        <v>46202</v>
      </c>
      <c r="I141" s="4"/>
      <c r="J141" s="4"/>
    </row>
    <row r="142" spans="1:20" x14ac:dyDescent="0.25">
      <c r="A142" s="11">
        <v>31</v>
      </c>
      <c r="B142" s="8" t="s">
        <v>93</v>
      </c>
      <c r="C142" s="11" t="s">
        <v>6</v>
      </c>
      <c r="D142" s="11" t="s">
        <v>6</v>
      </c>
      <c r="E142" s="16" t="s">
        <v>46</v>
      </c>
      <c r="F142" s="40">
        <f t="shared" ca="1" si="2"/>
        <v>46202</v>
      </c>
      <c r="I142" s="4"/>
      <c r="J142" s="4"/>
    </row>
    <row r="143" spans="1:20" x14ac:dyDescent="0.25">
      <c r="A143" s="11">
        <v>32</v>
      </c>
      <c r="B143" s="8" t="s">
        <v>217</v>
      </c>
      <c r="C143" s="11" t="s">
        <v>5</v>
      </c>
      <c r="D143" s="11" t="s">
        <v>5</v>
      </c>
      <c r="E143" s="24" t="s">
        <v>46</v>
      </c>
      <c r="F143" s="40" t="str">
        <f t="shared" ca="1" si="2"/>
        <v/>
      </c>
      <c r="I143" s="4"/>
      <c r="J143" s="4"/>
    </row>
    <row r="144" spans="1:20" x14ac:dyDescent="0.25">
      <c r="A144" s="11">
        <v>33</v>
      </c>
      <c r="B144" s="8" t="s">
        <v>96</v>
      </c>
      <c r="C144" s="11" t="s">
        <v>6</v>
      </c>
      <c r="D144" s="11" t="s">
        <v>5</v>
      </c>
      <c r="E144" s="16" t="s">
        <v>270</v>
      </c>
      <c r="F144" s="40" t="str">
        <f t="shared" ref="F144:F175" ca="1" si="3">IF(AND(C144="NO",D144="NO"),IF(F144="",TODAY(),F144),"")</f>
        <v/>
      </c>
      <c r="I144" s="4"/>
      <c r="J144" s="4"/>
    </row>
    <row r="145" spans="1:74" x14ac:dyDescent="0.25">
      <c r="A145" s="11">
        <v>34</v>
      </c>
      <c r="B145" s="42" t="s">
        <v>1102</v>
      </c>
      <c r="C145" s="11" t="s">
        <v>6</v>
      </c>
      <c r="D145" s="11" t="s">
        <v>6</v>
      </c>
      <c r="E145" s="24" t="s">
        <v>46</v>
      </c>
      <c r="F145" s="40">
        <f t="shared" ca="1" si="3"/>
        <v>46202</v>
      </c>
      <c r="I145" s="4"/>
      <c r="J145" s="4"/>
    </row>
    <row r="146" spans="1:74" x14ac:dyDescent="0.25">
      <c r="A146" s="11">
        <v>35</v>
      </c>
      <c r="B146" s="8" t="s">
        <v>649</v>
      </c>
      <c r="C146" s="11" t="s">
        <v>6</v>
      </c>
      <c r="D146" s="11" t="s">
        <v>6</v>
      </c>
      <c r="E146" s="16" t="s">
        <v>46</v>
      </c>
      <c r="F146" s="40">
        <f t="shared" ca="1" si="3"/>
        <v>46177</v>
      </c>
      <c r="I146" s="4"/>
      <c r="J146" s="4"/>
    </row>
    <row r="147" spans="1:74" x14ac:dyDescent="0.25">
      <c r="A147" s="11">
        <v>36</v>
      </c>
      <c r="B147" s="8" t="s">
        <v>94</v>
      </c>
      <c r="C147" s="11" t="s">
        <v>6</v>
      </c>
      <c r="D147" s="11" t="s">
        <v>6</v>
      </c>
      <c r="E147" s="16" t="s">
        <v>46</v>
      </c>
      <c r="F147" s="40">
        <f t="shared" ca="1" si="3"/>
        <v>46195</v>
      </c>
      <c r="I147" s="4"/>
      <c r="J147" s="4"/>
    </row>
    <row r="148" spans="1:74" x14ac:dyDescent="0.25">
      <c r="A148" s="11">
        <v>37</v>
      </c>
      <c r="B148" s="8" t="s">
        <v>711</v>
      </c>
      <c r="C148" s="11" t="s">
        <v>6</v>
      </c>
      <c r="D148" s="11" t="s">
        <v>6</v>
      </c>
      <c r="E148" s="16" t="s">
        <v>46</v>
      </c>
      <c r="F148" s="40">
        <f t="shared" ca="1" si="3"/>
        <v>46188</v>
      </c>
      <c r="I148" s="4"/>
      <c r="J148" s="4"/>
    </row>
    <row r="149" spans="1:74" ht="15" customHeight="1" x14ac:dyDescent="0.25">
      <c r="A149" s="11">
        <v>38</v>
      </c>
      <c r="B149" s="8" t="s">
        <v>99</v>
      </c>
      <c r="C149" s="11" t="s">
        <v>6</v>
      </c>
      <c r="D149" s="11" t="s">
        <v>6</v>
      </c>
      <c r="E149" s="16" t="s">
        <v>46</v>
      </c>
      <c r="F149" s="40">
        <f t="shared" ca="1" si="3"/>
        <v>46202</v>
      </c>
      <c r="I149" s="4"/>
      <c r="J149" s="4"/>
      <c r="L149" s="45"/>
      <c r="M149" s="57"/>
      <c r="N149" s="45"/>
      <c r="O149" s="45"/>
      <c r="P149" s="56"/>
      <c r="Q149" s="50"/>
    </row>
    <row r="150" spans="1:74" ht="15.75" customHeight="1" x14ac:dyDescent="0.25">
      <c r="A150" s="11">
        <v>39</v>
      </c>
      <c r="B150" s="8" t="s">
        <v>97</v>
      </c>
      <c r="C150" s="11" t="s">
        <v>6</v>
      </c>
      <c r="D150" s="11" t="s">
        <v>6</v>
      </c>
      <c r="E150" s="16" t="s">
        <v>46</v>
      </c>
      <c r="F150" s="40">
        <f t="shared" ca="1" si="3"/>
        <v>46202</v>
      </c>
      <c r="I150" s="4"/>
      <c r="J150" s="4"/>
    </row>
    <row r="151" spans="1:74" x14ac:dyDescent="0.25">
      <c r="A151" s="11">
        <v>40</v>
      </c>
      <c r="B151" s="8" t="s">
        <v>1407</v>
      </c>
      <c r="C151" s="11" t="s">
        <v>6</v>
      </c>
      <c r="D151" s="11" t="s">
        <v>6</v>
      </c>
      <c r="E151" s="16" t="s">
        <v>46</v>
      </c>
      <c r="F151" s="40">
        <f t="shared" ca="1" si="3"/>
        <v>46195</v>
      </c>
      <c r="I151" s="4"/>
      <c r="J151" s="4"/>
    </row>
    <row r="152" spans="1:74" x14ac:dyDescent="0.25">
      <c r="A152" s="11">
        <v>41</v>
      </c>
      <c r="B152" s="8" t="s">
        <v>104</v>
      </c>
      <c r="C152" s="11" t="s">
        <v>6</v>
      </c>
      <c r="D152" s="11" t="s">
        <v>6</v>
      </c>
      <c r="E152" s="16" t="s">
        <v>46</v>
      </c>
      <c r="F152" s="40">
        <f t="shared" ca="1" si="3"/>
        <v>46177</v>
      </c>
    </row>
    <row r="153" spans="1:74" x14ac:dyDescent="0.25">
      <c r="A153" s="11">
        <v>42</v>
      </c>
      <c r="B153" s="8" t="s">
        <v>258</v>
      </c>
      <c r="C153" s="11" t="s">
        <v>6</v>
      </c>
      <c r="D153" s="11" t="s">
        <v>5</v>
      </c>
      <c r="E153" s="104" t="s">
        <v>46</v>
      </c>
      <c r="F153" s="40" t="str">
        <f t="shared" ca="1" si="3"/>
        <v/>
      </c>
    </row>
    <row r="154" spans="1:74" x14ac:dyDescent="0.25">
      <c r="A154" s="11">
        <v>43</v>
      </c>
      <c r="B154" s="8" t="s">
        <v>128</v>
      </c>
      <c r="C154" s="11" t="s">
        <v>6</v>
      </c>
      <c r="D154" s="11" t="s">
        <v>5</v>
      </c>
      <c r="E154" s="103" t="s">
        <v>154</v>
      </c>
      <c r="F154" s="40" t="str">
        <f t="shared" ca="1" si="3"/>
        <v/>
      </c>
    </row>
    <row r="155" spans="1:74" x14ac:dyDescent="0.25">
      <c r="A155" s="11">
        <v>44</v>
      </c>
      <c r="B155" s="8" t="s">
        <v>103</v>
      </c>
      <c r="C155" s="11" t="s">
        <v>6</v>
      </c>
      <c r="D155" s="11" t="s">
        <v>6</v>
      </c>
      <c r="E155" s="16" t="s">
        <v>46</v>
      </c>
      <c r="F155" s="40">
        <f t="shared" ca="1" si="3"/>
        <v>46177</v>
      </c>
    </row>
    <row r="156" spans="1:74" x14ac:dyDescent="0.25">
      <c r="A156" s="11">
        <v>45</v>
      </c>
      <c r="B156" s="8" t="s">
        <v>424</v>
      </c>
      <c r="C156" s="11" t="s">
        <v>6</v>
      </c>
      <c r="D156" s="11" t="s">
        <v>6</v>
      </c>
      <c r="E156" s="16" t="s">
        <v>46</v>
      </c>
      <c r="F156" s="40">
        <f t="shared" ca="1" si="3"/>
        <v>46177</v>
      </c>
    </row>
    <row r="157" spans="1:74" x14ac:dyDescent="0.25">
      <c r="A157" s="11">
        <v>46</v>
      </c>
      <c r="B157" s="8" t="s">
        <v>100</v>
      </c>
      <c r="C157" s="11" t="s">
        <v>6</v>
      </c>
      <c r="D157" s="11" t="s">
        <v>6</v>
      </c>
      <c r="E157" s="16" t="s">
        <v>46</v>
      </c>
      <c r="F157" s="40">
        <f t="shared" ca="1" si="3"/>
        <v>46177</v>
      </c>
    </row>
    <row r="158" spans="1:74" x14ac:dyDescent="0.25">
      <c r="A158" s="11">
        <v>47</v>
      </c>
      <c r="B158" s="8" t="s">
        <v>105</v>
      </c>
      <c r="C158" s="11" t="s">
        <v>6</v>
      </c>
      <c r="D158" s="11" t="s">
        <v>6</v>
      </c>
      <c r="E158" s="16" t="s">
        <v>46</v>
      </c>
      <c r="F158" s="40">
        <f t="shared" ca="1" si="3"/>
        <v>46202</v>
      </c>
      <c r="G158" s="122"/>
    </row>
    <row r="159" spans="1:74" x14ac:dyDescent="0.25">
      <c r="A159" s="11">
        <v>48</v>
      </c>
      <c r="B159" s="42" t="s">
        <v>1924</v>
      </c>
      <c r="C159" s="11" t="s">
        <v>6</v>
      </c>
      <c r="D159" s="11" t="s">
        <v>6</v>
      </c>
      <c r="E159" s="24" t="s">
        <v>154</v>
      </c>
      <c r="F159" s="40">
        <f t="shared" ca="1" si="3"/>
        <v>46202</v>
      </c>
    </row>
    <row r="160" spans="1:74" x14ac:dyDescent="0.25">
      <c r="A160" s="11">
        <v>49</v>
      </c>
      <c r="B160" s="8" t="s">
        <v>1426</v>
      </c>
      <c r="C160" s="11" t="s">
        <v>6</v>
      </c>
      <c r="D160" s="11" t="s">
        <v>5</v>
      </c>
      <c r="E160" s="16" t="s">
        <v>46</v>
      </c>
      <c r="F160" s="40" t="str">
        <f t="shared" ca="1" si="3"/>
        <v/>
      </c>
      <c r="BQ160" s="45"/>
      <c r="BR160" s="57"/>
      <c r="BS160" s="45"/>
      <c r="BT160" s="45"/>
      <c r="BU160" s="56"/>
      <c r="BV160" s="50"/>
    </row>
    <row r="161" spans="1:8" x14ac:dyDescent="0.25">
      <c r="A161" s="11">
        <v>50</v>
      </c>
      <c r="B161" s="42" t="s">
        <v>1447</v>
      </c>
      <c r="C161" s="11" t="s">
        <v>6</v>
      </c>
      <c r="D161" s="11" t="s">
        <v>6</v>
      </c>
      <c r="E161" s="16" t="s">
        <v>46</v>
      </c>
      <c r="F161" s="40">
        <f t="shared" ca="1" si="3"/>
        <v>46195</v>
      </c>
    </row>
    <row r="162" spans="1:8" x14ac:dyDescent="0.25">
      <c r="A162" s="11">
        <v>51</v>
      </c>
      <c r="B162" s="42" t="s">
        <v>1306</v>
      </c>
      <c r="C162" s="11" t="s">
        <v>6</v>
      </c>
      <c r="D162" s="11" t="s">
        <v>6</v>
      </c>
      <c r="E162" s="24" t="s">
        <v>46</v>
      </c>
      <c r="F162" s="40">
        <f t="shared" ca="1" si="3"/>
        <v>46202</v>
      </c>
    </row>
    <row r="163" spans="1:8" x14ac:dyDescent="0.25">
      <c r="A163" s="11">
        <v>52</v>
      </c>
      <c r="B163" s="8" t="s">
        <v>1860</v>
      </c>
      <c r="C163" s="11" t="s">
        <v>6</v>
      </c>
      <c r="D163" s="11" t="s">
        <v>5</v>
      </c>
      <c r="E163" s="16" t="s">
        <v>46</v>
      </c>
      <c r="F163" s="40" t="str">
        <f t="shared" ca="1" si="3"/>
        <v/>
      </c>
    </row>
    <row r="164" spans="1:8" x14ac:dyDescent="0.25">
      <c r="A164" s="11">
        <v>53</v>
      </c>
      <c r="B164" s="8" t="s">
        <v>115</v>
      </c>
      <c r="C164" s="11" t="s">
        <v>6</v>
      </c>
      <c r="D164" s="11" t="s">
        <v>5</v>
      </c>
      <c r="E164" s="16" t="s">
        <v>46</v>
      </c>
      <c r="F164" s="40" t="str">
        <f t="shared" ca="1" si="3"/>
        <v/>
      </c>
    </row>
    <row r="165" spans="1:8" x14ac:dyDescent="0.25">
      <c r="A165" s="11">
        <v>54</v>
      </c>
      <c r="B165" s="8" t="s">
        <v>1859</v>
      </c>
      <c r="C165" s="11" t="s">
        <v>6</v>
      </c>
      <c r="D165" s="11" t="s">
        <v>5</v>
      </c>
      <c r="E165" s="16" t="s">
        <v>46</v>
      </c>
      <c r="F165" s="40" t="str">
        <f t="shared" ca="1" si="3"/>
        <v/>
      </c>
    </row>
    <row r="166" spans="1:8" x14ac:dyDescent="0.25">
      <c r="A166" s="11">
        <v>55</v>
      </c>
      <c r="B166" s="8" t="s">
        <v>116</v>
      </c>
      <c r="C166" s="11" t="s">
        <v>6</v>
      </c>
      <c r="D166" s="11" t="s">
        <v>5</v>
      </c>
      <c r="E166" s="16" t="s">
        <v>270</v>
      </c>
      <c r="F166" s="40" t="str">
        <f t="shared" ca="1" si="3"/>
        <v/>
      </c>
    </row>
    <row r="167" spans="1:8" x14ac:dyDescent="0.25">
      <c r="A167" s="11">
        <v>56</v>
      </c>
      <c r="B167" s="8" t="s">
        <v>117</v>
      </c>
      <c r="C167" s="11" t="s">
        <v>6</v>
      </c>
      <c r="D167" s="11" t="s">
        <v>5</v>
      </c>
      <c r="E167" s="16" t="s">
        <v>270</v>
      </c>
      <c r="F167" s="40" t="str">
        <f t="shared" ca="1" si="3"/>
        <v/>
      </c>
    </row>
    <row r="168" spans="1:8" x14ac:dyDescent="0.25">
      <c r="A168" s="11">
        <v>57</v>
      </c>
      <c r="B168" s="8" t="s">
        <v>118</v>
      </c>
      <c r="C168" s="11" t="s">
        <v>6</v>
      </c>
      <c r="D168" s="11" t="s">
        <v>5</v>
      </c>
      <c r="E168" s="16" t="s">
        <v>154</v>
      </c>
      <c r="F168" s="40" t="str">
        <f t="shared" ca="1" si="3"/>
        <v/>
      </c>
      <c r="G168" s="90"/>
    </row>
    <row r="169" spans="1:8" x14ac:dyDescent="0.25">
      <c r="A169" s="11">
        <v>58</v>
      </c>
      <c r="B169" s="42" t="s">
        <v>1628</v>
      </c>
      <c r="C169" s="11" t="s">
        <v>6</v>
      </c>
      <c r="D169" s="11" t="s">
        <v>5</v>
      </c>
      <c r="E169" s="16" t="s">
        <v>46</v>
      </c>
      <c r="F169" s="40" t="str">
        <f t="shared" ca="1" si="3"/>
        <v/>
      </c>
    </row>
    <row r="170" spans="1:8" x14ac:dyDescent="0.25">
      <c r="A170" s="11">
        <v>59</v>
      </c>
      <c r="B170" s="8" t="s">
        <v>119</v>
      </c>
      <c r="C170" s="11" t="s">
        <v>6</v>
      </c>
      <c r="D170" s="11" t="s">
        <v>5</v>
      </c>
      <c r="E170" s="16" t="s">
        <v>154</v>
      </c>
      <c r="F170" s="40" t="str">
        <f t="shared" ca="1" si="3"/>
        <v/>
      </c>
    </row>
    <row r="171" spans="1:8" x14ac:dyDescent="0.25">
      <c r="A171" s="11">
        <v>60</v>
      </c>
      <c r="B171" s="21" t="s">
        <v>334</v>
      </c>
      <c r="C171" s="11" t="s">
        <v>6</v>
      </c>
      <c r="D171" s="11" t="s">
        <v>5</v>
      </c>
      <c r="E171" s="24" t="s">
        <v>46</v>
      </c>
      <c r="F171" s="40" t="str">
        <f t="shared" ca="1" si="3"/>
        <v/>
      </c>
      <c r="H171" s="90"/>
    </row>
    <row r="172" spans="1:8" x14ac:dyDescent="0.25">
      <c r="A172" s="11">
        <v>61</v>
      </c>
      <c r="B172" s="8" t="s">
        <v>121</v>
      </c>
      <c r="C172" s="11" t="s">
        <v>6</v>
      </c>
      <c r="D172" s="11" t="s">
        <v>5</v>
      </c>
      <c r="E172" s="16" t="s">
        <v>406</v>
      </c>
      <c r="F172" s="40" t="str">
        <f t="shared" ca="1" si="3"/>
        <v/>
      </c>
    </row>
    <row r="173" spans="1:8" x14ac:dyDescent="0.25">
      <c r="A173" s="11">
        <v>62</v>
      </c>
      <c r="B173" s="8" t="s">
        <v>122</v>
      </c>
      <c r="C173" s="11" t="s">
        <v>5</v>
      </c>
      <c r="D173" s="11" t="s">
        <v>6</v>
      </c>
      <c r="E173" s="16" t="s">
        <v>154</v>
      </c>
      <c r="F173" s="40" t="str">
        <f t="shared" ca="1" si="3"/>
        <v/>
      </c>
    </row>
    <row r="174" spans="1:8" x14ac:dyDescent="0.25">
      <c r="A174" s="11">
        <v>63</v>
      </c>
      <c r="B174" s="8" t="s">
        <v>1865</v>
      </c>
      <c r="C174" s="11" t="s">
        <v>5</v>
      </c>
      <c r="D174" s="11" t="s">
        <v>6</v>
      </c>
      <c r="E174" s="16" t="s">
        <v>154</v>
      </c>
      <c r="F174" s="40" t="str">
        <f t="shared" ca="1" si="3"/>
        <v/>
      </c>
    </row>
    <row r="175" spans="1:8" x14ac:dyDescent="0.25">
      <c r="A175" s="11">
        <v>64</v>
      </c>
      <c r="B175" s="8" t="s">
        <v>126</v>
      </c>
      <c r="C175" s="11" t="s">
        <v>6</v>
      </c>
      <c r="D175" s="11" t="s">
        <v>5</v>
      </c>
      <c r="E175" s="17" t="s">
        <v>46</v>
      </c>
      <c r="F175" s="40" t="str">
        <f t="shared" ca="1" si="3"/>
        <v/>
      </c>
    </row>
    <row r="176" spans="1:8" x14ac:dyDescent="0.25">
      <c r="A176" s="11">
        <v>65</v>
      </c>
      <c r="B176" s="8" t="s">
        <v>308</v>
      </c>
      <c r="C176" s="11" t="s">
        <v>5</v>
      </c>
      <c r="D176" s="11" t="s">
        <v>6</v>
      </c>
      <c r="E176" s="17" t="s">
        <v>46</v>
      </c>
      <c r="F176" s="40" t="str">
        <f t="shared" ref="F176:F207" ca="1" si="4">IF(AND(C176="NO",D176="NO"),IF(F176="",TODAY(),F176),"")</f>
        <v/>
      </c>
    </row>
    <row r="177" spans="1:6" x14ac:dyDescent="0.25">
      <c r="A177" s="11">
        <v>66</v>
      </c>
      <c r="B177" s="8" t="s">
        <v>136</v>
      </c>
      <c r="C177" s="11" t="s">
        <v>6</v>
      </c>
      <c r="D177" s="11" t="s">
        <v>6</v>
      </c>
      <c r="E177" s="17" t="s">
        <v>154</v>
      </c>
      <c r="F177" s="40">
        <f t="shared" ca="1" si="4"/>
        <v>46202</v>
      </c>
    </row>
    <row r="178" spans="1:6" x14ac:dyDescent="0.25">
      <c r="A178" s="11">
        <v>67</v>
      </c>
      <c r="B178" s="8" t="s">
        <v>418</v>
      </c>
      <c r="C178" s="11" t="s">
        <v>5</v>
      </c>
      <c r="D178" s="11" t="s">
        <v>5</v>
      </c>
      <c r="E178" s="17" t="s">
        <v>46</v>
      </c>
      <c r="F178" s="40" t="str">
        <f t="shared" ca="1" si="4"/>
        <v/>
      </c>
    </row>
    <row r="179" spans="1:6" x14ac:dyDescent="0.25">
      <c r="A179" s="11">
        <v>68</v>
      </c>
      <c r="B179" s="8" t="s">
        <v>419</v>
      </c>
      <c r="C179" s="11" t="s">
        <v>5</v>
      </c>
      <c r="D179" s="11" t="s">
        <v>6</v>
      </c>
      <c r="E179" s="17" t="s">
        <v>46</v>
      </c>
      <c r="F179" s="40" t="str">
        <f t="shared" ca="1" si="4"/>
        <v/>
      </c>
    </row>
    <row r="180" spans="1:6" x14ac:dyDescent="0.25">
      <c r="A180" s="11">
        <v>69</v>
      </c>
      <c r="B180" s="21" t="s">
        <v>74</v>
      </c>
      <c r="C180" s="11" t="s">
        <v>5</v>
      </c>
      <c r="D180" s="11" t="s">
        <v>6</v>
      </c>
      <c r="E180" s="16" t="s">
        <v>46</v>
      </c>
      <c r="F180" s="40" t="str">
        <f t="shared" ca="1" si="4"/>
        <v/>
      </c>
    </row>
    <row r="181" spans="1:6" x14ac:dyDescent="0.25">
      <c r="A181" s="11">
        <v>70</v>
      </c>
      <c r="B181" s="8" t="s">
        <v>420</v>
      </c>
      <c r="C181" s="11" t="s">
        <v>5</v>
      </c>
      <c r="D181" s="11" t="s">
        <v>6</v>
      </c>
      <c r="E181" s="17" t="s">
        <v>46</v>
      </c>
      <c r="F181" s="40" t="str">
        <f t="shared" ca="1" si="4"/>
        <v/>
      </c>
    </row>
    <row r="182" spans="1:6" x14ac:dyDescent="0.25">
      <c r="A182" s="11">
        <v>71</v>
      </c>
      <c r="B182" s="8" t="s">
        <v>1866</v>
      </c>
      <c r="C182" s="11" t="s">
        <v>5</v>
      </c>
      <c r="D182" s="11" t="s">
        <v>6</v>
      </c>
      <c r="E182" s="17" t="s">
        <v>46</v>
      </c>
      <c r="F182" s="40" t="str">
        <f t="shared" ca="1" si="4"/>
        <v/>
      </c>
    </row>
    <row r="183" spans="1:6" ht="15.75" customHeight="1" x14ac:dyDescent="0.25">
      <c r="A183" s="11">
        <v>72</v>
      </c>
      <c r="B183" s="8" t="s">
        <v>134</v>
      </c>
      <c r="C183" s="11" t="s">
        <v>6</v>
      </c>
      <c r="D183" s="11" t="s">
        <v>5</v>
      </c>
      <c r="E183" s="17" t="s">
        <v>46</v>
      </c>
      <c r="F183" s="40" t="str">
        <f t="shared" ca="1" si="4"/>
        <v/>
      </c>
    </row>
    <row r="184" spans="1:6" x14ac:dyDescent="0.25">
      <c r="A184" s="11">
        <v>73</v>
      </c>
      <c r="B184" s="8" t="s">
        <v>1827</v>
      </c>
      <c r="C184" s="11" t="s">
        <v>6</v>
      </c>
      <c r="D184" s="11" t="s">
        <v>6</v>
      </c>
      <c r="E184" s="17" t="s">
        <v>46</v>
      </c>
      <c r="F184" s="40">
        <f t="shared" ca="1" si="4"/>
        <v>46202</v>
      </c>
    </row>
    <row r="185" spans="1:6" x14ac:dyDescent="0.25">
      <c r="A185" s="11">
        <v>74</v>
      </c>
      <c r="B185" s="8" t="s">
        <v>137</v>
      </c>
      <c r="C185" s="11" t="s">
        <v>6</v>
      </c>
      <c r="D185" s="11" t="s">
        <v>6</v>
      </c>
      <c r="E185" s="17" t="s">
        <v>154</v>
      </c>
      <c r="F185" s="40">
        <f t="shared" ca="1" si="4"/>
        <v>46202</v>
      </c>
    </row>
    <row r="186" spans="1:6" x14ac:dyDescent="0.25">
      <c r="A186" s="11">
        <v>75</v>
      </c>
      <c r="B186" s="8" t="s">
        <v>138</v>
      </c>
      <c r="C186" s="11" t="s">
        <v>5</v>
      </c>
      <c r="D186" s="11" t="s">
        <v>5</v>
      </c>
      <c r="E186" s="17" t="s">
        <v>1311</v>
      </c>
      <c r="F186" s="40" t="str">
        <f t="shared" ca="1" si="4"/>
        <v/>
      </c>
    </row>
    <row r="187" spans="1:6" x14ac:dyDescent="0.25">
      <c r="A187" s="11">
        <v>76</v>
      </c>
      <c r="B187" s="8" t="s">
        <v>139</v>
      </c>
      <c r="C187" s="11" t="s">
        <v>5</v>
      </c>
      <c r="D187" s="11" t="s">
        <v>5</v>
      </c>
      <c r="E187" s="17" t="s">
        <v>1311</v>
      </c>
      <c r="F187" s="40" t="str">
        <f t="shared" ca="1" si="4"/>
        <v/>
      </c>
    </row>
    <row r="188" spans="1:6" x14ac:dyDescent="0.25">
      <c r="A188" s="11">
        <v>77</v>
      </c>
      <c r="B188" s="8" t="s">
        <v>1193</v>
      </c>
      <c r="C188" s="11" t="s">
        <v>5</v>
      </c>
      <c r="D188" s="11" t="s">
        <v>6</v>
      </c>
      <c r="E188" s="17" t="s">
        <v>46</v>
      </c>
      <c r="F188" s="40" t="str">
        <f t="shared" ca="1" si="4"/>
        <v/>
      </c>
    </row>
    <row r="189" spans="1:6" x14ac:dyDescent="0.25">
      <c r="A189" s="11">
        <v>78</v>
      </c>
      <c r="B189" s="8" t="s">
        <v>143</v>
      </c>
      <c r="C189" s="11" t="s">
        <v>5</v>
      </c>
      <c r="D189" s="11" t="s">
        <v>6</v>
      </c>
      <c r="E189" s="17" t="s">
        <v>154</v>
      </c>
      <c r="F189" s="40" t="str">
        <f t="shared" ca="1" si="4"/>
        <v/>
      </c>
    </row>
    <row r="190" spans="1:6" x14ac:dyDescent="0.25">
      <c r="A190" s="11">
        <v>79</v>
      </c>
      <c r="B190" s="42" t="s">
        <v>1194</v>
      </c>
      <c r="C190" s="11" t="s">
        <v>6</v>
      </c>
      <c r="D190" s="11" t="s">
        <v>5</v>
      </c>
      <c r="E190" s="24" t="s">
        <v>154</v>
      </c>
      <c r="F190" s="40" t="str">
        <f t="shared" ca="1" si="4"/>
        <v/>
      </c>
    </row>
    <row r="191" spans="1:6" x14ac:dyDescent="0.25">
      <c r="A191" s="11">
        <v>80</v>
      </c>
      <c r="B191" s="8" t="s">
        <v>1931</v>
      </c>
      <c r="C191" s="11" t="s">
        <v>6</v>
      </c>
      <c r="D191" s="11" t="s">
        <v>6</v>
      </c>
      <c r="E191" s="16" t="s">
        <v>46</v>
      </c>
      <c r="F191" s="40">
        <f t="shared" ca="1" si="4"/>
        <v>46177</v>
      </c>
    </row>
    <row r="192" spans="1:6" x14ac:dyDescent="0.25">
      <c r="A192" s="11">
        <v>81</v>
      </c>
      <c r="B192" s="42" t="s">
        <v>1577</v>
      </c>
      <c r="C192" s="11" t="s">
        <v>6</v>
      </c>
      <c r="D192" s="11" t="s">
        <v>6</v>
      </c>
      <c r="E192" s="101" t="s">
        <v>46</v>
      </c>
      <c r="F192" s="40">
        <f t="shared" ca="1" si="4"/>
        <v>46202</v>
      </c>
    </row>
    <row r="193" spans="1:35" x14ac:dyDescent="0.25">
      <c r="A193" s="11">
        <v>82</v>
      </c>
      <c r="B193" s="8" t="s">
        <v>1146</v>
      </c>
      <c r="C193" s="11" t="s">
        <v>6</v>
      </c>
      <c r="D193" s="11" t="s">
        <v>5</v>
      </c>
      <c r="E193" s="17" t="s">
        <v>46</v>
      </c>
      <c r="F193" s="40" t="str">
        <f t="shared" ca="1" si="4"/>
        <v/>
      </c>
    </row>
    <row r="194" spans="1:35" x14ac:dyDescent="0.25">
      <c r="A194" s="11">
        <v>83</v>
      </c>
      <c r="B194" s="8" t="s">
        <v>1829</v>
      </c>
      <c r="C194" s="11" t="s">
        <v>5</v>
      </c>
      <c r="D194" s="11" t="s">
        <v>5</v>
      </c>
      <c r="E194" s="16" t="s">
        <v>154</v>
      </c>
      <c r="F194" s="40" t="str">
        <f t="shared" ca="1" si="4"/>
        <v/>
      </c>
    </row>
    <row r="195" spans="1:35" x14ac:dyDescent="0.25">
      <c r="A195" s="11">
        <v>84</v>
      </c>
      <c r="B195" s="8" t="s">
        <v>150</v>
      </c>
      <c r="C195" s="11" t="s">
        <v>6</v>
      </c>
      <c r="D195" s="11" t="s">
        <v>6</v>
      </c>
      <c r="E195" s="16" t="s">
        <v>46</v>
      </c>
      <c r="F195" s="40">
        <f t="shared" ca="1" si="4"/>
        <v>46202</v>
      </c>
    </row>
    <row r="196" spans="1:35" x14ac:dyDescent="0.25">
      <c r="A196" s="11">
        <v>85</v>
      </c>
      <c r="B196" s="21" t="s">
        <v>816</v>
      </c>
      <c r="C196" s="11" t="s">
        <v>6</v>
      </c>
      <c r="D196" s="11" t="s">
        <v>6</v>
      </c>
      <c r="E196" s="107" t="s">
        <v>46</v>
      </c>
      <c r="F196" s="40">
        <f t="shared" ca="1" si="4"/>
        <v>46177</v>
      </c>
    </row>
    <row r="197" spans="1:35" x14ac:dyDescent="0.25">
      <c r="A197" s="11">
        <v>86</v>
      </c>
      <c r="B197" s="21" t="s">
        <v>311</v>
      </c>
      <c r="C197" s="11" t="s">
        <v>6</v>
      </c>
      <c r="D197" s="11" t="s">
        <v>5</v>
      </c>
      <c r="E197" s="16" t="s">
        <v>154</v>
      </c>
      <c r="F197" s="40" t="str">
        <f t="shared" ca="1" si="4"/>
        <v/>
      </c>
    </row>
    <row r="198" spans="1:35" x14ac:dyDescent="0.25">
      <c r="A198" s="11">
        <v>87</v>
      </c>
      <c r="B198" s="42" t="s">
        <v>541</v>
      </c>
      <c r="C198" s="11" t="s">
        <v>6</v>
      </c>
      <c r="D198" s="11" t="s">
        <v>6</v>
      </c>
      <c r="E198" s="24" t="s">
        <v>46</v>
      </c>
      <c r="F198" s="40">
        <f t="shared" ca="1" si="4"/>
        <v>46188</v>
      </c>
    </row>
    <row r="199" spans="1:35" x14ac:dyDescent="0.25">
      <c r="A199" s="11">
        <v>88</v>
      </c>
      <c r="B199" s="21" t="s">
        <v>321</v>
      </c>
      <c r="C199" s="11" t="s">
        <v>5</v>
      </c>
      <c r="D199" s="11" t="s">
        <v>5</v>
      </c>
      <c r="E199" s="16" t="s">
        <v>46</v>
      </c>
      <c r="F199" s="40" t="str">
        <f t="shared" ca="1" si="4"/>
        <v/>
      </c>
    </row>
    <row r="200" spans="1:35" x14ac:dyDescent="0.25">
      <c r="A200" s="11">
        <v>89</v>
      </c>
      <c r="B200" s="8" t="s">
        <v>1960</v>
      </c>
      <c r="C200" s="11" t="s">
        <v>6</v>
      </c>
      <c r="D200" s="11" t="s">
        <v>6</v>
      </c>
      <c r="E200" s="104" t="s">
        <v>46</v>
      </c>
      <c r="F200" s="40">
        <f t="shared" ca="1" si="4"/>
        <v>46202</v>
      </c>
    </row>
    <row r="201" spans="1:35" x14ac:dyDescent="0.25">
      <c r="A201" s="11">
        <v>90</v>
      </c>
      <c r="B201" s="42" t="s">
        <v>640</v>
      </c>
      <c r="C201" s="11" t="s">
        <v>6</v>
      </c>
      <c r="D201" s="11" t="s">
        <v>6</v>
      </c>
      <c r="E201" s="24" t="s">
        <v>46</v>
      </c>
      <c r="F201" s="40">
        <f t="shared" ca="1" si="4"/>
        <v>46177</v>
      </c>
    </row>
    <row r="202" spans="1:35" x14ac:dyDescent="0.25">
      <c r="A202" s="11">
        <v>91</v>
      </c>
      <c r="B202" s="42" t="s">
        <v>1861</v>
      </c>
      <c r="C202" s="11" t="s">
        <v>6</v>
      </c>
      <c r="D202" s="11" t="s">
        <v>5</v>
      </c>
      <c r="E202" s="24" t="s">
        <v>46</v>
      </c>
      <c r="F202" s="40" t="str">
        <f t="shared" ca="1" si="4"/>
        <v/>
      </c>
    </row>
    <row r="203" spans="1:35" x14ac:dyDescent="0.25">
      <c r="A203" s="11">
        <v>92</v>
      </c>
      <c r="B203" s="21" t="s">
        <v>367</v>
      </c>
      <c r="C203" s="11" t="s">
        <v>6</v>
      </c>
      <c r="D203" s="11" t="s">
        <v>6</v>
      </c>
      <c r="E203" s="16" t="s">
        <v>46</v>
      </c>
      <c r="F203" s="40">
        <f t="shared" ca="1" si="4"/>
        <v>46202</v>
      </c>
      <c r="G203" s="43"/>
    </row>
    <row r="204" spans="1:35" x14ac:dyDescent="0.25">
      <c r="A204" s="11">
        <v>93</v>
      </c>
      <c r="B204" s="21" t="s">
        <v>425</v>
      </c>
      <c r="C204" s="11" t="s">
        <v>5</v>
      </c>
      <c r="D204" s="11" t="s">
        <v>5</v>
      </c>
      <c r="E204" s="24" t="s">
        <v>46</v>
      </c>
      <c r="F204" s="40" t="str">
        <f t="shared" ca="1" si="4"/>
        <v/>
      </c>
      <c r="AB204" s="45"/>
      <c r="AC204" s="57"/>
      <c r="AD204" s="45"/>
      <c r="AE204" s="45"/>
      <c r="AF204" s="56"/>
      <c r="AG204" s="50"/>
      <c r="AI204" s="51"/>
    </row>
    <row r="205" spans="1:35" x14ac:dyDescent="0.25">
      <c r="A205" s="11">
        <v>94</v>
      </c>
      <c r="B205" s="8" t="s">
        <v>156</v>
      </c>
      <c r="C205" s="11" t="s">
        <v>5</v>
      </c>
      <c r="D205" s="11" t="s">
        <v>6</v>
      </c>
      <c r="E205" s="16" t="s">
        <v>270</v>
      </c>
      <c r="F205" s="40" t="str">
        <f t="shared" ca="1" si="4"/>
        <v/>
      </c>
    </row>
    <row r="206" spans="1:35" ht="13.5" customHeight="1" x14ac:dyDescent="0.25">
      <c r="A206" s="11">
        <v>95</v>
      </c>
      <c r="B206" s="42" t="s">
        <v>1727</v>
      </c>
      <c r="C206" s="11" t="s">
        <v>6</v>
      </c>
      <c r="D206" s="11" t="s">
        <v>6</v>
      </c>
      <c r="E206" s="16" t="s">
        <v>46</v>
      </c>
      <c r="F206" s="40">
        <f t="shared" ca="1" si="4"/>
        <v>46202</v>
      </c>
    </row>
    <row r="207" spans="1:35" x14ac:dyDescent="0.25">
      <c r="A207" s="11">
        <v>96</v>
      </c>
      <c r="B207" s="42" t="s">
        <v>1258</v>
      </c>
      <c r="C207" s="11" t="s">
        <v>6</v>
      </c>
      <c r="D207" s="11" t="s">
        <v>6</v>
      </c>
      <c r="E207" s="24" t="s">
        <v>46</v>
      </c>
      <c r="F207" s="40">
        <f t="shared" ca="1" si="4"/>
        <v>46195</v>
      </c>
      <c r="H207" s="43"/>
    </row>
    <row r="208" spans="1:35" x14ac:dyDescent="0.25">
      <c r="A208" s="11">
        <v>97</v>
      </c>
      <c r="B208" s="42" t="s">
        <v>1726</v>
      </c>
      <c r="C208" s="11" t="s">
        <v>6</v>
      </c>
      <c r="D208" s="11" t="s">
        <v>6</v>
      </c>
      <c r="E208" s="16" t="s">
        <v>46</v>
      </c>
      <c r="F208" s="40">
        <f t="shared" ref="F208:F239" ca="1" si="5">IF(AND(C208="NO",D208="NO"),IF(F208="",TODAY(),F208),"")</f>
        <v>46202</v>
      </c>
    </row>
    <row r="209" spans="1:7" x14ac:dyDescent="0.25">
      <c r="A209" s="11">
        <v>98</v>
      </c>
      <c r="B209" s="21" t="s">
        <v>1867</v>
      </c>
      <c r="C209" s="11" t="s">
        <v>5</v>
      </c>
      <c r="D209" s="11" t="s">
        <v>5</v>
      </c>
      <c r="E209" s="24" t="s">
        <v>46</v>
      </c>
      <c r="F209" s="40" t="str">
        <f t="shared" ca="1" si="5"/>
        <v/>
      </c>
    </row>
    <row r="210" spans="1:7" x14ac:dyDescent="0.25">
      <c r="A210" s="11">
        <v>99</v>
      </c>
      <c r="B210" s="42" t="s">
        <v>468</v>
      </c>
      <c r="C210" s="11" t="s">
        <v>6</v>
      </c>
      <c r="D210" s="11" t="s">
        <v>6</v>
      </c>
      <c r="E210" s="24" t="s">
        <v>46</v>
      </c>
      <c r="F210" s="40">
        <f t="shared" ca="1" si="5"/>
        <v>46202</v>
      </c>
    </row>
    <row r="211" spans="1:7" x14ac:dyDescent="0.25">
      <c r="A211" s="11">
        <v>100</v>
      </c>
      <c r="B211" s="38" t="s">
        <v>220</v>
      </c>
      <c r="C211" s="11" t="s">
        <v>5</v>
      </c>
      <c r="D211" s="11" t="s">
        <v>5</v>
      </c>
      <c r="E211" s="24" t="s">
        <v>319</v>
      </c>
      <c r="F211" s="40" t="str">
        <f t="shared" ca="1" si="5"/>
        <v/>
      </c>
    </row>
    <row r="212" spans="1:7" x14ac:dyDescent="0.25">
      <c r="A212" s="11">
        <v>101</v>
      </c>
      <c r="B212" s="38" t="s">
        <v>221</v>
      </c>
      <c r="C212" s="11" t="s">
        <v>5</v>
      </c>
      <c r="D212" s="11" t="s">
        <v>5</v>
      </c>
      <c r="E212" s="24" t="s">
        <v>319</v>
      </c>
      <c r="F212" s="40" t="str">
        <f t="shared" ca="1" si="5"/>
        <v/>
      </c>
    </row>
    <row r="213" spans="1:7" x14ac:dyDescent="0.25">
      <c r="A213" s="11">
        <v>102</v>
      </c>
      <c r="B213" s="8" t="s">
        <v>286</v>
      </c>
      <c r="C213" s="11" t="s">
        <v>5</v>
      </c>
      <c r="D213" s="11" t="s">
        <v>5</v>
      </c>
      <c r="E213" s="24" t="s">
        <v>46</v>
      </c>
      <c r="F213" s="40" t="str">
        <f t="shared" ca="1" si="5"/>
        <v/>
      </c>
    </row>
    <row r="214" spans="1:7" x14ac:dyDescent="0.25">
      <c r="A214" s="11">
        <v>103</v>
      </c>
      <c r="B214" s="8" t="s">
        <v>1876</v>
      </c>
      <c r="C214" s="11" t="s">
        <v>6</v>
      </c>
      <c r="D214" s="11" t="s">
        <v>5</v>
      </c>
      <c r="E214" s="16" t="s">
        <v>154</v>
      </c>
      <c r="F214" s="40" t="str">
        <f t="shared" ca="1" si="5"/>
        <v/>
      </c>
    </row>
    <row r="215" spans="1:7" x14ac:dyDescent="0.25">
      <c r="A215" s="11">
        <v>104</v>
      </c>
      <c r="B215" s="8" t="s">
        <v>146</v>
      </c>
      <c r="C215" s="11" t="s">
        <v>6</v>
      </c>
      <c r="D215" s="11" t="s">
        <v>5</v>
      </c>
      <c r="E215" s="16" t="s">
        <v>154</v>
      </c>
      <c r="F215" s="40" t="str">
        <f t="shared" ca="1" si="5"/>
        <v/>
      </c>
    </row>
    <row r="216" spans="1:7" x14ac:dyDescent="0.25">
      <c r="A216" s="11">
        <v>105</v>
      </c>
      <c r="B216" s="21" t="s">
        <v>1877</v>
      </c>
      <c r="C216" s="11" t="s">
        <v>6</v>
      </c>
      <c r="D216" s="11" t="s">
        <v>5</v>
      </c>
      <c r="E216" s="101" t="s">
        <v>154</v>
      </c>
      <c r="F216" s="40" t="str">
        <f t="shared" ca="1" si="5"/>
        <v/>
      </c>
    </row>
    <row r="217" spans="1:7" ht="13.5" customHeight="1" x14ac:dyDescent="0.25">
      <c r="A217" s="11">
        <v>106</v>
      </c>
      <c r="B217" s="8" t="s">
        <v>215</v>
      </c>
      <c r="C217" s="11" t="s">
        <v>5</v>
      </c>
      <c r="D217" s="11" t="s">
        <v>5</v>
      </c>
      <c r="E217" s="24" t="s">
        <v>46</v>
      </c>
      <c r="F217" s="40" t="str">
        <f t="shared" ca="1" si="5"/>
        <v/>
      </c>
    </row>
    <row r="218" spans="1:7" x14ac:dyDescent="0.25">
      <c r="A218" s="11">
        <v>107</v>
      </c>
      <c r="B218" s="8" t="s">
        <v>216</v>
      </c>
      <c r="C218" s="11" t="s">
        <v>5</v>
      </c>
      <c r="D218" s="11" t="s">
        <v>5</v>
      </c>
      <c r="E218" s="24" t="s">
        <v>46</v>
      </c>
      <c r="F218" s="40" t="str">
        <f t="shared" ca="1" si="5"/>
        <v/>
      </c>
    </row>
    <row r="219" spans="1:7" x14ac:dyDescent="0.25">
      <c r="A219" s="11">
        <v>108</v>
      </c>
      <c r="B219" s="8" t="s">
        <v>446</v>
      </c>
      <c r="C219" s="11" t="s">
        <v>6</v>
      </c>
      <c r="D219" s="11" t="s">
        <v>6</v>
      </c>
      <c r="E219" s="24" t="s">
        <v>270</v>
      </c>
      <c r="F219" s="40">
        <f t="shared" ca="1" si="5"/>
        <v>46195</v>
      </c>
    </row>
    <row r="220" spans="1:7" x14ac:dyDescent="0.25">
      <c r="A220" s="11">
        <v>109</v>
      </c>
      <c r="B220" s="8" t="s">
        <v>1863</v>
      </c>
      <c r="C220" s="11" t="s">
        <v>5</v>
      </c>
      <c r="D220" s="11" t="s">
        <v>6</v>
      </c>
      <c r="E220" s="24" t="s">
        <v>46</v>
      </c>
      <c r="F220" s="40" t="str">
        <f t="shared" ca="1" si="5"/>
        <v/>
      </c>
      <c r="G220" s="74"/>
    </row>
    <row r="221" spans="1:7" x14ac:dyDescent="0.25">
      <c r="A221" s="11">
        <v>110</v>
      </c>
      <c r="B221" s="42" t="s">
        <v>1279</v>
      </c>
      <c r="C221" s="11" t="s">
        <v>6</v>
      </c>
      <c r="D221" s="11" t="s">
        <v>5</v>
      </c>
      <c r="E221" s="24" t="s">
        <v>46</v>
      </c>
      <c r="F221" s="40" t="str">
        <f t="shared" ca="1" si="5"/>
        <v/>
      </c>
    </row>
    <row r="222" spans="1:7" x14ac:dyDescent="0.25">
      <c r="A222" s="11">
        <v>111</v>
      </c>
      <c r="B222" s="8" t="s">
        <v>77</v>
      </c>
      <c r="C222" s="11" t="s">
        <v>6</v>
      </c>
      <c r="D222" s="11" t="s">
        <v>6</v>
      </c>
      <c r="E222" s="16" t="s">
        <v>46</v>
      </c>
      <c r="F222" s="40">
        <f t="shared" ca="1" si="5"/>
        <v>46177</v>
      </c>
    </row>
    <row r="223" spans="1:7" x14ac:dyDescent="0.25">
      <c r="A223" s="11">
        <v>112</v>
      </c>
      <c r="B223" s="8" t="s">
        <v>218</v>
      </c>
      <c r="C223" s="11" t="s">
        <v>5</v>
      </c>
      <c r="D223" s="11" t="s">
        <v>6</v>
      </c>
      <c r="E223" s="24" t="s">
        <v>46</v>
      </c>
      <c r="F223" s="40" t="str">
        <f t="shared" ca="1" si="5"/>
        <v/>
      </c>
    </row>
    <row r="224" spans="1:7" x14ac:dyDescent="0.25">
      <c r="A224" s="11">
        <v>113</v>
      </c>
      <c r="B224" s="42" t="s">
        <v>620</v>
      </c>
      <c r="C224" s="11" t="s">
        <v>6</v>
      </c>
      <c r="D224" s="11" t="s">
        <v>5</v>
      </c>
      <c r="E224" s="24" t="s">
        <v>154</v>
      </c>
      <c r="F224" s="40" t="str">
        <f t="shared" ca="1" si="5"/>
        <v/>
      </c>
    </row>
    <row r="225" spans="1:8" x14ac:dyDescent="0.25">
      <c r="A225" s="11">
        <v>114</v>
      </c>
      <c r="B225" s="42" t="s">
        <v>1830</v>
      </c>
      <c r="C225" s="11" t="s">
        <v>6</v>
      </c>
      <c r="D225" s="11" t="s">
        <v>5</v>
      </c>
      <c r="E225" s="24" t="s">
        <v>154</v>
      </c>
      <c r="F225" s="40" t="str">
        <f t="shared" ca="1" si="5"/>
        <v/>
      </c>
    </row>
    <row r="226" spans="1:8" x14ac:dyDescent="0.25">
      <c r="A226" s="11">
        <v>115</v>
      </c>
      <c r="B226" s="42" t="s">
        <v>1831</v>
      </c>
      <c r="C226" s="11" t="s">
        <v>6</v>
      </c>
      <c r="D226" s="11" t="s">
        <v>6</v>
      </c>
      <c r="E226" s="24" t="s">
        <v>154</v>
      </c>
      <c r="F226" s="40">
        <f t="shared" ca="1" si="5"/>
        <v>46202</v>
      </c>
    </row>
    <row r="227" spans="1:8" x14ac:dyDescent="0.25">
      <c r="A227" s="11">
        <v>116</v>
      </c>
      <c r="B227" s="42" t="s">
        <v>621</v>
      </c>
      <c r="C227" s="11" t="s">
        <v>5</v>
      </c>
      <c r="D227" s="11" t="s">
        <v>5</v>
      </c>
      <c r="E227" s="24" t="s">
        <v>154</v>
      </c>
      <c r="F227" s="40" t="str">
        <f t="shared" ca="1" si="5"/>
        <v/>
      </c>
    </row>
    <row r="228" spans="1:8" x14ac:dyDescent="0.25">
      <c r="A228" s="11">
        <v>117</v>
      </c>
      <c r="B228" s="42" t="s">
        <v>1828</v>
      </c>
      <c r="C228" s="11" t="s">
        <v>5</v>
      </c>
      <c r="D228" s="11" t="s">
        <v>5</v>
      </c>
      <c r="E228" s="24" t="s">
        <v>46</v>
      </c>
      <c r="F228" s="40" t="str">
        <f t="shared" ca="1" si="5"/>
        <v/>
      </c>
    </row>
    <row r="229" spans="1:8" x14ac:dyDescent="0.25">
      <c r="A229" s="11">
        <v>118</v>
      </c>
      <c r="B229" s="42" t="s">
        <v>643</v>
      </c>
      <c r="C229" s="11" t="s">
        <v>5</v>
      </c>
      <c r="D229" s="11" t="s">
        <v>6</v>
      </c>
      <c r="E229" s="24" t="s">
        <v>46</v>
      </c>
      <c r="F229" s="40" t="str">
        <f t="shared" ca="1" si="5"/>
        <v/>
      </c>
    </row>
    <row r="230" spans="1:8" x14ac:dyDescent="0.25">
      <c r="A230" s="11">
        <v>119</v>
      </c>
      <c r="B230" s="8" t="s">
        <v>124</v>
      </c>
      <c r="C230" s="11" t="s">
        <v>6</v>
      </c>
      <c r="D230" s="11" t="s">
        <v>6</v>
      </c>
      <c r="E230" s="16" t="s">
        <v>154</v>
      </c>
      <c r="F230" s="40">
        <f t="shared" ca="1" si="5"/>
        <v>46202</v>
      </c>
    </row>
    <row r="231" spans="1:8" x14ac:dyDescent="0.25">
      <c r="A231" s="11">
        <v>120</v>
      </c>
      <c r="B231" s="8" t="s">
        <v>125</v>
      </c>
      <c r="C231" s="11" t="s">
        <v>6</v>
      </c>
      <c r="D231" s="11" t="s">
        <v>6</v>
      </c>
      <c r="E231" s="16" t="s">
        <v>154</v>
      </c>
      <c r="F231" s="40">
        <f t="shared" ca="1" si="5"/>
        <v>46202</v>
      </c>
    </row>
    <row r="232" spans="1:8" x14ac:dyDescent="0.25">
      <c r="A232" s="11">
        <v>121</v>
      </c>
      <c r="B232" s="59" t="s">
        <v>1932</v>
      </c>
      <c r="C232" s="11" t="s">
        <v>6</v>
      </c>
      <c r="D232" s="11" t="s">
        <v>6</v>
      </c>
      <c r="E232" s="24" t="s">
        <v>46</v>
      </c>
      <c r="F232" s="40">
        <f t="shared" ca="1" si="5"/>
        <v>46202</v>
      </c>
    </row>
    <row r="233" spans="1:8" x14ac:dyDescent="0.25">
      <c r="A233" s="11">
        <v>122</v>
      </c>
      <c r="B233" s="42" t="s">
        <v>1052</v>
      </c>
      <c r="C233" s="11" t="s">
        <v>6</v>
      </c>
      <c r="D233" s="11" t="s">
        <v>6</v>
      </c>
      <c r="E233" s="24" t="s">
        <v>46</v>
      </c>
      <c r="F233" s="40">
        <f t="shared" ca="1" si="5"/>
        <v>46177</v>
      </c>
    </row>
    <row r="234" spans="1:8" x14ac:dyDescent="0.25">
      <c r="A234" s="11">
        <v>123</v>
      </c>
      <c r="B234" s="42" t="s">
        <v>1048</v>
      </c>
      <c r="C234" s="11" t="s">
        <v>6</v>
      </c>
      <c r="D234" s="11" t="s">
        <v>6</v>
      </c>
      <c r="E234" s="24" t="s">
        <v>46</v>
      </c>
      <c r="F234" s="40">
        <f t="shared" ca="1" si="5"/>
        <v>46195</v>
      </c>
    </row>
    <row r="235" spans="1:8" x14ac:dyDescent="0.25">
      <c r="A235" s="11">
        <v>124</v>
      </c>
      <c r="B235" s="42" t="s">
        <v>635</v>
      </c>
      <c r="C235" s="11" t="s">
        <v>5</v>
      </c>
      <c r="D235" s="11" t="s">
        <v>6</v>
      </c>
      <c r="E235" s="24" t="s">
        <v>46</v>
      </c>
      <c r="F235" s="40" t="str">
        <f t="shared" ca="1" si="5"/>
        <v/>
      </c>
      <c r="H235" s="51"/>
    </row>
    <row r="236" spans="1:8" x14ac:dyDescent="0.25">
      <c r="A236" s="11">
        <v>125</v>
      </c>
      <c r="B236" s="42" t="s">
        <v>584</v>
      </c>
      <c r="C236" s="11" t="s">
        <v>6</v>
      </c>
      <c r="D236" s="11" t="s">
        <v>6</v>
      </c>
      <c r="E236" s="24" t="s">
        <v>46</v>
      </c>
      <c r="F236" s="40">
        <f t="shared" ca="1" si="5"/>
        <v>46202</v>
      </c>
      <c r="H236" s="51"/>
    </row>
    <row r="237" spans="1:8" x14ac:dyDescent="0.25">
      <c r="A237" s="11">
        <v>126</v>
      </c>
      <c r="B237" s="42" t="s">
        <v>1862</v>
      </c>
      <c r="C237" s="11" t="s">
        <v>5</v>
      </c>
      <c r="D237" s="11" t="s">
        <v>5</v>
      </c>
      <c r="E237" s="24" t="s">
        <v>46</v>
      </c>
      <c r="F237" s="40" t="str">
        <f t="shared" ca="1" si="5"/>
        <v/>
      </c>
    </row>
    <row r="238" spans="1:8" x14ac:dyDescent="0.25">
      <c r="A238" s="11">
        <v>127</v>
      </c>
      <c r="B238" s="42" t="s">
        <v>805</v>
      </c>
      <c r="C238" s="11" t="s">
        <v>6</v>
      </c>
      <c r="D238" s="11" t="s">
        <v>6</v>
      </c>
      <c r="E238" s="24" t="s">
        <v>154</v>
      </c>
      <c r="F238" s="40">
        <f t="shared" ca="1" si="5"/>
        <v>46195</v>
      </c>
    </row>
    <row r="239" spans="1:8" x14ac:dyDescent="0.25">
      <c r="A239" s="11">
        <v>128</v>
      </c>
      <c r="B239" s="42" t="s">
        <v>330</v>
      </c>
      <c r="C239" s="11" t="s">
        <v>6</v>
      </c>
      <c r="D239" s="11" t="s">
        <v>6</v>
      </c>
      <c r="E239" s="24" t="s">
        <v>154</v>
      </c>
      <c r="F239" s="40">
        <f t="shared" ca="1" si="5"/>
        <v>46195</v>
      </c>
    </row>
    <row r="240" spans="1:8" ht="15" customHeight="1" x14ac:dyDescent="0.25">
      <c r="A240" s="11">
        <v>129</v>
      </c>
      <c r="B240" s="19" t="s">
        <v>351</v>
      </c>
      <c r="C240" s="11" t="s">
        <v>5</v>
      </c>
      <c r="D240" s="11" t="s">
        <v>5</v>
      </c>
      <c r="E240" s="24" t="s">
        <v>46</v>
      </c>
      <c r="F240" s="40" t="str">
        <f t="shared" ref="F240:F266" ca="1" si="6">IF(AND(C240="NO",D240="NO"),IF(F240="",TODAY(),F240),"")</f>
        <v/>
      </c>
      <c r="G240" s="79"/>
    </row>
    <row r="241" spans="1:8" x14ac:dyDescent="0.25">
      <c r="A241" s="11">
        <v>130</v>
      </c>
      <c r="B241" s="42" t="s">
        <v>1585</v>
      </c>
      <c r="C241" s="11" t="s">
        <v>6</v>
      </c>
      <c r="D241" s="11" t="s">
        <v>5</v>
      </c>
      <c r="E241" s="24" t="s">
        <v>46</v>
      </c>
      <c r="F241" s="40" t="str">
        <f t="shared" ca="1" si="6"/>
        <v/>
      </c>
      <c r="G241" s="80"/>
      <c r="H241" s="110"/>
    </row>
    <row r="242" spans="1:8" x14ac:dyDescent="0.25">
      <c r="A242" s="11">
        <v>131</v>
      </c>
      <c r="B242" s="42" t="s">
        <v>1905</v>
      </c>
      <c r="C242" s="11" t="s">
        <v>5</v>
      </c>
      <c r="D242" s="11" t="s">
        <v>6</v>
      </c>
      <c r="E242" s="24" t="s">
        <v>46</v>
      </c>
      <c r="F242" s="40" t="str">
        <f t="shared" ca="1" si="6"/>
        <v/>
      </c>
    </row>
    <row r="243" spans="1:8" x14ac:dyDescent="0.25">
      <c r="A243" s="11">
        <v>132</v>
      </c>
      <c r="B243" s="21" t="s">
        <v>324</v>
      </c>
      <c r="C243" s="11" t="s">
        <v>5</v>
      </c>
      <c r="D243" s="11" t="s">
        <v>6</v>
      </c>
      <c r="E243" s="16" t="s">
        <v>46</v>
      </c>
      <c r="F243" s="40" t="str">
        <f t="shared" ca="1" si="6"/>
        <v/>
      </c>
      <c r="G243" s="87"/>
      <c r="H243" s="79"/>
    </row>
    <row r="244" spans="1:8" x14ac:dyDescent="0.25">
      <c r="A244" s="11">
        <v>133</v>
      </c>
      <c r="B244" s="42" t="s">
        <v>1560</v>
      </c>
      <c r="C244" s="11" t="s">
        <v>5</v>
      </c>
      <c r="D244" s="11" t="s">
        <v>6</v>
      </c>
      <c r="E244" s="24" t="s">
        <v>154</v>
      </c>
      <c r="F244" s="40" t="str">
        <f t="shared" ca="1" si="6"/>
        <v/>
      </c>
      <c r="H244" s="80"/>
    </row>
    <row r="245" spans="1:8" x14ac:dyDescent="0.25">
      <c r="A245" s="11">
        <v>134</v>
      </c>
      <c r="B245" s="42" t="s">
        <v>1413</v>
      </c>
      <c r="C245" s="11" t="s">
        <v>5</v>
      </c>
      <c r="D245" s="11" t="s">
        <v>6</v>
      </c>
      <c r="E245" s="24" t="s">
        <v>154</v>
      </c>
      <c r="F245" s="40" t="str">
        <f t="shared" ca="1" si="6"/>
        <v/>
      </c>
      <c r="G245" s="51"/>
    </row>
    <row r="246" spans="1:8" x14ac:dyDescent="0.25">
      <c r="A246" s="11">
        <v>135</v>
      </c>
      <c r="B246" s="42" t="s">
        <v>962</v>
      </c>
      <c r="C246" s="11" t="s">
        <v>6</v>
      </c>
      <c r="D246" s="11" t="s">
        <v>6</v>
      </c>
      <c r="E246" s="24" t="s">
        <v>46</v>
      </c>
      <c r="F246" s="40">
        <f t="shared" ca="1" si="6"/>
        <v>46202</v>
      </c>
      <c r="G246" s="81"/>
      <c r="H246" s="87"/>
    </row>
    <row r="247" spans="1:8" x14ac:dyDescent="0.25">
      <c r="A247" s="11">
        <v>136</v>
      </c>
      <c r="B247" s="42" t="s">
        <v>1412</v>
      </c>
      <c r="C247" s="11" t="s">
        <v>5</v>
      </c>
      <c r="D247" s="11" t="s">
        <v>6</v>
      </c>
      <c r="E247" s="24" t="s">
        <v>154</v>
      </c>
      <c r="F247" s="40" t="str">
        <f t="shared" ca="1" si="6"/>
        <v/>
      </c>
      <c r="G247" s="81"/>
    </row>
    <row r="248" spans="1:8" x14ac:dyDescent="0.25">
      <c r="A248" s="11">
        <v>137</v>
      </c>
      <c r="B248" s="42" t="s">
        <v>1411</v>
      </c>
      <c r="C248" s="11" t="s">
        <v>5</v>
      </c>
      <c r="D248" s="11" t="s">
        <v>6</v>
      </c>
      <c r="E248" s="24" t="s">
        <v>154</v>
      </c>
      <c r="F248" s="40" t="str">
        <f t="shared" ca="1" si="6"/>
        <v/>
      </c>
      <c r="G248" s="81"/>
      <c r="H248" s="51"/>
    </row>
    <row r="249" spans="1:8" x14ac:dyDescent="0.25">
      <c r="A249" s="11">
        <v>138</v>
      </c>
      <c r="B249" s="42" t="s">
        <v>1864</v>
      </c>
      <c r="C249" s="11" t="s">
        <v>5</v>
      </c>
      <c r="D249" s="11" t="s">
        <v>6</v>
      </c>
      <c r="E249" s="24" t="s">
        <v>154</v>
      </c>
      <c r="F249" s="40" t="str">
        <f t="shared" ca="1" si="6"/>
        <v/>
      </c>
    </row>
    <row r="250" spans="1:8" x14ac:dyDescent="0.25">
      <c r="A250" s="11">
        <v>139</v>
      </c>
      <c r="B250" s="8" t="s">
        <v>130</v>
      </c>
      <c r="C250" s="11" t="s">
        <v>5</v>
      </c>
      <c r="D250" s="11" t="s">
        <v>5</v>
      </c>
      <c r="E250" s="17" t="s">
        <v>46</v>
      </c>
      <c r="F250" s="40" t="str">
        <f t="shared" ca="1" si="6"/>
        <v/>
      </c>
      <c r="H250" s="81"/>
    </row>
    <row r="251" spans="1:8" x14ac:dyDescent="0.25">
      <c r="A251" s="11">
        <v>140</v>
      </c>
      <c r="B251" s="42" t="s">
        <v>1213</v>
      </c>
      <c r="C251" s="11" t="s">
        <v>6</v>
      </c>
      <c r="D251" s="11" t="s">
        <v>6</v>
      </c>
      <c r="E251" s="24" t="s">
        <v>154</v>
      </c>
      <c r="F251" s="40">
        <f t="shared" ca="1" si="6"/>
        <v>46195</v>
      </c>
      <c r="G251" s="73"/>
      <c r="H251" s="75"/>
    </row>
    <row r="252" spans="1:8" x14ac:dyDescent="0.25">
      <c r="A252" s="11">
        <v>141</v>
      </c>
      <c r="B252" s="42" t="s">
        <v>142</v>
      </c>
      <c r="C252" s="11" t="s">
        <v>5</v>
      </c>
      <c r="D252" s="11" t="s">
        <v>5</v>
      </c>
      <c r="E252" s="24" t="s">
        <v>46</v>
      </c>
      <c r="F252" s="40" t="str">
        <f t="shared" ca="1" si="6"/>
        <v/>
      </c>
    </row>
    <row r="253" spans="1:8" x14ac:dyDescent="0.25">
      <c r="A253" s="11">
        <v>142</v>
      </c>
      <c r="B253" s="42" t="s">
        <v>1446</v>
      </c>
      <c r="C253" s="11" t="s">
        <v>6</v>
      </c>
      <c r="D253" s="11" t="s">
        <v>6</v>
      </c>
      <c r="E253" s="16" t="s">
        <v>46</v>
      </c>
      <c r="F253" s="40">
        <f t="shared" ca="1" si="6"/>
        <v>46177</v>
      </c>
      <c r="G253" s="81"/>
    </row>
    <row r="254" spans="1:8" x14ac:dyDescent="0.25">
      <c r="A254" s="11">
        <v>143</v>
      </c>
      <c r="B254" s="42" t="s">
        <v>960</v>
      </c>
      <c r="C254" s="11" t="s">
        <v>6</v>
      </c>
      <c r="D254" s="11" t="s">
        <v>6</v>
      </c>
      <c r="E254" s="24" t="s">
        <v>154</v>
      </c>
      <c r="F254" s="40">
        <f t="shared" ca="1" si="6"/>
        <v>46202</v>
      </c>
      <c r="G254" s="81"/>
    </row>
    <row r="255" spans="1:8" x14ac:dyDescent="0.25">
      <c r="A255" s="11">
        <v>144</v>
      </c>
      <c r="B255" s="42" t="s">
        <v>269</v>
      </c>
      <c r="C255" s="11" t="s">
        <v>6</v>
      </c>
      <c r="D255" s="11" t="s">
        <v>6</v>
      </c>
      <c r="E255" s="24" t="s">
        <v>154</v>
      </c>
      <c r="F255" s="40">
        <f t="shared" ca="1" si="6"/>
        <v>46202</v>
      </c>
      <c r="G255" s="81"/>
    </row>
    <row r="256" spans="1:8" x14ac:dyDescent="0.25">
      <c r="A256" s="11">
        <v>145</v>
      </c>
      <c r="B256" s="8" t="s">
        <v>726</v>
      </c>
      <c r="C256" s="11" t="s">
        <v>5</v>
      </c>
      <c r="D256" s="11" t="s">
        <v>6</v>
      </c>
      <c r="E256" s="17" t="s">
        <v>46</v>
      </c>
      <c r="F256" s="40" t="str">
        <f t="shared" ca="1" si="6"/>
        <v/>
      </c>
      <c r="G256" s="83"/>
      <c r="H256" s="81"/>
    </row>
    <row r="257" spans="1:10" x14ac:dyDescent="0.25">
      <c r="A257" s="11">
        <v>146</v>
      </c>
      <c r="B257" s="42" t="s">
        <v>1868</v>
      </c>
      <c r="C257" s="11" t="s">
        <v>5</v>
      </c>
      <c r="D257" s="11" t="s">
        <v>6</v>
      </c>
      <c r="E257" s="16" t="s">
        <v>46</v>
      </c>
      <c r="F257" s="40" t="str">
        <f t="shared" ca="1" si="6"/>
        <v/>
      </c>
      <c r="G257" s="110"/>
      <c r="H257" s="81"/>
    </row>
    <row r="258" spans="1:10" x14ac:dyDescent="0.25">
      <c r="A258" s="11">
        <v>147</v>
      </c>
      <c r="B258" s="8" t="s">
        <v>64</v>
      </c>
      <c r="C258" s="11" t="s">
        <v>5</v>
      </c>
      <c r="D258" s="11" t="s">
        <v>6</v>
      </c>
      <c r="E258" s="104" t="s">
        <v>40</v>
      </c>
      <c r="F258" s="40" t="str">
        <f t="shared" ca="1" si="6"/>
        <v/>
      </c>
    </row>
    <row r="259" spans="1:10" x14ac:dyDescent="0.25">
      <c r="A259" s="11">
        <v>148</v>
      </c>
      <c r="B259" s="42" t="s">
        <v>1933</v>
      </c>
      <c r="C259" s="11" t="s">
        <v>6</v>
      </c>
      <c r="D259" s="11" t="s">
        <v>5</v>
      </c>
      <c r="E259" s="16" t="s">
        <v>46</v>
      </c>
      <c r="F259" s="40" t="str">
        <f t="shared" ca="1" si="6"/>
        <v/>
      </c>
      <c r="G259" s="83"/>
    </row>
    <row r="260" spans="1:10" x14ac:dyDescent="0.25">
      <c r="A260" s="11">
        <v>149</v>
      </c>
      <c r="B260" s="42" t="s">
        <v>1453</v>
      </c>
      <c r="C260" s="11" t="s">
        <v>5</v>
      </c>
      <c r="D260" s="11" t="s">
        <v>6</v>
      </c>
      <c r="E260" s="104" t="s">
        <v>46</v>
      </c>
      <c r="F260" s="40" t="str">
        <f t="shared" ca="1" si="6"/>
        <v/>
      </c>
    </row>
    <row r="261" spans="1:10" x14ac:dyDescent="0.25">
      <c r="A261" s="11">
        <v>150</v>
      </c>
      <c r="B261" s="42" t="s">
        <v>1464</v>
      </c>
      <c r="C261" s="11" t="s">
        <v>6</v>
      </c>
      <c r="D261" s="11" t="s">
        <v>6</v>
      </c>
      <c r="E261" s="16" t="s">
        <v>46</v>
      </c>
      <c r="F261" s="40">
        <f t="shared" ca="1" si="6"/>
        <v>46177</v>
      </c>
    </row>
    <row r="262" spans="1:10" x14ac:dyDescent="0.25">
      <c r="A262" s="11">
        <v>151</v>
      </c>
      <c r="B262" s="42" t="s">
        <v>1504</v>
      </c>
      <c r="C262" s="11" t="s">
        <v>6</v>
      </c>
      <c r="D262" s="11" t="s">
        <v>5</v>
      </c>
      <c r="E262" s="16" t="s">
        <v>46</v>
      </c>
      <c r="F262" s="40" t="str">
        <f t="shared" ca="1" si="6"/>
        <v/>
      </c>
      <c r="G262" s="86"/>
      <c r="H262" s="83"/>
    </row>
    <row r="263" spans="1:10" x14ac:dyDescent="0.25">
      <c r="A263" s="11">
        <v>152</v>
      </c>
      <c r="B263" s="42" t="s">
        <v>652</v>
      </c>
      <c r="C263" s="11" t="s">
        <v>6</v>
      </c>
      <c r="D263" s="11" t="s">
        <v>6</v>
      </c>
      <c r="E263" s="24" t="s">
        <v>46</v>
      </c>
      <c r="F263" s="40">
        <f t="shared" ca="1" si="6"/>
        <v>46177</v>
      </c>
      <c r="G263" s="91"/>
      <c r="H263" s="86"/>
    </row>
    <row r="264" spans="1:10" x14ac:dyDescent="0.25">
      <c r="A264" s="11">
        <v>153</v>
      </c>
      <c r="B264" s="42" t="s">
        <v>1707</v>
      </c>
      <c r="C264" s="11" t="s">
        <v>6</v>
      </c>
      <c r="D264" s="11" t="s">
        <v>6</v>
      </c>
      <c r="E264" s="16" t="s">
        <v>46</v>
      </c>
      <c r="F264" s="40">
        <f t="shared" ca="1" si="6"/>
        <v>46188</v>
      </c>
      <c r="G264" s="93"/>
      <c r="H264" s="91"/>
    </row>
    <row r="265" spans="1:10" x14ac:dyDescent="0.25">
      <c r="A265" s="11">
        <v>154</v>
      </c>
      <c r="B265" s="8" t="s">
        <v>1803</v>
      </c>
      <c r="C265" s="11" t="s">
        <v>6</v>
      </c>
      <c r="D265" s="11" t="s">
        <v>6</v>
      </c>
      <c r="E265" s="16" t="s">
        <v>46</v>
      </c>
      <c r="F265" s="40">
        <f t="shared" ca="1" si="6"/>
        <v>46177</v>
      </c>
      <c r="G265" s="72"/>
    </row>
    <row r="266" spans="1:10" x14ac:dyDescent="0.25">
      <c r="A266" s="11">
        <v>155</v>
      </c>
      <c r="B266" s="42" t="s">
        <v>1764</v>
      </c>
      <c r="C266" s="11" t="s">
        <v>6</v>
      </c>
      <c r="D266" s="11" t="s">
        <v>6</v>
      </c>
      <c r="E266" s="24" t="s">
        <v>46</v>
      </c>
      <c r="F266" s="40">
        <f t="shared" ca="1" si="6"/>
        <v>46202</v>
      </c>
      <c r="G266" s="110"/>
      <c r="H266" s="72"/>
    </row>
    <row r="267" spans="1:10" ht="15" customHeight="1" x14ac:dyDescent="0.25">
      <c r="A267" s="11">
        <v>156</v>
      </c>
      <c r="B267" s="8" t="s">
        <v>86</v>
      </c>
      <c r="C267" s="11" t="s">
        <v>6</v>
      </c>
      <c r="D267" s="11" t="s">
        <v>5</v>
      </c>
      <c r="E267" s="16" t="s">
        <v>46</v>
      </c>
      <c r="F267" s="40" t="str">
        <f t="shared" ref="F267:F268" ca="1" si="7">IF(AND(C267="NO",D267="NO"),IF(F267="",TODAY(),F267),"")</f>
        <v/>
      </c>
      <c r="I267" s="138"/>
      <c r="J267" s="138"/>
    </row>
    <row r="268" spans="1:10" x14ac:dyDescent="0.25">
      <c r="A268" s="11">
        <v>157</v>
      </c>
      <c r="B268" s="42" t="s">
        <v>1248</v>
      </c>
      <c r="C268" s="11" t="s">
        <v>6</v>
      </c>
      <c r="D268" s="11" t="s">
        <v>5</v>
      </c>
      <c r="E268" s="24" t="s">
        <v>46</v>
      </c>
      <c r="F268" s="40" t="str">
        <f t="shared" ca="1" si="7"/>
        <v/>
      </c>
      <c r="G268" s="73"/>
      <c r="H268" s="79"/>
    </row>
    <row r="269" spans="1:10" ht="15" customHeight="1" x14ac:dyDescent="0.25">
      <c r="A269" s="11">
        <v>158</v>
      </c>
      <c r="B269" s="8" t="s">
        <v>70</v>
      </c>
      <c r="C269" s="11" t="s">
        <v>5</v>
      </c>
      <c r="D269" s="11" t="s">
        <v>6</v>
      </c>
      <c r="E269" s="16" t="s">
        <v>46</v>
      </c>
      <c r="F269" s="50"/>
      <c r="I269" s="121"/>
      <c r="J269" s="121"/>
    </row>
    <row r="270" spans="1:10" x14ac:dyDescent="0.25">
      <c r="A270" s="11">
        <v>159</v>
      </c>
      <c r="B270" s="42" t="s">
        <v>1410</v>
      </c>
      <c r="C270" s="11" t="s">
        <v>5</v>
      </c>
      <c r="D270" s="11" t="s">
        <v>6</v>
      </c>
      <c r="E270" s="24" t="s">
        <v>154</v>
      </c>
      <c r="F270" s="40" t="str">
        <f t="shared" ref="F270:F276" ca="1" si="8">IF(AND(C270="NO",D270="NO"),IF(F270="",TODAY(),F270),"")</f>
        <v/>
      </c>
      <c r="G270" s="110"/>
      <c r="H270" s="73"/>
    </row>
    <row r="271" spans="1:10" x14ac:dyDescent="0.25">
      <c r="A271" s="11">
        <v>160</v>
      </c>
      <c r="B271" s="42" t="s">
        <v>1735</v>
      </c>
      <c r="C271" s="11" t="s">
        <v>6</v>
      </c>
      <c r="D271" s="11" t="s">
        <v>6</v>
      </c>
      <c r="E271" s="16" t="s">
        <v>46</v>
      </c>
      <c r="F271" s="40">
        <f t="shared" ca="1" si="8"/>
        <v>46195</v>
      </c>
      <c r="G271" s="110"/>
      <c r="H271" s="93"/>
    </row>
    <row r="272" spans="1:10" x14ac:dyDescent="0.25">
      <c r="A272" s="11">
        <v>161</v>
      </c>
      <c r="B272" s="42" t="s">
        <v>1806</v>
      </c>
      <c r="C272" s="11" t="s">
        <v>6</v>
      </c>
      <c r="D272" s="11" t="s">
        <v>6</v>
      </c>
      <c r="E272" s="16" t="s">
        <v>46</v>
      </c>
      <c r="F272" s="40">
        <f t="shared" ca="1" si="8"/>
        <v>46195</v>
      </c>
      <c r="G272" s="126"/>
      <c r="H272" s="126"/>
    </row>
    <row r="273" spans="1:9" x14ac:dyDescent="0.25">
      <c r="A273" s="11">
        <v>162</v>
      </c>
      <c r="B273" s="42" t="s">
        <v>1904</v>
      </c>
      <c r="C273" s="11" t="s">
        <v>6</v>
      </c>
      <c r="D273" s="11" t="s">
        <v>6</v>
      </c>
      <c r="E273" s="16" t="s">
        <v>46</v>
      </c>
      <c r="F273" s="40">
        <f t="shared" ca="1" si="8"/>
        <v>46177</v>
      </c>
      <c r="G273" s="126"/>
      <c r="H273" s="126"/>
    </row>
    <row r="274" spans="1:9" x14ac:dyDescent="0.25">
      <c r="A274" s="11">
        <v>163</v>
      </c>
      <c r="B274" s="42" t="s">
        <v>1906</v>
      </c>
      <c r="C274" s="11" t="s">
        <v>6</v>
      </c>
      <c r="D274" s="11" t="s">
        <v>6</v>
      </c>
      <c r="E274" s="16" t="s">
        <v>46</v>
      </c>
      <c r="F274" s="40">
        <f t="shared" ca="1" si="8"/>
        <v>46177</v>
      </c>
      <c r="G274" s="126"/>
      <c r="H274" s="126"/>
      <c r="I274">
        <f>27+16+15</f>
        <v>58</v>
      </c>
    </row>
    <row r="275" spans="1:9" x14ac:dyDescent="0.25">
      <c r="A275" s="11">
        <v>164</v>
      </c>
      <c r="B275" s="42" t="s">
        <v>1912</v>
      </c>
      <c r="C275" s="11" t="s">
        <v>6</v>
      </c>
      <c r="D275" s="11" t="s">
        <v>5</v>
      </c>
      <c r="E275" s="16" t="s">
        <v>359</v>
      </c>
      <c r="F275" s="40" t="str">
        <f t="shared" ca="1" si="8"/>
        <v/>
      </c>
      <c r="G275" s="134"/>
      <c r="H275" s="134"/>
      <c r="I275">
        <f>31+17+6+13+3</f>
        <v>70</v>
      </c>
    </row>
    <row r="276" spans="1:9" x14ac:dyDescent="0.25">
      <c r="A276" s="11">
        <v>165</v>
      </c>
      <c r="B276" s="42" t="s">
        <v>1945</v>
      </c>
      <c r="C276" s="11" t="s">
        <v>5</v>
      </c>
      <c r="D276" s="11" t="s">
        <v>6</v>
      </c>
      <c r="E276" s="16" t="s">
        <v>1815</v>
      </c>
      <c r="F276" s="40" t="str">
        <f t="shared" ca="1" si="8"/>
        <v/>
      </c>
      <c r="G276" s="134"/>
      <c r="H276" s="134"/>
    </row>
    <row r="277" spans="1:9" x14ac:dyDescent="0.25">
      <c r="A277" s="11">
        <v>166</v>
      </c>
      <c r="B277" s="42" t="s">
        <v>1946</v>
      </c>
      <c r="C277" s="11" t="s">
        <v>5</v>
      </c>
      <c r="D277" s="11" t="s">
        <v>6</v>
      </c>
      <c r="E277" s="16" t="s">
        <v>1815</v>
      </c>
      <c r="F277" s="40"/>
      <c r="G277" s="136"/>
      <c r="H277" s="136"/>
    </row>
    <row r="278" spans="1:9" x14ac:dyDescent="0.25">
      <c r="A278" s="11">
        <v>167</v>
      </c>
      <c r="B278" s="42" t="s">
        <v>1967</v>
      </c>
      <c r="C278" s="11" t="s">
        <v>1815</v>
      </c>
      <c r="D278" s="11" t="s">
        <v>5</v>
      </c>
      <c r="E278" s="16" t="s">
        <v>359</v>
      </c>
      <c r="F278" s="40"/>
      <c r="G278" s="136"/>
      <c r="H278" s="136"/>
    </row>
    <row r="279" spans="1:9" x14ac:dyDescent="0.25">
      <c r="A279" s="11">
        <v>168</v>
      </c>
      <c r="B279" s="42" t="s">
        <v>1968</v>
      </c>
      <c r="C279" s="11" t="s">
        <v>1815</v>
      </c>
      <c r="D279" s="11" t="s">
        <v>5</v>
      </c>
      <c r="E279" s="16" t="s">
        <v>359</v>
      </c>
      <c r="F279" s="40" t="str">
        <f ca="1">IF(AND(C279="NO",D279="NO"),IF(F279="",TODAY(),F279),"")</f>
        <v/>
      </c>
      <c r="H279" s="41"/>
    </row>
    <row r="280" spans="1:9" x14ac:dyDescent="0.25">
      <c r="F280" s="50"/>
      <c r="H280" s="113"/>
    </row>
    <row r="281" spans="1:9" ht="45" x14ac:dyDescent="0.25">
      <c r="A281" s="159" t="s">
        <v>54</v>
      </c>
      <c r="B281" s="160"/>
      <c r="C281" s="12">
        <f>COUNTIF(C112:C279, "SI")</f>
        <v>58</v>
      </c>
      <c r="D281" s="6" t="s">
        <v>51</v>
      </c>
      <c r="E281" s="32">
        <f>C281/A279*100</f>
        <v>34.523809523809526</v>
      </c>
      <c r="F281" s="13" t="s">
        <v>1922</v>
      </c>
    </row>
    <row r="282" spans="1:9" ht="45" x14ac:dyDescent="0.25">
      <c r="A282" s="159" t="s">
        <v>55</v>
      </c>
      <c r="B282" s="160"/>
      <c r="C282" s="12">
        <f>COUNTIF(C112:C279, "NO")</f>
        <v>108</v>
      </c>
      <c r="D282" s="6" t="s">
        <v>51</v>
      </c>
      <c r="E282" s="32">
        <f>C282/A279*100</f>
        <v>64.285714285714292</v>
      </c>
      <c r="F282" s="13" t="s">
        <v>1923</v>
      </c>
      <c r="G282" s="31"/>
    </row>
    <row r="283" spans="1:9" ht="18" x14ac:dyDescent="0.25">
      <c r="A283" s="26"/>
      <c r="B283" s="26"/>
      <c r="C283" s="27"/>
      <c r="D283" s="28"/>
      <c r="E283" s="29"/>
      <c r="F283" s="30"/>
      <c r="H283" s="39"/>
    </row>
    <row r="284" spans="1:9" ht="45" x14ac:dyDescent="0.25">
      <c r="A284" s="159" t="s">
        <v>56</v>
      </c>
      <c r="B284" s="160"/>
      <c r="C284" s="12">
        <f>COUNTIF(D112:D279, "SI")</f>
        <v>70</v>
      </c>
      <c r="D284" s="6" t="s">
        <v>51</v>
      </c>
      <c r="E284" s="32">
        <f>C284/A279*100</f>
        <v>41.666666666666671</v>
      </c>
      <c r="F284" s="13" t="s">
        <v>58</v>
      </c>
      <c r="H284" s="39"/>
    </row>
    <row r="285" spans="1:9" ht="45" x14ac:dyDescent="0.25">
      <c r="A285" s="159" t="s">
        <v>57</v>
      </c>
      <c r="B285" s="160"/>
      <c r="C285" s="12">
        <f>COUNTIF(D112:D279, "NO")</f>
        <v>98</v>
      </c>
      <c r="D285" s="6" t="s">
        <v>51</v>
      </c>
      <c r="E285" s="32">
        <f>C285/A279*100</f>
        <v>58.333333333333336</v>
      </c>
      <c r="F285" s="13" t="s">
        <v>59</v>
      </c>
    </row>
    <row r="286" spans="1:9" ht="18" x14ac:dyDescent="0.25">
      <c r="A286" s="64"/>
      <c r="B286" s="64"/>
      <c r="C286" s="65"/>
      <c r="D286" s="66"/>
      <c r="E286" s="67"/>
      <c r="F286" s="68"/>
    </row>
    <row r="287" spans="1:9" x14ac:dyDescent="0.25">
      <c r="A287" s="155" t="s">
        <v>1064</v>
      </c>
      <c r="B287" s="156"/>
      <c r="C287" s="150">
        <f>COUNTIFS(C112:C279,"SI",D112:D279,"SI")</f>
        <v>26</v>
      </c>
      <c r="D287" s="200" t="s">
        <v>51</v>
      </c>
      <c r="E287" s="153">
        <f>C287/A279*100</f>
        <v>15.476190476190476</v>
      </c>
      <c r="F287" s="170" t="s">
        <v>1066</v>
      </c>
    </row>
    <row r="288" spans="1:9" x14ac:dyDescent="0.25">
      <c r="A288" s="157"/>
      <c r="B288" s="158"/>
      <c r="C288" s="150"/>
      <c r="D288" s="152"/>
      <c r="E288" s="154"/>
      <c r="F288" s="169"/>
    </row>
    <row r="289" spans="1:10" x14ac:dyDescent="0.25">
      <c r="A289" s="155" t="s">
        <v>1065</v>
      </c>
      <c r="B289" s="156"/>
      <c r="C289" s="150">
        <f>COUNTIFS(C112:C279,"NO",D112:D279,"NO")</f>
        <v>66</v>
      </c>
      <c r="D289" s="151" t="s">
        <v>51</v>
      </c>
      <c r="E289" s="153">
        <f>C289/A279*100</f>
        <v>39.285714285714285</v>
      </c>
      <c r="F289" s="168" t="s">
        <v>1067</v>
      </c>
    </row>
    <row r="290" spans="1:10" ht="15" customHeight="1" x14ac:dyDescent="0.25">
      <c r="A290" s="157"/>
      <c r="B290" s="158"/>
      <c r="C290" s="150"/>
      <c r="D290" s="152"/>
      <c r="E290" s="154"/>
      <c r="F290" s="169"/>
    </row>
    <row r="291" spans="1:10" ht="15" customHeight="1" x14ac:dyDescent="0.25"/>
    <row r="292" spans="1:10" ht="15" customHeight="1" x14ac:dyDescent="0.25">
      <c r="A292" s="147" t="s">
        <v>1914</v>
      </c>
      <c r="B292" s="148"/>
      <c r="C292" s="148"/>
      <c r="D292" s="148"/>
      <c r="E292" s="149"/>
    </row>
    <row r="293" spans="1:10" ht="15" customHeight="1" x14ac:dyDescent="0.25">
      <c r="A293" s="15" t="s">
        <v>0</v>
      </c>
      <c r="B293" s="15" t="s">
        <v>1</v>
      </c>
      <c r="C293" s="15" t="s">
        <v>2</v>
      </c>
      <c r="D293" s="15" t="s">
        <v>3</v>
      </c>
      <c r="E293" s="15" t="s">
        <v>7</v>
      </c>
    </row>
    <row r="294" spans="1:10" x14ac:dyDescent="0.25">
      <c r="A294" s="11">
        <v>1</v>
      </c>
      <c r="B294" s="8" t="s">
        <v>157</v>
      </c>
      <c r="C294" s="23" t="s">
        <v>6</v>
      </c>
      <c r="D294" s="23" t="s">
        <v>5</v>
      </c>
      <c r="E294" s="16" t="s">
        <v>270</v>
      </c>
      <c r="F294" s="40" t="str">
        <f t="shared" ref="F294:F325" ca="1" si="9">IF(AND(C294="NO",D294="NO"),IF(F294="",TODAY(),F294),"")</f>
        <v/>
      </c>
    </row>
    <row r="295" spans="1:10" ht="15.75" customHeight="1" x14ac:dyDescent="0.25">
      <c r="A295" s="11">
        <v>2</v>
      </c>
      <c r="B295" s="8" t="s">
        <v>158</v>
      </c>
      <c r="C295" s="23" t="s">
        <v>6</v>
      </c>
      <c r="D295" s="23" t="s">
        <v>5</v>
      </c>
      <c r="E295" s="16" t="s">
        <v>270</v>
      </c>
      <c r="F295" s="40" t="str">
        <f t="shared" ca="1" si="9"/>
        <v/>
      </c>
      <c r="I295" s="161" t="s">
        <v>1814</v>
      </c>
      <c r="J295" s="161"/>
    </row>
    <row r="296" spans="1:10" x14ac:dyDescent="0.25">
      <c r="A296" s="11">
        <v>3</v>
      </c>
      <c r="B296" s="8" t="s">
        <v>159</v>
      </c>
      <c r="C296" s="23" t="s">
        <v>5</v>
      </c>
      <c r="D296" s="23" t="s">
        <v>5</v>
      </c>
      <c r="E296" s="16" t="s">
        <v>46</v>
      </c>
      <c r="F296" s="40" t="str">
        <f t="shared" ca="1" si="9"/>
        <v/>
      </c>
      <c r="I296" s="161"/>
      <c r="J296" s="161"/>
    </row>
    <row r="297" spans="1:10" x14ac:dyDescent="0.25">
      <c r="A297" s="11">
        <v>4</v>
      </c>
      <c r="B297" s="8" t="s">
        <v>160</v>
      </c>
      <c r="C297" s="23" t="s">
        <v>5</v>
      </c>
      <c r="D297" s="23" t="s">
        <v>5</v>
      </c>
      <c r="E297" s="16" t="s">
        <v>270</v>
      </c>
      <c r="F297" s="40" t="str">
        <f t="shared" ca="1" si="9"/>
        <v/>
      </c>
      <c r="I297" s="118" t="str" cm="1">
        <f t="array" ref="I297:I325">_xlfn._xlws.FILTER(B294:B394,(C294:C394="SI")*(D294:D394="SI"),"")</f>
        <v>Cristian Moreno</v>
      </c>
      <c r="J297" s="116"/>
    </row>
    <row r="298" spans="1:10" x14ac:dyDescent="0.25">
      <c r="A298" s="11">
        <v>5</v>
      </c>
      <c r="B298" s="8" t="s">
        <v>161</v>
      </c>
      <c r="C298" s="23" t="s">
        <v>6</v>
      </c>
      <c r="D298" s="23" t="s">
        <v>5</v>
      </c>
      <c r="E298" s="16" t="s">
        <v>270</v>
      </c>
      <c r="F298" s="40" t="str">
        <f t="shared" ca="1" si="9"/>
        <v/>
      </c>
      <c r="I298" s="118" t="str">
        <v>Yanina Villasmil</v>
      </c>
      <c r="J298" s="116"/>
    </row>
    <row r="299" spans="1:10" x14ac:dyDescent="0.25">
      <c r="A299" s="11">
        <v>6</v>
      </c>
      <c r="B299" s="8" t="s">
        <v>162</v>
      </c>
      <c r="C299" s="23" t="s">
        <v>5</v>
      </c>
      <c r="D299" s="23" t="s">
        <v>5</v>
      </c>
      <c r="E299" s="16" t="s">
        <v>46</v>
      </c>
      <c r="F299" s="40" t="str">
        <f t="shared" ca="1" si="9"/>
        <v/>
      </c>
      <c r="I299" s="118" t="str">
        <v xml:space="preserve">Minerva Morán    </v>
      </c>
      <c r="J299" s="116"/>
    </row>
    <row r="300" spans="1:10" x14ac:dyDescent="0.25">
      <c r="A300" s="11">
        <v>7</v>
      </c>
      <c r="B300" s="8" t="s">
        <v>166</v>
      </c>
      <c r="C300" s="23" t="s">
        <v>5</v>
      </c>
      <c r="D300" s="23" t="s">
        <v>6</v>
      </c>
      <c r="E300" s="16" t="s">
        <v>46</v>
      </c>
      <c r="F300" s="40" t="str">
        <f t="shared" ca="1" si="9"/>
        <v/>
      </c>
      <c r="I300" s="118" t="str">
        <v>Maritza Bohórquez</v>
      </c>
      <c r="J300" s="116"/>
    </row>
    <row r="301" spans="1:10" x14ac:dyDescent="0.25">
      <c r="A301" s="11">
        <v>8</v>
      </c>
      <c r="B301" s="8" t="s">
        <v>167</v>
      </c>
      <c r="C301" s="23" t="s">
        <v>6</v>
      </c>
      <c r="D301" s="23" t="s">
        <v>5</v>
      </c>
      <c r="E301" s="16" t="s">
        <v>359</v>
      </c>
      <c r="F301" s="40" t="str">
        <f t="shared" ca="1" si="9"/>
        <v/>
      </c>
      <c r="I301" s="118" t="str">
        <v xml:space="preserve">Maritza Rangel </v>
      </c>
      <c r="J301" s="116"/>
    </row>
    <row r="302" spans="1:10" x14ac:dyDescent="0.25">
      <c r="A302" s="11">
        <v>9</v>
      </c>
      <c r="B302" s="8" t="s">
        <v>689</v>
      </c>
      <c r="C302" s="23" t="s">
        <v>5</v>
      </c>
      <c r="D302" s="23" t="s">
        <v>5</v>
      </c>
      <c r="E302" s="16" t="s">
        <v>46</v>
      </c>
      <c r="F302" s="40" t="str">
        <f t="shared" ca="1" si="9"/>
        <v/>
      </c>
      <c r="I302" s="118" t="str">
        <v>Mailin Urdaneta</v>
      </c>
      <c r="J302" s="116"/>
    </row>
    <row r="303" spans="1:10" x14ac:dyDescent="0.25">
      <c r="A303" s="11">
        <v>10</v>
      </c>
      <c r="B303" s="8" t="s">
        <v>176</v>
      </c>
      <c r="C303" s="23" t="s">
        <v>5</v>
      </c>
      <c r="D303" s="23" t="s">
        <v>5</v>
      </c>
      <c r="E303" s="16" t="s">
        <v>46</v>
      </c>
      <c r="F303" s="40" t="str">
        <f t="shared" ca="1" si="9"/>
        <v/>
      </c>
      <c r="I303" s="118" t="str">
        <v>Marlin Urdaneta</v>
      </c>
      <c r="J303" s="116"/>
    </row>
    <row r="304" spans="1:10" x14ac:dyDescent="0.25">
      <c r="A304" s="11">
        <v>11</v>
      </c>
      <c r="B304" s="8" t="s">
        <v>172</v>
      </c>
      <c r="C304" s="23" t="s">
        <v>5</v>
      </c>
      <c r="D304" s="23" t="s">
        <v>5</v>
      </c>
      <c r="E304" s="16" t="s">
        <v>46</v>
      </c>
      <c r="F304" s="40" t="str">
        <f t="shared" ca="1" si="9"/>
        <v/>
      </c>
      <c r="I304" s="118" t="str">
        <v xml:space="preserve">Beimar Guillen </v>
      </c>
      <c r="J304" s="116"/>
    </row>
    <row r="305" spans="1:10" s="51" customFormat="1" ht="17.25" customHeight="1" x14ac:dyDescent="0.25">
      <c r="A305" s="11">
        <v>12</v>
      </c>
      <c r="B305" s="8" t="s">
        <v>173</v>
      </c>
      <c r="C305" s="23" t="s">
        <v>5</v>
      </c>
      <c r="D305" s="23" t="s">
        <v>5</v>
      </c>
      <c r="E305" s="16" t="s">
        <v>46</v>
      </c>
      <c r="F305" s="40" t="str">
        <f t="shared" ca="1" si="9"/>
        <v/>
      </c>
      <c r="G305"/>
      <c r="H305"/>
      <c r="I305" s="118" t="str">
        <v>ISAAC FLORES</v>
      </c>
      <c r="J305" s="54"/>
    </row>
    <row r="306" spans="1:10" x14ac:dyDescent="0.25">
      <c r="A306" s="11">
        <v>13</v>
      </c>
      <c r="B306" s="8" t="s">
        <v>174</v>
      </c>
      <c r="C306" s="23" t="s">
        <v>5</v>
      </c>
      <c r="D306" s="23" t="s">
        <v>6</v>
      </c>
      <c r="E306" s="16" t="s">
        <v>46</v>
      </c>
      <c r="F306" s="40" t="str">
        <f t="shared" ca="1" si="9"/>
        <v/>
      </c>
      <c r="I306" s="118" t="str">
        <v>Lucas Rossel</v>
      </c>
      <c r="J306" s="116"/>
    </row>
    <row r="307" spans="1:10" x14ac:dyDescent="0.25">
      <c r="A307" s="11">
        <v>14</v>
      </c>
      <c r="B307" s="8" t="s">
        <v>175</v>
      </c>
      <c r="C307" s="23" t="s">
        <v>6</v>
      </c>
      <c r="D307" s="23" t="s">
        <v>6</v>
      </c>
      <c r="E307" s="16" t="s">
        <v>46</v>
      </c>
      <c r="F307" s="40">
        <f t="shared" ca="1" si="9"/>
        <v>46195</v>
      </c>
      <c r="I307" s="116" t="str">
        <v>Gisela Betancourt</v>
      </c>
      <c r="J307" s="116"/>
    </row>
    <row r="308" spans="1:10" x14ac:dyDescent="0.25">
      <c r="A308" s="11">
        <v>15</v>
      </c>
      <c r="B308" s="8" t="s">
        <v>177</v>
      </c>
      <c r="C308" s="23" t="s">
        <v>5</v>
      </c>
      <c r="D308" s="23" t="s">
        <v>5</v>
      </c>
      <c r="E308" s="16" t="s">
        <v>46</v>
      </c>
      <c r="F308" s="40" t="str">
        <f t="shared" ca="1" si="9"/>
        <v/>
      </c>
      <c r="G308" s="88"/>
      <c r="I308" s="116" t="str">
        <v>Isael Albornoz</v>
      </c>
      <c r="J308" s="116"/>
    </row>
    <row r="309" spans="1:10" x14ac:dyDescent="0.25">
      <c r="A309" s="11">
        <v>16</v>
      </c>
      <c r="B309" s="8" t="s">
        <v>317</v>
      </c>
      <c r="C309" s="23" t="s">
        <v>6</v>
      </c>
      <c r="D309" s="23" t="s">
        <v>6</v>
      </c>
      <c r="E309" s="16" t="s">
        <v>46</v>
      </c>
      <c r="F309" s="40">
        <f t="shared" ca="1" si="9"/>
        <v>46195</v>
      </c>
      <c r="I309" s="116" t="str">
        <v>Osmary Vilchez</v>
      </c>
      <c r="J309" s="116"/>
    </row>
    <row r="310" spans="1:10" x14ac:dyDescent="0.25">
      <c r="A310" s="11">
        <v>17</v>
      </c>
      <c r="B310" s="42" t="s">
        <v>432</v>
      </c>
      <c r="C310" s="23" t="s">
        <v>6</v>
      </c>
      <c r="D310" s="23" t="s">
        <v>6</v>
      </c>
      <c r="E310" s="24" t="s">
        <v>46</v>
      </c>
      <c r="F310" s="40">
        <f t="shared" ca="1" si="9"/>
        <v>46202</v>
      </c>
      <c r="I310" s="116" t="str">
        <v>Ismael Albornoz</v>
      </c>
      <c r="J310" s="116"/>
    </row>
    <row r="311" spans="1:10" x14ac:dyDescent="0.25">
      <c r="A311" s="11">
        <v>18</v>
      </c>
      <c r="B311" s="21" t="s">
        <v>1403</v>
      </c>
      <c r="C311" s="23" t="s">
        <v>5</v>
      </c>
      <c r="D311" s="23" t="s">
        <v>6</v>
      </c>
      <c r="E311" s="18" t="s">
        <v>46</v>
      </c>
      <c r="F311" s="40" t="str">
        <f t="shared" ca="1" si="9"/>
        <v/>
      </c>
      <c r="I311" s="116" t="str">
        <v>Armando Márquez</v>
      </c>
    </row>
    <row r="312" spans="1:10" ht="13.5" customHeight="1" x14ac:dyDescent="0.25">
      <c r="A312" s="11">
        <v>19</v>
      </c>
      <c r="B312" s="8" t="s">
        <v>1917</v>
      </c>
      <c r="C312" s="23" t="s">
        <v>5</v>
      </c>
      <c r="D312" s="23" t="s">
        <v>6</v>
      </c>
      <c r="E312" s="16" t="s">
        <v>46</v>
      </c>
      <c r="F312" s="40" t="str">
        <f t="shared" ca="1" si="9"/>
        <v/>
      </c>
      <c r="H312" s="88"/>
      <c r="I312" s="116" t="str">
        <v>Alberth Gonzalez</v>
      </c>
      <c r="J312" s="125"/>
    </row>
    <row r="313" spans="1:10" ht="15" customHeight="1" x14ac:dyDescent="0.25">
      <c r="A313" s="11">
        <v>20</v>
      </c>
      <c r="B313" s="42" t="s">
        <v>1855</v>
      </c>
      <c r="C313" s="23" t="s">
        <v>6</v>
      </c>
      <c r="D313" s="23" t="s">
        <v>5</v>
      </c>
      <c r="E313" s="46" t="s">
        <v>46</v>
      </c>
      <c r="F313" s="40" t="str">
        <f t="shared" ca="1" si="9"/>
        <v/>
      </c>
      <c r="I313" s="116" t="str">
        <v>Mariangel González</v>
      </c>
      <c r="J313" s="125"/>
    </row>
    <row r="314" spans="1:10" x14ac:dyDescent="0.25">
      <c r="A314" s="11">
        <v>21</v>
      </c>
      <c r="B314" s="8" t="s">
        <v>179</v>
      </c>
      <c r="C314" s="23" t="s">
        <v>6</v>
      </c>
      <c r="D314" s="23" t="s">
        <v>6</v>
      </c>
      <c r="E314" s="16" t="s">
        <v>46</v>
      </c>
      <c r="F314" s="40">
        <f t="shared" ca="1" si="9"/>
        <v>46195</v>
      </c>
      <c r="I314" s="116" t="str">
        <v>Dayana Pereira</v>
      </c>
      <c r="J314" s="125"/>
    </row>
    <row r="315" spans="1:10" x14ac:dyDescent="0.25">
      <c r="A315" s="11">
        <v>22</v>
      </c>
      <c r="B315" s="21" t="s">
        <v>1918</v>
      </c>
      <c r="C315" s="23" t="s">
        <v>5</v>
      </c>
      <c r="D315" s="23" t="s">
        <v>6</v>
      </c>
      <c r="E315" s="18" t="s">
        <v>46</v>
      </c>
      <c r="F315" s="40" t="str">
        <f t="shared" ca="1" si="9"/>
        <v/>
      </c>
      <c r="I315" s="116" t="str">
        <v>Josefa Mora</v>
      </c>
      <c r="J315" s="125"/>
    </row>
    <row r="316" spans="1:10" ht="15" customHeight="1" x14ac:dyDescent="0.25">
      <c r="A316" s="11">
        <v>23</v>
      </c>
      <c r="B316" s="21" t="s">
        <v>1852</v>
      </c>
      <c r="C316" s="23" t="s">
        <v>5</v>
      </c>
      <c r="D316" s="23" t="s">
        <v>5</v>
      </c>
      <c r="E316" s="18" t="s">
        <v>46</v>
      </c>
      <c r="F316" s="40" t="str">
        <f t="shared" ca="1" si="9"/>
        <v/>
      </c>
      <c r="I316" s="116" t="str">
        <v>Franglis Andará</v>
      </c>
      <c r="J316" s="125"/>
    </row>
    <row r="317" spans="1:10" ht="15" customHeight="1" x14ac:dyDescent="0.25">
      <c r="A317" s="11">
        <v>24</v>
      </c>
      <c r="B317" s="8" t="s">
        <v>180</v>
      </c>
      <c r="C317" s="23" t="s">
        <v>5</v>
      </c>
      <c r="D317" s="23" t="s">
        <v>5</v>
      </c>
      <c r="E317" s="16" t="s">
        <v>214</v>
      </c>
      <c r="F317" s="40" t="str">
        <f t="shared" ca="1" si="9"/>
        <v/>
      </c>
      <c r="I317" s="116" t="str">
        <v>Gladys Villasmil</v>
      </c>
      <c r="J317" s="125"/>
    </row>
    <row r="318" spans="1:10" x14ac:dyDescent="0.25">
      <c r="A318" s="11">
        <v>25</v>
      </c>
      <c r="B318" s="8" t="s">
        <v>184</v>
      </c>
      <c r="C318" s="23" t="s">
        <v>5</v>
      </c>
      <c r="D318" s="23" t="s">
        <v>6</v>
      </c>
      <c r="E318" s="16" t="s">
        <v>46</v>
      </c>
      <c r="F318" s="40" t="str">
        <f t="shared" ca="1" si="9"/>
        <v/>
      </c>
      <c r="G318" s="94"/>
      <c r="I318" s="116" t="str">
        <v>Elsy Cañizales</v>
      </c>
      <c r="J318" s="125"/>
    </row>
    <row r="319" spans="1:10" x14ac:dyDescent="0.25">
      <c r="A319" s="11">
        <v>26</v>
      </c>
      <c r="B319" s="8" t="s">
        <v>186</v>
      </c>
      <c r="C319" s="23" t="s">
        <v>5</v>
      </c>
      <c r="D319" s="23" t="s">
        <v>5</v>
      </c>
      <c r="E319" s="16" t="s">
        <v>214</v>
      </c>
      <c r="F319" s="40" t="str">
        <f t="shared" ca="1" si="9"/>
        <v/>
      </c>
      <c r="H319" s="94"/>
      <c r="I319" s="116" t="str">
        <v>Henry Mendez</v>
      </c>
      <c r="J319" s="125"/>
    </row>
    <row r="320" spans="1:10" x14ac:dyDescent="0.25">
      <c r="A320" s="11">
        <v>27</v>
      </c>
      <c r="B320" s="8" t="s">
        <v>187</v>
      </c>
      <c r="C320" s="23" t="s">
        <v>5</v>
      </c>
      <c r="D320" s="23" t="s">
        <v>5</v>
      </c>
      <c r="E320" s="16" t="s">
        <v>46</v>
      </c>
      <c r="F320" s="40" t="str">
        <f t="shared" ca="1" si="9"/>
        <v/>
      </c>
      <c r="H320" s="111"/>
      <c r="I320" s="116" t="str">
        <v>Nataly Moreno</v>
      </c>
      <c r="J320" s="125"/>
    </row>
    <row r="321" spans="1:10" x14ac:dyDescent="0.25">
      <c r="A321" s="11">
        <v>28</v>
      </c>
      <c r="B321" s="21" t="s">
        <v>1265</v>
      </c>
      <c r="C321" s="23" t="s">
        <v>6</v>
      </c>
      <c r="D321" s="23" t="s">
        <v>6</v>
      </c>
      <c r="E321" s="18" t="s">
        <v>46</v>
      </c>
      <c r="F321" s="40">
        <f t="shared" ca="1" si="9"/>
        <v>46177</v>
      </c>
      <c r="I321" s="116" t="str">
        <v>Saray Guillén</v>
      </c>
      <c r="J321" s="125"/>
    </row>
    <row r="322" spans="1:10" x14ac:dyDescent="0.25">
      <c r="A322" s="11">
        <v>29</v>
      </c>
      <c r="B322" s="8" t="s">
        <v>1854</v>
      </c>
      <c r="C322" s="23" t="s">
        <v>6</v>
      </c>
      <c r="D322" s="23" t="s">
        <v>5</v>
      </c>
      <c r="E322" s="16" t="s">
        <v>270</v>
      </c>
      <c r="F322" s="40" t="str">
        <f t="shared" ca="1" si="9"/>
        <v/>
      </c>
      <c r="I322" s="116" t="str">
        <v>Pedro Rondón</v>
      </c>
      <c r="J322" s="116"/>
    </row>
    <row r="323" spans="1:10" x14ac:dyDescent="0.25">
      <c r="A323" s="11">
        <v>30</v>
      </c>
      <c r="B323" s="8" t="s">
        <v>189</v>
      </c>
      <c r="C323" s="23" t="s">
        <v>5</v>
      </c>
      <c r="D323" s="23" t="s">
        <v>5</v>
      </c>
      <c r="E323" s="16" t="s">
        <v>46</v>
      </c>
      <c r="F323" s="40" t="str">
        <f t="shared" ca="1" si="9"/>
        <v/>
      </c>
      <c r="I323" s="116" t="str">
        <v>MarCELa Astudillo</v>
      </c>
      <c r="J323" s="116"/>
    </row>
    <row r="324" spans="1:10" x14ac:dyDescent="0.25">
      <c r="A324" s="11">
        <v>31</v>
      </c>
      <c r="B324" s="8" t="s">
        <v>202</v>
      </c>
      <c r="C324" s="23" t="s">
        <v>6</v>
      </c>
      <c r="D324" s="23" t="s">
        <v>5</v>
      </c>
      <c r="E324" s="104" t="s">
        <v>46</v>
      </c>
      <c r="F324" s="40" t="str">
        <f t="shared" ca="1" si="9"/>
        <v/>
      </c>
      <c r="I324" s="116" t="str">
        <v>Miriam Hernández</v>
      </c>
      <c r="J324" s="116"/>
    </row>
    <row r="325" spans="1:10" x14ac:dyDescent="0.25">
      <c r="A325" s="11">
        <v>32</v>
      </c>
      <c r="B325" s="8" t="s">
        <v>192</v>
      </c>
      <c r="C325" s="23" t="s">
        <v>6</v>
      </c>
      <c r="D325" s="23" t="s">
        <v>6</v>
      </c>
      <c r="E325" s="16" t="s">
        <v>46</v>
      </c>
      <c r="F325" s="40">
        <f t="shared" ca="1" si="9"/>
        <v>46195</v>
      </c>
      <c r="I325" s="116" t="str">
        <v>Julia Prado</v>
      </c>
      <c r="J325" s="116"/>
    </row>
    <row r="326" spans="1:10" ht="21" x14ac:dyDescent="0.35">
      <c r="A326" s="11">
        <v>33</v>
      </c>
      <c r="B326" s="21" t="s">
        <v>1113</v>
      </c>
      <c r="C326" s="23" t="s">
        <v>6</v>
      </c>
      <c r="D326" s="23" t="s">
        <v>6</v>
      </c>
      <c r="E326" s="18" t="s">
        <v>46</v>
      </c>
      <c r="F326" s="40">
        <f t="shared" ref="F326:F343" ca="1" si="10">IF(AND(C326="NO",D326="NO"),IF(F326="",TODAY(),F326),"")</f>
        <v>46188</v>
      </c>
      <c r="J326" s="140">
        <f>C402</f>
        <v>29</v>
      </c>
    </row>
    <row r="327" spans="1:10" x14ac:dyDescent="0.25">
      <c r="A327" s="11">
        <v>34</v>
      </c>
      <c r="B327" s="8" t="s">
        <v>190</v>
      </c>
      <c r="C327" s="23" t="s">
        <v>6</v>
      </c>
      <c r="D327" s="23" t="s">
        <v>6</v>
      </c>
      <c r="E327" s="16" t="s">
        <v>46</v>
      </c>
      <c r="F327" s="40">
        <f t="shared" ca="1" si="10"/>
        <v>46195</v>
      </c>
    </row>
    <row r="328" spans="1:10" x14ac:dyDescent="0.25">
      <c r="A328" s="11">
        <v>35</v>
      </c>
      <c r="B328" s="8" t="s">
        <v>185</v>
      </c>
      <c r="C328" s="23" t="s">
        <v>6</v>
      </c>
      <c r="D328" s="23" t="s">
        <v>6</v>
      </c>
      <c r="E328" s="16" t="s">
        <v>46</v>
      </c>
      <c r="F328" s="40">
        <f t="shared" ca="1" si="10"/>
        <v>46195</v>
      </c>
    </row>
    <row r="329" spans="1:10" x14ac:dyDescent="0.25">
      <c r="A329" s="11">
        <v>36</v>
      </c>
      <c r="B329" s="8" t="s">
        <v>1667</v>
      </c>
      <c r="C329" s="23" t="s">
        <v>6</v>
      </c>
      <c r="D329" s="23" t="s">
        <v>6</v>
      </c>
      <c r="E329" s="16" t="s">
        <v>46</v>
      </c>
      <c r="F329" s="40">
        <f t="shared" ca="1" si="10"/>
        <v>46195</v>
      </c>
    </row>
    <row r="330" spans="1:10" x14ac:dyDescent="0.25">
      <c r="A330" s="11">
        <v>37</v>
      </c>
      <c r="B330" s="8" t="s">
        <v>193</v>
      </c>
      <c r="C330" s="23" t="s">
        <v>5</v>
      </c>
      <c r="D330" s="23" t="s">
        <v>5</v>
      </c>
      <c r="E330" s="17" t="s">
        <v>46</v>
      </c>
      <c r="F330" s="40" t="str">
        <f t="shared" ca="1" si="10"/>
        <v/>
      </c>
    </row>
    <row r="331" spans="1:10" x14ac:dyDescent="0.25">
      <c r="A331" s="11">
        <v>38</v>
      </c>
      <c r="B331" s="8" t="s">
        <v>1111</v>
      </c>
      <c r="C331" s="23" t="s">
        <v>6</v>
      </c>
      <c r="D331" s="23" t="s">
        <v>5</v>
      </c>
      <c r="E331" s="17" t="s">
        <v>46</v>
      </c>
      <c r="F331" s="40" t="str">
        <f t="shared" ca="1" si="10"/>
        <v/>
      </c>
    </row>
    <row r="332" spans="1:10" x14ac:dyDescent="0.25">
      <c r="A332" s="11">
        <v>39</v>
      </c>
      <c r="B332" s="8" t="s">
        <v>188</v>
      </c>
      <c r="C332" s="23" t="s">
        <v>5</v>
      </c>
      <c r="D332" s="23" t="s">
        <v>5</v>
      </c>
      <c r="E332" s="16" t="s">
        <v>46</v>
      </c>
      <c r="F332" s="40" t="str">
        <f t="shared" ca="1" si="10"/>
        <v/>
      </c>
    </row>
    <row r="333" spans="1:10" x14ac:dyDescent="0.25">
      <c r="A333" s="11">
        <v>40</v>
      </c>
      <c r="B333" s="8" t="s">
        <v>194</v>
      </c>
      <c r="C333" s="23" t="s">
        <v>6</v>
      </c>
      <c r="D333" s="23" t="s">
        <v>5</v>
      </c>
      <c r="E333" s="17" t="s">
        <v>46</v>
      </c>
      <c r="F333" s="40" t="str">
        <f t="shared" ca="1" si="10"/>
        <v/>
      </c>
      <c r="H333" s="86"/>
    </row>
    <row r="334" spans="1:10" x14ac:dyDescent="0.25">
      <c r="A334" s="11">
        <v>41</v>
      </c>
      <c r="B334" s="21" t="s">
        <v>1919</v>
      </c>
      <c r="C334" s="23" t="s">
        <v>5</v>
      </c>
      <c r="D334" s="23" t="s">
        <v>6</v>
      </c>
      <c r="E334" s="17" t="s">
        <v>154</v>
      </c>
      <c r="F334" s="40" t="str">
        <f t="shared" ca="1" si="10"/>
        <v/>
      </c>
    </row>
    <row r="335" spans="1:10" x14ac:dyDescent="0.25">
      <c r="A335" s="11">
        <v>42</v>
      </c>
      <c r="B335" s="21" t="s">
        <v>203</v>
      </c>
      <c r="C335" s="23" t="s">
        <v>6</v>
      </c>
      <c r="D335" s="23" t="s">
        <v>6</v>
      </c>
      <c r="E335" s="18" t="s">
        <v>46</v>
      </c>
      <c r="F335" s="40">
        <f t="shared" ca="1" si="10"/>
        <v>46195</v>
      </c>
    </row>
    <row r="336" spans="1:10" x14ac:dyDescent="0.25">
      <c r="A336" s="11">
        <v>43</v>
      </c>
      <c r="B336" s="8" t="s">
        <v>201</v>
      </c>
      <c r="C336" s="23" t="s">
        <v>5</v>
      </c>
      <c r="D336" s="23" t="s">
        <v>5</v>
      </c>
      <c r="E336" s="17" t="s">
        <v>46</v>
      </c>
      <c r="F336" s="40" t="str">
        <f t="shared" ca="1" si="10"/>
        <v/>
      </c>
    </row>
    <row r="337" spans="1:6" x14ac:dyDescent="0.25">
      <c r="A337" s="11">
        <v>44</v>
      </c>
      <c r="B337" s="8" t="s">
        <v>1843</v>
      </c>
      <c r="C337" s="23" t="s">
        <v>5</v>
      </c>
      <c r="D337" s="23" t="s">
        <v>5</v>
      </c>
      <c r="E337" s="17" t="s">
        <v>46</v>
      </c>
      <c r="F337" s="40" t="str">
        <f t="shared" ca="1" si="10"/>
        <v/>
      </c>
    </row>
    <row r="338" spans="1:6" ht="15" customHeight="1" x14ac:dyDescent="0.25">
      <c r="A338" s="11">
        <v>45</v>
      </c>
      <c r="B338" s="8" t="s">
        <v>204</v>
      </c>
      <c r="C338" s="23" t="s">
        <v>5</v>
      </c>
      <c r="D338" s="23" t="s">
        <v>5</v>
      </c>
      <c r="E338" s="17" t="s">
        <v>319</v>
      </c>
      <c r="F338" s="40" t="str">
        <f t="shared" ca="1" si="10"/>
        <v/>
      </c>
    </row>
    <row r="339" spans="1:6" x14ac:dyDescent="0.25">
      <c r="A339" s="11">
        <v>46</v>
      </c>
      <c r="B339" s="8" t="s">
        <v>205</v>
      </c>
      <c r="C339" s="23" t="s">
        <v>5</v>
      </c>
      <c r="D339" s="23" t="s">
        <v>5</v>
      </c>
      <c r="E339" s="17" t="s">
        <v>319</v>
      </c>
      <c r="F339" s="40" t="str">
        <f t="shared" ca="1" si="10"/>
        <v/>
      </c>
    </row>
    <row r="340" spans="1:6" x14ac:dyDescent="0.25">
      <c r="A340" s="11">
        <v>47</v>
      </c>
      <c r="B340" s="8" t="s">
        <v>1845</v>
      </c>
      <c r="C340" s="23" t="s">
        <v>5</v>
      </c>
      <c r="D340" s="23" t="s">
        <v>5</v>
      </c>
      <c r="E340" s="16" t="s">
        <v>359</v>
      </c>
      <c r="F340" s="40" t="str">
        <f t="shared" ca="1" si="10"/>
        <v/>
      </c>
    </row>
    <row r="341" spans="1:6" x14ac:dyDescent="0.25">
      <c r="A341" s="11">
        <v>48</v>
      </c>
      <c r="B341" s="21" t="s">
        <v>306</v>
      </c>
      <c r="C341" s="23" t="s">
        <v>6</v>
      </c>
      <c r="D341" s="23" t="s">
        <v>6</v>
      </c>
      <c r="E341" s="18" t="s">
        <v>46</v>
      </c>
      <c r="F341" s="40">
        <f t="shared" ca="1" si="10"/>
        <v>46188</v>
      </c>
    </row>
    <row r="342" spans="1:6" x14ac:dyDescent="0.25">
      <c r="A342" s="11">
        <v>49</v>
      </c>
      <c r="B342" s="8" t="s">
        <v>827</v>
      </c>
      <c r="C342" s="23" t="s">
        <v>6</v>
      </c>
      <c r="D342" s="23" t="s">
        <v>5</v>
      </c>
      <c r="E342" s="16" t="s">
        <v>46</v>
      </c>
      <c r="F342" s="40" t="str">
        <f t="shared" ca="1" si="10"/>
        <v/>
      </c>
    </row>
    <row r="343" spans="1:6" ht="15.75" x14ac:dyDescent="0.25">
      <c r="A343" s="11">
        <v>50</v>
      </c>
      <c r="B343" s="42" t="s">
        <v>1542</v>
      </c>
      <c r="C343" s="23" t="s">
        <v>6</v>
      </c>
      <c r="D343" s="23" t="s">
        <v>5</v>
      </c>
      <c r="E343" s="102" t="s">
        <v>359</v>
      </c>
      <c r="F343" s="40" t="str">
        <f t="shared" ca="1" si="10"/>
        <v/>
      </c>
    </row>
    <row r="344" spans="1:6" x14ac:dyDescent="0.25">
      <c r="A344" s="11">
        <v>51</v>
      </c>
      <c r="B344" s="21" t="s">
        <v>471</v>
      </c>
      <c r="C344" s="23" t="s">
        <v>6</v>
      </c>
      <c r="D344" s="23" t="s">
        <v>5</v>
      </c>
      <c r="E344" s="103" t="s">
        <v>154</v>
      </c>
      <c r="F344" s="127"/>
    </row>
    <row r="345" spans="1:6" x14ac:dyDescent="0.25">
      <c r="A345" s="11">
        <v>52</v>
      </c>
      <c r="B345" s="8" t="s">
        <v>1274</v>
      </c>
      <c r="C345" s="23" t="s">
        <v>6</v>
      </c>
      <c r="D345" s="23" t="s">
        <v>5</v>
      </c>
      <c r="E345" s="103" t="s">
        <v>154</v>
      </c>
      <c r="F345" s="40" t="str">
        <f t="shared" ref="F345:F386" ca="1" si="11">IF(AND(C345="NO",D345="NO"),IF(F345="",TODAY(),F345),"")</f>
        <v/>
      </c>
    </row>
    <row r="346" spans="1:6" x14ac:dyDescent="0.25">
      <c r="A346" s="11">
        <v>53</v>
      </c>
      <c r="B346" s="8" t="s">
        <v>1808</v>
      </c>
      <c r="C346" s="23" t="s">
        <v>5</v>
      </c>
      <c r="D346" s="23" t="s">
        <v>6</v>
      </c>
      <c r="E346" s="16" t="s">
        <v>46</v>
      </c>
      <c r="F346" s="40" t="str">
        <f t="shared" ca="1" si="11"/>
        <v/>
      </c>
    </row>
    <row r="347" spans="1:6" x14ac:dyDescent="0.25">
      <c r="A347" s="11">
        <v>54</v>
      </c>
      <c r="B347" s="8" t="s">
        <v>178</v>
      </c>
      <c r="C347" s="23" t="s">
        <v>5</v>
      </c>
      <c r="D347" s="23" t="s">
        <v>6</v>
      </c>
      <c r="E347" s="16" t="s">
        <v>46</v>
      </c>
      <c r="F347" s="40" t="str">
        <f t="shared" ca="1" si="11"/>
        <v/>
      </c>
    </row>
    <row r="348" spans="1:6" x14ac:dyDescent="0.25">
      <c r="A348" s="11">
        <v>55</v>
      </c>
      <c r="B348" s="8" t="s">
        <v>1899</v>
      </c>
      <c r="C348" s="23" t="s">
        <v>5</v>
      </c>
      <c r="D348" s="23" t="s">
        <v>5</v>
      </c>
      <c r="E348" s="24" t="s">
        <v>46</v>
      </c>
      <c r="F348" s="40" t="str">
        <f t="shared" ca="1" si="11"/>
        <v/>
      </c>
    </row>
    <row r="349" spans="1:6" x14ac:dyDescent="0.25">
      <c r="A349" s="11">
        <v>56</v>
      </c>
      <c r="B349" s="21" t="s">
        <v>512</v>
      </c>
      <c r="C349" s="23" t="s">
        <v>6</v>
      </c>
      <c r="D349" s="23" t="s">
        <v>6</v>
      </c>
      <c r="E349" s="24" t="s">
        <v>46</v>
      </c>
      <c r="F349" s="40">
        <f t="shared" ca="1" si="11"/>
        <v>46202</v>
      </c>
    </row>
    <row r="350" spans="1:6" x14ac:dyDescent="0.25">
      <c r="A350" s="11">
        <v>57</v>
      </c>
      <c r="B350" s="8" t="s">
        <v>1885</v>
      </c>
      <c r="C350" s="23" t="s">
        <v>6</v>
      </c>
      <c r="D350" s="23" t="s">
        <v>6</v>
      </c>
      <c r="E350" s="24" t="s">
        <v>46</v>
      </c>
      <c r="F350" s="40">
        <f t="shared" ca="1" si="11"/>
        <v>46195</v>
      </c>
    </row>
    <row r="351" spans="1:6" x14ac:dyDescent="0.25">
      <c r="A351" s="11">
        <v>58</v>
      </c>
      <c r="B351" s="21" t="s">
        <v>1675</v>
      </c>
      <c r="C351" s="23" t="s">
        <v>6</v>
      </c>
      <c r="D351" s="23" t="s">
        <v>5</v>
      </c>
      <c r="E351" s="107" t="s">
        <v>46</v>
      </c>
      <c r="F351" s="40" t="str">
        <f t="shared" ca="1" si="11"/>
        <v/>
      </c>
    </row>
    <row r="352" spans="1:6" x14ac:dyDescent="0.25">
      <c r="A352" s="11">
        <v>59</v>
      </c>
      <c r="B352" s="21" t="s">
        <v>494</v>
      </c>
      <c r="C352" s="23" t="s">
        <v>6</v>
      </c>
      <c r="D352" s="23" t="s">
        <v>5</v>
      </c>
      <c r="E352" s="24" t="s">
        <v>46</v>
      </c>
      <c r="F352" s="40" t="str">
        <f t="shared" ca="1" si="11"/>
        <v/>
      </c>
    </row>
    <row r="353" spans="1:8" x14ac:dyDescent="0.25">
      <c r="A353" s="11">
        <v>60</v>
      </c>
      <c r="B353" s="21" t="s">
        <v>1807</v>
      </c>
      <c r="C353" s="23" t="s">
        <v>6</v>
      </c>
      <c r="D353" s="23" t="s">
        <v>5</v>
      </c>
      <c r="E353" s="16" t="s">
        <v>46</v>
      </c>
      <c r="F353" s="40" t="str">
        <f t="shared" ca="1" si="11"/>
        <v/>
      </c>
    </row>
    <row r="354" spans="1:8" x14ac:dyDescent="0.25">
      <c r="A354" s="11">
        <v>61</v>
      </c>
      <c r="B354" s="42" t="s">
        <v>1324</v>
      </c>
      <c r="C354" s="23" t="s">
        <v>5</v>
      </c>
      <c r="D354" s="23" t="s">
        <v>6</v>
      </c>
      <c r="E354" s="24" t="s">
        <v>359</v>
      </c>
      <c r="F354" s="40" t="str">
        <f t="shared" ca="1" si="11"/>
        <v/>
      </c>
    </row>
    <row r="355" spans="1:8" x14ac:dyDescent="0.25">
      <c r="A355" s="11">
        <v>62</v>
      </c>
      <c r="B355" s="8" t="s">
        <v>1846</v>
      </c>
      <c r="C355" s="23" t="s">
        <v>5</v>
      </c>
      <c r="D355" s="23" t="s">
        <v>5</v>
      </c>
      <c r="E355" s="17" t="s">
        <v>46</v>
      </c>
      <c r="F355" s="40" t="str">
        <f t="shared" ca="1" si="11"/>
        <v/>
      </c>
    </row>
    <row r="356" spans="1:8" x14ac:dyDescent="0.25">
      <c r="A356" s="11">
        <v>63</v>
      </c>
      <c r="B356" s="8" t="s">
        <v>181</v>
      </c>
      <c r="C356" s="23" t="s">
        <v>5</v>
      </c>
      <c r="D356" s="23" t="s">
        <v>5</v>
      </c>
      <c r="E356" s="16" t="s">
        <v>46</v>
      </c>
      <c r="F356" s="40" t="str">
        <f t="shared" ca="1" si="11"/>
        <v/>
      </c>
      <c r="H356" s="47"/>
    </row>
    <row r="357" spans="1:8" x14ac:dyDescent="0.25">
      <c r="A357" s="11">
        <v>64</v>
      </c>
      <c r="B357" s="8" t="s">
        <v>206</v>
      </c>
      <c r="C357" s="23" t="s">
        <v>5</v>
      </c>
      <c r="D357" s="23" t="s">
        <v>5</v>
      </c>
      <c r="E357" s="17" t="s">
        <v>154</v>
      </c>
      <c r="F357" s="40" t="str">
        <f t="shared" ca="1" si="11"/>
        <v/>
      </c>
      <c r="G357" s="61"/>
    </row>
    <row r="358" spans="1:8" x14ac:dyDescent="0.25">
      <c r="A358" s="11">
        <v>65</v>
      </c>
      <c r="B358" s="8" t="s">
        <v>299</v>
      </c>
      <c r="C358" s="23" t="s">
        <v>6</v>
      </c>
      <c r="D358" s="23" t="s">
        <v>6</v>
      </c>
      <c r="E358" s="17" t="s">
        <v>154</v>
      </c>
      <c r="F358" s="40">
        <f t="shared" ca="1" si="11"/>
        <v>46188</v>
      </c>
    </row>
    <row r="359" spans="1:8" x14ac:dyDescent="0.25">
      <c r="A359" s="11">
        <v>66</v>
      </c>
      <c r="B359" s="8" t="s">
        <v>208</v>
      </c>
      <c r="C359" s="23" t="s">
        <v>5</v>
      </c>
      <c r="D359" s="23" t="s">
        <v>5</v>
      </c>
      <c r="E359" s="17" t="s">
        <v>154</v>
      </c>
      <c r="F359" s="40" t="str">
        <f t="shared" ca="1" si="11"/>
        <v/>
      </c>
      <c r="H359" s="61"/>
    </row>
    <row r="360" spans="1:8" ht="15.75" x14ac:dyDescent="0.25">
      <c r="A360" s="11">
        <v>67</v>
      </c>
      <c r="B360" s="8" t="s">
        <v>277</v>
      </c>
      <c r="C360" s="23" t="s">
        <v>6</v>
      </c>
      <c r="D360" s="23" t="s">
        <v>6</v>
      </c>
      <c r="E360" s="33" t="s">
        <v>46</v>
      </c>
      <c r="F360" s="40">
        <f t="shared" ca="1" si="11"/>
        <v>46177</v>
      </c>
      <c r="G360" s="61"/>
    </row>
    <row r="361" spans="1:8" x14ac:dyDescent="0.25">
      <c r="A361" s="11">
        <v>68</v>
      </c>
      <c r="B361" s="21" t="s">
        <v>1545</v>
      </c>
      <c r="C361" s="23" t="s">
        <v>6</v>
      </c>
      <c r="D361" s="23" t="s">
        <v>6</v>
      </c>
      <c r="E361" s="18" t="s">
        <v>154</v>
      </c>
      <c r="F361" s="40">
        <f t="shared" ca="1" si="11"/>
        <v>46177</v>
      </c>
    </row>
    <row r="362" spans="1:8" x14ac:dyDescent="0.25">
      <c r="A362" s="11">
        <v>69</v>
      </c>
      <c r="B362" s="21" t="s">
        <v>1844</v>
      </c>
      <c r="C362" s="23" t="s">
        <v>5</v>
      </c>
      <c r="D362" s="23" t="s">
        <v>5</v>
      </c>
      <c r="E362" s="17" t="s">
        <v>46</v>
      </c>
      <c r="F362" s="40" t="str">
        <f t="shared" ca="1" si="11"/>
        <v/>
      </c>
    </row>
    <row r="363" spans="1:8" x14ac:dyDescent="0.25">
      <c r="A363" s="11">
        <v>70</v>
      </c>
      <c r="B363" s="8" t="s">
        <v>1925</v>
      </c>
      <c r="C363" s="23" t="s">
        <v>5</v>
      </c>
      <c r="D363" s="23" t="s">
        <v>5</v>
      </c>
      <c r="E363" s="17" t="s">
        <v>154</v>
      </c>
      <c r="F363" s="40" t="str">
        <f t="shared" ca="1" si="11"/>
        <v/>
      </c>
      <c r="H363" s="61"/>
    </row>
    <row r="364" spans="1:8" x14ac:dyDescent="0.25">
      <c r="A364" s="11">
        <v>71</v>
      </c>
      <c r="B364" s="21" t="s">
        <v>1681</v>
      </c>
      <c r="C364" s="23" t="s">
        <v>6</v>
      </c>
      <c r="D364" s="23" t="s">
        <v>5</v>
      </c>
      <c r="E364" s="18" t="s">
        <v>1682</v>
      </c>
      <c r="F364" s="40" t="str">
        <f t="shared" ca="1" si="11"/>
        <v/>
      </c>
    </row>
    <row r="365" spans="1:8" x14ac:dyDescent="0.25">
      <c r="A365" s="11">
        <v>72</v>
      </c>
      <c r="B365" s="52" t="s">
        <v>554</v>
      </c>
      <c r="C365" s="23" t="s">
        <v>5</v>
      </c>
      <c r="D365" s="23" t="s">
        <v>6</v>
      </c>
      <c r="E365" s="16" t="s">
        <v>46</v>
      </c>
      <c r="F365" s="40" t="str">
        <f t="shared" ca="1" si="11"/>
        <v/>
      </c>
    </row>
    <row r="366" spans="1:8" ht="15.75" customHeight="1" x14ac:dyDescent="0.25">
      <c r="A366" s="11">
        <v>73</v>
      </c>
      <c r="B366" s="8" t="s">
        <v>371</v>
      </c>
      <c r="C366" s="23" t="s">
        <v>6</v>
      </c>
      <c r="D366" s="23" t="s">
        <v>6</v>
      </c>
      <c r="E366" s="17" t="s">
        <v>46</v>
      </c>
      <c r="F366" s="40">
        <f t="shared" ca="1" si="11"/>
        <v>46202</v>
      </c>
    </row>
    <row r="367" spans="1:8" ht="13.5" customHeight="1" x14ac:dyDescent="0.25">
      <c r="A367" s="11">
        <v>74</v>
      </c>
      <c r="B367" s="8" t="s">
        <v>1853</v>
      </c>
      <c r="C367" s="23" t="s">
        <v>6</v>
      </c>
      <c r="D367" s="23" t="s">
        <v>5</v>
      </c>
      <c r="E367" s="16" t="s">
        <v>406</v>
      </c>
      <c r="F367" s="40" t="str">
        <f t="shared" ca="1" si="11"/>
        <v/>
      </c>
    </row>
    <row r="368" spans="1:8" x14ac:dyDescent="0.25">
      <c r="A368" s="11">
        <v>75</v>
      </c>
      <c r="B368" s="8" t="s">
        <v>1036</v>
      </c>
      <c r="C368" s="23" t="s">
        <v>6</v>
      </c>
      <c r="D368" s="23" t="s">
        <v>6</v>
      </c>
      <c r="E368" s="17" t="s">
        <v>359</v>
      </c>
      <c r="F368" s="40">
        <f t="shared" ca="1" si="11"/>
        <v>46202</v>
      </c>
    </row>
    <row r="369" spans="1:9" x14ac:dyDescent="0.25">
      <c r="A369" s="11">
        <v>76</v>
      </c>
      <c r="B369" s="21" t="s">
        <v>1741</v>
      </c>
      <c r="C369" s="23" t="s">
        <v>6</v>
      </c>
      <c r="D369" s="23" t="s">
        <v>6</v>
      </c>
      <c r="E369" s="16" t="s">
        <v>46</v>
      </c>
      <c r="F369" s="40">
        <f t="shared" ca="1" si="11"/>
        <v>46195</v>
      </c>
    </row>
    <row r="370" spans="1:9" ht="13.5" customHeight="1" x14ac:dyDescent="0.25">
      <c r="A370" s="11">
        <v>77</v>
      </c>
      <c r="B370" s="21" t="s">
        <v>1934</v>
      </c>
      <c r="C370" s="23" t="s">
        <v>6</v>
      </c>
      <c r="D370" s="23" t="s">
        <v>6</v>
      </c>
      <c r="E370" s="16" t="s">
        <v>46</v>
      </c>
      <c r="F370" s="40">
        <f t="shared" ca="1" si="11"/>
        <v>46202</v>
      </c>
    </row>
    <row r="371" spans="1:9" ht="13.5" customHeight="1" x14ac:dyDescent="0.25">
      <c r="A371" s="11">
        <v>78</v>
      </c>
      <c r="B371" s="8" t="s">
        <v>1851</v>
      </c>
      <c r="C371" s="23" t="s">
        <v>5</v>
      </c>
      <c r="D371" s="23" t="s">
        <v>6</v>
      </c>
      <c r="E371" s="16" t="s">
        <v>46</v>
      </c>
      <c r="F371" s="40" t="str">
        <f t="shared" ca="1" si="11"/>
        <v/>
      </c>
    </row>
    <row r="372" spans="1:9" ht="13.5" customHeight="1" x14ac:dyDescent="0.25">
      <c r="A372" s="11">
        <v>79</v>
      </c>
      <c r="B372" s="8" t="s">
        <v>169</v>
      </c>
      <c r="C372" s="23" t="s">
        <v>5</v>
      </c>
      <c r="D372" s="23" t="s">
        <v>5</v>
      </c>
      <c r="E372" s="16" t="s">
        <v>46</v>
      </c>
      <c r="F372" s="40" t="str">
        <f t="shared" ca="1" si="11"/>
        <v/>
      </c>
    </row>
    <row r="373" spans="1:9" ht="13.5" customHeight="1" x14ac:dyDescent="0.25">
      <c r="A373" s="11">
        <v>80</v>
      </c>
      <c r="B373" s="8" t="s">
        <v>1871</v>
      </c>
      <c r="C373" s="23" t="s">
        <v>6</v>
      </c>
      <c r="D373" s="23" t="s">
        <v>6</v>
      </c>
      <c r="E373" s="16" t="s">
        <v>46</v>
      </c>
      <c r="F373" s="40">
        <f t="shared" ca="1" si="11"/>
        <v>46188</v>
      </c>
    </row>
    <row r="374" spans="1:9" ht="13.5" customHeight="1" x14ac:dyDescent="0.25">
      <c r="A374" s="11">
        <v>81</v>
      </c>
      <c r="B374" s="8" t="s">
        <v>1791</v>
      </c>
      <c r="C374" s="23" t="s">
        <v>5</v>
      </c>
      <c r="D374" s="23" t="s">
        <v>6</v>
      </c>
      <c r="E374" s="16" t="s">
        <v>46</v>
      </c>
      <c r="F374" s="40" t="str">
        <f t="shared" ca="1" si="11"/>
        <v/>
      </c>
    </row>
    <row r="375" spans="1:9" ht="13.5" customHeight="1" x14ac:dyDescent="0.25">
      <c r="A375" s="11">
        <v>82</v>
      </c>
      <c r="B375" s="8" t="s">
        <v>1792</v>
      </c>
      <c r="C375" s="23" t="s">
        <v>6</v>
      </c>
      <c r="D375" s="23" t="s">
        <v>6</v>
      </c>
      <c r="E375" s="16" t="s">
        <v>46</v>
      </c>
      <c r="F375" s="40">
        <f t="shared" ca="1" si="11"/>
        <v>46202</v>
      </c>
    </row>
    <row r="376" spans="1:9" ht="13.5" customHeight="1" x14ac:dyDescent="0.25">
      <c r="A376" s="11">
        <v>83</v>
      </c>
      <c r="B376" s="8" t="s">
        <v>1793</v>
      </c>
      <c r="C376" s="23" t="s">
        <v>6</v>
      </c>
      <c r="D376" s="23" t="s">
        <v>6</v>
      </c>
      <c r="E376" s="16" t="s">
        <v>46</v>
      </c>
      <c r="F376" s="40">
        <f t="shared" ca="1" si="11"/>
        <v>46188</v>
      </c>
    </row>
    <row r="377" spans="1:9" ht="13.5" customHeight="1" x14ac:dyDescent="0.25">
      <c r="A377" s="11">
        <v>84</v>
      </c>
      <c r="B377" s="8" t="s">
        <v>1847</v>
      </c>
      <c r="C377" s="23" t="s">
        <v>5</v>
      </c>
      <c r="D377" s="23" t="s">
        <v>6</v>
      </c>
      <c r="E377" s="16" t="s">
        <v>46</v>
      </c>
      <c r="F377" s="40" t="str">
        <f t="shared" ca="1" si="11"/>
        <v/>
      </c>
    </row>
    <row r="378" spans="1:9" ht="13.5" customHeight="1" x14ac:dyDescent="0.25">
      <c r="A378" s="11">
        <v>85</v>
      </c>
      <c r="B378" s="8" t="s">
        <v>1794</v>
      </c>
      <c r="C378" s="23" t="s">
        <v>6</v>
      </c>
      <c r="D378" s="23" t="s">
        <v>6</v>
      </c>
      <c r="E378" s="16" t="s">
        <v>46</v>
      </c>
      <c r="F378" s="40">
        <f t="shared" ca="1" si="11"/>
        <v>46195</v>
      </c>
    </row>
    <row r="379" spans="1:9" ht="13.5" customHeight="1" x14ac:dyDescent="0.25">
      <c r="A379" s="11">
        <v>86</v>
      </c>
      <c r="B379" s="8" t="s">
        <v>1796</v>
      </c>
      <c r="C379" s="23" t="s">
        <v>5</v>
      </c>
      <c r="D379" s="23" t="s">
        <v>6</v>
      </c>
      <c r="E379" s="16" t="s">
        <v>46</v>
      </c>
      <c r="F379" s="40" t="str">
        <f t="shared" ca="1" si="11"/>
        <v/>
      </c>
    </row>
    <row r="380" spans="1:9" ht="13.5" customHeight="1" x14ac:dyDescent="0.25">
      <c r="A380" s="11">
        <v>87</v>
      </c>
      <c r="B380" s="8" t="s">
        <v>1848</v>
      </c>
      <c r="C380" s="23" t="s">
        <v>5</v>
      </c>
      <c r="D380" s="23" t="s">
        <v>6</v>
      </c>
      <c r="E380" s="16" t="s">
        <v>46</v>
      </c>
      <c r="F380" s="40" t="str">
        <f t="shared" ca="1" si="11"/>
        <v/>
      </c>
    </row>
    <row r="381" spans="1:9" ht="13.5" customHeight="1" x14ac:dyDescent="0.25">
      <c r="A381" s="11">
        <v>88</v>
      </c>
      <c r="B381" s="8" t="s">
        <v>1849</v>
      </c>
      <c r="C381" s="23" t="s">
        <v>5</v>
      </c>
      <c r="D381" s="23" t="s">
        <v>6</v>
      </c>
      <c r="E381" s="16" t="s">
        <v>46</v>
      </c>
      <c r="F381" s="40" t="str">
        <f t="shared" ca="1" si="11"/>
        <v/>
      </c>
      <c r="G381" s="47"/>
    </row>
    <row r="382" spans="1:9" ht="13.5" customHeight="1" x14ac:dyDescent="0.25">
      <c r="A382" s="11">
        <v>89</v>
      </c>
      <c r="B382" s="8" t="s">
        <v>1850</v>
      </c>
      <c r="C382" s="23" t="s">
        <v>6</v>
      </c>
      <c r="D382" s="23" t="s">
        <v>6</v>
      </c>
      <c r="E382" s="16" t="s">
        <v>46</v>
      </c>
      <c r="F382" s="40">
        <f t="shared" ca="1" si="11"/>
        <v>46195</v>
      </c>
      <c r="G382" s="47"/>
      <c r="I382">
        <f>2+15+12+7+17</f>
        <v>53</v>
      </c>
    </row>
    <row r="383" spans="1:9" ht="13.5" customHeight="1" x14ac:dyDescent="0.25">
      <c r="A383" s="11">
        <v>90</v>
      </c>
      <c r="B383" s="8" t="s">
        <v>1900</v>
      </c>
      <c r="C383" s="23" t="s">
        <v>5</v>
      </c>
      <c r="D383" s="23" t="s">
        <v>5</v>
      </c>
      <c r="E383" s="16" t="s">
        <v>46</v>
      </c>
      <c r="F383" s="40" t="str">
        <f t="shared" ca="1" si="11"/>
        <v/>
      </c>
      <c r="G383" s="47"/>
    </row>
    <row r="384" spans="1:9" ht="13.5" customHeight="1" x14ac:dyDescent="0.25">
      <c r="A384" s="11">
        <v>91</v>
      </c>
      <c r="B384" s="8" t="s">
        <v>1947</v>
      </c>
      <c r="C384" s="23" t="s">
        <v>5</v>
      </c>
      <c r="D384" s="23" t="s">
        <v>6</v>
      </c>
      <c r="E384" s="16" t="s">
        <v>1815</v>
      </c>
      <c r="F384" s="40" t="str">
        <f t="shared" ca="1" si="11"/>
        <v/>
      </c>
      <c r="G384" s="47"/>
      <c r="I384">
        <f>14+8+29</f>
        <v>51</v>
      </c>
    </row>
    <row r="385" spans="1:8" ht="13.5" customHeight="1" x14ac:dyDescent="0.25">
      <c r="A385" s="11">
        <v>92</v>
      </c>
      <c r="B385" s="8" t="s">
        <v>1949</v>
      </c>
      <c r="C385" s="23" t="s">
        <v>5</v>
      </c>
      <c r="D385" s="23" t="s">
        <v>6</v>
      </c>
      <c r="E385" s="16" t="s">
        <v>1815</v>
      </c>
      <c r="F385" s="40" t="str">
        <f t="shared" ca="1" si="11"/>
        <v/>
      </c>
      <c r="G385" s="47"/>
    </row>
    <row r="386" spans="1:8" ht="13.5" customHeight="1" x14ac:dyDescent="0.25">
      <c r="A386" s="11">
        <v>93</v>
      </c>
      <c r="B386" s="8" t="s">
        <v>1950</v>
      </c>
      <c r="C386" s="23" t="s">
        <v>5</v>
      </c>
      <c r="D386" s="23" t="s">
        <v>6</v>
      </c>
      <c r="E386" s="16" t="s">
        <v>1815</v>
      </c>
      <c r="F386" s="40" t="str">
        <f t="shared" ca="1" si="11"/>
        <v/>
      </c>
      <c r="G386" s="47"/>
    </row>
    <row r="387" spans="1:8" ht="13.5" customHeight="1" x14ac:dyDescent="0.25">
      <c r="A387" s="11">
        <v>94</v>
      </c>
      <c r="B387" s="8" t="s">
        <v>1951</v>
      </c>
      <c r="C387" s="23" t="s">
        <v>5</v>
      </c>
      <c r="D387" s="23" t="s">
        <v>6</v>
      </c>
      <c r="E387" s="16" t="s">
        <v>1815</v>
      </c>
      <c r="F387" s="40"/>
      <c r="G387" s="47"/>
    </row>
    <row r="388" spans="1:8" ht="13.5" customHeight="1" x14ac:dyDescent="0.25">
      <c r="A388" s="11">
        <v>95</v>
      </c>
      <c r="B388" s="8" t="s">
        <v>1953</v>
      </c>
      <c r="C388" s="23" t="s">
        <v>5</v>
      </c>
      <c r="D388" s="23" t="s">
        <v>6</v>
      </c>
      <c r="E388" s="16" t="s">
        <v>1815</v>
      </c>
      <c r="F388" s="40"/>
      <c r="G388" s="47"/>
    </row>
    <row r="389" spans="1:8" ht="13.5" customHeight="1" x14ac:dyDescent="0.25">
      <c r="A389" s="11">
        <v>96</v>
      </c>
      <c r="B389" s="8" t="s">
        <v>1952</v>
      </c>
      <c r="C389" s="23" t="s">
        <v>5</v>
      </c>
      <c r="D389" s="23" t="s">
        <v>6</v>
      </c>
      <c r="E389" s="16" t="s">
        <v>1815</v>
      </c>
      <c r="F389" s="40"/>
      <c r="G389" s="47"/>
    </row>
    <row r="390" spans="1:8" ht="13.5" customHeight="1" x14ac:dyDescent="0.25">
      <c r="A390" s="11">
        <v>97</v>
      </c>
      <c r="B390" s="8" t="s">
        <v>1948</v>
      </c>
      <c r="C390" s="23" t="s">
        <v>5</v>
      </c>
      <c r="D390" s="23" t="s">
        <v>6</v>
      </c>
      <c r="E390" s="16" t="s">
        <v>1815</v>
      </c>
      <c r="F390" s="40"/>
      <c r="G390" s="47"/>
    </row>
    <row r="391" spans="1:8" ht="13.5" customHeight="1" x14ac:dyDescent="0.25">
      <c r="A391" s="11">
        <v>98</v>
      </c>
      <c r="B391" s="137" t="s">
        <v>1963</v>
      </c>
      <c r="C391" s="23" t="s">
        <v>1815</v>
      </c>
      <c r="D391" s="23" t="s">
        <v>5</v>
      </c>
      <c r="E391" s="16" t="s">
        <v>359</v>
      </c>
      <c r="F391" s="40"/>
      <c r="G391" s="47"/>
    </row>
    <row r="392" spans="1:8" ht="13.5" customHeight="1" x14ac:dyDescent="0.25">
      <c r="A392" s="11">
        <v>99</v>
      </c>
      <c r="B392" s="8" t="s">
        <v>1964</v>
      </c>
      <c r="C392" s="23" t="s">
        <v>1815</v>
      </c>
      <c r="D392" s="23" t="s">
        <v>5</v>
      </c>
      <c r="E392" s="16" t="s">
        <v>359</v>
      </c>
      <c r="F392" s="40"/>
      <c r="G392" s="47"/>
    </row>
    <row r="393" spans="1:8" ht="13.5" customHeight="1" x14ac:dyDescent="0.25">
      <c r="A393" s="11">
        <v>100</v>
      </c>
      <c r="B393" s="8" t="s">
        <v>1966</v>
      </c>
      <c r="C393" s="23" t="s">
        <v>1815</v>
      </c>
      <c r="D393" s="23" t="s">
        <v>5</v>
      </c>
      <c r="E393" s="16" t="s">
        <v>359</v>
      </c>
      <c r="F393" s="40"/>
      <c r="G393" s="47"/>
    </row>
    <row r="394" spans="1:8" ht="13.5" customHeight="1" x14ac:dyDescent="0.25">
      <c r="A394" s="11">
        <v>101</v>
      </c>
      <c r="B394" s="8" t="s">
        <v>1965</v>
      </c>
      <c r="C394" s="23" t="s">
        <v>1815</v>
      </c>
      <c r="D394" s="23" t="s">
        <v>5</v>
      </c>
      <c r="E394" s="16" t="s">
        <v>359</v>
      </c>
      <c r="F394" s="40" t="str">
        <f ca="1">IF(AND(C394="NO",D394="NO"),IF(F394="",TODAY(),F394),"")</f>
        <v/>
      </c>
    </row>
    <row r="395" spans="1:8" ht="13.5" customHeight="1" x14ac:dyDescent="0.25"/>
    <row r="396" spans="1:8" ht="45" x14ac:dyDescent="0.25">
      <c r="A396" s="159" t="s">
        <v>54</v>
      </c>
      <c r="B396" s="160"/>
      <c r="C396" s="12">
        <f>COUNTIF(C294:C394, "SI")</f>
        <v>53</v>
      </c>
      <c r="D396" s="6" t="s">
        <v>51</v>
      </c>
      <c r="E396" s="32">
        <f>C396/Excluidos!A943*100</f>
        <v>22.943722943722943</v>
      </c>
      <c r="F396" s="13" t="s">
        <v>1922</v>
      </c>
      <c r="G396" s="31"/>
      <c r="H396" s="120"/>
    </row>
    <row r="397" spans="1:8" ht="45" x14ac:dyDescent="0.25">
      <c r="A397" s="159" t="s">
        <v>55</v>
      </c>
      <c r="B397" s="160"/>
      <c r="C397" s="12">
        <f>COUNTIF(C294:C394, "NO")</f>
        <v>44</v>
      </c>
      <c r="D397" s="6" t="s">
        <v>51</v>
      </c>
      <c r="E397" s="32">
        <f>C397/A394*100</f>
        <v>43.564356435643568</v>
      </c>
      <c r="F397" s="13" t="s">
        <v>1923</v>
      </c>
      <c r="H397" s="47"/>
    </row>
    <row r="398" spans="1:8" ht="15" customHeight="1" x14ac:dyDescent="0.25">
      <c r="A398" s="26"/>
      <c r="B398" s="26"/>
      <c r="C398" s="27"/>
      <c r="D398" s="28"/>
      <c r="E398" s="29"/>
      <c r="F398" s="30"/>
    </row>
    <row r="399" spans="1:8" ht="45" x14ac:dyDescent="0.25">
      <c r="A399" s="159" t="s">
        <v>56</v>
      </c>
      <c r="B399" s="160"/>
      <c r="C399" s="12">
        <f>COUNTIF(D294:D394, "SI")</f>
        <v>51</v>
      </c>
      <c r="D399" s="6" t="s">
        <v>51</v>
      </c>
      <c r="E399" s="32">
        <f>C399/Excluidos!A943*100</f>
        <v>22.077922077922079</v>
      </c>
      <c r="F399" s="13" t="s">
        <v>58</v>
      </c>
    </row>
    <row r="400" spans="1:8" ht="45" x14ac:dyDescent="0.25">
      <c r="A400" s="159" t="s">
        <v>57</v>
      </c>
      <c r="B400" s="160"/>
      <c r="C400" s="12">
        <f>COUNTIF(D294:D394, "NO")</f>
        <v>50</v>
      </c>
      <c r="D400" s="6" t="s">
        <v>51</v>
      </c>
      <c r="E400" s="32">
        <f>C400/A394*100</f>
        <v>49.504950495049506</v>
      </c>
      <c r="F400" s="13" t="s">
        <v>59</v>
      </c>
    </row>
    <row r="402" spans="1:10" x14ac:dyDescent="0.25">
      <c r="A402" s="155" t="s">
        <v>1064</v>
      </c>
      <c r="B402" s="156"/>
      <c r="C402" s="150">
        <f>COUNTIFS(C294:C394,"SI",D294:D394,"SI")</f>
        <v>29</v>
      </c>
      <c r="D402" s="151" t="s">
        <v>51</v>
      </c>
      <c r="E402" s="153">
        <f>C402/A394*100</f>
        <v>28.71287128712871</v>
      </c>
      <c r="F402" s="168" t="s">
        <v>1066</v>
      </c>
    </row>
    <row r="403" spans="1:10" x14ac:dyDescent="0.25">
      <c r="A403" s="157"/>
      <c r="B403" s="158"/>
      <c r="C403" s="150"/>
      <c r="D403" s="152"/>
      <c r="E403" s="154"/>
      <c r="F403" s="169"/>
    </row>
    <row r="404" spans="1:10" x14ac:dyDescent="0.25">
      <c r="A404" s="155" t="s">
        <v>1065</v>
      </c>
      <c r="B404" s="156"/>
      <c r="C404" s="150">
        <f>COUNTIFS(C289:C394,"NO",D289:D394,"NO")</f>
        <v>26</v>
      </c>
      <c r="D404" s="151" t="s">
        <v>51</v>
      </c>
      <c r="E404" s="153">
        <f>C404/A394*100</f>
        <v>25.742574257425744</v>
      </c>
      <c r="F404" s="168" t="s">
        <v>1067</v>
      </c>
    </row>
    <row r="405" spans="1:10" x14ac:dyDescent="0.25">
      <c r="A405" s="157"/>
      <c r="B405" s="158"/>
      <c r="C405" s="150"/>
      <c r="D405" s="152"/>
      <c r="E405" s="154"/>
      <c r="F405" s="169"/>
    </row>
    <row r="407" spans="1:10" ht="15" customHeight="1" x14ac:dyDescent="0.25">
      <c r="A407" s="147" t="s">
        <v>1913</v>
      </c>
      <c r="B407" s="148"/>
      <c r="C407" s="148"/>
      <c r="D407" s="148"/>
      <c r="E407" s="149"/>
    </row>
    <row r="408" spans="1:10" ht="15" customHeight="1" x14ac:dyDescent="0.25">
      <c r="A408" s="15" t="s">
        <v>0</v>
      </c>
      <c r="B408" s="15" t="s">
        <v>1</v>
      </c>
      <c r="C408" s="15" t="s">
        <v>2</v>
      </c>
      <c r="D408" s="15" t="s">
        <v>3</v>
      </c>
      <c r="E408" s="15" t="s">
        <v>7</v>
      </c>
    </row>
    <row r="409" spans="1:10" ht="15" customHeight="1" x14ac:dyDescent="0.25">
      <c r="A409" s="11">
        <v>1</v>
      </c>
      <c r="B409" s="8" t="s">
        <v>403</v>
      </c>
      <c r="C409" s="23" t="s">
        <v>5</v>
      </c>
      <c r="D409" s="23" t="s">
        <v>6</v>
      </c>
      <c r="E409" s="16" t="s">
        <v>270</v>
      </c>
      <c r="F409" s="40" t="str">
        <f t="shared" ref="F409:F440" ca="1" si="12">IF(AND(C409="NO",D409="NO"),IF(F409="",TODAY(),F409),"")</f>
        <v/>
      </c>
    </row>
    <row r="410" spans="1:10" ht="15" customHeight="1" x14ac:dyDescent="0.25">
      <c r="A410" s="11">
        <v>2</v>
      </c>
      <c r="B410" s="8" t="s">
        <v>226</v>
      </c>
      <c r="C410" s="23" t="s">
        <v>6</v>
      </c>
      <c r="D410" s="23" t="s">
        <v>5</v>
      </c>
      <c r="E410" s="16" t="s">
        <v>270</v>
      </c>
      <c r="F410" s="40" t="str">
        <f t="shared" ca="1" si="12"/>
        <v/>
      </c>
      <c r="H410" s="31"/>
    </row>
    <row r="411" spans="1:10" x14ac:dyDescent="0.25">
      <c r="A411" s="11">
        <v>3</v>
      </c>
      <c r="B411" s="8" t="s">
        <v>395</v>
      </c>
      <c r="C411" s="23" t="s">
        <v>6</v>
      </c>
      <c r="D411" s="23" t="s">
        <v>6</v>
      </c>
      <c r="E411" s="16" t="s">
        <v>46</v>
      </c>
      <c r="F411" s="40">
        <f t="shared" ca="1" si="12"/>
        <v>46202</v>
      </c>
    </row>
    <row r="412" spans="1:10" x14ac:dyDescent="0.25">
      <c r="A412" s="11">
        <v>4</v>
      </c>
      <c r="B412" s="8" t="s">
        <v>227</v>
      </c>
      <c r="C412" s="23" t="s">
        <v>5</v>
      </c>
      <c r="D412" s="23" t="s">
        <v>5</v>
      </c>
      <c r="E412" s="16" t="s">
        <v>270</v>
      </c>
      <c r="F412" s="40" t="str">
        <f t="shared" ca="1" si="12"/>
        <v/>
      </c>
      <c r="I412" s="161" t="s">
        <v>1913</v>
      </c>
      <c r="J412" s="161"/>
    </row>
    <row r="413" spans="1:10" ht="15" customHeight="1" x14ac:dyDescent="0.25">
      <c r="A413" s="11">
        <v>5</v>
      </c>
      <c r="B413" s="8" t="s">
        <v>228</v>
      </c>
      <c r="C413" s="23" t="s">
        <v>5</v>
      </c>
      <c r="D413" s="23" t="s">
        <v>5</v>
      </c>
      <c r="E413" s="16" t="s">
        <v>270</v>
      </c>
      <c r="F413" s="40" t="str">
        <f t="shared" ca="1" si="12"/>
        <v/>
      </c>
      <c r="I413" s="161"/>
      <c r="J413" s="161"/>
    </row>
    <row r="414" spans="1:10" ht="15" customHeight="1" x14ac:dyDescent="0.25">
      <c r="A414" s="11">
        <v>6</v>
      </c>
      <c r="B414" s="8" t="s">
        <v>229</v>
      </c>
      <c r="C414" s="23" t="s">
        <v>5</v>
      </c>
      <c r="D414" s="23" t="s">
        <v>5</v>
      </c>
      <c r="E414" s="16" t="s">
        <v>270</v>
      </c>
      <c r="F414" s="40" t="str">
        <f t="shared" ca="1" si="12"/>
        <v/>
      </c>
      <c r="I414" s="118" t="str" cm="1">
        <f t="array" ref="I414:I443">_xlfn._xlws.FILTER(B409:B510,(C409:C510="SI")*(D409:D510="SI"),"")</f>
        <v xml:space="preserve">Gabriela marcano </v>
      </c>
      <c r="J414" s="119"/>
    </row>
    <row r="415" spans="1:10" ht="15.75" customHeight="1" x14ac:dyDescent="0.25">
      <c r="A415" s="11">
        <v>7</v>
      </c>
      <c r="B415" s="8" t="s">
        <v>230</v>
      </c>
      <c r="C415" s="23" t="s">
        <v>5</v>
      </c>
      <c r="D415" s="23" t="s">
        <v>5</v>
      </c>
      <c r="E415" s="16" t="s">
        <v>270</v>
      </c>
      <c r="F415" s="40" t="str">
        <f t="shared" ca="1" si="12"/>
        <v/>
      </c>
      <c r="I415" s="118" t="str">
        <v xml:space="preserve">Alejandra marcano </v>
      </c>
      <c r="J415" s="119"/>
    </row>
    <row r="416" spans="1:10" x14ac:dyDescent="0.25">
      <c r="A416" s="11">
        <v>8</v>
      </c>
      <c r="B416" s="8" t="s">
        <v>231</v>
      </c>
      <c r="C416" s="23" t="s">
        <v>5</v>
      </c>
      <c r="D416" s="23" t="s">
        <v>5</v>
      </c>
      <c r="E416" s="16" t="s">
        <v>46</v>
      </c>
      <c r="F416" s="40" t="str">
        <f t="shared" ca="1" si="12"/>
        <v/>
      </c>
      <c r="I416" s="118" t="str">
        <v xml:space="preserve">Arianyel acosta </v>
      </c>
      <c r="J416" s="119"/>
    </row>
    <row r="417" spans="1:10" x14ac:dyDescent="0.25">
      <c r="A417" s="11">
        <v>9</v>
      </c>
      <c r="B417" s="8" t="s">
        <v>232</v>
      </c>
      <c r="C417" s="23" t="s">
        <v>5</v>
      </c>
      <c r="D417" s="23" t="s">
        <v>5</v>
      </c>
      <c r="E417" s="16" t="s">
        <v>270</v>
      </c>
      <c r="F417" s="40" t="str">
        <f t="shared" ca="1" si="12"/>
        <v/>
      </c>
      <c r="I417" s="118" t="str">
        <v xml:space="preserve">Daniel Jolley  </v>
      </c>
      <c r="J417" s="119"/>
    </row>
    <row r="418" spans="1:10" x14ac:dyDescent="0.25">
      <c r="A418" s="11">
        <v>10</v>
      </c>
      <c r="B418" s="8" t="s">
        <v>235</v>
      </c>
      <c r="C418" s="23" t="s">
        <v>5</v>
      </c>
      <c r="D418" s="23" t="s">
        <v>6</v>
      </c>
      <c r="E418" s="16" t="s">
        <v>406</v>
      </c>
      <c r="F418" s="40" t="str">
        <f t="shared" ca="1" si="12"/>
        <v/>
      </c>
      <c r="I418" s="118" t="str">
        <v xml:space="preserve">Paola reyes </v>
      </c>
      <c r="J418" s="119"/>
    </row>
    <row r="419" spans="1:10" x14ac:dyDescent="0.25">
      <c r="A419" s="11">
        <v>11</v>
      </c>
      <c r="B419" s="8" t="s">
        <v>237</v>
      </c>
      <c r="C419" s="23" t="s">
        <v>5</v>
      </c>
      <c r="D419" s="23" t="s">
        <v>5</v>
      </c>
      <c r="E419" s="16" t="s">
        <v>270</v>
      </c>
      <c r="F419" s="40" t="str">
        <f t="shared" ca="1" si="12"/>
        <v/>
      </c>
      <c r="I419" s="118" t="str">
        <v xml:space="preserve">Dan finol </v>
      </c>
      <c r="J419" s="119"/>
    </row>
    <row r="420" spans="1:10" x14ac:dyDescent="0.25">
      <c r="A420" s="11">
        <v>12</v>
      </c>
      <c r="B420" s="8" t="s">
        <v>238</v>
      </c>
      <c r="C420" s="23" t="s">
        <v>5</v>
      </c>
      <c r="D420" s="23" t="s">
        <v>5</v>
      </c>
      <c r="E420" s="16" t="s">
        <v>46</v>
      </c>
      <c r="F420" s="40" t="str">
        <f t="shared" ca="1" si="12"/>
        <v/>
      </c>
      <c r="I420" s="118" t="str">
        <v xml:space="preserve">Luis Tavares </v>
      </c>
      <c r="J420" s="119"/>
    </row>
    <row r="421" spans="1:10" ht="15.75" customHeight="1" x14ac:dyDescent="0.25">
      <c r="A421" s="11">
        <v>13</v>
      </c>
      <c r="B421" s="19" t="s">
        <v>1940</v>
      </c>
      <c r="C421" s="23" t="s">
        <v>5</v>
      </c>
      <c r="D421" s="23" t="s">
        <v>6</v>
      </c>
      <c r="E421" s="16" t="s">
        <v>154</v>
      </c>
      <c r="F421" s="40" t="str">
        <f t="shared" ca="1" si="12"/>
        <v/>
      </c>
      <c r="I421" s="118" t="str">
        <v xml:space="preserve">Ivana Piña </v>
      </c>
      <c r="J421" s="119"/>
    </row>
    <row r="422" spans="1:10" x14ac:dyDescent="0.25">
      <c r="A422" s="11">
        <v>14</v>
      </c>
      <c r="B422" s="8" t="s">
        <v>434</v>
      </c>
      <c r="C422" s="23" t="s">
        <v>5</v>
      </c>
      <c r="D422" s="23" t="s">
        <v>6</v>
      </c>
      <c r="E422" s="16" t="s">
        <v>46</v>
      </c>
      <c r="F422" s="40" t="str">
        <f t="shared" ca="1" si="12"/>
        <v/>
      </c>
      <c r="I422" s="118" t="str">
        <v>Gisell Martínez</v>
      </c>
      <c r="J422" s="119"/>
    </row>
    <row r="423" spans="1:10" ht="15" customHeight="1" x14ac:dyDescent="0.25">
      <c r="A423" s="11">
        <v>15</v>
      </c>
      <c r="B423" s="42" t="s">
        <v>1142</v>
      </c>
      <c r="C423" s="23" t="s">
        <v>6</v>
      </c>
      <c r="D423" s="23" t="s">
        <v>6</v>
      </c>
      <c r="E423" s="46" t="s">
        <v>46</v>
      </c>
      <c r="F423" s="40">
        <f t="shared" ca="1" si="12"/>
        <v>46202</v>
      </c>
      <c r="G423" s="86"/>
      <c r="I423" s="116" t="str">
        <v>Alejandra Martínez</v>
      </c>
      <c r="J423" s="116"/>
    </row>
    <row r="424" spans="1:10" ht="15" customHeight="1" x14ac:dyDescent="0.25">
      <c r="A424" s="11">
        <v>16</v>
      </c>
      <c r="B424" s="42" t="s">
        <v>1528</v>
      </c>
      <c r="C424" s="23" t="s">
        <v>6</v>
      </c>
      <c r="D424" s="23" t="s">
        <v>6</v>
      </c>
      <c r="E424" s="24" t="s">
        <v>46</v>
      </c>
      <c r="F424" s="40">
        <f t="shared" ca="1" si="12"/>
        <v>46202</v>
      </c>
      <c r="I424" s="116" t="str">
        <v>Keliannys Arroyo</v>
      </c>
      <c r="J424" s="119"/>
    </row>
    <row r="425" spans="1:10" ht="15" customHeight="1" x14ac:dyDescent="0.25">
      <c r="A425" s="11">
        <v>17</v>
      </c>
      <c r="B425" s="21" t="s">
        <v>338</v>
      </c>
      <c r="C425" s="23" t="s">
        <v>5</v>
      </c>
      <c r="D425" s="23" t="s">
        <v>6</v>
      </c>
      <c r="E425" s="24" t="s">
        <v>46</v>
      </c>
      <c r="F425" s="40" t="str">
        <f t="shared" ca="1" si="12"/>
        <v/>
      </c>
      <c r="I425" s="116" t="str">
        <v>Jonathan Godoy</v>
      </c>
      <c r="J425" s="119"/>
    </row>
    <row r="426" spans="1:10" ht="15" customHeight="1" x14ac:dyDescent="0.25">
      <c r="A426" s="11">
        <v>18</v>
      </c>
      <c r="B426" s="8" t="s">
        <v>1872</v>
      </c>
      <c r="C426" s="23" t="s">
        <v>6</v>
      </c>
      <c r="D426" s="23" t="s">
        <v>5</v>
      </c>
      <c r="E426" s="16" t="s">
        <v>270</v>
      </c>
      <c r="F426" s="40" t="str">
        <f t="shared" ca="1" si="12"/>
        <v/>
      </c>
      <c r="H426" s="86"/>
      <c r="I426" s="116" t="str">
        <v>Mayerlin Acosta</v>
      </c>
      <c r="J426" s="119"/>
    </row>
    <row r="427" spans="1:10" x14ac:dyDescent="0.25">
      <c r="A427" s="11">
        <v>19</v>
      </c>
      <c r="B427" s="8" t="s">
        <v>1817</v>
      </c>
      <c r="C427" s="23" t="s">
        <v>5</v>
      </c>
      <c r="D427" s="23" t="s">
        <v>5</v>
      </c>
      <c r="E427" s="16" t="s">
        <v>270</v>
      </c>
      <c r="F427" s="40" t="str">
        <f t="shared" ca="1" si="12"/>
        <v/>
      </c>
      <c r="I427" s="116" t="str">
        <v>Camila Faria</v>
      </c>
      <c r="J427" s="119"/>
    </row>
    <row r="428" spans="1:10" x14ac:dyDescent="0.25">
      <c r="A428" s="11">
        <v>20</v>
      </c>
      <c r="B428" s="8" t="s">
        <v>1873</v>
      </c>
      <c r="C428" s="23" t="s">
        <v>5</v>
      </c>
      <c r="D428" s="23" t="s">
        <v>5</v>
      </c>
      <c r="E428" s="16" t="s">
        <v>270</v>
      </c>
      <c r="F428" s="40" t="str">
        <f t="shared" ca="1" si="12"/>
        <v/>
      </c>
      <c r="I428" s="116" t="str">
        <v>Daniela Soto</v>
      </c>
      <c r="J428" s="119"/>
    </row>
    <row r="429" spans="1:10" ht="15.75" x14ac:dyDescent="0.25">
      <c r="A429" s="11">
        <v>21</v>
      </c>
      <c r="B429" s="42" t="s">
        <v>1044</v>
      </c>
      <c r="C429" s="23" t="s">
        <v>5</v>
      </c>
      <c r="D429" s="23" t="s">
        <v>6</v>
      </c>
      <c r="E429" s="102" t="s">
        <v>46</v>
      </c>
      <c r="F429" s="40" t="str">
        <f t="shared" ca="1" si="12"/>
        <v/>
      </c>
      <c r="I429" s="116" t="str">
        <v xml:space="preserve">Sebastián Chávez </v>
      </c>
      <c r="J429" s="119"/>
    </row>
    <row r="430" spans="1:10" ht="15.75" x14ac:dyDescent="0.25">
      <c r="A430" s="11">
        <v>22</v>
      </c>
      <c r="B430" s="42" t="s">
        <v>1006</v>
      </c>
      <c r="C430" s="23" t="s">
        <v>6</v>
      </c>
      <c r="D430" s="23" t="s">
        <v>6</v>
      </c>
      <c r="E430" s="102" t="s">
        <v>46</v>
      </c>
      <c r="F430" s="40">
        <f t="shared" ca="1" si="12"/>
        <v>46195</v>
      </c>
      <c r="I430" s="116" t="str">
        <v xml:space="preserve">Gabriel Rosales </v>
      </c>
      <c r="J430" s="119"/>
    </row>
    <row r="431" spans="1:10" ht="15" customHeight="1" x14ac:dyDescent="0.25">
      <c r="A431" s="11">
        <v>23</v>
      </c>
      <c r="B431" s="21" t="s">
        <v>927</v>
      </c>
      <c r="C431" s="23" t="s">
        <v>6</v>
      </c>
      <c r="D431" s="23" t="s">
        <v>5</v>
      </c>
      <c r="E431" s="24" t="s">
        <v>46</v>
      </c>
      <c r="F431" s="40" t="str">
        <f t="shared" ca="1" si="12"/>
        <v/>
      </c>
      <c r="I431" s="116" t="str">
        <v xml:space="preserve">Diego Paredes </v>
      </c>
      <c r="J431" s="119"/>
    </row>
    <row r="432" spans="1:10" x14ac:dyDescent="0.25">
      <c r="A432" s="11">
        <v>24</v>
      </c>
      <c r="B432" s="8" t="s">
        <v>1935</v>
      </c>
      <c r="C432" s="23" t="s">
        <v>6</v>
      </c>
      <c r="D432" s="23" t="s">
        <v>5</v>
      </c>
      <c r="E432" s="16" t="s">
        <v>359</v>
      </c>
      <c r="F432" s="40" t="str">
        <f t="shared" ca="1" si="12"/>
        <v/>
      </c>
      <c r="I432" s="116" t="str">
        <v>Adriana Díaz</v>
      </c>
      <c r="J432" s="119"/>
    </row>
    <row r="433" spans="1:10" x14ac:dyDescent="0.25">
      <c r="A433" s="11">
        <v>25</v>
      </c>
      <c r="B433" s="42" t="s">
        <v>1350</v>
      </c>
      <c r="C433" s="23" t="s">
        <v>6</v>
      </c>
      <c r="D433" s="23" t="s">
        <v>6</v>
      </c>
      <c r="E433" s="24" t="s">
        <v>46</v>
      </c>
      <c r="F433" s="40">
        <f t="shared" ca="1" si="12"/>
        <v>46202</v>
      </c>
      <c r="I433" s="116" t="str">
        <v>Jacob Rodriguez</v>
      </c>
      <c r="J433" s="116"/>
    </row>
    <row r="434" spans="1:10" x14ac:dyDescent="0.25">
      <c r="A434" s="11">
        <v>26</v>
      </c>
      <c r="B434" s="42" t="s">
        <v>1818</v>
      </c>
      <c r="C434" s="23" t="s">
        <v>5</v>
      </c>
      <c r="D434" s="23" t="s">
        <v>5</v>
      </c>
      <c r="E434" s="24" t="s">
        <v>154</v>
      </c>
      <c r="F434" s="40" t="str">
        <f t="shared" ca="1" si="12"/>
        <v/>
      </c>
      <c r="H434" s="51"/>
      <c r="I434" s="116" t="str">
        <v>Maria Gonzalez</v>
      </c>
      <c r="J434" s="119"/>
    </row>
    <row r="435" spans="1:10" x14ac:dyDescent="0.25">
      <c r="A435" s="11">
        <v>27</v>
      </c>
      <c r="B435" s="21" t="s">
        <v>1723</v>
      </c>
      <c r="C435" s="23" t="s">
        <v>5</v>
      </c>
      <c r="D435" s="23" t="s">
        <v>6</v>
      </c>
      <c r="E435" s="24" t="s">
        <v>154</v>
      </c>
      <c r="F435" s="40" t="str">
        <f t="shared" ca="1" si="12"/>
        <v/>
      </c>
      <c r="I435" s="116" t="str">
        <v>Esther Corzo</v>
      </c>
      <c r="J435" s="116"/>
    </row>
    <row r="436" spans="1:10" x14ac:dyDescent="0.25">
      <c r="A436" s="11">
        <v>28</v>
      </c>
      <c r="B436" s="8" t="s">
        <v>247</v>
      </c>
      <c r="C436" s="23" t="s">
        <v>5</v>
      </c>
      <c r="D436" s="23" t="s">
        <v>5</v>
      </c>
      <c r="E436" s="16" t="s">
        <v>1311</v>
      </c>
      <c r="F436" s="40" t="str">
        <f t="shared" ca="1" si="12"/>
        <v/>
      </c>
      <c r="I436" s="116" t="str">
        <v>Eli Colmenares</v>
      </c>
      <c r="J436" s="119"/>
    </row>
    <row r="437" spans="1:10" x14ac:dyDescent="0.25">
      <c r="A437" s="11">
        <v>29</v>
      </c>
      <c r="B437" s="8" t="s">
        <v>1832</v>
      </c>
      <c r="C437" s="23" t="s">
        <v>5</v>
      </c>
      <c r="D437" s="23" t="s">
        <v>5</v>
      </c>
      <c r="E437" s="16" t="s">
        <v>1311</v>
      </c>
      <c r="F437" s="40" t="str">
        <f t="shared" ca="1" si="12"/>
        <v/>
      </c>
      <c r="I437" s="116" t="str">
        <v>Jennifer Villalobos</v>
      </c>
      <c r="J437" s="116"/>
    </row>
    <row r="438" spans="1:10" ht="15.75" x14ac:dyDescent="0.25">
      <c r="A438" s="11">
        <v>30</v>
      </c>
      <c r="B438" s="54" t="s">
        <v>272</v>
      </c>
      <c r="C438" s="23" t="s">
        <v>6</v>
      </c>
      <c r="D438" s="23" t="s">
        <v>6</v>
      </c>
      <c r="E438" s="100" t="s">
        <v>46</v>
      </c>
      <c r="F438" s="40">
        <f t="shared" ca="1" si="12"/>
        <v>46202</v>
      </c>
      <c r="I438" s="116" t="str">
        <v>Yohelis Gutiérrez</v>
      </c>
      <c r="J438" s="116"/>
    </row>
    <row r="439" spans="1:10" x14ac:dyDescent="0.25">
      <c r="A439" s="11">
        <v>31</v>
      </c>
      <c r="B439" s="8" t="s">
        <v>366</v>
      </c>
      <c r="C439" s="23" t="s">
        <v>5</v>
      </c>
      <c r="D439" s="23" t="s">
        <v>5</v>
      </c>
      <c r="E439" s="9" t="s">
        <v>46</v>
      </c>
      <c r="F439" s="40" t="str">
        <f t="shared" ca="1" si="12"/>
        <v/>
      </c>
      <c r="I439" s="116" t="str">
        <v xml:space="preserve">Arianna pabolis </v>
      </c>
      <c r="J439" s="116"/>
    </row>
    <row r="440" spans="1:10" x14ac:dyDescent="0.25">
      <c r="A440" s="11">
        <v>32</v>
      </c>
      <c r="B440" s="8" t="s">
        <v>249</v>
      </c>
      <c r="C440" s="23" t="s">
        <v>5</v>
      </c>
      <c r="D440" s="23" t="s">
        <v>5</v>
      </c>
      <c r="E440" s="16" t="s">
        <v>154</v>
      </c>
      <c r="F440" s="40" t="str">
        <f t="shared" ca="1" si="12"/>
        <v/>
      </c>
      <c r="I440" s="116" t="str">
        <v>Lía Arroyo</v>
      </c>
      <c r="J440" s="116"/>
    </row>
    <row r="441" spans="1:10" x14ac:dyDescent="0.25">
      <c r="A441" s="11">
        <v>33</v>
      </c>
      <c r="B441" s="21" t="s">
        <v>310</v>
      </c>
      <c r="C441" s="23" t="s">
        <v>6</v>
      </c>
      <c r="D441" s="23" t="s">
        <v>5</v>
      </c>
      <c r="E441" s="104" t="s">
        <v>46</v>
      </c>
      <c r="F441" s="40" t="str">
        <f t="shared" ref="F441:F472" ca="1" si="13">IF(AND(C441="NO",D441="NO"),IF(F441="",TODAY(),F441),"")</f>
        <v/>
      </c>
      <c r="I441" s="116" t="str">
        <v xml:space="preserve">Geliannis Nucette </v>
      </c>
      <c r="J441" s="116"/>
    </row>
    <row r="442" spans="1:10" x14ac:dyDescent="0.25">
      <c r="A442" s="11">
        <v>34</v>
      </c>
      <c r="B442" s="8" t="s">
        <v>250</v>
      </c>
      <c r="C442" s="23" t="s">
        <v>6</v>
      </c>
      <c r="D442" s="23" t="s">
        <v>5</v>
      </c>
      <c r="E442" s="16" t="s">
        <v>154</v>
      </c>
      <c r="F442" s="40" t="str">
        <f t="shared" ca="1" si="13"/>
        <v/>
      </c>
      <c r="I442" s="116" t="str">
        <v xml:space="preserve">Génesis Nucette </v>
      </c>
      <c r="J442" s="116"/>
    </row>
    <row r="443" spans="1:10" x14ac:dyDescent="0.25">
      <c r="A443" s="11">
        <v>35</v>
      </c>
      <c r="B443" s="21" t="s">
        <v>1820</v>
      </c>
      <c r="C443" s="23" t="s">
        <v>5</v>
      </c>
      <c r="D443" s="23" t="s">
        <v>5</v>
      </c>
      <c r="E443" s="24" t="s">
        <v>270</v>
      </c>
      <c r="F443" s="40" t="str">
        <f t="shared" ca="1" si="13"/>
        <v/>
      </c>
      <c r="I443" s="116" t="str">
        <v>Patrick Mullet</v>
      </c>
      <c r="J443" s="116"/>
    </row>
    <row r="444" spans="1:10" ht="21" x14ac:dyDescent="0.25">
      <c r="A444" s="11">
        <v>36</v>
      </c>
      <c r="B444" s="42" t="s">
        <v>875</v>
      </c>
      <c r="C444" s="23" t="s">
        <v>5</v>
      </c>
      <c r="D444" s="23" t="s">
        <v>6</v>
      </c>
      <c r="E444" s="104" t="s">
        <v>43</v>
      </c>
      <c r="F444" s="40" t="str">
        <f t="shared" ca="1" si="13"/>
        <v/>
      </c>
      <c r="J444" s="117">
        <f>C518</f>
        <v>30</v>
      </c>
    </row>
    <row r="445" spans="1:10" ht="13.5" customHeight="1" x14ac:dyDescent="0.25">
      <c r="A445" s="11">
        <v>37</v>
      </c>
      <c r="B445" s="42" t="s">
        <v>256</v>
      </c>
      <c r="C445" s="23" t="s">
        <v>6</v>
      </c>
      <c r="D445" s="23" t="s">
        <v>6</v>
      </c>
      <c r="E445" s="16" t="s">
        <v>46</v>
      </c>
      <c r="F445" s="40">
        <f t="shared" ca="1" si="13"/>
        <v>46177</v>
      </c>
    </row>
    <row r="446" spans="1:10" x14ac:dyDescent="0.25">
      <c r="A446" s="11">
        <v>38</v>
      </c>
      <c r="B446" s="42" t="s">
        <v>1821</v>
      </c>
      <c r="C446" s="23" t="s">
        <v>5</v>
      </c>
      <c r="D446" s="23" t="s">
        <v>6</v>
      </c>
      <c r="E446" s="16" t="s">
        <v>46</v>
      </c>
      <c r="F446" s="40" t="str">
        <f t="shared" ca="1" si="13"/>
        <v/>
      </c>
    </row>
    <row r="447" spans="1:10" x14ac:dyDescent="0.25">
      <c r="A447" s="11">
        <v>39</v>
      </c>
      <c r="B447" s="21" t="s">
        <v>314</v>
      </c>
      <c r="C447" s="23" t="s">
        <v>5</v>
      </c>
      <c r="D447" s="23" t="s">
        <v>5</v>
      </c>
      <c r="E447" s="24" t="s">
        <v>46</v>
      </c>
      <c r="F447" s="40" t="str">
        <f t="shared" ca="1" si="13"/>
        <v/>
      </c>
    </row>
    <row r="448" spans="1:10" ht="13.5" customHeight="1" x14ac:dyDescent="0.25">
      <c r="A448" s="11">
        <v>40</v>
      </c>
      <c r="B448" s="8" t="s">
        <v>276</v>
      </c>
      <c r="C448" s="23" t="s">
        <v>5</v>
      </c>
      <c r="D448" s="23" t="s">
        <v>6</v>
      </c>
      <c r="E448" s="33" t="s">
        <v>46</v>
      </c>
      <c r="F448" s="40" t="str">
        <f t="shared" ca="1" si="13"/>
        <v/>
      </c>
    </row>
    <row r="449" spans="1:8" x14ac:dyDescent="0.25">
      <c r="A449" s="11">
        <v>41</v>
      </c>
      <c r="B449" s="8" t="s">
        <v>251</v>
      </c>
      <c r="C449" s="23" t="s">
        <v>5</v>
      </c>
      <c r="D449" s="23" t="s">
        <v>6</v>
      </c>
      <c r="E449" s="24" t="s">
        <v>46</v>
      </c>
      <c r="F449" s="40" t="str">
        <f t="shared" ca="1" si="13"/>
        <v/>
      </c>
    </row>
    <row r="450" spans="1:8" x14ac:dyDescent="0.25">
      <c r="A450" s="11">
        <v>42</v>
      </c>
      <c r="B450" s="8" t="s">
        <v>225</v>
      </c>
      <c r="C450" s="23" t="s">
        <v>5</v>
      </c>
      <c r="D450" s="23" t="s">
        <v>5</v>
      </c>
      <c r="E450" s="16" t="s">
        <v>270</v>
      </c>
      <c r="F450" s="40" t="str">
        <f t="shared" ca="1" si="13"/>
        <v/>
      </c>
    </row>
    <row r="451" spans="1:8" x14ac:dyDescent="0.25">
      <c r="A451" s="11">
        <v>43</v>
      </c>
      <c r="B451" s="42" t="s">
        <v>239</v>
      </c>
      <c r="C451" s="23" t="s">
        <v>6</v>
      </c>
      <c r="D451" s="23" t="s">
        <v>6</v>
      </c>
      <c r="E451" s="24" t="s">
        <v>46</v>
      </c>
      <c r="F451" s="40">
        <f t="shared" ca="1" si="13"/>
        <v>46202</v>
      </c>
    </row>
    <row r="452" spans="1:8" ht="15.75" x14ac:dyDescent="0.25">
      <c r="A452" s="11">
        <v>44</v>
      </c>
      <c r="B452" s="42" t="s">
        <v>523</v>
      </c>
      <c r="C452" s="23" t="s">
        <v>5</v>
      </c>
      <c r="D452" s="23" t="s">
        <v>6</v>
      </c>
      <c r="E452" s="46" t="s">
        <v>46</v>
      </c>
      <c r="F452" s="40" t="str">
        <f t="shared" ca="1" si="13"/>
        <v/>
      </c>
    </row>
    <row r="453" spans="1:8" ht="15.75" x14ac:dyDescent="0.25">
      <c r="A453" s="11">
        <v>45</v>
      </c>
      <c r="B453" s="38" t="s">
        <v>275</v>
      </c>
      <c r="C453" s="23" t="s">
        <v>5</v>
      </c>
      <c r="D453" s="23" t="s">
        <v>5</v>
      </c>
      <c r="E453" s="55" t="s">
        <v>319</v>
      </c>
      <c r="F453" s="40" t="str">
        <f t="shared" ca="1" si="13"/>
        <v/>
      </c>
    </row>
    <row r="454" spans="1:8" x14ac:dyDescent="0.25">
      <c r="A454" s="11">
        <v>46</v>
      </c>
      <c r="B454" s="10" t="s">
        <v>253</v>
      </c>
      <c r="C454" s="23" t="s">
        <v>6</v>
      </c>
      <c r="D454" s="23" t="s">
        <v>6</v>
      </c>
      <c r="E454" s="16" t="s">
        <v>319</v>
      </c>
      <c r="F454" s="40">
        <f t="shared" ca="1" si="13"/>
        <v>46202</v>
      </c>
    </row>
    <row r="455" spans="1:8" ht="15.75" x14ac:dyDescent="0.25">
      <c r="A455" s="11">
        <v>47</v>
      </c>
      <c r="B455" s="42" t="s">
        <v>1117</v>
      </c>
      <c r="C455" s="23" t="s">
        <v>6</v>
      </c>
      <c r="D455" s="23" t="s">
        <v>5</v>
      </c>
      <c r="E455" s="46" t="s">
        <v>46</v>
      </c>
      <c r="F455" s="40" t="str">
        <f t="shared" ca="1" si="13"/>
        <v/>
      </c>
    </row>
    <row r="456" spans="1:8" ht="15" customHeight="1" x14ac:dyDescent="0.25">
      <c r="A456" s="11">
        <v>48</v>
      </c>
      <c r="B456" s="8" t="s">
        <v>261</v>
      </c>
      <c r="C456" s="23" t="s">
        <v>6</v>
      </c>
      <c r="D456" s="23" t="s">
        <v>5</v>
      </c>
      <c r="E456" s="16" t="s">
        <v>270</v>
      </c>
      <c r="F456" s="40" t="str">
        <f t="shared" ca="1" si="13"/>
        <v/>
      </c>
    </row>
    <row r="457" spans="1:8" x14ac:dyDescent="0.25">
      <c r="A457" s="11">
        <v>49</v>
      </c>
      <c r="B457" s="8" t="s">
        <v>1819</v>
      </c>
      <c r="C457" s="23" t="s">
        <v>5</v>
      </c>
      <c r="D457" s="23" t="s">
        <v>5</v>
      </c>
      <c r="E457" s="16" t="s">
        <v>46</v>
      </c>
      <c r="F457" s="40" t="str">
        <f t="shared" ca="1" si="13"/>
        <v/>
      </c>
    </row>
    <row r="458" spans="1:8" ht="15.75" x14ac:dyDescent="0.25">
      <c r="A458" s="11">
        <v>50</v>
      </c>
      <c r="B458" s="42" t="s">
        <v>1838</v>
      </c>
      <c r="C458" s="23" t="s">
        <v>5</v>
      </c>
      <c r="D458" s="23" t="s">
        <v>5</v>
      </c>
      <c r="E458" s="46" t="s">
        <v>46</v>
      </c>
      <c r="F458" s="40" t="str">
        <f t="shared" ca="1" si="13"/>
        <v/>
      </c>
      <c r="G458" s="51"/>
    </row>
    <row r="459" spans="1:8" x14ac:dyDescent="0.25">
      <c r="A459" s="11">
        <v>51</v>
      </c>
      <c r="B459" s="42" t="s">
        <v>1834</v>
      </c>
      <c r="C459" s="23" t="s">
        <v>6</v>
      </c>
      <c r="D459" s="23" t="s">
        <v>6</v>
      </c>
      <c r="E459" s="24" t="s">
        <v>46</v>
      </c>
      <c r="F459" s="40">
        <f t="shared" ca="1" si="13"/>
        <v>46195</v>
      </c>
      <c r="G459" s="51"/>
    </row>
    <row r="460" spans="1:8" ht="15.75" x14ac:dyDescent="0.25">
      <c r="A460" s="11">
        <v>52</v>
      </c>
      <c r="B460" s="42" t="s">
        <v>706</v>
      </c>
      <c r="C460" s="23" t="s">
        <v>6</v>
      </c>
      <c r="D460" s="23" t="s">
        <v>5</v>
      </c>
      <c r="E460" s="46" t="s">
        <v>46</v>
      </c>
      <c r="F460" s="40" t="str">
        <f t="shared" ca="1" si="13"/>
        <v/>
      </c>
      <c r="H460" s="51"/>
    </row>
    <row r="461" spans="1:8" x14ac:dyDescent="0.25">
      <c r="A461" s="11">
        <v>53</v>
      </c>
      <c r="B461" s="8" t="s">
        <v>369</v>
      </c>
      <c r="C461" s="23" t="s">
        <v>5</v>
      </c>
      <c r="D461" s="23" t="s">
        <v>5</v>
      </c>
      <c r="E461" s="16" t="s">
        <v>46</v>
      </c>
      <c r="F461" s="40" t="str">
        <f t="shared" ca="1" si="13"/>
        <v/>
      </c>
      <c r="G461" s="83"/>
    </row>
    <row r="462" spans="1:8" x14ac:dyDescent="0.25">
      <c r="A462" s="11">
        <v>54</v>
      </c>
      <c r="B462" s="42" t="s">
        <v>1439</v>
      </c>
      <c r="C462" s="23" t="s">
        <v>6</v>
      </c>
      <c r="D462" s="23" t="s">
        <v>6</v>
      </c>
      <c r="E462" s="101" t="s">
        <v>46</v>
      </c>
      <c r="F462" s="40">
        <f t="shared" ca="1" si="13"/>
        <v>46188</v>
      </c>
    </row>
    <row r="463" spans="1:8" x14ac:dyDescent="0.25">
      <c r="A463" s="11">
        <v>55</v>
      </c>
      <c r="B463" s="8" t="s">
        <v>865</v>
      </c>
      <c r="C463" s="23" t="s">
        <v>6</v>
      </c>
      <c r="D463" s="23" t="s">
        <v>6</v>
      </c>
      <c r="E463" s="104" t="s">
        <v>359</v>
      </c>
      <c r="F463" s="40">
        <f t="shared" ca="1" si="13"/>
        <v>46195</v>
      </c>
    </row>
    <row r="464" spans="1:8" x14ac:dyDescent="0.25">
      <c r="A464" s="11">
        <v>56</v>
      </c>
      <c r="B464" s="52" t="s">
        <v>664</v>
      </c>
      <c r="C464" s="23" t="s">
        <v>6</v>
      </c>
      <c r="D464" s="23" t="s">
        <v>5</v>
      </c>
      <c r="E464" s="24" t="s">
        <v>46</v>
      </c>
      <c r="F464" s="40" t="str">
        <f t="shared" ca="1" si="13"/>
        <v/>
      </c>
      <c r="H464" s="83"/>
    </row>
    <row r="465" spans="1:8" ht="15.75" x14ac:dyDescent="0.25">
      <c r="A465" s="11">
        <v>57</v>
      </c>
      <c r="B465" s="42" t="s">
        <v>1459</v>
      </c>
      <c r="C465" s="23" t="s">
        <v>6</v>
      </c>
      <c r="D465" s="23" t="s">
        <v>5</v>
      </c>
      <c r="E465" s="46" t="s">
        <v>359</v>
      </c>
      <c r="F465" s="40" t="str">
        <f t="shared" ca="1" si="13"/>
        <v/>
      </c>
    </row>
    <row r="466" spans="1:8" x14ac:dyDescent="0.25">
      <c r="A466" s="11">
        <v>58</v>
      </c>
      <c r="B466" s="8" t="s">
        <v>262</v>
      </c>
      <c r="C466" s="23" t="s">
        <v>5</v>
      </c>
      <c r="D466" s="23" t="s">
        <v>5</v>
      </c>
      <c r="E466" s="16" t="s">
        <v>46</v>
      </c>
      <c r="F466" s="40" t="str">
        <f t="shared" ca="1" si="13"/>
        <v/>
      </c>
    </row>
    <row r="467" spans="1:8" ht="15" customHeight="1" x14ac:dyDescent="0.25">
      <c r="A467" s="11">
        <v>59</v>
      </c>
      <c r="B467" s="42" t="s">
        <v>1883</v>
      </c>
      <c r="C467" s="23" t="s">
        <v>5</v>
      </c>
      <c r="D467" s="23" t="s">
        <v>5</v>
      </c>
      <c r="E467" s="16" t="s">
        <v>46</v>
      </c>
      <c r="F467" s="40" t="str">
        <f t="shared" ca="1" si="13"/>
        <v/>
      </c>
    </row>
    <row r="468" spans="1:8" ht="15" customHeight="1" x14ac:dyDescent="0.25">
      <c r="A468" s="11">
        <v>60</v>
      </c>
      <c r="B468" s="21" t="s">
        <v>1823</v>
      </c>
      <c r="C468" s="23" t="s">
        <v>5</v>
      </c>
      <c r="D468" s="23" t="s">
        <v>5</v>
      </c>
      <c r="E468" s="24" t="s">
        <v>46</v>
      </c>
      <c r="F468" s="40" t="str">
        <f t="shared" ca="1" si="13"/>
        <v/>
      </c>
      <c r="G468" s="61"/>
    </row>
    <row r="469" spans="1:8" x14ac:dyDescent="0.25">
      <c r="A469" s="11">
        <v>61</v>
      </c>
      <c r="B469" s="42" t="s">
        <v>1938</v>
      </c>
      <c r="C469" s="23" t="s">
        <v>6</v>
      </c>
      <c r="D469" s="23" t="s">
        <v>6</v>
      </c>
      <c r="E469" s="24" t="s">
        <v>46</v>
      </c>
      <c r="F469" s="40">
        <f t="shared" ca="1" si="13"/>
        <v>46188</v>
      </c>
      <c r="G469" s="62"/>
    </row>
    <row r="470" spans="1:8" x14ac:dyDescent="0.25">
      <c r="A470" s="11">
        <v>62</v>
      </c>
      <c r="B470" s="42" t="s">
        <v>1833</v>
      </c>
      <c r="C470" s="23" t="s">
        <v>6</v>
      </c>
      <c r="D470" s="23" t="s">
        <v>6</v>
      </c>
      <c r="E470" s="24" t="s">
        <v>270</v>
      </c>
      <c r="F470" s="40">
        <f t="shared" ca="1" si="13"/>
        <v>46202</v>
      </c>
      <c r="G470" s="88"/>
    </row>
    <row r="471" spans="1:8" ht="14.25" customHeight="1" x14ac:dyDescent="0.25">
      <c r="A471" s="11">
        <v>63</v>
      </c>
      <c r="B471" s="42" t="s">
        <v>1570</v>
      </c>
      <c r="C471" s="23" t="s">
        <v>6</v>
      </c>
      <c r="D471" s="23" t="s">
        <v>6</v>
      </c>
      <c r="E471" s="24" t="s">
        <v>270</v>
      </c>
      <c r="F471" s="40">
        <f t="shared" ca="1" si="13"/>
        <v>46202</v>
      </c>
      <c r="G471" s="79"/>
      <c r="H471" s="61"/>
    </row>
    <row r="472" spans="1:8" ht="14.25" customHeight="1" x14ac:dyDescent="0.25">
      <c r="A472" s="11">
        <v>64</v>
      </c>
      <c r="B472" s="42" t="s">
        <v>1822</v>
      </c>
      <c r="C472" s="23" t="s">
        <v>5</v>
      </c>
      <c r="D472" s="23" t="s">
        <v>5</v>
      </c>
      <c r="E472" s="16" t="s">
        <v>154</v>
      </c>
      <c r="F472" s="40" t="str">
        <f t="shared" ca="1" si="13"/>
        <v/>
      </c>
      <c r="G472" s="79"/>
      <c r="H472" s="61"/>
    </row>
    <row r="473" spans="1:8" x14ac:dyDescent="0.25">
      <c r="A473" s="11">
        <v>65</v>
      </c>
      <c r="B473" s="42" t="s">
        <v>1393</v>
      </c>
      <c r="C473" s="23" t="s">
        <v>5</v>
      </c>
      <c r="D473" s="23" t="s">
        <v>6</v>
      </c>
      <c r="E473" s="24" t="s">
        <v>46</v>
      </c>
      <c r="F473" s="40" t="str">
        <f t="shared" ref="F473:F497" ca="1" si="14">IF(AND(C473="NO",D473="NO"),IF(F473="",TODAY(),F473),"")</f>
        <v/>
      </c>
      <c r="H473" s="88"/>
    </row>
    <row r="474" spans="1:8" x14ac:dyDescent="0.25">
      <c r="A474" s="11">
        <v>66</v>
      </c>
      <c r="B474" s="42" t="s">
        <v>1436</v>
      </c>
      <c r="C474" s="23" t="s">
        <v>5</v>
      </c>
      <c r="D474" s="23" t="s">
        <v>5</v>
      </c>
      <c r="E474" s="24" t="s">
        <v>46</v>
      </c>
      <c r="F474" s="40" t="str">
        <f t="shared" ca="1" si="14"/>
        <v/>
      </c>
      <c r="G474" s="83"/>
      <c r="H474" s="79"/>
    </row>
    <row r="475" spans="1:8" x14ac:dyDescent="0.25">
      <c r="A475" s="11">
        <v>67</v>
      </c>
      <c r="B475" s="42" t="s">
        <v>1438</v>
      </c>
      <c r="C475" s="23" t="s">
        <v>6</v>
      </c>
      <c r="D475" s="23" t="s">
        <v>6</v>
      </c>
      <c r="E475" s="24" t="s">
        <v>46</v>
      </c>
      <c r="F475" s="40">
        <f t="shared" ca="1" si="14"/>
        <v>46202</v>
      </c>
      <c r="G475" s="83"/>
    </row>
    <row r="476" spans="1:8" x14ac:dyDescent="0.25">
      <c r="A476" s="11">
        <v>68</v>
      </c>
      <c r="B476" s="42" t="s">
        <v>1440</v>
      </c>
      <c r="C476" s="23" t="s">
        <v>5</v>
      </c>
      <c r="D476" s="23" t="s">
        <v>6</v>
      </c>
      <c r="E476" s="24" t="s">
        <v>46</v>
      </c>
      <c r="F476" s="40" t="str">
        <f t="shared" ca="1" si="14"/>
        <v/>
      </c>
    </row>
    <row r="477" spans="1:8" ht="15" customHeight="1" x14ac:dyDescent="0.25">
      <c r="A477" s="11">
        <v>69</v>
      </c>
      <c r="B477" s="8" t="s">
        <v>123</v>
      </c>
      <c r="C477" s="23" t="s">
        <v>5</v>
      </c>
      <c r="D477" s="23" t="s">
        <v>6</v>
      </c>
      <c r="E477" s="16" t="s">
        <v>154</v>
      </c>
      <c r="F477" s="40" t="str">
        <f t="shared" ca="1" si="14"/>
        <v/>
      </c>
      <c r="G477" s="84"/>
      <c r="H477" s="83"/>
    </row>
    <row r="478" spans="1:8" x14ac:dyDescent="0.25">
      <c r="A478" s="11">
        <v>70</v>
      </c>
      <c r="B478" s="8" t="s">
        <v>487</v>
      </c>
      <c r="C478" s="23" t="s">
        <v>6</v>
      </c>
      <c r="D478" s="23" t="s">
        <v>5</v>
      </c>
      <c r="E478" s="16" t="s">
        <v>359</v>
      </c>
      <c r="F478" s="40" t="str">
        <f t="shared" ca="1" si="14"/>
        <v/>
      </c>
    </row>
    <row r="479" spans="1:8" x14ac:dyDescent="0.25">
      <c r="A479" s="11">
        <v>71</v>
      </c>
      <c r="B479" s="42" t="s">
        <v>1571</v>
      </c>
      <c r="C479" s="23" t="s">
        <v>5</v>
      </c>
      <c r="D479" s="23" t="s">
        <v>6</v>
      </c>
      <c r="E479" s="24" t="s">
        <v>46</v>
      </c>
      <c r="F479" s="40" t="str">
        <f t="shared" ca="1" si="14"/>
        <v/>
      </c>
      <c r="G479" s="85"/>
      <c r="H479" s="83"/>
    </row>
    <row r="480" spans="1:8" ht="15" customHeight="1" x14ac:dyDescent="0.25">
      <c r="A480" s="11">
        <v>72</v>
      </c>
      <c r="B480" s="42" t="s">
        <v>1502</v>
      </c>
      <c r="C480" s="23" t="s">
        <v>6</v>
      </c>
      <c r="D480" s="23" t="s">
        <v>6</v>
      </c>
      <c r="E480" s="24" t="s">
        <v>46</v>
      </c>
      <c r="F480" s="40">
        <f t="shared" ca="1" si="14"/>
        <v>46195</v>
      </c>
      <c r="G480" s="94"/>
    </row>
    <row r="481" spans="1:8" ht="15" customHeight="1" x14ac:dyDescent="0.25">
      <c r="A481" s="11">
        <v>73</v>
      </c>
      <c r="B481" s="42" t="s">
        <v>268</v>
      </c>
      <c r="C481" s="23" t="s">
        <v>5</v>
      </c>
      <c r="D481" s="23" t="s">
        <v>6</v>
      </c>
      <c r="E481" s="24" t="s">
        <v>46</v>
      </c>
      <c r="F481" s="40" t="str">
        <f t="shared" ca="1" si="14"/>
        <v/>
      </c>
    </row>
    <row r="482" spans="1:8" x14ac:dyDescent="0.25">
      <c r="A482" s="11">
        <v>74</v>
      </c>
      <c r="B482" s="42" t="s">
        <v>868</v>
      </c>
      <c r="C482" s="23" t="s">
        <v>6</v>
      </c>
      <c r="D482" s="23" t="s">
        <v>5</v>
      </c>
      <c r="E482" s="24" t="s">
        <v>46</v>
      </c>
      <c r="F482" s="40" t="str">
        <f t="shared" ca="1" si="14"/>
        <v/>
      </c>
    </row>
    <row r="483" spans="1:8" ht="15" customHeight="1" x14ac:dyDescent="0.25">
      <c r="A483" s="11">
        <v>75</v>
      </c>
      <c r="B483" s="42" t="s">
        <v>1524</v>
      </c>
      <c r="C483" s="23" t="s">
        <v>5</v>
      </c>
      <c r="D483" s="23" t="s">
        <v>5</v>
      </c>
      <c r="E483" s="24" t="s">
        <v>46</v>
      </c>
      <c r="F483" s="40" t="str">
        <f t="shared" ca="1" si="14"/>
        <v/>
      </c>
      <c r="G483" s="85"/>
      <c r="H483" s="85"/>
    </row>
    <row r="484" spans="1:8" ht="15" customHeight="1" x14ac:dyDescent="0.25">
      <c r="A484" s="11">
        <v>76</v>
      </c>
      <c r="B484" s="42" t="s">
        <v>1525</v>
      </c>
      <c r="C484" s="23" t="s">
        <v>5</v>
      </c>
      <c r="D484" s="23" t="s">
        <v>5</v>
      </c>
      <c r="E484" s="24" t="s">
        <v>46</v>
      </c>
      <c r="F484" s="40" t="str">
        <f t="shared" ca="1" si="14"/>
        <v/>
      </c>
      <c r="G484" s="86"/>
    </row>
    <row r="485" spans="1:8" ht="15" customHeight="1" x14ac:dyDescent="0.25">
      <c r="A485" s="11">
        <v>77</v>
      </c>
      <c r="B485" s="42" t="s">
        <v>1941</v>
      </c>
      <c r="C485" s="23" t="s">
        <v>5</v>
      </c>
      <c r="D485" s="23" t="s">
        <v>5</v>
      </c>
      <c r="E485" s="24" t="s">
        <v>46</v>
      </c>
      <c r="F485" s="40" t="str">
        <f t="shared" ca="1" si="14"/>
        <v/>
      </c>
      <c r="G485" s="94"/>
      <c r="H485" s="92"/>
    </row>
    <row r="486" spans="1:8" x14ac:dyDescent="0.25">
      <c r="A486" s="11">
        <v>78</v>
      </c>
      <c r="B486" s="42" t="s">
        <v>1595</v>
      </c>
      <c r="C486" s="23" t="s">
        <v>5</v>
      </c>
      <c r="D486" s="23" t="s">
        <v>6</v>
      </c>
      <c r="E486" s="101" t="s">
        <v>155</v>
      </c>
      <c r="F486" s="40" t="str">
        <f t="shared" ca="1" si="14"/>
        <v/>
      </c>
    </row>
    <row r="487" spans="1:8" ht="15" customHeight="1" x14ac:dyDescent="0.25">
      <c r="A487" s="11">
        <v>79</v>
      </c>
      <c r="B487" s="42" t="s">
        <v>1875</v>
      </c>
      <c r="C487" s="23" t="s">
        <v>6</v>
      </c>
      <c r="D487" s="23" t="s">
        <v>5</v>
      </c>
      <c r="E487" s="46" t="s">
        <v>46</v>
      </c>
      <c r="F487" s="40" t="str">
        <f t="shared" ca="1" si="14"/>
        <v/>
      </c>
      <c r="G487" s="92"/>
      <c r="H487" s="109"/>
    </row>
    <row r="488" spans="1:8" ht="15" customHeight="1" x14ac:dyDescent="0.25">
      <c r="A488" s="11">
        <v>80</v>
      </c>
      <c r="B488" s="42" t="s">
        <v>1444</v>
      </c>
      <c r="C488" s="23" t="s">
        <v>6</v>
      </c>
      <c r="D488" s="23" t="s">
        <v>6</v>
      </c>
      <c r="E488" s="24" t="s">
        <v>46</v>
      </c>
      <c r="F488" s="40">
        <f t="shared" ca="1" si="14"/>
        <v>46188</v>
      </c>
      <c r="G488" s="95"/>
      <c r="H488" s="94"/>
    </row>
    <row r="489" spans="1:8" ht="15" customHeight="1" x14ac:dyDescent="0.25">
      <c r="A489" s="11">
        <v>81</v>
      </c>
      <c r="B489" s="42" t="s">
        <v>348</v>
      </c>
      <c r="C489" s="23" t="s">
        <v>6</v>
      </c>
      <c r="D489" s="23" t="s">
        <v>6</v>
      </c>
      <c r="E489" s="24" t="s">
        <v>46</v>
      </c>
      <c r="F489" s="40">
        <f t="shared" ca="1" si="14"/>
        <v>46177</v>
      </c>
      <c r="G489" s="94"/>
    </row>
    <row r="490" spans="1:8" ht="15" customHeight="1" x14ac:dyDescent="0.25">
      <c r="A490" s="11">
        <v>82</v>
      </c>
      <c r="B490" s="42" t="s">
        <v>1736</v>
      </c>
      <c r="C490" s="23" t="s">
        <v>5</v>
      </c>
      <c r="D490" s="23" t="s">
        <v>6</v>
      </c>
      <c r="E490" s="16" t="s">
        <v>46</v>
      </c>
      <c r="F490" s="40" t="str">
        <f t="shared" ca="1" si="14"/>
        <v/>
      </c>
      <c r="G490" s="109"/>
      <c r="H490" s="94"/>
    </row>
    <row r="491" spans="1:8" ht="15" customHeight="1" x14ac:dyDescent="0.25">
      <c r="A491" s="11">
        <v>83</v>
      </c>
      <c r="B491" s="42" t="s">
        <v>1835</v>
      </c>
      <c r="C491" s="23" t="s">
        <v>6</v>
      </c>
      <c r="D491" s="23" t="s">
        <v>6</v>
      </c>
      <c r="E491" s="16" t="s">
        <v>46</v>
      </c>
      <c r="F491" s="40">
        <f t="shared" ca="1" si="14"/>
        <v>46195</v>
      </c>
      <c r="G491" s="110"/>
      <c r="H491" s="95"/>
    </row>
    <row r="492" spans="1:8" ht="15" customHeight="1" x14ac:dyDescent="0.25">
      <c r="A492" s="11">
        <v>84</v>
      </c>
      <c r="B492" s="42" t="s">
        <v>1767</v>
      </c>
      <c r="C492" s="23" t="s">
        <v>6</v>
      </c>
      <c r="D492" s="23" t="s">
        <v>6</v>
      </c>
      <c r="E492" s="16" t="s">
        <v>46</v>
      </c>
      <c r="F492" s="40">
        <f t="shared" ca="1" si="14"/>
        <v>46177</v>
      </c>
      <c r="G492" s="111"/>
      <c r="H492" s="110"/>
    </row>
    <row r="493" spans="1:8" ht="15" customHeight="1" x14ac:dyDescent="0.25">
      <c r="A493" s="11">
        <v>85</v>
      </c>
      <c r="B493" s="42" t="s">
        <v>1789</v>
      </c>
      <c r="C493" s="23" t="s">
        <v>6</v>
      </c>
      <c r="D493" s="23" t="s">
        <v>6</v>
      </c>
      <c r="E493" s="16" t="s">
        <v>46</v>
      </c>
      <c r="F493" s="40">
        <f t="shared" ca="1" si="14"/>
        <v>46188</v>
      </c>
      <c r="G493" s="114"/>
      <c r="H493" s="111"/>
    </row>
    <row r="494" spans="1:8" ht="15" customHeight="1" x14ac:dyDescent="0.25">
      <c r="A494" s="11">
        <v>86</v>
      </c>
      <c r="B494" s="42" t="s">
        <v>240</v>
      </c>
      <c r="C494" s="23" t="s">
        <v>6</v>
      </c>
      <c r="D494" s="23" t="s">
        <v>6</v>
      </c>
      <c r="E494" s="24" t="s">
        <v>46</v>
      </c>
      <c r="F494" s="40">
        <f t="shared" ca="1" si="14"/>
        <v>46202</v>
      </c>
      <c r="G494" s="115"/>
      <c r="H494" s="111"/>
    </row>
    <row r="495" spans="1:8" ht="15" customHeight="1" x14ac:dyDescent="0.25">
      <c r="A495" s="11">
        <v>87</v>
      </c>
      <c r="B495" s="42" t="s">
        <v>1805</v>
      </c>
      <c r="C495" s="23" t="s">
        <v>6</v>
      </c>
      <c r="D495" s="23" t="s">
        <v>6</v>
      </c>
      <c r="E495" s="16" t="s">
        <v>46</v>
      </c>
      <c r="F495" s="40">
        <f t="shared" ca="1" si="14"/>
        <v>46177</v>
      </c>
      <c r="G495" s="115"/>
      <c r="H495" s="112"/>
    </row>
    <row r="496" spans="1:8" ht="15" customHeight="1" x14ac:dyDescent="0.25">
      <c r="A496" s="11">
        <v>88</v>
      </c>
      <c r="B496" s="42" t="s">
        <v>1874</v>
      </c>
      <c r="C496" s="23" t="s">
        <v>6</v>
      </c>
      <c r="D496" s="23" t="s">
        <v>6</v>
      </c>
      <c r="E496" s="16" t="s">
        <v>46</v>
      </c>
      <c r="F496" s="40">
        <f t="shared" ca="1" si="14"/>
        <v>46202</v>
      </c>
      <c r="G496" s="115"/>
      <c r="H496" s="114"/>
    </row>
    <row r="497" spans="1:9" ht="15" customHeight="1" x14ac:dyDescent="0.25">
      <c r="A497" s="11">
        <v>89</v>
      </c>
      <c r="B497" s="42" t="s">
        <v>1836</v>
      </c>
      <c r="C497" s="23" t="s">
        <v>6</v>
      </c>
      <c r="D497" s="23" t="s">
        <v>6</v>
      </c>
      <c r="E497" s="16" t="s">
        <v>46</v>
      </c>
      <c r="F497" s="40">
        <f t="shared" ca="1" si="14"/>
        <v>46188</v>
      </c>
      <c r="G497" s="47"/>
      <c r="H497" s="115"/>
    </row>
    <row r="498" spans="1:9" x14ac:dyDescent="0.25">
      <c r="A498" s="11">
        <v>90</v>
      </c>
      <c r="B498" s="21" t="s">
        <v>195</v>
      </c>
      <c r="C498" s="23" t="s">
        <v>6</v>
      </c>
      <c r="D498" s="23" t="s">
        <v>5</v>
      </c>
      <c r="E498" s="24" t="s">
        <v>359</v>
      </c>
      <c r="F498" s="50"/>
    </row>
    <row r="499" spans="1:9" ht="15.75" x14ac:dyDescent="0.25">
      <c r="A499" s="11">
        <v>91</v>
      </c>
      <c r="B499" s="42" t="s">
        <v>682</v>
      </c>
      <c r="C499" s="23" t="s">
        <v>5</v>
      </c>
      <c r="D499" s="23" t="s">
        <v>6</v>
      </c>
      <c r="E499" s="46" t="s">
        <v>46</v>
      </c>
      <c r="F499" s="50"/>
    </row>
    <row r="500" spans="1:9" ht="15" customHeight="1" x14ac:dyDescent="0.25">
      <c r="A500" s="11">
        <v>92</v>
      </c>
      <c r="B500" s="42" t="s">
        <v>1837</v>
      </c>
      <c r="C500" s="23" t="s">
        <v>6</v>
      </c>
      <c r="D500" s="23" t="s">
        <v>6</v>
      </c>
      <c r="E500" s="16" t="s">
        <v>46</v>
      </c>
      <c r="F500" s="40">
        <f t="shared" ref="F500:F507" ca="1" si="15">IF(AND(C500="NO",D500="NO"),IF(F500="",TODAY(),F500),"")</f>
        <v>46188</v>
      </c>
      <c r="G500" s="47"/>
      <c r="H500" s="115"/>
    </row>
    <row r="501" spans="1:9" ht="15" customHeight="1" x14ac:dyDescent="0.25">
      <c r="A501" s="11">
        <v>93</v>
      </c>
      <c r="B501" s="42" t="s">
        <v>1839</v>
      </c>
      <c r="C501" s="23" t="s">
        <v>6</v>
      </c>
      <c r="D501" s="23" t="s">
        <v>6</v>
      </c>
      <c r="E501" s="16" t="s">
        <v>46</v>
      </c>
      <c r="F501" s="40">
        <f t="shared" ca="1" si="15"/>
        <v>46188</v>
      </c>
      <c r="G501" s="47"/>
      <c r="H501" s="124"/>
    </row>
    <row r="502" spans="1:9" ht="15" customHeight="1" x14ac:dyDescent="0.25">
      <c r="A502" s="11">
        <v>94</v>
      </c>
      <c r="B502" s="42" t="s">
        <v>1884</v>
      </c>
      <c r="C502" s="23" t="s">
        <v>6</v>
      </c>
      <c r="D502" s="23" t="s">
        <v>6</v>
      </c>
      <c r="E502" s="16" t="s">
        <v>46</v>
      </c>
      <c r="F502" s="40">
        <f t="shared" ca="1" si="15"/>
        <v>46195</v>
      </c>
      <c r="G502" s="47"/>
      <c r="H502" s="124"/>
    </row>
    <row r="503" spans="1:9" ht="15" customHeight="1" x14ac:dyDescent="0.25">
      <c r="A503" s="11">
        <v>95</v>
      </c>
      <c r="B503" s="42" t="s">
        <v>1898</v>
      </c>
      <c r="C503" s="23" t="s">
        <v>5</v>
      </c>
      <c r="D503" s="23" t="s">
        <v>6</v>
      </c>
      <c r="E503" s="16" t="s">
        <v>359</v>
      </c>
      <c r="F503" s="40" t="str">
        <f t="shared" ca="1" si="15"/>
        <v/>
      </c>
      <c r="G503" s="47"/>
      <c r="H503" s="126"/>
    </row>
    <row r="504" spans="1:9" ht="15" customHeight="1" x14ac:dyDescent="0.25">
      <c r="A504" s="11">
        <v>96</v>
      </c>
      <c r="B504" s="42" t="s">
        <v>1907</v>
      </c>
      <c r="C504" s="23" t="s">
        <v>6</v>
      </c>
      <c r="D504" s="23" t="s">
        <v>6</v>
      </c>
      <c r="E504" s="16" t="s">
        <v>46</v>
      </c>
      <c r="F504" s="40">
        <f t="shared" ca="1" si="15"/>
        <v>46202</v>
      </c>
      <c r="G504" s="47"/>
      <c r="H504" s="126"/>
      <c r="I504">
        <f>21+15+13+4</f>
        <v>53</v>
      </c>
    </row>
    <row r="505" spans="1:9" ht="15" customHeight="1" x14ac:dyDescent="0.25">
      <c r="A505" s="11">
        <v>97</v>
      </c>
      <c r="B505" s="42" t="s">
        <v>1910</v>
      </c>
      <c r="C505" s="23" t="s">
        <v>6</v>
      </c>
      <c r="D505" s="23" t="s">
        <v>5</v>
      </c>
      <c r="E505" s="16" t="s">
        <v>359</v>
      </c>
      <c r="F505" s="40" t="str">
        <f t="shared" ca="1" si="15"/>
        <v/>
      </c>
      <c r="G505" s="47"/>
      <c r="H505" s="126"/>
      <c r="I505">
        <f>16+20+10+2</f>
        <v>48</v>
      </c>
    </row>
    <row r="506" spans="1:9" ht="15" customHeight="1" x14ac:dyDescent="0.25">
      <c r="A506" s="11">
        <v>98</v>
      </c>
      <c r="B506" s="42" t="s">
        <v>1911</v>
      </c>
      <c r="C506" s="23" t="s">
        <v>6</v>
      </c>
      <c r="D506" s="23" t="s">
        <v>6</v>
      </c>
      <c r="E506" s="16" t="s">
        <v>46</v>
      </c>
      <c r="F506" s="40">
        <f t="shared" ca="1" si="15"/>
        <v>46202</v>
      </c>
      <c r="G506" s="47"/>
      <c r="H506" s="134"/>
    </row>
    <row r="507" spans="1:9" ht="15" customHeight="1" x14ac:dyDescent="0.25">
      <c r="A507" s="11">
        <v>99</v>
      </c>
      <c r="B507" s="42" t="s">
        <v>1943</v>
      </c>
      <c r="C507" s="23" t="s">
        <v>5</v>
      </c>
      <c r="D507" s="23" t="s">
        <v>6</v>
      </c>
      <c r="E507" s="16" t="s">
        <v>1815</v>
      </c>
      <c r="F507" s="40" t="str">
        <f t="shared" ca="1" si="15"/>
        <v/>
      </c>
      <c r="G507" s="47"/>
      <c r="H507" s="134"/>
    </row>
    <row r="508" spans="1:9" ht="15" customHeight="1" x14ac:dyDescent="0.25">
      <c r="A508" s="11">
        <v>100</v>
      </c>
      <c r="B508" s="42" t="s">
        <v>1944</v>
      </c>
      <c r="C508" s="23" t="s">
        <v>5</v>
      </c>
      <c r="D508" s="23" t="s">
        <v>6</v>
      </c>
      <c r="E508" s="16" t="s">
        <v>1815</v>
      </c>
      <c r="F508" s="40"/>
      <c r="G508" s="47"/>
      <c r="H508" s="135"/>
    </row>
    <row r="509" spans="1:9" ht="15" customHeight="1" x14ac:dyDescent="0.25">
      <c r="A509" s="11">
        <v>101</v>
      </c>
      <c r="B509" s="42" t="s">
        <v>1961</v>
      </c>
      <c r="C509" s="23" t="s">
        <v>1815</v>
      </c>
      <c r="D509" s="23" t="s">
        <v>5</v>
      </c>
      <c r="E509" s="16" t="s">
        <v>359</v>
      </c>
      <c r="F509" s="40"/>
      <c r="G509" s="47"/>
      <c r="H509" s="135"/>
    </row>
    <row r="510" spans="1:9" ht="15" customHeight="1" x14ac:dyDescent="0.25">
      <c r="A510" s="11">
        <v>102</v>
      </c>
      <c r="B510" s="42" t="s">
        <v>1962</v>
      </c>
      <c r="C510" s="23" t="s">
        <v>1815</v>
      </c>
      <c r="D510" s="23" t="s">
        <v>5</v>
      </c>
      <c r="E510" s="16" t="s">
        <v>359</v>
      </c>
      <c r="F510" s="40" t="str">
        <f ca="1">IF(AND(C510="NO",D510="NO"),IF(F510="",TODAY(),F510),"")</f>
        <v/>
      </c>
      <c r="H510" s="115"/>
    </row>
    <row r="511" spans="1:9" ht="15" customHeight="1" x14ac:dyDescent="0.25">
      <c r="H511" s="47"/>
    </row>
    <row r="512" spans="1:9" ht="45" x14ac:dyDescent="0.25">
      <c r="A512" s="159" t="s">
        <v>54</v>
      </c>
      <c r="B512" s="160"/>
      <c r="C512" s="12">
        <f>COUNTIF(C409:C510, "SI")</f>
        <v>53</v>
      </c>
      <c r="D512" s="6" t="s">
        <v>51</v>
      </c>
      <c r="E512" s="32">
        <f>C512/A510*100</f>
        <v>51.960784313725497</v>
      </c>
      <c r="F512" s="13" t="s">
        <v>1922</v>
      </c>
      <c r="G512" s="31"/>
      <c r="H512" s="47"/>
    </row>
    <row r="513" spans="1:9" ht="45" x14ac:dyDescent="0.25">
      <c r="A513" s="159" t="s">
        <v>55</v>
      </c>
      <c r="B513" s="160"/>
      <c r="C513" s="12">
        <f>COUNTIF(C409:C510, "NO")</f>
        <v>47</v>
      </c>
      <c r="D513" s="6" t="s">
        <v>51</v>
      </c>
      <c r="E513" s="32">
        <f>C513/A510*100</f>
        <v>46.078431372549019</v>
      </c>
      <c r="F513" s="13" t="s">
        <v>1923</v>
      </c>
    </row>
    <row r="514" spans="1:9" s="82" customFormat="1" ht="18" x14ac:dyDescent="0.25">
      <c r="A514" s="26"/>
      <c r="B514" s="26"/>
      <c r="C514" s="27"/>
      <c r="D514" s="28"/>
      <c r="E514" s="29"/>
      <c r="F514" s="30"/>
      <c r="G514"/>
      <c r="H514"/>
      <c r="I514"/>
    </row>
    <row r="515" spans="1:9" s="82" customFormat="1" ht="45" x14ac:dyDescent="0.25">
      <c r="A515" s="159" t="s">
        <v>56</v>
      </c>
      <c r="B515" s="160"/>
      <c r="C515" s="12">
        <f>COUNTIF(D409:D510, "SI")</f>
        <v>48</v>
      </c>
      <c r="D515" s="6" t="s">
        <v>51</v>
      </c>
      <c r="E515" s="32">
        <f>C515/A510*100</f>
        <v>47.058823529411761</v>
      </c>
      <c r="F515" s="13" t="s">
        <v>58</v>
      </c>
      <c r="G515"/>
      <c r="H515"/>
      <c r="I515"/>
    </row>
    <row r="516" spans="1:9" ht="45" x14ac:dyDescent="0.25">
      <c r="A516" s="159" t="s">
        <v>57</v>
      </c>
      <c r="B516" s="160"/>
      <c r="C516" s="12">
        <f>COUNTIF(D409:D510, "NO")</f>
        <v>54</v>
      </c>
      <c r="D516" s="6" t="s">
        <v>51</v>
      </c>
      <c r="E516" s="32">
        <f>C516/A510*100</f>
        <v>52.941176470588239</v>
      </c>
      <c r="F516" s="13" t="s">
        <v>59</v>
      </c>
    </row>
    <row r="517" spans="1:9" x14ac:dyDescent="0.25">
      <c r="I517" t="str">
        <f t="shared" ref="I517:I528" si="16">IF(AND(C511="SI",D511="SI"),B511,"")</f>
        <v/>
      </c>
    </row>
    <row r="518" spans="1:9" x14ac:dyDescent="0.25">
      <c r="A518" s="155" t="s">
        <v>1064</v>
      </c>
      <c r="B518" s="156"/>
      <c r="C518" s="150">
        <f>COUNTIFS(C409:C510,"SI",D409:D510,"SI")</f>
        <v>30</v>
      </c>
      <c r="D518" s="151" t="s">
        <v>51</v>
      </c>
      <c r="E518" s="153">
        <f>C518/A510*100</f>
        <v>29.411764705882355</v>
      </c>
      <c r="F518" s="168" t="s">
        <v>1066</v>
      </c>
      <c r="I518" t="str">
        <f t="shared" si="16"/>
        <v/>
      </c>
    </row>
    <row r="519" spans="1:9" x14ac:dyDescent="0.25">
      <c r="A519" s="157"/>
      <c r="B519" s="158"/>
      <c r="C519" s="150"/>
      <c r="D519" s="152"/>
      <c r="E519" s="154"/>
      <c r="F519" s="169"/>
      <c r="I519" t="str">
        <f t="shared" si="16"/>
        <v/>
      </c>
    </row>
    <row r="520" spans="1:9" x14ac:dyDescent="0.25">
      <c r="A520" s="155" t="s">
        <v>1065</v>
      </c>
      <c r="B520" s="156"/>
      <c r="C520" s="150">
        <f>COUNTIFS(C409:C510,"NO",D409:D510,"NO")</f>
        <v>31</v>
      </c>
      <c r="D520" s="151" t="s">
        <v>51</v>
      </c>
      <c r="E520" s="153">
        <f>C520/A510*100</f>
        <v>30.392156862745097</v>
      </c>
      <c r="F520" s="168" t="s">
        <v>1067</v>
      </c>
      <c r="H520" s="47"/>
      <c r="I520" t="str">
        <f t="shared" si="16"/>
        <v/>
      </c>
    </row>
    <row r="521" spans="1:9" x14ac:dyDescent="0.25">
      <c r="A521" s="157"/>
      <c r="B521" s="158"/>
      <c r="C521" s="150"/>
      <c r="D521" s="152"/>
      <c r="E521" s="154"/>
      <c r="F521" s="169"/>
      <c r="I521" t="str">
        <f t="shared" si="16"/>
        <v/>
      </c>
    </row>
    <row r="522" spans="1:9" ht="15.75" x14ac:dyDescent="0.25">
      <c r="A522" s="76"/>
      <c r="B522" s="76"/>
      <c r="C522" s="43"/>
      <c r="D522" s="43"/>
      <c r="I522" t="str">
        <f t="shared" si="16"/>
        <v/>
      </c>
    </row>
    <row r="523" spans="1:9" x14ac:dyDescent="0.25">
      <c r="A523" s="147" t="s">
        <v>1371</v>
      </c>
      <c r="B523" s="148"/>
      <c r="C523" s="148"/>
      <c r="D523" s="148"/>
      <c r="E523" s="149"/>
      <c r="I523" t="str">
        <f t="shared" si="16"/>
        <v/>
      </c>
    </row>
    <row r="524" spans="1:9" ht="15" customHeight="1" x14ac:dyDescent="0.25">
      <c r="A524" s="15" t="s">
        <v>0</v>
      </c>
      <c r="B524" s="15" t="s">
        <v>1</v>
      </c>
      <c r="C524" s="15" t="s">
        <v>2</v>
      </c>
      <c r="D524" s="15" t="s">
        <v>3</v>
      </c>
      <c r="E524" s="15" t="s">
        <v>7</v>
      </c>
      <c r="I524" t="str">
        <f t="shared" si="16"/>
        <v/>
      </c>
    </row>
    <row r="525" spans="1:9" ht="15" customHeight="1" x14ac:dyDescent="0.25">
      <c r="A525" s="11">
        <v>1</v>
      </c>
      <c r="B525" s="8" t="s">
        <v>1825</v>
      </c>
      <c r="C525" s="23" t="s">
        <v>5</v>
      </c>
      <c r="D525" s="23" t="s">
        <v>5</v>
      </c>
      <c r="E525" s="16" t="s">
        <v>46</v>
      </c>
      <c r="F525" s="40" t="str">
        <f t="shared" ref="F525:F556" ca="1" si="17">IF(AND(C525="NO",D525="NO"),IF(F525="",TODAY(),F525),"")</f>
        <v/>
      </c>
      <c r="I525" t="str">
        <f t="shared" si="16"/>
        <v/>
      </c>
    </row>
    <row r="526" spans="1:9" ht="15" customHeight="1" x14ac:dyDescent="0.25">
      <c r="A526" s="11">
        <v>2</v>
      </c>
      <c r="B526" s="8" t="s">
        <v>355</v>
      </c>
      <c r="C526" s="23" t="s">
        <v>5</v>
      </c>
      <c r="D526" s="23" t="s">
        <v>5</v>
      </c>
      <c r="E526" s="16" t="s">
        <v>46</v>
      </c>
      <c r="F526" s="40" t="str">
        <f t="shared" ca="1" si="17"/>
        <v/>
      </c>
      <c r="I526" t="str">
        <f t="shared" si="16"/>
        <v/>
      </c>
    </row>
    <row r="527" spans="1:9" ht="15" customHeight="1" x14ac:dyDescent="0.25">
      <c r="A527" s="11">
        <v>3</v>
      </c>
      <c r="B527" s="8" t="s">
        <v>171</v>
      </c>
      <c r="C527" s="23" t="s">
        <v>5</v>
      </c>
      <c r="D527" s="23" t="s">
        <v>6</v>
      </c>
      <c r="E527" s="16" t="s">
        <v>46</v>
      </c>
      <c r="F527" s="40" t="str">
        <f t="shared" ca="1" si="17"/>
        <v/>
      </c>
      <c r="I527" t="str">
        <f t="shared" si="16"/>
        <v/>
      </c>
    </row>
    <row r="528" spans="1:9" ht="15" customHeight="1" x14ac:dyDescent="0.25">
      <c r="A528" s="11">
        <v>4</v>
      </c>
      <c r="B528" s="21" t="s">
        <v>326</v>
      </c>
      <c r="C528" s="23" t="s">
        <v>5</v>
      </c>
      <c r="D528" s="23" t="s">
        <v>6</v>
      </c>
      <c r="E528" s="17" t="s">
        <v>46</v>
      </c>
      <c r="F528" s="40" t="str">
        <f t="shared" ca="1" si="17"/>
        <v/>
      </c>
      <c r="I528" t="str">
        <f t="shared" si="16"/>
        <v/>
      </c>
    </row>
    <row r="529" spans="1:10" x14ac:dyDescent="0.25">
      <c r="A529" s="11">
        <v>5</v>
      </c>
      <c r="B529" s="8" t="s">
        <v>168</v>
      </c>
      <c r="C529" s="23" t="s">
        <v>5</v>
      </c>
      <c r="D529" s="23" t="s">
        <v>5</v>
      </c>
      <c r="E529" s="16" t="s">
        <v>319</v>
      </c>
      <c r="F529" s="40" t="str">
        <f t="shared" ca="1" si="17"/>
        <v/>
      </c>
      <c r="I529" s="161" t="s">
        <v>1816</v>
      </c>
      <c r="J529" s="161"/>
    </row>
    <row r="530" spans="1:10" x14ac:dyDescent="0.25">
      <c r="A530" s="11">
        <v>6</v>
      </c>
      <c r="B530" s="8" t="s">
        <v>1824</v>
      </c>
      <c r="C530" s="23" t="s">
        <v>5</v>
      </c>
      <c r="D530" s="23" t="s">
        <v>5</v>
      </c>
      <c r="E530" s="16" t="s">
        <v>319</v>
      </c>
      <c r="F530" s="40" t="str">
        <f t="shared" ca="1" si="17"/>
        <v/>
      </c>
      <c r="H530" s="61"/>
      <c r="I530" s="161"/>
      <c r="J530" s="161"/>
    </row>
    <row r="531" spans="1:10" ht="15" customHeight="1" x14ac:dyDescent="0.25">
      <c r="A531" s="11">
        <v>7</v>
      </c>
      <c r="B531" s="8" t="s">
        <v>1939</v>
      </c>
      <c r="C531" s="23" t="s">
        <v>5</v>
      </c>
      <c r="D531" s="23" t="s">
        <v>5</v>
      </c>
      <c r="E531" s="16" t="s">
        <v>154</v>
      </c>
      <c r="F531" s="40" t="str">
        <f t="shared" ca="1" si="17"/>
        <v/>
      </c>
      <c r="I531" s="116" t="str" cm="1">
        <f t="array" ref="I531:I536">_xlfn._xlws.FILTER(B525:B556,(C525:C556="SI")*(D525:D556="SI"),"")</f>
        <v>Yelssy Flores</v>
      </c>
      <c r="J531" s="116"/>
    </row>
    <row r="532" spans="1:10" x14ac:dyDescent="0.25">
      <c r="A532" s="11">
        <v>8</v>
      </c>
      <c r="B532" s="21" t="s">
        <v>1182</v>
      </c>
      <c r="C532" s="23" t="s">
        <v>5</v>
      </c>
      <c r="D532" s="23" t="s">
        <v>6</v>
      </c>
      <c r="E532" s="24" t="s">
        <v>46</v>
      </c>
      <c r="F532" s="40" t="str">
        <f t="shared" ca="1" si="17"/>
        <v/>
      </c>
      <c r="I532" s="116" t="str">
        <v>Edwing Marval</v>
      </c>
      <c r="J532" s="116"/>
    </row>
    <row r="533" spans="1:10" x14ac:dyDescent="0.25">
      <c r="A533" s="11">
        <v>9</v>
      </c>
      <c r="B533" s="8" t="s">
        <v>266</v>
      </c>
      <c r="C533" s="23" t="s">
        <v>5</v>
      </c>
      <c r="D533" s="23" t="s">
        <v>6</v>
      </c>
      <c r="E533" s="16" t="s">
        <v>46</v>
      </c>
      <c r="F533" s="40" t="str">
        <f t="shared" ca="1" si="17"/>
        <v/>
      </c>
      <c r="I533" s="116" t="str">
        <v>Yensi Cañizalez</v>
      </c>
      <c r="J533" s="116"/>
    </row>
    <row r="534" spans="1:10" x14ac:dyDescent="0.25">
      <c r="A534" s="11">
        <v>10</v>
      </c>
      <c r="B534" s="8" t="s">
        <v>170</v>
      </c>
      <c r="C534" s="23" t="s">
        <v>5</v>
      </c>
      <c r="D534" s="23" t="s">
        <v>5</v>
      </c>
      <c r="E534" s="16" t="s">
        <v>46</v>
      </c>
      <c r="F534" s="40" t="str">
        <f t="shared" ca="1" si="17"/>
        <v/>
      </c>
      <c r="I534" s="116" t="str">
        <v>Sorenis Cañizalez</v>
      </c>
      <c r="J534" s="116"/>
    </row>
    <row r="535" spans="1:10" x14ac:dyDescent="0.25">
      <c r="A535" s="11">
        <v>11</v>
      </c>
      <c r="B535" s="21" t="s">
        <v>1256</v>
      </c>
      <c r="C535" s="23" t="s">
        <v>6</v>
      </c>
      <c r="D535" s="23" t="s">
        <v>6</v>
      </c>
      <c r="E535" s="107" t="s">
        <v>46</v>
      </c>
      <c r="F535" s="40">
        <f t="shared" ca="1" si="17"/>
        <v>46202</v>
      </c>
      <c r="I535" s="116" t="str">
        <v>MiLAN Pirela</v>
      </c>
      <c r="J535" s="116"/>
    </row>
    <row r="536" spans="1:10" ht="15.75" customHeight="1" x14ac:dyDescent="0.25">
      <c r="A536" s="11">
        <v>12</v>
      </c>
      <c r="B536" s="21" t="s">
        <v>1156</v>
      </c>
      <c r="C536" s="23" t="s">
        <v>6</v>
      </c>
      <c r="D536" s="23" t="s">
        <v>6</v>
      </c>
      <c r="E536" s="18" t="s">
        <v>46</v>
      </c>
      <c r="F536" s="40">
        <f t="shared" ca="1" si="17"/>
        <v>46202</v>
      </c>
      <c r="I536" s="116" t="str">
        <v>Emiro Ortega</v>
      </c>
      <c r="J536" s="116"/>
    </row>
    <row r="537" spans="1:10" x14ac:dyDescent="0.25">
      <c r="A537" s="11">
        <v>13</v>
      </c>
      <c r="B537" s="21" t="s">
        <v>1826</v>
      </c>
      <c r="C537" s="23" t="s">
        <v>6</v>
      </c>
      <c r="D537" s="23" t="s">
        <v>6</v>
      </c>
      <c r="E537" s="24" t="s">
        <v>46</v>
      </c>
      <c r="F537" s="40">
        <f t="shared" ca="1" si="17"/>
        <v>46202</v>
      </c>
      <c r="J537" s="141">
        <f>C564</f>
        <v>6</v>
      </c>
    </row>
    <row r="538" spans="1:10" x14ac:dyDescent="0.25">
      <c r="A538" s="11">
        <v>14</v>
      </c>
      <c r="B538" s="8" t="s">
        <v>24</v>
      </c>
      <c r="C538" s="23" t="s">
        <v>6</v>
      </c>
      <c r="D538" s="23" t="s">
        <v>6</v>
      </c>
      <c r="E538" s="9" t="s">
        <v>333</v>
      </c>
      <c r="F538" s="40">
        <f t="shared" ca="1" si="17"/>
        <v>46202</v>
      </c>
    </row>
    <row r="539" spans="1:10" x14ac:dyDescent="0.25">
      <c r="A539" s="11">
        <v>15</v>
      </c>
      <c r="B539" s="42" t="s">
        <v>1508</v>
      </c>
      <c r="C539" s="23" t="s">
        <v>6</v>
      </c>
      <c r="D539" s="23" t="s">
        <v>6</v>
      </c>
      <c r="E539" s="16" t="s">
        <v>46</v>
      </c>
      <c r="F539" s="40">
        <f t="shared" ca="1" si="17"/>
        <v>46202</v>
      </c>
    </row>
    <row r="540" spans="1:10" x14ac:dyDescent="0.25">
      <c r="A540" s="11">
        <v>16</v>
      </c>
      <c r="B540" s="21" t="s">
        <v>1471</v>
      </c>
      <c r="C540" s="23" t="s">
        <v>6</v>
      </c>
      <c r="D540" s="23" t="s">
        <v>5</v>
      </c>
      <c r="E540" s="24" t="s">
        <v>46</v>
      </c>
      <c r="F540" s="40" t="str">
        <f t="shared" ca="1" si="17"/>
        <v/>
      </c>
    </row>
    <row r="541" spans="1:10" x14ac:dyDescent="0.25">
      <c r="A541" s="11">
        <v>17</v>
      </c>
      <c r="B541" s="21" t="s">
        <v>1481</v>
      </c>
      <c r="C541" s="23" t="s">
        <v>6</v>
      </c>
      <c r="D541" s="23" t="s">
        <v>6</v>
      </c>
      <c r="E541" s="24" t="s">
        <v>46</v>
      </c>
      <c r="F541" s="40">
        <f t="shared" ca="1" si="17"/>
        <v>46202</v>
      </c>
    </row>
    <row r="542" spans="1:10" x14ac:dyDescent="0.25">
      <c r="A542" s="11">
        <v>18</v>
      </c>
      <c r="B542" s="21" t="s">
        <v>1569</v>
      </c>
      <c r="C542" s="23" t="s">
        <v>6</v>
      </c>
      <c r="D542" s="23" t="s">
        <v>6</v>
      </c>
      <c r="E542" s="24" t="s">
        <v>46</v>
      </c>
      <c r="F542" s="40">
        <f t="shared" ca="1" si="17"/>
        <v>46202</v>
      </c>
    </row>
    <row r="543" spans="1:10" x14ac:dyDescent="0.25">
      <c r="A543" s="11">
        <v>19</v>
      </c>
      <c r="B543" s="21" t="s">
        <v>1842</v>
      </c>
      <c r="C543" s="23" t="s">
        <v>6</v>
      </c>
      <c r="D543" s="23" t="s">
        <v>6</v>
      </c>
      <c r="E543" s="24" t="s">
        <v>46</v>
      </c>
      <c r="F543" s="40">
        <f t="shared" ca="1" si="17"/>
        <v>46202</v>
      </c>
    </row>
    <row r="544" spans="1:10" x14ac:dyDescent="0.25">
      <c r="A544" s="11">
        <v>20</v>
      </c>
      <c r="B544" s="21" t="s">
        <v>1622</v>
      </c>
      <c r="C544" s="23" t="s">
        <v>6</v>
      </c>
      <c r="D544" s="23" t="s">
        <v>6</v>
      </c>
      <c r="E544" s="24" t="s">
        <v>46</v>
      </c>
      <c r="F544" s="40">
        <f t="shared" ca="1" si="17"/>
        <v>46202</v>
      </c>
    </row>
    <row r="545" spans="1:9" x14ac:dyDescent="0.25">
      <c r="A545" s="11">
        <v>21</v>
      </c>
      <c r="B545" s="21" t="s">
        <v>1672</v>
      </c>
      <c r="C545" s="23" t="s">
        <v>5</v>
      </c>
      <c r="D545" s="23" t="s">
        <v>6</v>
      </c>
      <c r="E545" s="24" t="s">
        <v>46</v>
      </c>
      <c r="F545" s="40" t="str">
        <f t="shared" ca="1" si="17"/>
        <v/>
      </c>
    </row>
    <row r="546" spans="1:9" ht="15.75" x14ac:dyDescent="0.25">
      <c r="A546" s="11">
        <v>22</v>
      </c>
      <c r="B546" s="42" t="s">
        <v>464</v>
      </c>
      <c r="C546" s="23" t="s">
        <v>6</v>
      </c>
      <c r="D546" s="23" t="s">
        <v>6</v>
      </c>
      <c r="E546" s="102" t="s">
        <v>46</v>
      </c>
      <c r="F546" s="40">
        <f t="shared" ca="1" si="17"/>
        <v>46202</v>
      </c>
    </row>
    <row r="547" spans="1:9" x14ac:dyDescent="0.25">
      <c r="A547" s="11">
        <v>23</v>
      </c>
      <c r="B547" s="60" t="s">
        <v>307</v>
      </c>
      <c r="C547" s="23" t="s">
        <v>6</v>
      </c>
      <c r="D547" s="23" t="s">
        <v>6</v>
      </c>
      <c r="E547" s="107" t="s">
        <v>154</v>
      </c>
      <c r="F547" s="40">
        <f t="shared" ca="1" si="17"/>
        <v>46202</v>
      </c>
    </row>
    <row r="548" spans="1:9" x14ac:dyDescent="0.25">
      <c r="A548" s="11">
        <v>24</v>
      </c>
      <c r="B548" s="60" t="s">
        <v>815</v>
      </c>
      <c r="C548" s="23" t="s">
        <v>6</v>
      </c>
      <c r="D548" s="23" t="s">
        <v>6</v>
      </c>
      <c r="E548" s="18" t="s">
        <v>154</v>
      </c>
      <c r="F548" s="40">
        <f t="shared" ca="1" si="17"/>
        <v>46202</v>
      </c>
    </row>
    <row r="549" spans="1:9" x14ac:dyDescent="0.25">
      <c r="A549" s="11">
        <v>25</v>
      </c>
      <c r="B549" s="21" t="s">
        <v>1926</v>
      </c>
      <c r="C549" s="23" t="s">
        <v>6</v>
      </c>
      <c r="D549" s="23" t="s">
        <v>6</v>
      </c>
      <c r="E549" s="24" t="s">
        <v>46</v>
      </c>
      <c r="F549" s="40">
        <f t="shared" ca="1" si="17"/>
        <v>46202</v>
      </c>
    </row>
    <row r="550" spans="1:9" x14ac:dyDescent="0.25">
      <c r="A550" s="11">
        <v>26</v>
      </c>
      <c r="B550" s="21" t="s">
        <v>814</v>
      </c>
      <c r="C550" s="23" t="s">
        <v>5</v>
      </c>
      <c r="D550" s="23" t="s">
        <v>6</v>
      </c>
      <c r="E550" s="18" t="s">
        <v>46</v>
      </c>
      <c r="F550" s="40" t="str">
        <f t="shared" ca="1" si="17"/>
        <v/>
      </c>
    </row>
    <row r="551" spans="1:9" x14ac:dyDescent="0.25">
      <c r="A551" s="11">
        <v>27</v>
      </c>
      <c r="B551" s="21" t="s">
        <v>1786</v>
      </c>
      <c r="C551" s="23" t="s">
        <v>6</v>
      </c>
      <c r="D551" s="23" t="s">
        <v>6</v>
      </c>
      <c r="E551" s="16" t="s">
        <v>46</v>
      </c>
      <c r="F551" s="40">
        <f t="shared" ca="1" si="17"/>
        <v>46202</v>
      </c>
      <c r="G551" s="79"/>
    </row>
    <row r="552" spans="1:9" x14ac:dyDescent="0.25">
      <c r="A552" s="11">
        <v>28</v>
      </c>
      <c r="B552" s="21" t="s">
        <v>1024</v>
      </c>
      <c r="C552" s="23" t="s">
        <v>5</v>
      </c>
      <c r="D552" s="23" t="s">
        <v>6</v>
      </c>
      <c r="E552" s="18" t="s">
        <v>46</v>
      </c>
      <c r="F552" s="40" t="str">
        <f t="shared" ca="1" si="17"/>
        <v/>
      </c>
    </row>
    <row r="553" spans="1:9" ht="14.25" customHeight="1" x14ac:dyDescent="0.25">
      <c r="A553" s="11">
        <v>29</v>
      </c>
      <c r="B553" s="8" t="s">
        <v>1460</v>
      </c>
      <c r="C553" s="20" t="s">
        <v>6</v>
      </c>
      <c r="D553" s="20" t="s">
        <v>5</v>
      </c>
      <c r="E553" s="129" t="s">
        <v>46</v>
      </c>
      <c r="F553" s="40" t="str">
        <f t="shared" ca="1" si="17"/>
        <v/>
      </c>
    </row>
    <row r="554" spans="1:9" x14ac:dyDescent="0.25">
      <c r="A554" s="11">
        <v>30</v>
      </c>
      <c r="B554" s="21" t="s">
        <v>1787</v>
      </c>
      <c r="C554" s="23" t="s">
        <v>5</v>
      </c>
      <c r="D554" s="23" t="s">
        <v>6</v>
      </c>
      <c r="E554" s="16" t="s">
        <v>46</v>
      </c>
      <c r="F554" s="40" t="str">
        <f t="shared" ca="1" si="17"/>
        <v/>
      </c>
      <c r="G554" s="124"/>
      <c r="I554">
        <f>9+5</f>
        <v>14</v>
      </c>
    </row>
    <row r="555" spans="1:9" x14ac:dyDescent="0.25">
      <c r="A555" s="11">
        <v>31</v>
      </c>
      <c r="B555" s="21" t="s">
        <v>1895</v>
      </c>
      <c r="C555" s="23" t="s">
        <v>6</v>
      </c>
      <c r="D555" s="23" t="s">
        <v>6</v>
      </c>
      <c r="E555" s="16" t="s">
        <v>46</v>
      </c>
      <c r="F555" s="40">
        <f t="shared" ca="1" si="17"/>
        <v>46202</v>
      </c>
      <c r="G555" s="126"/>
      <c r="I555">
        <v>8</v>
      </c>
    </row>
    <row r="556" spans="1:9" x14ac:dyDescent="0.25">
      <c r="A556" s="11">
        <v>32</v>
      </c>
      <c r="B556" s="21" t="s">
        <v>1908</v>
      </c>
      <c r="C556" s="23" t="s">
        <v>6</v>
      </c>
      <c r="D556" s="23" t="s">
        <v>6</v>
      </c>
      <c r="E556" s="16" t="s">
        <v>359</v>
      </c>
      <c r="F556" s="40">
        <f t="shared" ca="1" si="17"/>
        <v>46202</v>
      </c>
    </row>
    <row r="557" spans="1:9" ht="21" x14ac:dyDescent="0.25">
      <c r="A557" s="78"/>
      <c r="B557" s="78"/>
      <c r="C557" s="43"/>
      <c r="D557" s="43"/>
    </row>
    <row r="558" spans="1:9" ht="45" x14ac:dyDescent="0.25">
      <c r="A558" s="159" t="s">
        <v>54</v>
      </c>
      <c r="B558" s="160"/>
      <c r="C558" s="12">
        <f>COUNTIF(C525:C556, "SI")</f>
        <v>14</v>
      </c>
      <c r="D558" s="6" t="s">
        <v>51</v>
      </c>
      <c r="E558" s="32">
        <f>C558/A556*100</f>
        <v>43.75</v>
      </c>
      <c r="F558" s="13" t="s">
        <v>1922</v>
      </c>
      <c r="H558" s="79"/>
    </row>
    <row r="559" spans="1:9" ht="45" x14ac:dyDescent="0.25">
      <c r="A559" s="159" t="s">
        <v>55</v>
      </c>
      <c r="B559" s="160"/>
      <c r="C559" s="12">
        <f>COUNTIF(C525:C556, "NO")</f>
        <v>18</v>
      </c>
      <c r="D559" s="6" t="s">
        <v>51</v>
      </c>
      <c r="E559" s="32">
        <f>C559/A556*100</f>
        <v>56.25</v>
      </c>
      <c r="F559" s="13" t="s">
        <v>1923</v>
      </c>
    </row>
    <row r="560" spans="1:9" ht="18" x14ac:dyDescent="0.25">
      <c r="A560" s="26"/>
      <c r="B560" s="26"/>
      <c r="C560" s="27"/>
      <c r="D560" s="28"/>
      <c r="E560" s="29"/>
      <c r="F560" s="30"/>
    </row>
    <row r="561" spans="1:6" ht="45" x14ac:dyDescent="0.25">
      <c r="A561" s="159" t="s">
        <v>56</v>
      </c>
      <c r="B561" s="160"/>
      <c r="C561" s="12">
        <f>COUNTIF(D525:D556, "SI")</f>
        <v>8</v>
      </c>
      <c r="D561" s="6" t="s">
        <v>51</v>
      </c>
      <c r="E561" s="32">
        <f>C561/A556*100</f>
        <v>25</v>
      </c>
      <c r="F561" s="13" t="s">
        <v>58</v>
      </c>
    </row>
    <row r="562" spans="1:6" ht="45" x14ac:dyDescent="0.25">
      <c r="A562" s="159" t="s">
        <v>57</v>
      </c>
      <c r="B562" s="160"/>
      <c r="C562" s="12">
        <f>COUNTIF(D525:D556, "NO")</f>
        <v>24</v>
      </c>
      <c r="D562" s="6" t="s">
        <v>51</v>
      </c>
      <c r="E562" s="32">
        <f>C562/A556*100</f>
        <v>75</v>
      </c>
      <c r="F562" s="13" t="s">
        <v>59</v>
      </c>
    </row>
    <row r="564" spans="1:6" x14ac:dyDescent="0.25">
      <c r="A564" s="155" t="s">
        <v>1064</v>
      </c>
      <c r="B564" s="156"/>
      <c r="C564" s="150">
        <f>COUNTIFS(C525:C556,"SI",D525:D556,"SI")</f>
        <v>6</v>
      </c>
      <c r="D564" s="151" t="s">
        <v>51</v>
      </c>
      <c r="E564" s="153">
        <f>C564/A556*100</f>
        <v>18.75</v>
      </c>
      <c r="F564" s="168" t="s">
        <v>1066</v>
      </c>
    </row>
    <row r="565" spans="1:6" ht="36" customHeight="1" x14ac:dyDescent="0.25">
      <c r="A565" s="157"/>
      <c r="B565" s="158"/>
      <c r="C565" s="150"/>
      <c r="D565" s="152"/>
      <c r="E565" s="154"/>
      <c r="F565" s="169"/>
    </row>
    <row r="566" spans="1:6" x14ac:dyDescent="0.25">
      <c r="A566" s="155" t="s">
        <v>1065</v>
      </c>
      <c r="B566" s="156"/>
      <c r="C566" s="150">
        <f>COUNTIFS(C525:C556,"NO",D525:D556,"NO")</f>
        <v>16</v>
      </c>
      <c r="D566" s="151" t="s">
        <v>51</v>
      </c>
      <c r="E566" s="153">
        <f>C566/A556*100</f>
        <v>50</v>
      </c>
      <c r="F566" s="168" t="s">
        <v>1067</v>
      </c>
    </row>
    <row r="567" spans="1:6" x14ac:dyDescent="0.25">
      <c r="A567" s="157"/>
      <c r="B567" s="158"/>
      <c r="C567" s="150"/>
      <c r="D567" s="152"/>
      <c r="E567" s="154"/>
      <c r="F567" s="169"/>
    </row>
    <row r="568" spans="1:6" ht="36.75" customHeight="1" x14ac:dyDescent="0.25">
      <c r="A568" s="77"/>
      <c r="B568" s="77"/>
      <c r="C568" s="77"/>
      <c r="D568" s="43"/>
    </row>
    <row r="570" spans="1:6" ht="15" customHeight="1" x14ac:dyDescent="0.25"/>
    <row r="571" spans="1:6" ht="15" customHeight="1" x14ac:dyDescent="0.25"/>
    <row r="572" spans="1:6" ht="15" customHeight="1" x14ac:dyDescent="0.25"/>
    <row r="573" spans="1:6" ht="15" customHeight="1" x14ac:dyDescent="0.25"/>
    <row r="574" spans="1:6" ht="15" customHeight="1" x14ac:dyDescent="0.25"/>
    <row r="586" ht="15" customHeight="1" x14ac:dyDescent="0.25"/>
    <row r="587" ht="15" customHeight="1" x14ac:dyDescent="0.25"/>
    <row r="598" ht="15" customHeight="1" x14ac:dyDescent="0.25"/>
    <row r="599" ht="15" customHeight="1" x14ac:dyDescent="0.25"/>
  </sheetData>
  <sortState xmlns:xlrd2="http://schemas.microsoft.com/office/spreadsheetml/2017/richdata2" ref="A492:H543">
    <sortCondition ref="G442"/>
  </sortState>
  <mergeCells count="110">
    <mergeCell ref="A98:B98"/>
    <mergeCell ref="D104:D105"/>
    <mergeCell ref="C106:C107"/>
    <mergeCell ref="E106:E107"/>
    <mergeCell ref="A284:B284"/>
    <mergeCell ref="A399:B399"/>
    <mergeCell ref="A400:B400"/>
    <mergeCell ref="A402:B403"/>
    <mergeCell ref="C402:C403"/>
    <mergeCell ref="D402:D403"/>
    <mergeCell ref="I529:J530"/>
    <mergeCell ref="F518:F519"/>
    <mergeCell ref="D287:D288"/>
    <mergeCell ref="E402:E403"/>
    <mergeCell ref="A515:B515"/>
    <mergeCell ref="A513:B513"/>
    <mergeCell ref="C518:C519"/>
    <mergeCell ref="A404:B405"/>
    <mergeCell ref="A518:B519"/>
    <mergeCell ref="F566:F567"/>
    <mergeCell ref="A564:B565"/>
    <mergeCell ref="C564:C565"/>
    <mergeCell ref="D564:D565"/>
    <mergeCell ref="E564:E565"/>
    <mergeCell ref="F564:F565"/>
    <mergeCell ref="A562:B562"/>
    <mergeCell ref="F520:F521"/>
    <mergeCell ref="A558:B558"/>
    <mergeCell ref="A559:B559"/>
    <mergeCell ref="A561:B561"/>
    <mergeCell ref="A520:B521"/>
    <mergeCell ref="C520:C521"/>
    <mergeCell ref="D520:D521"/>
    <mergeCell ref="E520:E521"/>
    <mergeCell ref="A566:B567"/>
    <mergeCell ref="C566:C567"/>
    <mergeCell ref="D566:D567"/>
    <mergeCell ref="E566:E567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404:C405"/>
    <mergeCell ref="D404:D405"/>
    <mergeCell ref="E404:E405"/>
    <mergeCell ref="F289:F290"/>
    <mergeCell ref="E287:E288"/>
    <mergeCell ref="A396:B396"/>
    <mergeCell ref="F402:F403"/>
    <mergeCell ref="E289:E290"/>
    <mergeCell ref="F404:F405"/>
    <mergeCell ref="F287:F288"/>
    <mergeCell ref="A397:B397"/>
    <mergeCell ref="C8:D8"/>
    <mergeCell ref="A281:B281"/>
    <mergeCell ref="A282:B282"/>
    <mergeCell ref="A17:B17"/>
    <mergeCell ref="F106:F107"/>
    <mergeCell ref="I21:J22"/>
    <mergeCell ref="J8:K8"/>
    <mergeCell ref="A21:E21"/>
    <mergeCell ref="C287:C288"/>
    <mergeCell ref="D106:D107"/>
    <mergeCell ref="D518:D519"/>
    <mergeCell ref="E518:E519"/>
    <mergeCell ref="A523:E523"/>
    <mergeCell ref="A292:E292"/>
    <mergeCell ref="A289:B290"/>
    <mergeCell ref="A285:B285"/>
    <mergeCell ref="A287:B288"/>
    <mergeCell ref="C289:C290"/>
    <mergeCell ref="D289:D290"/>
    <mergeCell ref="C104:C105"/>
    <mergeCell ref="A110:E110"/>
    <mergeCell ref="A106:B107"/>
    <mergeCell ref="A516:B516"/>
    <mergeCell ref="A407:E407"/>
    <mergeCell ref="A512:B512"/>
    <mergeCell ref="A102:B102"/>
    <mergeCell ref="I110:J111"/>
    <mergeCell ref="I295:J296"/>
    <mergeCell ref="I412:J413"/>
    <mergeCell ref="A101:B101"/>
  </mergeCells>
  <phoneticPr fontId="22" type="noConversion"/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6" priority="12490" operator="containsText" text="NO+$D$4:$D$10">
      <formula>NOT(ISERROR(SEARCH("NO+$D$4:$D$10",C23)))</formula>
    </cfRule>
  </conditionalFormatting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5" priority="12487" operator="containsText" text="SI">
      <formula>NOT(ISERROR(SEARCH("SI",C23)))</formula>
    </cfRule>
    <cfRule type="containsText" dxfId="6794" priority="12489" operator="containsText" text="NO">
      <formula>NOT(ISERROR(SEARCH("NO",C23)))</formula>
    </cfRule>
  </conditionalFormatting>
  <conditionalFormatting sqref="E211:E213 E230:E231 E217:E218 E436:E437 E447 E432 E449 E534 E294:E295 E362 E304:E308 E322:E323 E336:E340 E56 E297:E301 E542 E357:E359 E426:E428 E317:E320 E452:E454 E439:E440 E223:E227 E23:E33 E525:E532 E372:E373 E329:E331 E36:E38 E41:E49 E465:E471 E485 E58:E62 E310 E348 E51:E53 E442 E434 E350 E312 E325 E456:E458 E409:E422 E536 E460 E65:E66">
    <cfRule type="containsText" dxfId="6793" priority="12479" operator="containsText" text="Sin información">
      <formula>NOT(ISERROR(SEARCH("Sin información",E23)))</formula>
    </cfRule>
  </conditionalFormatting>
  <conditionalFormatting sqref="E217:E218 E189 E163:E168 E149 E178:E179 E449 E172:E173 E477 C294:E294 E295 E158 E56 E175:E176 E304:E308 E322:E323 E336:E340 E362 E118:E120 E137:E138 E297:E301 E357:E359 E170 E203:E205 E426:E428 E452:E454 E152 C409:E409 E432 E436:E437 E439:E440 E534 E542 C525:E525 E129:E134 E329:E331 E36:E38 E24:E33 C112:E112 E526:E532 E160 E141:E142 E122:E123 E113:E115 C23:E23 E209:E213 E199 E41:E49 E181:E187 E465:E468 E485 E492 E58:E62 E310 E348 E144 E51:E53 E442:E443 E434 E146 E193:E195 E197 E350 C295:D310 E445:E447 D96 C554:D556 C279:D279 C259:D259 D394 E312 C193:D199 C509:D510 E325 C346:D350 C261:D266 E223:E234 C201:D257 C113:D191 C352:D382 E371:E379 C325:D342 E317:E320 C312:D323 C445:D454 C487:D497 C479:D485 E456:E458 E410:E422 C410:D443 C270:D274 C268:D268 C500:D507 E536 C551:E551 C526:D550 E460 C456:D477 C55:D88 E65:E66 C24:D53">
    <cfRule type="containsText" dxfId="6792" priority="12478" operator="containsText" text="NUEVO">
      <formula>NOT(ISERROR(SEARCH("NUEVO",C23)))</formula>
    </cfRule>
  </conditionalFormatting>
  <conditionalFormatting sqref="E204 E445:E446 E310 E217:E218 E189 E163:E168 E152 E149 E178:E179 E467 E434 E209:E213 E172:E173 E456:E457 E477 E112:E115 E340 E175:E176 E158 E118:E120 E137:E138 E193:E195 E170 E129:E134 E160 E141:E142 E122:E123 E181:E187 E371 E492 E58:E62 E53 E348 E144 E146 E197 E350 E223:E234 E374:E379 E551 E65:E66">
    <cfRule type="containsText" dxfId="6791" priority="12470" operator="containsText" text="Sin Información">
      <formula>NOT(ISERROR(SEARCH("Sin Información",E53)))</formula>
    </cfRule>
  </conditionalFormatting>
  <conditionalFormatting sqref="E454">
    <cfRule type="containsText" dxfId="6790" priority="12433" operator="containsText" text="Sin información">
      <formula>NOT(ISERROR(SEARCH("Sin información",E454)))</formula>
    </cfRule>
  </conditionalFormatting>
  <conditionalFormatting sqref="E457">
    <cfRule type="containsText" dxfId="6789" priority="12419" operator="containsText" text="Sin información">
      <formula>NOT(ISERROR(SEARCH("Sin información",E457)))</formula>
    </cfRule>
  </conditionalFormatting>
  <conditionalFormatting sqref="E48:E49">
    <cfRule type="containsText" dxfId="6788" priority="12418" operator="containsText" text="Sin información">
      <formula>NOT(ISERROR(SEARCH("Sin información",E48)))</formula>
    </cfRule>
  </conditionalFormatting>
  <conditionalFormatting sqref="E453">
    <cfRule type="containsText" dxfId="6787" priority="12405" operator="containsText" text="Sin información">
      <formula>NOT(ISERROR(SEARCH("Sin información",E453)))</formula>
    </cfRule>
  </conditionalFormatting>
  <conditionalFormatting sqref="E514">
    <cfRule type="colorScale" priority="1249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218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43">
    <cfRule type="containsText" dxfId="6786" priority="11781" operator="containsText" text="Sin información">
      <formula>NOT(ISERROR(SEARCH("Sin información",E443)))</formula>
    </cfRule>
  </conditionalFormatting>
  <conditionalFormatting sqref="E199 E203">
    <cfRule type="containsText" dxfId="6785" priority="11534" operator="containsText" text="Sin Información">
      <formula>NOT(ISERROR(SEARCH("Sin Información",E199)))</formula>
    </cfRule>
  </conditionalFormatting>
  <conditionalFormatting sqref="E528">
    <cfRule type="containsText" dxfId="6784" priority="11378" operator="containsText" text="Sin información">
      <formula>NOT(ISERROR(SEARCH("Sin información",E528)))</formula>
    </cfRule>
  </conditionalFormatting>
  <conditionalFormatting sqref="F16">
    <cfRule type="colorScale" priority="1001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9">
    <cfRule type="containsText" dxfId="6783" priority="9805" operator="containsText" text="Sin información">
      <formula>NOT(ISERROR(SEARCH("Sin información",E59)))</formula>
    </cfRule>
  </conditionalFormatting>
  <conditionalFormatting sqref="E174">
    <cfRule type="containsText" dxfId="6782" priority="9617" operator="containsText" text="NUEVO">
      <formula>NOT(ISERROR(SEARCH("NUEVO",E174)))</formula>
    </cfRule>
  </conditionalFormatting>
  <conditionalFormatting sqref="E174">
    <cfRule type="containsText" dxfId="6781" priority="9616" operator="containsText" text="Sin Información">
      <formula>NOT(ISERROR(SEARCH("Sin Información",E174)))</formula>
    </cfRule>
  </conditionalFormatting>
  <conditionalFormatting sqref="E532">
    <cfRule type="containsText" dxfId="6780" priority="8801" operator="containsText" text="Sin información">
      <formula>NOT(ISERROR(SEARCH("Sin información",E532)))</formula>
    </cfRule>
  </conditionalFormatting>
  <conditionalFormatting sqref="E532">
    <cfRule type="containsText" dxfId="6779" priority="8800" operator="containsText" text="NUEVO">
      <formula>NOT(ISERROR(SEARCH("NUEVO",E532)))</formula>
    </cfRule>
  </conditionalFormatting>
  <conditionalFormatting sqref="E466">
    <cfRule type="containsText" dxfId="6778" priority="8611" operator="containsText" text="NUEVO">
      <formula>NOT(ISERROR(SEARCH("NUEVO",E466)))</formula>
    </cfRule>
  </conditionalFormatting>
  <conditionalFormatting sqref="E466">
    <cfRule type="containsText" dxfId="6777" priority="8610" operator="containsText" text="Sin información">
      <formula>NOT(ISERROR(SEARCH("Sin información",E466)))</formula>
    </cfRule>
  </conditionalFormatting>
  <conditionalFormatting sqref="E171">
    <cfRule type="containsText" dxfId="6776" priority="8317" operator="containsText" text="NUEVO">
      <formula>NOT(ISERROR(SEARCH("NUEVO",E171)))</formula>
    </cfRule>
  </conditionalFormatting>
  <conditionalFormatting sqref="E171">
    <cfRule type="containsText" dxfId="6775" priority="8316" operator="containsText" text="Sin Información">
      <formula>NOT(ISERROR(SEARCH("Sin Información",E171)))</formula>
    </cfRule>
  </conditionalFormatting>
  <conditionalFormatting sqref="E468">
    <cfRule type="containsText" dxfId="6774" priority="8263" operator="containsText" text="Sin información">
      <formula>NOT(ISERROR(SEARCH("Sin información",E468)))</formula>
    </cfRule>
  </conditionalFormatting>
  <conditionalFormatting sqref="E468">
    <cfRule type="containsText" dxfId="6773" priority="8262" operator="containsText" text="NUEVO">
      <formula>NOT(ISERROR(SEARCH("NUEVO",E468)))</formula>
    </cfRule>
  </conditionalFormatting>
  <conditionalFormatting sqref="E48:E49">
    <cfRule type="containsText" dxfId="6772" priority="6279" operator="containsText" text="Sin información">
      <formula>NOT(ISERROR(SEARCH("Sin información",E48)))</formula>
    </cfRule>
  </conditionalFormatting>
  <conditionalFormatting sqref="E48:E49">
    <cfRule type="containsText" dxfId="6771" priority="6278" operator="containsText" text="NUEVO">
      <formula>NOT(ISERROR(SEARCH("NUEVO",E48)))</formula>
    </cfRule>
  </conditionalFormatting>
  <conditionalFormatting sqref="E536">
    <cfRule type="containsText" dxfId="6770" priority="5560" operator="containsText" text="NUEVO">
      <formula>NOT(ISERROR(SEARCH("NUEVO",E536)))</formula>
    </cfRule>
  </conditionalFormatting>
  <conditionalFormatting sqref="E536">
    <cfRule type="containsText" dxfId="6769" priority="5561" operator="containsText" text="Sin información">
      <formula>NOT(ISERROR(SEARCH("Sin información",E536)))</formula>
    </cfRule>
  </conditionalFormatting>
  <conditionalFormatting sqref="E469">
    <cfRule type="containsText" dxfId="6768" priority="5007" operator="containsText" text="NUEVO">
      <formula>NOT(ISERROR(SEARCH("NUEVO",E469)))</formula>
    </cfRule>
  </conditionalFormatting>
  <conditionalFormatting sqref="E469">
    <cfRule type="containsText" dxfId="6767" priority="5008" operator="containsText" text="Sin información">
      <formula>NOT(ISERROR(SEARCH("Sin información",E469)))</formula>
    </cfRule>
  </conditionalFormatting>
  <conditionalFormatting sqref="E560">
    <cfRule type="colorScale" priority="497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70:E471">
    <cfRule type="containsText" dxfId="6766" priority="4973" operator="containsText" text="Sin información">
      <formula>NOT(ISERROR(SEARCH("Sin información",E470)))</formula>
    </cfRule>
  </conditionalFormatting>
  <conditionalFormatting sqref="E470:E471">
    <cfRule type="containsText" dxfId="6765" priority="4971" operator="containsText" text="NUEVO">
      <formula>NOT(ISERROR(SEARCH("NUEVO",E470)))</formula>
    </cfRule>
  </conditionalFormatting>
  <conditionalFormatting sqref="E470:E471">
    <cfRule type="containsText" dxfId="6764" priority="4972" operator="containsText" text="Sin información">
      <formula>NOT(ISERROR(SEARCH("Sin información",E470)))</formula>
    </cfRule>
  </conditionalFormatting>
  <conditionalFormatting sqref="E117">
    <cfRule type="containsText" dxfId="6763" priority="4938" operator="containsText" text="NUEVO">
      <formula>NOT(ISERROR(SEARCH("NUEVO",E117)))</formula>
    </cfRule>
  </conditionalFormatting>
  <conditionalFormatting sqref="E241">
    <cfRule type="containsText" dxfId="6762" priority="4932" operator="containsText" text="NUEVO">
      <formula>NOT(ISERROR(SEARCH("NUEVO",E241)))</formula>
    </cfRule>
  </conditionalFormatting>
  <conditionalFormatting sqref="E117">
    <cfRule type="containsText" dxfId="6761" priority="4937" operator="containsText" text="Sin Información">
      <formula>NOT(ISERROR(SEARCH("Sin Información",E117)))</formula>
    </cfRule>
  </conditionalFormatting>
  <conditionalFormatting sqref="E241">
    <cfRule type="containsText" dxfId="6760" priority="4931" operator="containsText" text="Sin Información">
      <formula>NOT(ISERROR(SEARCH("Sin Información",E241)))</formula>
    </cfRule>
  </conditionalFormatting>
  <conditionalFormatting sqref="E473">
    <cfRule type="containsText" dxfId="6759" priority="4797" operator="containsText" text="Sin información">
      <formula>NOT(ISERROR(SEARCH("Sin información",E473)))</formula>
    </cfRule>
  </conditionalFormatting>
  <conditionalFormatting sqref="E473">
    <cfRule type="containsText" dxfId="6758" priority="4795" operator="containsText" text="NUEVO">
      <formula>NOT(ISERROR(SEARCH("NUEVO",E473)))</formula>
    </cfRule>
  </conditionalFormatting>
  <conditionalFormatting sqref="E473">
    <cfRule type="containsText" dxfId="6757" priority="4796" operator="containsText" text="Sin información">
      <formula>NOT(ISERROR(SEARCH("Sin información",E473)))</formula>
    </cfRule>
  </conditionalFormatting>
  <conditionalFormatting sqref="E220">
    <cfRule type="containsText" dxfId="6756" priority="4764" operator="containsText" text="Sin información">
      <formula>NOT(ISERROR(SEARCH("Sin información",E220)))</formula>
    </cfRule>
  </conditionalFormatting>
  <conditionalFormatting sqref="E220">
    <cfRule type="containsText" dxfId="6755" priority="4763" operator="containsText" text="NUEVO">
      <formula>NOT(ISERROR(SEARCH("NUEVO",E220)))</formula>
    </cfRule>
  </conditionalFormatting>
  <conditionalFormatting sqref="E162">
    <cfRule type="containsText" dxfId="6754" priority="4746" operator="containsText" text="NUEVO">
      <formula>NOT(ISERROR(SEARCH("NUEVO",E162)))</formula>
    </cfRule>
  </conditionalFormatting>
  <conditionalFormatting sqref="E240">
    <cfRule type="containsText" dxfId="6753" priority="4769" operator="containsText" text="NUEVO">
      <formula>NOT(ISERROR(SEARCH("NUEVO",E240)))</formula>
    </cfRule>
  </conditionalFormatting>
  <conditionalFormatting sqref="E240">
    <cfRule type="containsText" dxfId="6752" priority="4768" operator="containsText" text="Sin Información">
      <formula>NOT(ISERROR(SEARCH("Sin Información",E240)))</formula>
    </cfRule>
  </conditionalFormatting>
  <conditionalFormatting sqref="E220">
    <cfRule type="containsText" dxfId="6751" priority="4762" operator="containsText" text="Sin Información">
      <formula>NOT(ISERROR(SEARCH("Sin Información",E220)))</formula>
    </cfRule>
  </conditionalFormatting>
  <conditionalFormatting sqref="N149:O149">
    <cfRule type="containsText" dxfId="6750" priority="4734" operator="containsText" text="NO+$D$4:$D$10">
      <formula>NOT(ISERROR(SEARCH("NO+$D$4:$D$10",N149)))</formula>
    </cfRule>
  </conditionalFormatting>
  <conditionalFormatting sqref="N149:O149">
    <cfRule type="containsText" dxfId="6749" priority="4732" operator="containsText" text="SI">
      <formula>NOT(ISERROR(SEARCH("SI",N149)))</formula>
    </cfRule>
    <cfRule type="containsText" dxfId="6748" priority="4733" operator="containsText" text="NO">
      <formula>NOT(ISERROR(SEARCH("NO",N149)))</formula>
    </cfRule>
  </conditionalFormatting>
  <conditionalFormatting sqref="N149:P149">
    <cfRule type="containsText" dxfId="6747" priority="4731" operator="containsText" text="NUEVO">
      <formula>NOT(ISERROR(SEARCH("NUEVO",N149)))</formula>
    </cfRule>
  </conditionalFormatting>
  <conditionalFormatting sqref="E162">
    <cfRule type="containsText" dxfId="6746" priority="4745" operator="containsText" text="Sin Información">
      <formula>NOT(ISERROR(SEARCH("Sin Información",E162)))</formula>
    </cfRule>
  </conditionalFormatting>
  <conditionalFormatting sqref="E150">
    <cfRule type="containsText" dxfId="6745" priority="4741" operator="containsText" text="NUEVO">
      <formula>NOT(ISERROR(SEARCH("NUEVO",E150)))</formula>
    </cfRule>
  </conditionalFormatting>
  <conditionalFormatting sqref="E150">
    <cfRule type="containsText" dxfId="6744" priority="4740" operator="containsText" text="Sin Información">
      <formula>NOT(ISERROR(SEARCH("Sin Información",E150)))</formula>
    </cfRule>
  </conditionalFormatting>
  <conditionalFormatting sqref="P149">
    <cfRule type="containsText" dxfId="6743" priority="4730" operator="containsText" text="Sin Información">
      <formula>NOT(ISERROR(SEARCH("Sin Información",P149)))</formula>
    </cfRule>
  </conditionalFormatting>
  <conditionalFormatting sqref="E177">
    <cfRule type="containsText" dxfId="6742" priority="4721" operator="containsText" text="NUEVO">
      <formula>NOT(ISERROR(SEARCH("NUEVO",E177)))</formula>
    </cfRule>
  </conditionalFormatting>
  <conditionalFormatting sqref="E177">
    <cfRule type="containsText" dxfId="6741" priority="4720" operator="containsText" text="Sin Información">
      <formula>NOT(ISERROR(SEARCH("Sin Información",E177)))</formula>
    </cfRule>
  </conditionalFormatting>
  <conditionalFormatting sqref="E180">
    <cfRule type="containsText" dxfId="6740" priority="4703" operator="containsText" text="NUEVO">
      <formula>NOT(ISERROR(SEARCH("NUEVO",E180)))</formula>
    </cfRule>
  </conditionalFormatting>
  <conditionalFormatting sqref="E180">
    <cfRule type="containsText" dxfId="6739" priority="4702" operator="containsText" text="Sin Información">
      <formula>NOT(ISERROR(SEARCH("Sin Información",E180)))</formula>
    </cfRule>
  </conditionalFormatting>
  <conditionalFormatting sqref="E302">
    <cfRule type="containsText" dxfId="6738" priority="4687" operator="containsText" text="Sin información">
      <formula>NOT(ISERROR(SEARCH("Sin información",E302)))</formula>
    </cfRule>
  </conditionalFormatting>
  <conditionalFormatting sqref="E302">
    <cfRule type="containsText" dxfId="6737" priority="4686" operator="containsText" text="NUEVO">
      <formula>NOT(ISERROR(SEARCH("NUEVO",E302)))</formula>
    </cfRule>
  </conditionalFormatting>
  <conditionalFormatting sqref="E61">
    <cfRule type="containsText" dxfId="6736" priority="4678" operator="containsText" text="Sin información">
      <formula>NOT(ISERROR(SEARCH("Sin información",E61)))</formula>
    </cfRule>
  </conditionalFormatting>
  <conditionalFormatting sqref="E61">
    <cfRule type="containsText" dxfId="6735" priority="4677" operator="containsText" text="NUEVO">
      <formula>NOT(ISERROR(SEARCH("NUEVO",E61)))</formula>
    </cfRule>
  </conditionalFormatting>
  <conditionalFormatting sqref="E431">
    <cfRule type="containsText" dxfId="6734" priority="4636" operator="containsText" text="NUEVO">
      <formula>NOT(ISERROR(SEARCH("NUEVO",E431)))</formula>
    </cfRule>
  </conditionalFormatting>
  <conditionalFormatting sqref="E188">
    <cfRule type="containsText" dxfId="6733" priority="4654" operator="containsText" text="NUEVO">
      <formula>NOT(ISERROR(SEARCH("NUEVO",E188)))</formula>
    </cfRule>
  </conditionalFormatting>
  <conditionalFormatting sqref="E188">
    <cfRule type="containsText" dxfId="6732" priority="4653" operator="containsText" text="Sin Información">
      <formula>NOT(ISERROR(SEARCH("Sin Información",E188)))</formula>
    </cfRule>
  </conditionalFormatting>
  <conditionalFormatting sqref="E237">
    <cfRule type="containsText" dxfId="6731" priority="4598" operator="containsText" text="NUEVO">
      <formula>NOT(ISERROR(SEARCH("NUEVO",E237)))</formula>
    </cfRule>
  </conditionalFormatting>
  <conditionalFormatting sqref="E431">
    <cfRule type="containsText" dxfId="6730" priority="4637" operator="containsText" text="Sin información">
      <formula>NOT(ISERROR(SEARCH("Sin información",E431)))</formula>
    </cfRule>
  </conditionalFormatting>
  <conditionalFormatting sqref="E237">
    <cfRule type="containsText" dxfId="6729" priority="4597" operator="containsText" text="Sin Información">
      <formula>NOT(ISERROR(SEARCH("Sin Información",E237)))</formula>
    </cfRule>
  </conditionalFormatting>
  <conditionalFormatting sqref="E244:E245 E247:E249">
    <cfRule type="containsText" dxfId="6728" priority="4510" operator="containsText" text="Sin Información">
      <formula>NOT(ISERROR(SEARCH("Sin Información",E244)))</formula>
    </cfRule>
  </conditionalFormatting>
  <conditionalFormatting sqref="E244:E245 E247:E249">
    <cfRule type="containsText" dxfId="6727" priority="4511" operator="containsText" text="NUEVO">
      <formula>NOT(ISERROR(SEARCH("NUEVO",E244)))</formula>
    </cfRule>
  </conditionalFormatting>
  <conditionalFormatting sqref="E434">
    <cfRule type="containsText" dxfId="6726" priority="4463" operator="containsText" text="NUEVO">
      <formula>NOT(ISERROR(SEARCH("NUEVO",E434)))</formula>
    </cfRule>
  </conditionalFormatting>
  <conditionalFormatting sqref="E537">
    <cfRule type="containsText" dxfId="6725" priority="4459" operator="containsText" text="Sin información">
      <formula>NOT(ISERROR(SEARCH("Sin información",E537)))</formula>
    </cfRule>
  </conditionalFormatting>
  <conditionalFormatting sqref="E537">
    <cfRule type="containsText" dxfId="6724" priority="4458" operator="containsText" text="NUEVO">
      <formula>NOT(ISERROR(SEARCH("NUEVO",E537)))</formula>
    </cfRule>
  </conditionalFormatting>
  <conditionalFormatting sqref="E434">
    <cfRule type="containsText" dxfId="6723" priority="4464" operator="containsText" text="Sin información">
      <formula>NOT(ISERROR(SEARCH("Sin información",E434)))</formula>
    </cfRule>
  </conditionalFormatting>
  <conditionalFormatting sqref="E235">
    <cfRule type="containsText" dxfId="6722" priority="4415" operator="containsText" text="NUEVO">
      <formula>NOT(ISERROR(SEARCH("NUEVO",E235)))</formula>
    </cfRule>
  </conditionalFormatting>
  <conditionalFormatting sqref="E235">
    <cfRule type="containsText" dxfId="6721" priority="4414" operator="containsText" text="Sin Información">
      <formula>NOT(ISERROR(SEARCH("Sin Información",E235)))</formula>
    </cfRule>
  </conditionalFormatting>
  <conditionalFormatting sqref="E236">
    <cfRule type="containsText" dxfId="6720" priority="4404" operator="containsText" text="NUEVO">
      <formula>NOT(ISERROR(SEARCH("NUEVO",E236)))</formula>
    </cfRule>
  </conditionalFormatting>
  <conditionalFormatting sqref="E236">
    <cfRule type="containsText" dxfId="6719" priority="4403" operator="containsText" text="Sin Información">
      <formula>NOT(ISERROR(SEARCH("Sin Información",E236)))</formula>
    </cfRule>
  </conditionalFormatting>
  <conditionalFormatting sqref="E461">
    <cfRule type="containsText" dxfId="6718" priority="4278" operator="containsText" text="Sin información">
      <formula>NOT(ISERROR(SEARCH("Sin información",E461)))</formula>
    </cfRule>
  </conditionalFormatting>
  <conditionalFormatting sqref="E461">
    <cfRule type="containsText" dxfId="6717" priority="4277" operator="containsText" text="NUEVO">
      <formula>NOT(ISERROR(SEARCH("NUEVO",E461)))</formula>
    </cfRule>
  </conditionalFormatting>
  <conditionalFormatting sqref="E348 E350">
    <cfRule type="containsText" dxfId="6716" priority="4237" operator="containsText" text="NUEVO">
      <formula>NOT(ISERROR(SEARCH("NUEVO",E348)))</formula>
    </cfRule>
  </conditionalFormatting>
  <conditionalFormatting sqref="E348 E350">
    <cfRule type="containsText" dxfId="6715" priority="4236" operator="containsText" text="Sin Información">
      <formula>NOT(ISERROR(SEARCH("Sin Información",E348)))</formula>
    </cfRule>
  </conditionalFormatting>
  <conditionalFormatting sqref="E348 E350">
    <cfRule type="containsText" dxfId="6714" priority="4235" operator="containsText" text="Sin Información">
      <formula>NOT(ISERROR(SEARCH("Sin Información",E348)))</formula>
    </cfRule>
  </conditionalFormatting>
  <conditionalFormatting sqref="E257 E259 E261">
    <cfRule type="containsText" dxfId="6713" priority="4009" operator="containsText" text="NUEVO">
      <formula>NOT(ISERROR(SEARCH("NUEVO",E257)))</formula>
    </cfRule>
  </conditionalFormatting>
  <conditionalFormatting sqref="E474:E477">
    <cfRule type="containsText" dxfId="6712" priority="4005" operator="containsText" text="Sin información">
      <formula>NOT(ISERROR(SEARCH("Sin información",E474)))</formula>
    </cfRule>
  </conditionalFormatting>
  <conditionalFormatting sqref="E540">
    <cfRule type="containsText" dxfId="6711" priority="4001" operator="containsText" text="NUEVO">
      <formula>NOT(ISERROR(SEARCH("NUEVO",E540)))</formula>
    </cfRule>
  </conditionalFormatting>
  <conditionalFormatting sqref="E540">
    <cfRule type="containsText" dxfId="6710" priority="4002" operator="containsText" text="Sin información">
      <formula>NOT(ISERROR(SEARCH("Sin información",E540)))</formula>
    </cfRule>
  </conditionalFormatting>
  <conditionalFormatting sqref="E474:E477">
    <cfRule type="containsText" dxfId="6709" priority="4004" operator="containsText" text="Sin información">
      <formula>NOT(ISERROR(SEARCH("Sin información",E474)))</formula>
    </cfRule>
  </conditionalFormatting>
  <conditionalFormatting sqref="E474:E477">
    <cfRule type="containsText" dxfId="6708" priority="4003" operator="containsText" text="NUEVO">
      <formula>NOT(ISERROR(SEARCH("NUEVO",E474)))</formula>
    </cfRule>
  </conditionalFormatting>
  <conditionalFormatting sqref="E257 E259 E261">
    <cfRule type="containsText" dxfId="6707" priority="4008" operator="containsText" text="Sin Información">
      <formula>NOT(ISERROR(SEARCH("Sin Información",E257)))</formula>
    </cfRule>
  </conditionalFormatting>
  <conditionalFormatting sqref="E541">
    <cfRule type="containsText" dxfId="6706" priority="3953" operator="containsText" text="NUEVO">
      <formula>NOT(ISERROR(SEARCH("NUEVO",E541)))</formula>
    </cfRule>
  </conditionalFormatting>
  <conditionalFormatting sqref="E541">
    <cfRule type="containsText" dxfId="6705" priority="3954" operator="containsText" text="Sin información">
      <formula>NOT(ISERROR(SEARCH("Sin información",E541)))</formula>
    </cfRule>
  </conditionalFormatting>
  <conditionalFormatting sqref="E221">
    <cfRule type="containsText" dxfId="6704" priority="3948" operator="containsText" text="NUEVO">
      <formula>NOT(ISERROR(SEARCH("NUEVO",E221)))</formula>
    </cfRule>
  </conditionalFormatting>
  <conditionalFormatting sqref="E221">
    <cfRule type="containsText" dxfId="6703" priority="3947" operator="containsText" text="Sin Información">
      <formula>NOT(ISERROR(SEARCH("Sin Información",E221)))</formula>
    </cfRule>
  </conditionalFormatting>
  <conditionalFormatting sqref="E479 E482">
    <cfRule type="containsText" dxfId="6702" priority="3843" operator="containsText" text="Sin información">
      <formula>NOT(ISERROR(SEARCH("Sin información",E479)))</formula>
    </cfRule>
  </conditionalFormatting>
  <conditionalFormatting sqref="E479 E482">
    <cfRule type="containsText" dxfId="6701" priority="3842" operator="containsText" text="NUEVO">
      <formula>NOT(ISERROR(SEARCH("NUEVO",E479)))</formula>
    </cfRule>
  </conditionalFormatting>
  <conditionalFormatting sqref="E479 E482">
    <cfRule type="containsText" dxfId="6700" priority="3844" operator="containsText" text="Sin información">
      <formula>NOT(ISERROR(SEARCH("Sin información",E479)))</formula>
    </cfRule>
  </conditionalFormatting>
  <conditionalFormatting sqref="E448">
    <cfRule type="containsText" dxfId="6699" priority="3809" operator="containsText" text="Sin información">
      <formula>NOT(ISERROR(SEARCH("Sin información",E448)))</formula>
    </cfRule>
  </conditionalFormatting>
  <conditionalFormatting sqref="E448">
    <cfRule type="containsText" dxfId="6698" priority="3807" operator="containsText" text="Sin información">
      <formula>NOT(ISERROR(SEARCH("Sin información",E448)))</formula>
    </cfRule>
  </conditionalFormatting>
  <conditionalFormatting sqref="E243">
    <cfRule type="containsText" dxfId="6697" priority="3729" operator="containsText" text="NUEVO">
      <formula>NOT(ISERROR(SEARCH("NUEVO",E243)))</formula>
    </cfRule>
  </conditionalFormatting>
  <conditionalFormatting sqref="E243">
    <cfRule type="containsText" dxfId="6696" priority="3728" operator="containsText" text="Sin Información">
      <formula>NOT(ISERROR(SEARCH("Sin Información",E243)))</formula>
    </cfRule>
  </conditionalFormatting>
  <conditionalFormatting sqref="E262">
    <cfRule type="containsText" dxfId="6695" priority="3544" operator="containsText" text="Sin Información">
      <formula>NOT(ISERROR(SEARCH("Sin Información",E262)))</formula>
    </cfRule>
  </conditionalFormatting>
  <conditionalFormatting sqref="E483:E484">
    <cfRule type="containsText" dxfId="6694" priority="3540" operator="containsText" text="Sin información">
      <formula>NOT(ISERROR(SEARCH("Sin información",E483)))</formula>
    </cfRule>
  </conditionalFormatting>
  <conditionalFormatting sqref="E483:E484">
    <cfRule type="containsText" dxfId="6693" priority="3539" operator="containsText" text="NUEVO">
      <formula>NOT(ISERROR(SEARCH("NUEVO",E483)))</formula>
    </cfRule>
  </conditionalFormatting>
  <conditionalFormatting sqref="E483:E484">
    <cfRule type="containsText" dxfId="6692" priority="3541" operator="containsText" text="Sin información">
      <formula>NOT(ISERROR(SEARCH("Sin información",E483)))</formula>
    </cfRule>
  </conditionalFormatting>
  <conditionalFormatting sqref="E262">
    <cfRule type="containsText" dxfId="6691" priority="3545" operator="containsText" text="NUEVO">
      <formula>NOT(ISERROR(SEARCH("NUEVO",E262)))</formula>
    </cfRule>
  </conditionalFormatting>
  <conditionalFormatting sqref="E435">
    <cfRule type="containsText" dxfId="6690" priority="3520" operator="containsText" text="Sin información">
      <formula>NOT(ISERROR(SEARCH("Sin información",E435)))</formula>
    </cfRule>
  </conditionalFormatting>
  <conditionalFormatting sqref="E435">
    <cfRule type="containsText" dxfId="6689" priority="3519" operator="containsText" text="NUEVO">
      <formula>NOT(ISERROR(SEARCH("NUEVO",E435)))</formula>
    </cfRule>
  </conditionalFormatting>
  <conditionalFormatting sqref="E533">
    <cfRule type="containsText" dxfId="6688" priority="3514" operator="containsText" text="NUEVO">
      <formula>NOT(ISERROR(SEARCH("NUEVO",E533)))</formula>
    </cfRule>
  </conditionalFormatting>
  <conditionalFormatting sqref="E533">
    <cfRule type="containsText" dxfId="6687" priority="3513" operator="containsText" text="Sin información">
      <formula>NOT(ISERROR(SEARCH("Sin información",E533)))</formula>
    </cfRule>
  </conditionalFormatting>
  <conditionalFormatting sqref="E315">
    <cfRule type="containsText" dxfId="6686" priority="3335" operator="containsText" text="Sin información">
      <formula>NOT(ISERROR(SEARCH("Sin información",E315)))</formula>
    </cfRule>
  </conditionalFormatting>
  <conditionalFormatting sqref="E315">
    <cfRule type="containsText" dxfId="6685" priority="3334" operator="containsText" text="NUEVO">
      <formula>NOT(ISERROR(SEARCH("NUEVO",E315)))</formula>
    </cfRule>
  </conditionalFormatting>
  <conditionalFormatting sqref="E135">
    <cfRule type="containsText" dxfId="6684" priority="3309" operator="containsText" text="NUEVO">
      <formula>NOT(ISERROR(SEARCH("NUEVO",E135)))</formula>
    </cfRule>
  </conditionalFormatting>
  <conditionalFormatting sqref="E135">
    <cfRule type="containsText" dxfId="6683" priority="3308" operator="containsText" text="Sin Información">
      <formula>NOT(ISERROR(SEARCH("Sin Información",E135)))</formula>
    </cfRule>
  </conditionalFormatting>
  <conditionalFormatting sqref="E450">
    <cfRule type="containsText" dxfId="6682" priority="3185" operator="containsText" text="NUEVO">
      <formula>NOT(ISERROR(SEARCH("NUEVO",E450)))</formula>
    </cfRule>
  </conditionalFormatting>
  <conditionalFormatting sqref="E543">
    <cfRule type="containsText" dxfId="6681" priority="3191" operator="containsText" text="Sin información">
      <formula>NOT(ISERROR(SEARCH("Sin información",E543)))</formula>
    </cfRule>
  </conditionalFormatting>
  <conditionalFormatting sqref="E543">
    <cfRule type="containsText" dxfId="6680" priority="3190" operator="containsText" text="NUEVO">
      <formula>NOT(ISERROR(SEARCH("NUEVO",E543)))</formula>
    </cfRule>
  </conditionalFormatting>
  <conditionalFormatting sqref="E450">
    <cfRule type="containsText" dxfId="6679" priority="3186" operator="containsText" text="Sin información">
      <formula>NOT(ISERROR(SEARCH("Sin información",E450)))</formula>
    </cfRule>
  </conditionalFormatting>
  <conditionalFormatting sqref="E256">
    <cfRule type="containsText" dxfId="6678" priority="2994" operator="containsText" text="NUEVO">
      <formula>NOT(ISERROR(SEARCH("NUEVO",E256)))</formula>
    </cfRule>
  </conditionalFormatting>
  <conditionalFormatting sqref="E256">
    <cfRule type="containsText" dxfId="6677" priority="2993" operator="containsText" text="Sin Información">
      <formula>NOT(ISERROR(SEARCH("Sin Información",E256)))</formula>
    </cfRule>
  </conditionalFormatting>
  <conditionalFormatting sqref="E544">
    <cfRule type="containsText" dxfId="6676" priority="2846" operator="containsText" text="Sin información">
      <formula>NOT(ISERROR(SEARCH("Sin información",E544)))</formula>
    </cfRule>
  </conditionalFormatting>
  <conditionalFormatting sqref="E544">
    <cfRule type="containsText" dxfId="6675" priority="2845" operator="containsText" text="NUEVO">
      <formula>NOT(ISERROR(SEARCH("NUEVO",E544)))</formula>
    </cfRule>
  </conditionalFormatting>
  <conditionalFormatting sqref="E157">
    <cfRule type="containsText" dxfId="6674" priority="2784" operator="containsText" text="NUEVO">
      <formula>NOT(ISERROR(SEARCH("NUEVO",E157)))</formula>
    </cfRule>
  </conditionalFormatting>
  <conditionalFormatting sqref="E157">
    <cfRule type="containsText" dxfId="6673" priority="2783" operator="containsText" text="Sin Información">
      <formula>NOT(ISERROR(SEARCH("Sin Información",E157)))</formula>
    </cfRule>
  </conditionalFormatting>
  <conditionalFormatting sqref="E63">
    <cfRule type="containsText" dxfId="6672" priority="2617" operator="containsText" text="NUEVO">
      <formula>NOT(ISERROR(SEARCH("NUEVO",E63)))</formula>
    </cfRule>
  </conditionalFormatting>
  <conditionalFormatting sqref="E63">
    <cfRule type="containsText" dxfId="6671" priority="2616" operator="containsText" text="Sin Información">
      <formula>NOT(ISERROR(SEARCH("Sin Información",E63)))</formula>
    </cfRule>
  </conditionalFormatting>
  <conditionalFormatting sqref="E364">
    <cfRule type="containsText" dxfId="6670" priority="2553" operator="containsText" text="NUEVO">
      <formula>NOT(ISERROR(SEARCH("NUEVO",E364)))</formula>
    </cfRule>
  </conditionalFormatting>
  <conditionalFormatting sqref="E364">
    <cfRule type="containsText" dxfId="6669" priority="2554" operator="containsText" text="Sin información">
      <formula>NOT(ISERROR(SEARCH("Sin información",E364)))</formula>
    </cfRule>
  </conditionalFormatting>
  <conditionalFormatting sqref="E545">
    <cfRule type="containsText" dxfId="6668" priority="2450" operator="containsText" text="Sin información">
      <formula>NOT(ISERROR(SEARCH("Sin información",E545)))</formula>
    </cfRule>
  </conditionalFormatting>
  <conditionalFormatting sqref="E545">
    <cfRule type="containsText" dxfId="6667" priority="2449" operator="containsText" text="NUEVO">
      <formula>NOT(ISERROR(SEARCH("NUEVO",E545)))</formula>
    </cfRule>
  </conditionalFormatting>
  <conditionalFormatting sqref="E296">
    <cfRule type="containsText" dxfId="6666" priority="2372" operator="containsText" text="Sin información">
      <formula>NOT(ISERROR(SEARCH("Sin información",E296)))</formula>
    </cfRule>
  </conditionalFormatting>
  <conditionalFormatting sqref="E296">
    <cfRule type="containsText" dxfId="6665" priority="2371" operator="containsText" text="NUEVO">
      <formula>NOT(ISERROR(SEARCH("NUEVO",E296)))</formula>
    </cfRule>
  </conditionalFormatting>
  <conditionalFormatting sqref="E488">
    <cfRule type="containsText" dxfId="6664" priority="2411" operator="containsText" text="Sin información">
      <formula>NOT(ISERROR(SEARCH("Sin información",E488)))</formula>
    </cfRule>
  </conditionalFormatting>
  <conditionalFormatting sqref="E488">
    <cfRule type="containsText" dxfId="6663" priority="2410" operator="containsText" text="NUEVO">
      <formula>NOT(ISERROR(SEARCH("NUEVO",E488)))</formula>
    </cfRule>
  </conditionalFormatting>
  <conditionalFormatting sqref="E488">
    <cfRule type="containsText" dxfId="6662" priority="2412" operator="containsText" text="Sin información">
      <formula>NOT(ISERROR(SEARCH("Sin información",E488)))</formula>
    </cfRule>
  </conditionalFormatting>
  <conditionalFormatting sqref="E313">
    <cfRule type="containsText" dxfId="6661" priority="2406" operator="containsText" text="Sin información">
      <formula>NOT(ISERROR(SEARCH("Sin información",E313)))</formula>
    </cfRule>
  </conditionalFormatting>
  <conditionalFormatting sqref="E313">
    <cfRule type="containsText" dxfId="6660" priority="2405" operator="containsText" text="NUEVO">
      <formula>NOT(ISERROR(SEARCH("NUEVO",E313)))</formula>
    </cfRule>
  </conditionalFormatting>
  <conditionalFormatting sqref="E313">
    <cfRule type="containsText" dxfId="6659" priority="2404" operator="containsText" text="Sin Información">
      <formula>NOT(ISERROR(SEARCH("Sin Información",E313)))</formula>
    </cfRule>
  </conditionalFormatting>
  <conditionalFormatting sqref="E367">
    <cfRule type="containsText" dxfId="6658" priority="2392" operator="containsText" text="Sin información">
      <formula>NOT(ISERROR(SEARCH("Sin información",E367)))</formula>
    </cfRule>
  </conditionalFormatting>
  <conditionalFormatting sqref="E367">
    <cfRule type="containsText" dxfId="6657" priority="2391" operator="containsText" text="NUEVO">
      <formula>NOT(ISERROR(SEARCH("NUEVO",E367)))</formula>
    </cfRule>
  </conditionalFormatting>
  <conditionalFormatting sqref="E360">
    <cfRule type="containsText" dxfId="6656" priority="2383" operator="containsText" text="Sin información">
      <formula>NOT(ISERROR(SEARCH("Sin información",E360)))</formula>
    </cfRule>
  </conditionalFormatting>
  <conditionalFormatting sqref="E360">
    <cfRule type="containsText" dxfId="6655" priority="2382" operator="containsText" text="NUEVO">
      <formula>NOT(ISERROR(SEARCH("NUEVO",E360)))</formula>
    </cfRule>
  </conditionalFormatting>
  <conditionalFormatting sqref="E360">
    <cfRule type="containsText" dxfId="6654" priority="2381" operator="containsText" text="Sin información">
      <formula>NOT(ISERROR(SEARCH("Sin información",E360)))</formula>
    </cfRule>
  </conditionalFormatting>
  <conditionalFormatting sqref="E366">
    <cfRule type="containsText" dxfId="6653" priority="2377" operator="containsText" text="Sin información">
      <formula>NOT(ISERROR(SEARCH("Sin información",E366)))</formula>
    </cfRule>
  </conditionalFormatting>
  <conditionalFormatting sqref="E366">
    <cfRule type="containsText" dxfId="6652" priority="2376" operator="containsText" text="NUEVO">
      <formula>NOT(ISERROR(SEARCH("NUEVO",E366)))</formula>
    </cfRule>
  </conditionalFormatting>
  <conditionalFormatting sqref="E363">
    <cfRule type="containsText" dxfId="6651" priority="2282" operator="containsText" text="NUEVO">
      <formula>NOT(ISERROR(SEARCH("NUEVO",E363)))</formula>
    </cfRule>
  </conditionalFormatting>
  <conditionalFormatting sqref="E333">
    <cfRule type="containsText" dxfId="6650" priority="2288" operator="containsText" text="Sin información">
      <formula>NOT(ISERROR(SEARCH("Sin información",E333)))</formula>
    </cfRule>
  </conditionalFormatting>
  <conditionalFormatting sqref="E333">
    <cfRule type="containsText" dxfId="6649" priority="2287" operator="containsText" text="NUEVO">
      <formula>NOT(ISERROR(SEARCH("NUEVO",E333)))</formula>
    </cfRule>
  </conditionalFormatting>
  <conditionalFormatting sqref="E363">
    <cfRule type="containsText" dxfId="6648" priority="2283" operator="containsText" text="Sin información">
      <formula>NOT(ISERROR(SEARCH("Sin información",E363)))</formula>
    </cfRule>
  </conditionalFormatting>
  <conditionalFormatting sqref="E303">
    <cfRule type="containsText" dxfId="6647" priority="2231" operator="containsText" text="NUEVO">
      <formula>NOT(ISERROR(SEARCH("NUEVO",E303)))</formula>
    </cfRule>
  </conditionalFormatting>
  <conditionalFormatting sqref="E303">
    <cfRule type="containsText" dxfId="6646" priority="2232" operator="containsText" text="Sin información">
      <formula>NOT(ISERROR(SEARCH("Sin información",E303)))</formula>
    </cfRule>
  </conditionalFormatting>
  <conditionalFormatting sqref="E481">
    <cfRule type="containsText" dxfId="6645" priority="2151" operator="containsText" text="Sin información">
      <formula>NOT(ISERROR(SEARCH("Sin información",E481)))</formula>
    </cfRule>
  </conditionalFormatting>
  <conditionalFormatting sqref="E481">
    <cfRule type="containsText" dxfId="6644" priority="2150" operator="containsText" text="NUEVO">
      <formula>NOT(ISERROR(SEARCH("NUEVO",E481)))</formula>
    </cfRule>
  </conditionalFormatting>
  <conditionalFormatting sqref="E481">
    <cfRule type="containsText" dxfId="6643" priority="2152" operator="containsText" text="Sin información">
      <formula>NOT(ISERROR(SEARCH("Sin información",E481)))</formula>
    </cfRule>
  </conditionalFormatting>
  <conditionalFormatting sqref="E155">
    <cfRule type="containsText" dxfId="6642" priority="2140" operator="containsText" text="NUEVO">
      <formula>NOT(ISERROR(SEARCH("NUEVO",E155)))</formula>
    </cfRule>
  </conditionalFormatting>
  <conditionalFormatting sqref="E155">
    <cfRule type="containsText" dxfId="6641" priority="2139" operator="containsText" text="Sin Información">
      <formula>NOT(ISERROR(SEARCH("Sin Información",E155)))</formula>
    </cfRule>
  </conditionalFormatting>
  <conditionalFormatting sqref="E490">
    <cfRule type="containsText" dxfId="6640" priority="1860" operator="containsText" text="NUEVO">
      <formula>NOT(ISERROR(SEARCH("NUEVO",E490)))</formula>
    </cfRule>
  </conditionalFormatting>
  <conditionalFormatting sqref="E490">
    <cfRule type="containsText" dxfId="6639" priority="1859" operator="containsText" text="Sin Información">
      <formula>NOT(ISERROR(SEARCH("Sin Información",E490)))</formula>
    </cfRule>
  </conditionalFormatting>
  <conditionalFormatting sqref="E491">
    <cfRule type="containsText" dxfId="6638" priority="1833" operator="containsText" text="NUEVO">
      <formula>NOT(ISERROR(SEARCH("NUEVO",E491)))</formula>
    </cfRule>
  </conditionalFormatting>
  <conditionalFormatting sqref="E491">
    <cfRule type="containsText" dxfId="6637" priority="1832" operator="containsText" text="Sin Información">
      <formula>NOT(ISERROR(SEARCH("Sin Información",E491)))</formula>
    </cfRule>
  </conditionalFormatting>
  <conditionalFormatting sqref="E341">
    <cfRule type="containsText" dxfId="6636" priority="1820" operator="containsText" text="NUEVO">
      <formula>NOT(ISERROR(SEARCH("NUEVO",E341)))</formula>
    </cfRule>
  </conditionalFormatting>
  <conditionalFormatting sqref="E341">
    <cfRule type="containsText" dxfId="6635" priority="1821" operator="containsText" text="Sin información">
      <formula>NOT(ISERROR(SEARCH("Sin información",E341)))</formula>
    </cfRule>
  </conditionalFormatting>
  <conditionalFormatting sqref="E347">
    <cfRule type="containsText" dxfId="6634" priority="1801" operator="containsText" text="Sin información">
      <formula>NOT(ISERROR(SEARCH("Sin información",E347)))</formula>
    </cfRule>
  </conditionalFormatting>
  <conditionalFormatting sqref="E347">
    <cfRule type="containsText" dxfId="6633" priority="1800" operator="containsText" text="NUEVO">
      <formula>NOT(ISERROR(SEARCH("NUEVO",E347)))</formula>
    </cfRule>
  </conditionalFormatting>
  <conditionalFormatting sqref="E246">
    <cfRule type="containsText" dxfId="6632" priority="1792" operator="containsText" text="NUEVO">
      <formula>NOT(ISERROR(SEARCH("NUEVO",E246)))</formula>
    </cfRule>
  </conditionalFormatting>
  <conditionalFormatting sqref="E246">
    <cfRule type="containsText" dxfId="6631" priority="1791" operator="containsText" text="Sin Información">
      <formula>NOT(ISERROR(SEARCH("Sin Información",E246)))</formula>
    </cfRule>
  </conditionalFormatting>
  <conditionalFormatting sqref="E253">
    <cfRule type="containsText" dxfId="6630" priority="1786" operator="containsText" text="NUEVO">
      <formula>NOT(ISERROR(SEARCH("NUEVO",E253)))</formula>
    </cfRule>
  </conditionalFormatting>
  <conditionalFormatting sqref="E253">
    <cfRule type="containsText" dxfId="6629" priority="1785" operator="containsText" text="Sin Información">
      <formula>NOT(ISERROR(SEARCH("Sin Información",E253)))</formula>
    </cfRule>
  </conditionalFormatting>
  <conditionalFormatting sqref="E270">
    <cfRule type="containsText" dxfId="6628" priority="1779" operator="containsText" text="Sin Información">
      <formula>NOT(ISERROR(SEARCH("Sin Información",E270)))</formula>
    </cfRule>
  </conditionalFormatting>
  <conditionalFormatting sqref="E270">
    <cfRule type="containsText" dxfId="6627" priority="1780" operator="containsText" text="NUEVO">
      <formula>NOT(ISERROR(SEARCH("NUEVO",E270)))</formula>
    </cfRule>
  </conditionalFormatting>
  <conditionalFormatting sqref="E254">
    <cfRule type="containsText" dxfId="6626" priority="1773" operator="containsText" text="Sin Información">
      <formula>NOT(ISERROR(SEARCH("Sin Información",E254)))</formula>
    </cfRule>
  </conditionalFormatting>
  <conditionalFormatting sqref="E254">
    <cfRule type="containsText" dxfId="6625" priority="1774" operator="containsText" text="NUEVO">
      <formula>NOT(ISERROR(SEARCH("NUEVO",E254)))</formula>
    </cfRule>
  </conditionalFormatting>
  <conditionalFormatting sqref="E255">
    <cfRule type="containsText" dxfId="6624" priority="1767" operator="containsText" text="Sin Información">
      <formula>NOT(ISERROR(SEARCH("Sin Información",E255)))</formula>
    </cfRule>
  </conditionalFormatting>
  <conditionalFormatting sqref="E255">
    <cfRule type="containsText" dxfId="6623" priority="1768" operator="containsText" text="NUEVO">
      <formula>NOT(ISERROR(SEARCH("NUEVO",E255)))</formula>
    </cfRule>
  </conditionalFormatting>
  <conditionalFormatting sqref="E169">
    <cfRule type="containsText" dxfId="6622" priority="1762" operator="containsText" text="NUEVO">
      <formula>NOT(ISERROR(SEARCH("NUEVO",E169)))</formula>
    </cfRule>
  </conditionalFormatting>
  <conditionalFormatting sqref="E169">
    <cfRule type="containsText" dxfId="6621" priority="1761" operator="containsText" text="Sin Información">
      <formula>NOT(ISERROR(SEARCH("Sin Información",E169)))</formula>
    </cfRule>
  </conditionalFormatting>
  <conditionalFormatting sqref="E314">
    <cfRule type="containsText" dxfId="6620" priority="1735" operator="containsText" text="Sin información">
      <formula>NOT(ISERROR(SEARCH("Sin información",E314)))</formula>
    </cfRule>
  </conditionalFormatting>
  <conditionalFormatting sqref="E314">
    <cfRule type="containsText" dxfId="6619" priority="1734" operator="containsText" text="NUEVO">
      <formula>NOT(ISERROR(SEARCH("NUEVO",E314)))</formula>
    </cfRule>
  </conditionalFormatting>
  <conditionalFormatting sqref="E136">
    <cfRule type="containsText" dxfId="6618" priority="1725" operator="containsText" text="NUEVO">
      <formula>NOT(ISERROR(SEARCH("NUEVO",E136)))</formula>
    </cfRule>
  </conditionalFormatting>
  <conditionalFormatting sqref="E136">
    <cfRule type="containsText" dxfId="6617" priority="1724" operator="containsText" text="Sin Información">
      <formula>NOT(ISERROR(SEARCH("Sin Información",E136)))</formula>
    </cfRule>
  </conditionalFormatting>
  <conditionalFormatting sqref="E214">
    <cfRule type="containsText" dxfId="6616" priority="1720" operator="containsText" text="NUEVO">
      <formula>NOT(ISERROR(SEARCH("NUEVO",E214)))</formula>
    </cfRule>
  </conditionalFormatting>
  <conditionalFormatting sqref="E214">
    <cfRule type="containsText" dxfId="6615" priority="1719" operator="containsText" text="Sin Información">
      <formula>NOT(ISERROR(SEARCH("Sin Información",E214)))</formula>
    </cfRule>
  </conditionalFormatting>
  <conditionalFormatting sqref="E215">
    <cfRule type="containsText" dxfId="6614" priority="1715" operator="containsText" text="NUEVO">
      <formula>NOT(ISERROR(SEARCH("NUEVO",E215)))</formula>
    </cfRule>
  </conditionalFormatting>
  <conditionalFormatting sqref="E215">
    <cfRule type="containsText" dxfId="6613" priority="1714" operator="containsText" text="Sin Información">
      <formula>NOT(ISERROR(SEARCH("Sin Información",E215)))</formula>
    </cfRule>
  </conditionalFormatting>
  <conditionalFormatting sqref="E202">
    <cfRule type="containsText" dxfId="6612" priority="1710" operator="containsText" text="NUEVO">
      <formula>NOT(ISERROR(SEARCH("NUEVO",E202)))</formula>
    </cfRule>
  </conditionalFormatting>
  <conditionalFormatting sqref="E202">
    <cfRule type="containsText" dxfId="6611" priority="1709" operator="containsText" text="Sin Información">
      <formula>NOT(ISERROR(SEARCH("Sin Información",E202)))</formula>
    </cfRule>
  </conditionalFormatting>
  <conditionalFormatting sqref="AD204:AE204">
    <cfRule type="containsText" dxfId="6610" priority="1708" operator="containsText" text="NO+$D$4:$D$10">
      <formula>NOT(ISERROR(SEARCH("NO+$D$4:$D$10",AD204)))</formula>
    </cfRule>
  </conditionalFormatting>
  <conditionalFormatting sqref="AD204:AE204">
    <cfRule type="containsText" dxfId="6609" priority="1706" operator="containsText" text="SI">
      <formula>NOT(ISERROR(SEARCH("SI",AD204)))</formula>
    </cfRule>
    <cfRule type="containsText" dxfId="6608" priority="1707" operator="containsText" text="NO">
      <formula>NOT(ISERROR(SEARCH("NO",AD204)))</formula>
    </cfRule>
  </conditionalFormatting>
  <conditionalFormatting sqref="AD204:AE204">
    <cfRule type="containsText" dxfId="6607" priority="1705" operator="containsText" text="NUEVO">
      <formula>NOT(ISERROR(SEARCH("NUEVO",AD204)))</formula>
    </cfRule>
  </conditionalFormatting>
  <conditionalFormatting sqref="AF204">
    <cfRule type="containsText" dxfId="6606" priority="1704" operator="containsText" text="NUEVO">
      <formula>NOT(ISERROR(SEARCH("NUEVO",AF204)))</formula>
    </cfRule>
  </conditionalFormatting>
  <conditionalFormatting sqref="AF204">
    <cfRule type="containsText" dxfId="6605" priority="1703" operator="containsText" text="Sin Información">
      <formula>NOT(ISERROR(SEARCH("Sin Información",AF204)))</formula>
    </cfRule>
  </conditionalFormatting>
  <conditionalFormatting sqref="E369">
    <cfRule type="containsText" dxfId="6604" priority="1637" operator="containsText" text="NUEVO">
      <formula>NOT(ISERROR(SEARCH("NUEVO",E369)))</formula>
    </cfRule>
  </conditionalFormatting>
  <conditionalFormatting sqref="E369">
    <cfRule type="containsText" dxfId="6603" priority="1636" operator="containsText" text="Sin Información">
      <formula>NOT(ISERROR(SEARCH("Sin Información",E369)))</formula>
    </cfRule>
  </conditionalFormatting>
  <conditionalFormatting sqref="E271">
    <cfRule type="containsText" dxfId="6602" priority="1525" operator="containsText" text="Sin Información">
      <formula>NOT(ISERROR(SEARCH("Sin Información",E271)))</formula>
    </cfRule>
  </conditionalFormatting>
  <conditionalFormatting sqref="E271">
    <cfRule type="containsText" dxfId="6601" priority="1526" operator="containsText" text="NUEVO">
      <formula>NOT(ISERROR(SEARCH("NUEVO",E271)))</formula>
    </cfRule>
  </conditionalFormatting>
  <conditionalFormatting sqref="E370">
    <cfRule type="containsText" dxfId="6600" priority="1379" operator="containsText" text="NUEVO">
      <formula>NOT(ISERROR(SEARCH("NUEVO",E370)))</formula>
    </cfRule>
  </conditionalFormatting>
  <conditionalFormatting sqref="E370">
    <cfRule type="containsText" dxfId="6599" priority="1378" operator="containsText" text="Sin Información">
      <formula>NOT(ISERROR(SEARCH("Sin Información",E370)))</formula>
    </cfRule>
  </conditionalFormatting>
  <conditionalFormatting sqref="E64">
    <cfRule type="containsText" dxfId="6598" priority="1318" operator="containsText" text="NUEVO">
      <formula>NOT(ISERROR(SEARCH("NUEVO",E64)))</formula>
    </cfRule>
  </conditionalFormatting>
  <conditionalFormatting sqref="E64">
    <cfRule type="containsText" dxfId="6597" priority="1319" operator="containsText" text="Sin información">
      <formula>NOT(ISERROR(SEARCH("Sin información",E64)))</formula>
    </cfRule>
  </conditionalFormatting>
  <conditionalFormatting sqref="E64">
    <cfRule type="containsText" dxfId="6596" priority="1317" operator="containsText" text="Sin Información">
      <formula>NOT(ISERROR(SEARCH("Sin Información",E64)))</formula>
    </cfRule>
  </conditionalFormatting>
  <conditionalFormatting sqref="E493">
    <cfRule type="containsText" dxfId="6595" priority="883" operator="containsText" text="NUEVO">
      <formula>NOT(ISERROR(SEARCH("NUEVO",E493)))</formula>
    </cfRule>
  </conditionalFormatting>
  <conditionalFormatting sqref="E493">
    <cfRule type="containsText" dxfId="6594" priority="882" operator="containsText" text="Sin Información">
      <formula>NOT(ISERROR(SEARCH("Sin Información",E493)))</formula>
    </cfRule>
  </conditionalFormatting>
  <conditionalFormatting sqref="E556">
    <cfRule type="containsText" dxfId="6593" priority="778" operator="containsText" text="NUEVO">
      <formula>NOT(ISERROR(SEARCH("NUEVO",E556)))</formula>
    </cfRule>
  </conditionalFormatting>
  <conditionalFormatting sqref="E556">
    <cfRule type="containsText" dxfId="6592" priority="777" operator="containsText" text="Sin Información">
      <formula>NOT(ISERROR(SEARCH("Sin Información",E556)))</formula>
    </cfRule>
  </conditionalFormatting>
  <conditionalFormatting sqref="E67">
    <cfRule type="containsText" dxfId="6591" priority="775" operator="containsText" text="NUEVO">
      <formula>NOT(ISERROR(SEARCH("NUEVO",E67)))</formula>
    </cfRule>
  </conditionalFormatting>
  <conditionalFormatting sqref="E67">
    <cfRule type="containsText" dxfId="6590" priority="776" operator="containsText" text="Sin información">
      <formula>NOT(ISERROR(SEARCH("Sin información",E67)))</formula>
    </cfRule>
  </conditionalFormatting>
  <conditionalFormatting sqref="E67">
    <cfRule type="containsText" dxfId="6589" priority="774" operator="containsText" text="Sin Información">
      <formula>NOT(ISERROR(SEARCH("Sin Información",E67)))</formula>
    </cfRule>
  </conditionalFormatting>
  <conditionalFormatting sqref="E68">
    <cfRule type="containsText" dxfId="6588" priority="768" operator="containsText" text="NUEVO">
      <formula>NOT(ISERROR(SEARCH("NUEVO",E68)))</formula>
    </cfRule>
  </conditionalFormatting>
  <conditionalFormatting sqref="E68">
    <cfRule type="containsText" dxfId="6587" priority="769" operator="containsText" text="Sin información">
      <formula>NOT(ISERROR(SEARCH("Sin información",E68)))</formula>
    </cfRule>
  </conditionalFormatting>
  <conditionalFormatting sqref="E68">
    <cfRule type="containsText" dxfId="6586" priority="767" operator="containsText" text="Sin Información">
      <formula>NOT(ISERROR(SEARCH("Sin Información",E68)))</formula>
    </cfRule>
  </conditionalFormatting>
  <conditionalFormatting sqref="F328">
    <cfRule type="containsText" dxfId="6585" priority="679" operator="containsText" text="NO+$D$4:$D$10">
      <formula>NOT(ISERROR(SEARCH("NO+$D$4:$D$10",F328)))</formula>
    </cfRule>
  </conditionalFormatting>
  <conditionalFormatting sqref="F328">
    <cfRule type="containsText" dxfId="6584" priority="677" operator="containsText" text="SI">
      <formula>NOT(ISERROR(SEARCH("SI",F328)))</formula>
    </cfRule>
    <cfRule type="containsText" dxfId="6583" priority="678" operator="containsText" text="NO">
      <formula>NOT(ISERROR(SEARCH("NO",F328)))</formula>
    </cfRule>
  </conditionalFormatting>
  <conditionalFormatting sqref="F328">
    <cfRule type="containsText" dxfId="6582" priority="676" operator="containsText" text="NUEVO">
      <formula>NOT(ISERROR(SEARCH("NUEVO",F328)))</formula>
    </cfRule>
  </conditionalFormatting>
  <conditionalFormatting sqref="E69">
    <cfRule type="containsText" dxfId="6581" priority="627" operator="containsText" text="NUEVO">
      <formula>NOT(ISERROR(SEARCH("NUEVO",E69)))</formula>
    </cfRule>
  </conditionalFormatting>
  <conditionalFormatting sqref="E69">
    <cfRule type="containsText" dxfId="6580" priority="628" operator="containsText" text="Sin información">
      <formula>NOT(ISERROR(SEARCH("Sin información",E69)))</formula>
    </cfRule>
  </conditionalFormatting>
  <conditionalFormatting sqref="E69">
    <cfRule type="containsText" dxfId="6579" priority="626" operator="containsText" text="Sin Información">
      <formula>NOT(ISERROR(SEARCH("Sin Información",E69)))</formula>
    </cfRule>
  </conditionalFormatting>
  <conditionalFormatting sqref="E510">
    <cfRule type="containsText" dxfId="6578" priority="625" operator="containsText" text="NUEVO">
      <formula>NOT(ISERROR(SEARCH("NUEVO",E510)))</formula>
    </cfRule>
  </conditionalFormatting>
  <conditionalFormatting sqref="E510">
    <cfRule type="containsText" dxfId="6577" priority="624" operator="containsText" text="Sin Información">
      <formula>NOT(ISERROR(SEARCH("Sin Información",E510)))</formula>
    </cfRule>
  </conditionalFormatting>
  <conditionalFormatting sqref="E279">
    <cfRule type="containsText" dxfId="6576" priority="622" operator="containsText" text="Sin Información">
      <formula>NOT(ISERROR(SEARCH("Sin Información",E279)))</formula>
    </cfRule>
  </conditionalFormatting>
  <conditionalFormatting sqref="E279">
    <cfRule type="containsText" dxfId="6575" priority="623" operator="containsText" text="NUEVO">
      <formula>NOT(ISERROR(SEARCH("NUEVO",E279)))</formula>
    </cfRule>
  </conditionalFormatting>
  <conditionalFormatting sqref="E353">
    <cfRule type="containsText" dxfId="6574" priority="618" operator="containsText" text="Sin Información">
      <formula>NOT(ISERROR(SEARCH("Sin Información",E353)))</formula>
    </cfRule>
  </conditionalFormatting>
  <conditionalFormatting sqref="E353">
    <cfRule type="containsText" dxfId="6573" priority="619" operator="containsText" text="NUEVO">
      <formula>NOT(ISERROR(SEARCH("NUEVO",E353)))</formula>
    </cfRule>
  </conditionalFormatting>
  <conditionalFormatting sqref="E147">
    <cfRule type="containsText" dxfId="6572" priority="608" operator="containsText" text="NUEVO">
      <formula>NOT(ISERROR(SEARCH("NUEVO",E147)))</formula>
    </cfRule>
  </conditionalFormatting>
  <conditionalFormatting sqref="E147">
    <cfRule type="containsText" dxfId="6571" priority="607" operator="containsText" text="Sin Información">
      <formula>NOT(ISERROR(SEARCH("Sin Información",E147)))</formula>
    </cfRule>
  </conditionalFormatting>
  <conditionalFormatting sqref="E495:E496">
    <cfRule type="containsText" dxfId="6570" priority="602" operator="containsText" text="NUEVO">
      <formula>NOT(ISERROR(SEARCH("NUEVO",E495)))</formula>
    </cfRule>
  </conditionalFormatting>
  <conditionalFormatting sqref="E495:E496">
    <cfRule type="containsText" dxfId="6569" priority="601" operator="containsText" text="Sin Información">
      <formula>NOT(ISERROR(SEARCH("Sin Información",E495)))</formula>
    </cfRule>
  </conditionalFormatting>
  <conditionalFormatting sqref="E39">
    <cfRule type="containsText" dxfId="6568" priority="581" operator="containsText" text="Sin información">
      <formula>NOT(ISERROR(SEARCH("Sin información",E39)))</formula>
    </cfRule>
  </conditionalFormatting>
  <conditionalFormatting sqref="E39">
    <cfRule type="containsText" dxfId="6567" priority="580" operator="containsText" text="NUEVO">
      <formula>NOT(ISERROR(SEARCH("NUEVO",E39)))</formula>
    </cfRule>
  </conditionalFormatting>
  <conditionalFormatting sqref="E40">
    <cfRule type="containsText" dxfId="6566" priority="574" operator="containsText" text="Sin información">
      <formula>NOT(ISERROR(SEARCH("Sin información",E40)))</formula>
    </cfRule>
  </conditionalFormatting>
  <conditionalFormatting sqref="E40">
    <cfRule type="containsText" dxfId="6565" priority="573" operator="containsText" text="NUEVO">
      <formula>NOT(ISERROR(SEARCH("NUEVO",E40)))</formula>
    </cfRule>
  </conditionalFormatting>
  <conditionalFormatting sqref="E70:E71">
    <cfRule type="containsText" dxfId="6564" priority="566" operator="containsText" text="Sin Información">
      <formula>NOT(ISERROR(SEARCH("Sin Información",E70)))</formula>
    </cfRule>
  </conditionalFormatting>
  <conditionalFormatting sqref="E70:E71">
    <cfRule type="containsText" dxfId="6563" priority="567" operator="containsText" text="NUEVO">
      <formula>NOT(ISERROR(SEARCH("NUEVO",E70)))</formula>
    </cfRule>
  </conditionalFormatting>
  <conditionalFormatting sqref="E70:E71">
    <cfRule type="containsText" dxfId="6562" priority="568" operator="containsText" text="Sin información">
      <formula>NOT(ISERROR(SEARCH("Sin información",E70)))</formula>
    </cfRule>
  </conditionalFormatting>
  <conditionalFormatting sqref="E207">
    <cfRule type="containsText" dxfId="6561" priority="561" operator="containsText" text="NUEVO">
      <formula>NOT(ISERROR(SEARCH("NUEVO",E207)))</formula>
    </cfRule>
  </conditionalFormatting>
  <conditionalFormatting sqref="E207">
    <cfRule type="containsText" dxfId="6560" priority="560" operator="containsText" text="Sin Información">
      <formula>NOT(ISERROR(SEARCH("Sin Información",E207)))</formula>
    </cfRule>
  </conditionalFormatting>
  <conditionalFormatting sqref="E264">
    <cfRule type="containsText" dxfId="6559" priority="554" operator="containsText" text="Sin Información">
      <formula>NOT(ISERROR(SEARCH("Sin Información",E264)))</formula>
    </cfRule>
  </conditionalFormatting>
  <conditionalFormatting sqref="E264">
    <cfRule type="containsText" dxfId="6558" priority="555" operator="containsText" text="NUEVO">
      <formula>NOT(ISERROR(SEARCH("NUEVO",E264)))</formula>
    </cfRule>
  </conditionalFormatting>
  <conditionalFormatting sqref="E535">
    <cfRule type="containsText" dxfId="6557" priority="548" operator="containsText" text="NUEVO">
      <formula>NOT(ISERROR(SEARCH("NUEVO",E535)))</formula>
    </cfRule>
  </conditionalFormatting>
  <conditionalFormatting sqref="E535">
    <cfRule type="containsText" dxfId="6556" priority="549" operator="containsText" text="Sin información">
      <formula>NOT(ISERROR(SEARCH("Sin información",E535)))</formula>
    </cfRule>
  </conditionalFormatting>
  <conditionalFormatting sqref="E57">
    <cfRule type="containsText" dxfId="6555" priority="540" operator="containsText" text="Sin información">
      <formula>NOT(ISERROR(SEARCH("Sin información",E57)))</formula>
    </cfRule>
  </conditionalFormatting>
  <conditionalFormatting sqref="E57">
    <cfRule type="containsText" dxfId="6554" priority="539" operator="containsText" text="NUEVO">
      <formula>NOT(ISERROR(SEARCH("NUEVO",E57)))</formula>
    </cfRule>
  </conditionalFormatting>
  <conditionalFormatting sqref="E464">
    <cfRule type="containsText" dxfId="6553" priority="526" operator="containsText" text="NUEVO">
      <formula>NOT(ISERROR(SEARCH("NUEVO",E464)))</formula>
    </cfRule>
  </conditionalFormatting>
  <conditionalFormatting sqref="E464">
    <cfRule type="containsText" dxfId="6552" priority="525" operator="containsText" text="Sin Información">
      <formula>NOT(ISERROR(SEARCH("Sin Información",E464)))</formula>
    </cfRule>
  </conditionalFormatting>
  <conditionalFormatting sqref="E464">
    <cfRule type="containsText" dxfId="6551" priority="527" operator="containsText" text="Sin información">
      <formula>NOT(ISERROR(SEARCH("Sin información",E464)))</formula>
    </cfRule>
  </conditionalFormatting>
  <conditionalFormatting sqref="E198">
    <cfRule type="containsText" dxfId="6550" priority="520" operator="containsText" text="NUEVO">
      <formula>NOT(ISERROR(SEARCH("NUEVO",E198)))</formula>
    </cfRule>
  </conditionalFormatting>
  <conditionalFormatting sqref="E198">
    <cfRule type="containsText" dxfId="6549" priority="519" operator="containsText" text="Sin Información">
      <formula>NOT(ISERROR(SEARCH("Sin Información",E198)))</formula>
    </cfRule>
  </conditionalFormatting>
  <conditionalFormatting sqref="E216">
    <cfRule type="containsText" dxfId="6548" priority="515" operator="containsText" text="Sin información">
      <formula>NOT(ISERROR(SEARCH("Sin información",E216)))</formula>
    </cfRule>
  </conditionalFormatting>
  <conditionalFormatting sqref="E216">
    <cfRule type="containsText" dxfId="6547" priority="514" operator="containsText" text="NUEVO">
      <formula>NOT(ISERROR(SEARCH("NUEVO",E216)))</formula>
    </cfRule>
  </conditionalFormatting>
  <conditionalFormatting sqref="E268">
    <cfRule type="containsText" dxfId="6546" priority="509" operator="containsText" text="NUEVO">
      <formula>NOT(ISERROR(SEARCH("NUEVO",E268)))</formula>
    </cfRule>
  </conditionalFormatting>
  <conditionalFormatting sqref="E268">
    <cfRule type="containsText" dxfId="6545" priority="508" operator="containsText" text="Sin Información">
      <formula>NOT(ISERROR(SEARCH("Sin Información",E268)))</formula>
    </cfRule>
  </conditionalFormatting>
  <conditionalFormatting sqref="BS160:BU160">
    <cfRule type="containsText" dxfId="6544" priority="14106" operator="containsText" text="NUEVO">
      <formula>NOT(ISERROR(SEARCH("NUEVO",#REF!)))</formula>
    </cfRule>
  </conditionalFormatting>
  <conditionalFormatting sqref="E316">
    <cfRule type="containsText" dxfId="6543" priority="14833" operator="containsText" text="NUEVO">
      <formula>NOT(ISERROR(SEARCH("NUEVO",#REF!)))</formula>
    </cfRule>
  </conditionalFormatting>
  <conditionalFormatting sqref="O133:P133">
    <cfRule type="containsText" dxfId="6542" priority="15780" operator="containsText" text="NO+$D$4:$D$10">
      <formula>NOT(ISERROR(SEARCH("NO+$D$4:$D$10",#REF!)))</formula>
    </cfRule>
  </conditionalFormatting>
  <conditionalFormatting sqref="O133:P133">
    <cfRule type="containsText" dxfId="6541" priority="15782" operator="containsText" text="SI">
      <formula>NOT(ISERROR(SEARCH("SI",#REF!)))</formula>
    </cfRule>
    <cfRule type="containsText" dxfId="6540" priority="15783" operator="containsText" text="NO">
      <formula>NOT(ISERROR(SEARCH("NO",#REF!)))</formula>
    </cfRule>
  </conditionalFormatting>
  <conditionalFormatting sqref="BS160:BT160">
    <cfRule type="containsText" dxfId="6539" priority="15919" operator="containsText" text="NO+$D$4:$D$10">
      <formula>NOT(ISERROR(SEARCH("NO+$D$4:$D$10",#REF!)))</formula>
    </cfRule>
  </conditionalFormatting>
  <conditionalFormatting sqref="BS160:BT160">
    <cfRule type="containsText" dxfId="6538" priority="15920" operator="containsText" text="SI">
      <formula>NOT(ISERROR(SEARCH("SI",#REF!)))</formula>
    </cfRule>
    <cfRule type="containsText" dxfId="6537" priority="15921" operator="containsText" text="NO">
      <formula>NOT(ISERROR(SEARCH("NO",#REF!)))</formula>
    </cfRule>
  </conditionalFormatting>
  <conditionalFormatting sqref="E316">
    <cfRule type="containsText" dxfId="6536" priority="20219" operator="containsText" text="Sin información">
      <formula>NOT(ISERROR(SEARCH("Sin información",#REF!)))</formula>
    </cfRule>
  </conditionalFormatting>
  <conditionalFormatting sqref="E332">
    <cfRule type="containsText" dxfId="6535" priority="20221" operator="containsText" text="Sin información">
      <formula>NOT(ISERROR(SEARCH("Sin información",#REF!)))</formula>
    </cfRule>
  </conditionalFormatting>
  <conditionalFormatting sqref="E332">
    <cfRule type="containsText" dxfId="6534" priority="20242" operator="containsText" text="NUEVO">
      <formula>NOT(ISERROR(SEARCH("NUEVO",#REF!)))</formula>
    </cfRule>
  </conditionalFormatting>
  <conditionalFormatting sqref="Q133">
    <cfRule type="containsText" dxfId="6533" priority="20359" operator="containsText" text="Sin Información">
      <formula>NOT(ISERROR(SEARCH("Sin Información",#REF!)))</formula>
    </cfRule>
  </conditionalFormatting>
  <conditionalFormatting sqref="BU160">
    <cfRule type="containsText" dxfId="6532" priority="20460" operator="containsText" text="Sin Información">
      <formula>NOT(ISERROR(SEARCH("Sin Información",#REF!)))</formula>
    </cfRule>
  </conditionalFormatting>
  <conditionalFormatting sqref="O133:Q133">
    <cfRule type="containsText" dxfId="6531" priority="20465" operator="containsText" text="NUEVO">
      <formula>NOT(ISERROR(SEARCH("NUEVO",#REF!)))</formula>
    </cfRule>
  </conditionalFormatting>
  <conditionalFormatting sqref="E72:E75">
    <cfRule type="containsText" dxfId="6530" priority="505" operator="containsText" text="Sin Información">
      <formula>NOT(ISERROR(SEARCH("Sin Información",E72)))</formula>
    </cfRule>
  </conditionalFormatting>
  <conditionalFormatting sqref="E72:E75">
    <cfRule type="containsText" dxfId="6529" priority="506" operator="containsText" text="NUEVO">
      <formula>NOT(ISERROR(SEARCH("NUEVO",E72)))</formula>
    </cfRule>
  </conditionalFormatting>
  <conditionalFormatting sqref="E72:E75">
    <cfRule type="containsText" dxfId="6528" priority="507" operator="containsText" text="Sin información">
      <formula>NOT(ISERROR(SEARCH("Sin información",E72)))</formula>
    </cfRule>
  </conditionalFormatting>
  <conditionalFormatting sqref="E380:E382 E394">
    <cfRule type="containsText" dxfId="6527" priority="504" operator="containsText" text="NUEVO">
      <formula>NOT(ISERROR(SEARCH("NUEVO",E380)))</formula>
    </cfRule>
  </conditionalFormatting>
  <conditionalFormatting sqref="E380:E382 E394">
    <cfRule type="containsText" dxfId="6526" priority="503" operator="containsText" text="Sin Información">
      <formula>NOT(ISERROR(SEARCH("Sin Información",E380)))</formula>
    </cfRule>
  </conditionalFormatting>
  <conditionalFormatting sqref="E497 E500:E501">
    <cfRule type="containsText" dxfId="6525" priority="502" operator="containsText" text="NUEVO">
      <formula>NOT(ISERROR(SEARCH("NUEVO",E497)))</formula>
    </cfRule>
  </conditionalFormatting>
  <conditionalFormatting sqref="E497 E500:E501">
    <cfRule type="containsText" dxfId="6524" priority="501" operator="containsText" text="Sin Información">
      <formula>NOT(ISERROR(SEARCH("Sin Información",E497)))</formula>
    </cfRule>
  </conditionalFormatting>
  <conditionalFormatting sqref="E429">
    <cfRule type="containsText" dxfId="6523" priority="497" operator="containsText" text="Sin información">
      <formula>NOT(ISERROR(SEARCH("Sin información",E429)))</formula>
    </cfRule>
  </conditionalFormatting>
  <conditionalFormatting sqref="E429">
    <cfRule type="containsText" dxfId="6522" priority="496" operator="containsText" text="NUEVO">
      <formula>NOT(ISERROR(SEARCH("NUEVO",E429)))</formula>
    </cfRule>
  </conditionalFormatting>
  <conditionalFormatting sqref="E127">
    <cfRule type="containsText" dxfId="6521" priority="24191" operator="containsText" text="Sin Información">
      <formula>NOT(ISERROR(SEARCH("Sin Información",E429)))</formula>
    </cfRule>
  </conditionalFormatting>
  <conditionalFormatting sqref="E127">
    <cfRule type="containsText" dxfId="6520" priority="24219" operator="containsText" text="NUEVO">
      <formula>NOT(ISERROR(SEARCH("NUEVO",E429)))</formula>
    </cfRule>
  </conditionalFormatting>
  <conditionalFormatting sqref="E430">
    <cfRule type="containsText" dxfId="6519" priority="490" operator="containsText" text="NUEVO">
      <formula>NOT(ISERROR(SEARCH("NUEVO",E430)))</formula>
    </cfRule>
  </conditionalFormatting>
  <conditionalFormatting sqref="E430">
    <cfRule type="containsText" dxfId="6518" priority="491" operator="containsText" text="Sin información">
      <formula>NOT(ISERROR(SEARCH("Sin información",E430)))</formula>
    </cfRule>
  </conditionalFormatting>
  <conditionalFormatting sqref="E538">
    <cfRule type="containsText" dxfId="6517" priority="486" operator="containsText" text="Sin información">
      <formula>NOT(ISERROR(SEARCH("Sin información",E538)))</formula>
    </cfRule>
  </conditionalFormatting>
  <conditionalFormatting sqref="E538">
    <cfRule type="containsText" dxfId="6516" priority="485" operator="containsText" text="NUEVO">
      <formula>NOT(ISERROR(SEARCH("NUEVO",E538)))</formula>
    </cfRule>
  </conditionalFormatting>
  <conditionalFormatting sqref="E539">
    <cfRule type="containsText" dxfId="6515" priority="479" operator="containsText" text="NUEVO">
      <formula>NOT(ISERROR(SEARCH("NUEVO",E539)))</formula>
    </cfRule>
  </conditionalFormatting>
  <conditionalFormatting sqref="E539">
    <cfRule type="containsText" dxfId="6514" priority="478" operator="containsText" text="Sin Información">
      <formula>NOT(ISERROR(SEARCH("Sin Información",E539)))</formula>
    </cfRule>
  </conditionalFormatting>
  <conditionalFormatting sqref="E365">
    <cfRule type="containsText" dxfId="6513" priority="472" operator="containsText" text="Sin Información">
      <formula>NOT(ISERROR(SEARCH("Sin Información",E365)))</formula>
    </cfRule>
  </conditionalFormatting>
  <conditionalFormatting sqref="E365">
    <cfRule type="containsText" dxfId="6512" priority="473" operator="containsText" text="NUEVO">
      <formula>NOT(ISERROR(SEARCH("NUEVO",E365)))</formula>
    </cfRule>
  </conditionalFormatting>
  <conditionalFormatting sqref="E309">
    <cfRule type="containsText" dxfId="6511" priority="470" operator="containsText" text="NUEVO">
      <formula>NOT(ISERROR(SEARCH("NUEVO",#REF!)))</formula>
    </cfRule>
  </conditionalFormatting>
  <conditionalFormatting sqref="E309">
    <cfRule type="containsText" dxfId="6510" priority="471" operator="containsText" text="Sin información">
      <formula>NOT(ISERROR(SEARCH("Sin información",#REF!)))</formula>
    </cfRule>
  </conditionalFormatting>
  <conditionalFormatting sqref="E161">
    <cfRule type="containsText" dxfId="6509" priority="455" operator="containsText" text="NUEVO">
      <formula>NOT(ISERROR(SEARCH("NUEVO",E161)))</formula>
    </cfRule>
  </conditionalFormatting>
  <conditionalFormatting sqref="E161">
    <cfRule type="containsText" dxfId="6508" priority="454" operator="containsText" text="Sin Información">
      <formula>NOT(ISERROR(SEARCH("Sin Información",E161)))</formula>
    </cfRule>
  </conditionalFormatting>
  <conditionalFormatting sqref="E143">
    <cfRule type="containsText" dxfId="6507" priority="448" operator="containsText" text="NUEVO">
      <formula>NOT(ISERROR(SEARCH("NUEVO",E143)))</formula>
    </cfRule>
  </conditionalFormatting>
  <conditionalFormatting sqref="E143">
    <cfRule type="containsText" dxfId="6506" priority="449" operator="containsText" text="Sin información">
      <formula>NOT(ISERROR(SEARCH("Sin información",E143)))</formula>
    </cfRule>
  </conditionalFormatting>
  <conditionalFormatting sqref="E143">
    <cfRule type="containsText" dxfId="6505" priority="447" operator="containsText" text="Sin Información">
      <formula>NOT(ISERROR(SEARCH("Sin Información",E143)))</formula>
    </cfRule>
  </conditionalFormatting>
  <conditionalFormatting sqref="E151">
    <cfRule type="containsText" dxfId="6504" priority="442" operator="containsText" text="NUEVO">
      <formula>NOT(ISERROR(SEARCH("NUEVO",E151)))</formula>
    </cfRule>
  </conditionalFormatting>
  <conditionalFormatting sqref="E151">
    <cfRule type="containsText" dxfId="6503" priority="441" operator="containsText" text="Sin Información">
      <formula>NOT(ISERROR(SEARCH("Sin Información",E151)))</formula>
    </cfRule>
  </conditionalFormatting>
  <conditionalFormatting sqref="E554">
    <cfRule type="containsText" dxfId="6502" priority="436" operator="containsText" text="NUEVO">
      <formula>NOT(ISERROR(SEARCH("NUEVO",E554)))</formula>
    </cfRule>
  </conditionalFormatting>
  <conditionalFormatting sqref="E554">
    <cfRule type="containsText" dxfId="6501" priority="435" operator="containsText" text="Sin Información">
      <formula>NOT(ISERROR(SEARCH("Sin Información",E554)))</formula>
    </cfRule>
  </conditionalFormatting>
  <conditionalFormatting sqref="E441">
    <cfRule type="containsText" dxfId="6500" priority="422" operator="containsText" text="NUEVO">
      <formula>NOT(ISERROR(SEARCH("NUEVO",E441)))</formula>
    </cfRule>
  </conditionalFormatting>
  <conditionalFormatting sqref="E441">
    <cfRule type="containsText" dxfId="6499" priority="423" operator="containsText" text="Sin información">
      <formula>NOT(ISERROR(SEARCH("Sin información",E441)))</formula>
    </cfRule>
  </conditionalFormatting>
  <conditionalFormatting sqref="E441">
    <cfRule type="containsText" dxfId="6498" priority="421" operator="containsText" text="Sin información">
      <formula>NOT(ISERROR(SEARCH("Sin información",E441)))</formula>
    </cfRule>
  </conditionalFormatting>
  <conditionalFormatting sqref="E238">
    <cfRule type="containsText" dxfId="6497" priority="410" operator="containsText" text="NUEVO">
      <formula>NOT(ISERROR(SEARCH("NUEVO",E238)))</formula>
    </cfRule>
  </conditionalFormatting>
  <conditionalFormatting sqref="E238">
    <cfRule type="containsText" dxfId="6496" priority="409" operator="containsText" text="Sin Información">
      <formula>NOT(ISERROR(SEARCH("Sin Información",E238)))</formula>
    </cfRule>
  </conditionalFormatting>
  <conditionalFormatting sqref="E239">
    <cfRule type="containsText" dxfId="6495" priority="405" operator="containsText" text="NUEVO">
      <formula>NOT(ISERROR(SEARCH("NUEVO",E239)))</formula>
    </cfRule>
  </conditionalFormatting>
  <conditionalFormatting sqref="E239">
    <cfRule type="containsText" dxfId="6494" priority="404" operator="containsText" text="Sin Información">
      <formula>NOT(ISERROR(SEARCH("Sin Información",E239)))</formula>
    </cfRule>
  </conditionalFormatting>
  <conditionalFormatting sqref="E546">
    <cfRule type="containsText" dxfId="6493" priority="399" operator="containsText" text="Sin información">
      <formula>NOT(ISERROR(SEARCH("Sin información",E546)))</formula>
    </cfRule>
  </conditionalFormatting>
  <conditionalFormatting sqref="E546">
    <cfRule type="containsText" dxfId="6492" priority="398" operator="containsText" text="NUEVO">
      <formula>NOT(ISERROR(SEARCH("NUEVO",E546)))</formula>
    </cfRule>
  </conditionalFormatting>
  <conditionalFormatting sqref="E219">
    <cfRule type="containsText" dxfId="6491" priority="392" operator="containsText" text="NUEVO">
      <formula>NOT(ISERROR(SEARCH("NUEVO",E219)))</formula>
    </cfRule>
  </conditionalFormatting>
  <conditionalFormatting sqref="E219">
    <cfRule type="containsText" dxfId="6490" priority="391" operator="containsText" text="Sin Información">
      <formula>NOT(ISERROR(SEARCH("Sin Información",E219)))</formula>
    </cfRule>
  </conditionalFormatting>
  <conditionalFormatting sqref="E219">
    <cfRule type="containsText" dxfId="6489" priority="393" operator="containsText" text="Sin información">
      <formula>NOT(ISERROR(SEARCH("Sin información",E219)))</formula>
    </cfRule>
  </conditionalFormatting>
  <conditionalFormatting sqref="E76:E84 E96">
    <cfRule type="containsText" dxfId="6488" priority="388" operator="containsText" text="Sin Información">
      <formula>NOT(ISERROR(SEARCH("Sin Información",E76)))</formula>
    </cfRule>
  </conditionalFormatting>
  <conditionalFormatting sqref="E76:E84 E96">
    <cfRule type="containsText" dxfId="6487" priority="389" operator="containsText" text="NUEVO">
      <formula>NOT(ISERROR(SEARCH("NUEVO",E76)))</formula>
    </cfRule>
  </conditionalFormatting>
  <conditionalFormatting sqref="E76:E84 E96">
    <cfRule type="containsText" dxfId="6486" priority="390" operator="containsText" text="Sin información">
      <formula>NOT(ISERROR(SEARCH("Sin información",E76)))</formula>
    </cfRule>
  </conditionalFormatting>
  <conditionalFormatting sqref="E502">
    <cfRule type="containsText" dxfId="6485" priority="387" operator="containsText" text="NUEVO">
      <formula>NOT(ISERROR(SEARCH("NUEVO",E502)))</formula>
    </cfRule>
  </conditionalFormatting>
  <conditionalFormatting sqref="E502">
    <cfRule type="containsText" dxfId="6484" priority="386" operator="containsText" text="Sin Información">
      <formula>NOT(ISERROR(SEARCH("Sin Información",E502)))</formula>
    </cfRule>
  </conditionalFormatting>
  <conditionalFormatting sqref="E433">
    <cfRule type="containsText" dxfId="6483" priority="382" operator="containsText" text="Sin información">
      <formula>NOT(ISERROR(SEARCH("Sin información",E433)))</formula>
    </cfRule>
  </conditionalFormatting>
  <conditionalFormatting sqref="E433">
    <cfRule type="containsText" dxfId="6482" priority="381" operator="containsText" text="NUEVO">
      <formula>NOT(ISERROR(SEARCH("NUEVO",E433)))</formula>
    </cfRule>
  </conditionalFormatting>
  <conditionalFormatting sqref="E433">
    <cfRule type="containsText" dxfId="6481" priority="380" operator="containsText" text="NUEVO">
      <formula>NOT(ISERROR(SEARCH("NUEVO",E433)))</formula>
    </cfRule>
  </conditionalFormatting>
  <conditionalFormatting sqref="E433">
    <cfRule type="containsText" dxfId="6480" priority="379" operator="containsText" text="Sin Información">
      <formula>NOT(ISERROR(SEARCH("Sin Información",E433)))</formula>
    </cfRule>
  </conditionalFormatting>
  <conditionalFormatting sqref="E550">
    <cfRule type="containsText" dxfId="6479" priority="375" operator="containsText" text="Sin información">
      <formula>NOT(ISERROR(SEARCH("Sin información",E550)))</formula>
    </cfRule>
  </conditionalFormatting>
  <conditionalFormatting sqref="E550">
    <cfRule type="containsText" dxfId="6478" priority="374" operator="containsText" text="NUEVO">
      <formula>NOT(ISERROR(SEARCH("NUEVO",E550)))</formula>
    </cfRule>
  </conditionalFormatting>
  <conditionalFormatting sqref="E549">
    <cfRule type="containsText" dxfId="6477" priority="369" operator="containsText" text="NUEVO">
      <formula>NOT(ISERROR(SEARCH("NUEVO",E549)))</formula>
    </cfRule>
  </conditionalFormatting>
  <conditionalFormatting sqref="E549">
    <cfRule type="containsText" dxfId="6476" priority="368" operator="containsText" text="Sin información">
      <formula>NOT(ISERROR(SEARCH("Sin información",E549)))</formula>
    </cfRule>
  </conditionalFormatting>
  <conditionalFormatting sqref="E547">
    <cfRule type="containsText" dxfId="6475" priority="364" operator="containsText" text="Sin información">
      <formula>NOT(ISERROR(SEARCH("Sin información",E547)))</formula>
    </cfRule>
  </conditionalFormatting>
  <conditionalFormatting sqref="E547">
    <cfRule type="containsText" dxfId="6474" priority="363" operator="containsText" text="NUEVO">
      <formula>NOT(ISERROR(SEARCH("NUEVO",E547)))</formula>
    </cfRule>
  </conditionalFormatting>
  <conditionalFormatting sqref="E548">
    <cfRule type="containsText" dxfId="6473" priority="358" operator="containsText" text="Sin información">
      <formula>NOT(ISERROR(SEARCH("Sin información",E548)))</formula>
    </cfRule>
  </conditionalFormatting>
  <conditionalFormatting sqref="E548">
    <cfRule type="containsText" dxfId="6472" priority="357" operator="containsText" text="NUEVO">
      <formula>NOT(ISERROR(SEARCH("NUEVO",E548)))</formula>
    </cfRule>
  </conditionalFormatting>
  <conditionalFormatting sqref="E85">
    <cfRule type="containsText" dxfId="6471" priority="350" operator="containsText" text="Sin Información">
      <formula>NOT(ISERROR(SEARCH("Sin Información",E85)))</formula>
    </cfRule>
  </conditionalFormatting>
  <conditionalFormatting sqref="E85">
    <cfRule type="containsText" dxfId="6470" priority="351" operator="containsText" text="NUEVO">
      <formula>NOT(ISERROR(SEARCH("NUEVO",E85)))</formula>
    </cfRule>
  </conditionalFormatting>
  <conditionalFormatting sqref="E85">
    <cfRule type="containsText" dxfId="6469" priority="352" operator="containsText" text="Sin información">
      <formula>NOT(ISERROR(SEARCH("Sin información",E85)))</formula>
    </cfRule>
  </conditionalFormatting>
  <conditionalFormatting sqref="E125">
    <cfRule type="containsText" dxfId="6468" priority="348" operator="containsText" text="NUEVO">
      <formula>NOT(ISERROR(SEARCH("NUEVO",E1148)))</formula>
    </cfRule>
  </conditionalFormatting>
  <conditionalFormatting sqref="E125">
    <cfRule type="containsText" dxfId="6467" priority="349" operator="containsText" text="Sin información">
      <formula>NOT(ISERROR(SEARCH("Sin información",E1148)))</formula>
    </cfRule>
  </conditionalFormatting>
  <conditionalFormatting sqref="E126">
    <cfRule type="containsText" dxfId="6466" priority="338" operator="containsText" text="Sin Información">
      <formula>NOT(ISERROR(SEARCH("Sin Información",E126)))</formula>
    </cfRule>
  </conditionalFormatting>
  <conditionalFormatting sqref="E126">
    <cfRule type="containsText" dxfId="6465" priority="339" operator="containsText" text="NUEVO">
      <formula>NOT(ISERROR(SEARCH("NUEVO",E126)))</formula>
    </cfRule>
  </conditionalFormatting>
  <conditionalFormatting sqref="E139">
    <cfRule type="containsText" dxfId="6464" priority="334" operator="containsText" text="NUEVO">
      <formula>NOT(ISERROR(SEARCH("NUEVO",E139)))</formula>
    </cfRule>
  </conditionalFormatting>
  <conditionalFormatting sqref="E139">
    <cfRule type="containsText" dxfId="6463" priority="333" operator="containsText" text="Sin Información">
      <formula>NOT(ISERROR(SEARCH("Sin Información",E139)))</formula>
    </cfRule>
  </conditionalFormatting>
  <conditionalFormatting sqref="E145">
    <cfRule type="containsText" dxfId="6462" priority="329" operator="containsText" text="NUEVO">
      <formula>NOT(ISERROR(SEARCH("NUEVO",E145)))</formula>
    </cfRule>
  </conditionalFormatting>
  <conditionalFormatting sqref="E145">
    <cfRule type="containsText" dxfId="6461" priority="328" operator="containsText" text="Sin Información">
      <formula>NOT(ISERROR(SEARCH("Sin Información",E145)))</formula>
    </cfRule>
  </conditionalFormatting>
  <conditionalFormatting sqref="E191">
    <cfRule type="containsText" dxfId="6460" priority="323" operator="containsText" text="NUEVO">
      <formula>NOT(ISERROR(SEARCH("NUEVO",E191)))</formula>
    </cfRule>
  </conditionalFormatting>
  <conditionalFormatting sqref="E191">
    <cfRule type="containsText" dxfId="6459" priority="322" operator="containsText" text="Sin Información">
      <formula>NOT(ISERROR(SEARCH("Sin Información",E191)))</formula>
    </cfRule>
  </conditionalFormatting>
  <conditionalFormatting sqref="E196">
    <cfRule type="containsText" dxfId="6458" priority="316" operator="containsText" text="NUEVO">
      <formula>NOT(ISERROR(SEARCH("NUEVO",E196)))</formula>
    </cfRule>
  </conditionalFormatting>
  <conditionalFormatting sqref="E196">
    <cfRule type="containsText" dxfId="6457" priority="317" operator="containsText" text="Sin información">
      <formula>NOT(ISERROR(SEARCH("Sin información",E196)))</formula>
    </cfRule>
  </conditionalFormatting>
  <conditionalFormatting sqref="E208">
    <cfRule type="containsText" dxfId="6456" priority="303" operator="containsText" text="Sin Información">
      <formula>NOT(ISERROR(SEARCH("Sin Información",E208)))</formula>
    </cfRule>
  </conditionalFormatting>
  <conditionalFormatting sqref="E208">
    <cfRule type="containsText" dxfId="6455" priority="304" operator="containsText" text="NUEVO">
      <formula>NOT(ISERROR(SEARCH("NUEVO",E208)))</formula>
    </cfRule>
  </conditionalFormatting>
  <conditionalFormatting sqref="E206">
    <cfRule type="containsText" dxfId="6454" priority="297" operator="containsText" text="Sin Información">
      <formula>NOT(ISERROR(SEARCH("Sin Información",E206)))</formula>
    </cfRule>
  </conditionalFormatting>
  <conditionalFormatting sqref="E206">
    <cfRule type="containsText" dxfId="6453" priority="298" operator="containsText" text="NUEVO">
      <formula>NOT(ISERROR(SEARCH("NUEVO",E206)))</formula>
    </cfRule>
  </conditionalFormatting>
  <conditionalFormatting sqref="E272">
    <cfRule type="containsText" dxfId="6452" priority="291" operator="containsText" text="Sin Información">
      <formula>NOT(ISERROR(SEARCH("Sin Información",E272)))</formula>
    </cfRule>
  </conditionalFormatting>
  <conditionalFormatting sqref="E272">
    <cfRule type="containsText" dxfId="6451" priority="292" operator="containsText" text="NUEVO">
      <formula>NOT(ISERROR(SEARCH("NUEVO",E272)))</formula>
    </cfRule>
  </conditionalFormatting>
  <conditionalFormatting sqref="E156">
    <cfRule type="containsText" dxfId="6450" priority="275" operator="containsText" text="NUEVO">
      <formula>NOT(ISERROR(SEARCH("NUEVO",E156)))</formula>
    </cfRule>
  </conditionalFormatting>
  <conditionalFormatting sqref="E156">
    <cfRule type="containsText" dxfId="6449" priority="274" operator="containsText" text="Sin Información">
      <formula>NOT(ISERROR(SEARCH("Sin Información",E156)))</formula>
    </cfRule>
  </conditionalFormatting>
  <conditionalFormatting sqref="E503">
    <cfRule type="containsText" dxfId="6448" priority="269" operator="containsText" text="NUEVO">
      <formula>NOT(ISERROR(SEARCH("NUEVO",E503)))</formula>
    </cfRule>
  </conditionalFormatting>
  <conditionalFormatting sqref="E503">
    <cfRule type="containsText" dxfId="6447" priority="268" operator="containsText" text="Sin Información">
      <formula>NOT(ISERROR(SEARCH("Sin Información",E503)))</formula>
    </cfRule>
  </conditionalFormatting>
  <conditionalFormatting sqref="E555">
    <cfRule type="containsText" dxfId="6446" priority="263" operator="containsText" text="NUEVO">
      <formula>NOT(ISERROR(SEARCH("NUEVO",E555)))</formula>
    </cfRule>
  </conditionalFormatting>
  <conditionalFormatting sqref="E555">
    <cfRule type="containsText" dxfId="6445" priority="262" operator="containsText" text="Sin Información">
      <formula>NOT(ISERROR(SEARCH("Sin Información",E555)))</formula>
    </cfRule>
  </conditionalFormatting>
  <conditionalFormatting sqref="E368">
    <cfRule type="containsText" dxfId="6444" priority="256" operator="containsText" text="NUEVO">
      <formula>NOT(ISERROR(SEARCH("NUEVO",E368)))</formula>
    </cfRule>
  </conditionalFormatting>
  <conditionalFormatting sqref="E368">
    <cfRule type="containsText" dxfId="6443" priority="257" operator="containsText" text="Sin información">
      <formula>NOT(ISERROR(SEARCH("Sin información",E368)))</formula>
    </cfRule>
  </conditionalFormatting>
  <conditionalFormatting sqref="E505 E507 E509">
    <cfRule type="containsText" dxfId="6442" priority="238" operator="containsText" text="NUEVO">
      <formula>NOT(ISERROR(SEARCH("NUEVO",E505)))</formula>
    </cfRule>
  </conditionalFormatting>
  <conditionalFormatting sqref="E505 E507 E509">
    <cfRule type="containsText" dxfId="6441" priority="237" operator="containsText" text="Sin Información">
      <formula>NOT(ISERROR(SEARCH("Sin Información",E505)))</formula>
    </cfRule>
  </conditionalFormatting>
  <conditionalFormatting sqref="E349">
    <cfRule type="containsText" dxfId="6440" priority="233" operator="containsText" text="NUEVO">
      <formula>NOT(ISERROR(SEARCH("NUEVO",E349)))</formula>
    </cfRule>
  </conditionalFormatting>
  <conditionalFormatting sqref="E349">
    <cfRule type="containsText" dxfId="6439" priority="232" operator="containsText" text="Sin Información">
      <formula>NOT(ISERROR(SEARCH("Sin Información",E349)))</formula>
    </cfRule>
  </conditionalFormatting>
  <conditionalFormatting sqref="E472">
    <cfRule type="containsText" dxfId="6438" priority="219" operator="containsText" text="NUEVO">
      <formula>NOT(ISERROR(SEARCH("NUEVO",E472)))</formula>
    </cfRule>
  </conditionalFormatting>
  <conditionalFormatting sqref="E472">
    <cfRule type="containsText" dxfId="6437" priority="218" operator="containsText" text="Sin Información">
      <formula>NOT(ISERROR(SEARCH("Sin Información",E472)))</formula>
    </cfRule>
  </conditionalFormatting>
  <conditionalFormatting sqref="E472">
    <cfRule type="containsText" dxfId="6436" priority="217" operator="containsText" text="Sin información">
      <formula>NOT(ISERROR(SEARCH("Sin información",E472)))</formula>
    </cfRule>
  </conditionalFormatting>
  <conditionalFormatting sqref="E472">
    <cfRule type="containsText" dxfId="6435" priority="216" operator="containsText" text="Sin información">
      <formula>NOT(ISERROR(SEARCH("Sin información",E472)))</formula>
    </cfRule>
  </conditionalFormatting>
  <conditionalFormatting sqref="E472">
    <cfRule type="containsText" dxfId="6434" priority="215" operator="containsText" text="NUEVO">
      <formula>NOT(ISERROR(SEARCH("NUEVO",E472)))</formula>
    </cfRule>
  </conditionalFormatting>
  <conditionalFormatting sqref="E494 E489">
    <cfRule type="containsText" dxfId="6433" priority="204" operator="containsText" text="Sin información">
      <formula>NOT(ISERROR(SEARCH("Sin información",E489)))</formula>
    </cfRule>
  </conditionalFormatting>
  <conditionalFormatting sqref="E494 E489">
    <cfRule type="containsText" dxfId="6432" priority="203" operator="containsText" text="NUEVO">
      <formula>NOT(ISERROR(SEARCH("NUEVO",E489)))</formula>
    </cfRule>
  </conditionalFormatting>
  <conditionalFormatting sqref="E494 E489">
    <cfRule type="containsText" dxfId="6431" priority="205" operator="containsText" text="Sin información">
      <formula>NOT(ISERROR(SEARCH("Sin información",E489)))</formula>
    </cfRule>
  </conditionalFormatting>
  <conditionalFormatting sqref="E86:E88">
    <cfRule type="containsText" dxfId="6430" priority="200" operator="containsText" text="Sin Información">
      <formula>NOT(ISERROR(SEARCH("Sin Información",E86)))</formula>
    </cfRule>
  </conditionalFormatting>
  <conditionalFormatting sqref="E86:E88">
    <cfRule type="containsText" dxfId="6429" priority="201" operator="containsText" text="NUEVO">
      <formula>NOT(ISERROR(SEARCH("NUEVO",E86)))</formula>
    </cfRule>
  </conditionalFormatting>
  <conditionalFormatting sqref="E86:E88">
    <cfRule type="containsText" dxfId="6428" priority="202" operator="containsText" text="Sin información">
      <formula>NOT(ISERROR(SEARCH("Sin información",E86)))</formula>
    </cfRule>
  </conditionalFormatting>
  <conditionalFormatting sqref="E273:E274">
    <cfRule type="containsText" dxfId="6427" priority="198" operator="containsText" text="Sin Información">
      <formula>NOT(ISERROR(SEARCH("Sin Información",E273)))</formula>
    </cfRule>
  </conditionalFormatting>
  <conditionalFormatting sqref="E273:E274">
    <cfRule type="containsText" dxfId="6426" priority="199" operator="containsText" text="NUEVO">
      <formula>NOT(ISERROR(SEARCH("NUEVO",E273)))</formula>
    </cfRule>
  </conditionalFormatting>
  <conditionalFormatting sqref="E504">
    <cfRule type="containsText" dxfId="6425" priority="197" operator="containsText" text="NUEVO">
      <formula>NOT(ISERROR(SEARCH("NUEVO",E504)))</formula>
    </cfRule>
  </conditionalFormatting>
  <conditionalFormatting sqref="E504">
    <cfRule type="containsText" dxfId="6424" priority="196" operator="containsText" text="Sin Información">
      <formula>NOT(ISERROR(SEARCH("Sin Información",E504)))</formula>
    </cfRule>
  </conditionalFormatting>
  <conditionalFormatting sqref="C444:D444">
    <cfRule type="containsText" dxfId="6423" priority="195" operator="containsText" text="NO+$D$4:$D$10">
      <formula>NOT(ISERROR(SEARCH("NO+$D$4:$D$10",C444)))</formula>
    </cfRule>
  </conditionalFormatting>
  <conditionalFormatting sqref="C444:D444">
    <cfRule type="containsText" dxfId="6422" priority="193" operator="containsText" text="SI">
      <formula>NOT(ISERROR(SEARCH("SI",C444)))</formula>
    </cfRule>
    <cfRule type="containsText" dxfId="6421" priority="194" operator="containsText" text="NO">
      <formula>NOT(ISERROR(SEARCH("NO",C444)))</formula>
    </cfRule>
  </conditionalFormatting>
  <conditionalFormatting sqref="C444:D444">
    <cfRule type="containsText" dxfId="6420" priority="192" operator="containsText" text="NUEVO">
      <formula>NOT(ISERROR(SEARCH("NUEVO",C444)))</formula>
    </cfRule>
  </conditionalFormatting>
  <conditionalFormatting sqref="E444">
    <cfRule type="containsText" dxfId="6419" priority="191" operator="containsText" text="Sin información">
      <formula>NOT(ISERROR(SEARCH("Sin información",E444)))</formula>
    </cfRule>
  </conditionalFormatting>
  <conditionalFormatting sqref="E444">
    <cfRule type="containsText" dxfId="6418" priority="190" operator="containsText" text="NUEVO">
      <formula>NOT(ISERROR(SEARCH("NUEVO",E444)))</formula>
    </cfRule>
  </conditionalFormatting>
  <conditionalFormatting sqref="E444">
    <cfRule type="containsText" dxfId="6417" priority="189" operator="containsText" text="Sin Información">
      <formula>NOT(ISERROR(SEARCH("Sin Información",E444)))</formula>
    </cfRule>
  </conditionalFormatting>
  <conditionalFormatting sqref="C486:D486">
    <cfRule type="containsText" dxfId="6416" priority="188" operator="containsText" text="NO+$D$4:$D$10">
      <formula>NOT(ISERROR(SEARCH("NO+$D$4:$D$10",C486)))</formula>
    </cfRule>
  </conditionalFormatting>
  <conditionalFormatting sqref="C486:D486">
    <cfRule type="containsText" dxfId="6415" priority="186" operator="containsText" text="SI">
      <formula>NOT(ISERROR(SEARCH("SI",C486)))</formula>
    </cfRule>
    <cfRule type="containsText" dxfId="6414" priority="187" operator="containsText" text="NO">
      <formula>NOT(ISERROR(SEARCH("NO",C486)))</formula>
    </cfRule>
  </conditionalFormatting>
  <conditionalFormatting sqref="C486:D486">
    <cfRule type="containsText" dxfId="6413" priority="185" operator="containsText" text="NUEVO">
      <formula>NOT(ISERROR(SEARCH("NUEVO",C486)))</formula>
    </cfRule>
  </conditionalFormatting>
  <conditionalFormatting sqref="E486">
    <cfRule type="containsText" dxfId="6412" priority="183" operator="containsText" text="Sin información">
      <formula>NOT(ISERROR(SEARCH("Sin información",E486)))</formula>
    </cfRule>
  </conditionalFormatting>
  <conditionalFormatting sqref="E486">
    <cfRule type="containsText" dxfId="6411" priority="182" operator="containsText" text="NUEVO">
      <formula>NOT(ISERROR(SEARCH("NUEVO",E486)))</formula>
    </cfRule>
  </conditionalFormatting>
  <conditionalFormatting sqref="E486">
    <cfRule type="containsText" dxfId="6410" priority="184" operator="containsText" text="Sin información">
      <formula>NOT(ISERROR(SEARCH("Sin información",E486)))</formula>
    </cfRule>
  </conditionalFormatting>
  <conditionalFormatting sqref="C89:D89 C91:D95 C96">
    <cfRule type="containsText" dxfId="6409" priority="181" operator="containsText" text="NO+$D$4:$D$10">
      <formula>NOT(ISERROR(SEARCH("NO+$D$4:$D$10",C89)))</formula>
    </cfRule>
  </conditionalFormatting>
  <conditionalFormatting sqref="C89:D89 C91:D95 C96">
    <cfRule type="containsText" dxfId="6408" priority="179" operator="containsText" text="SI">
      <formula>NOT(ISERROR(SEARCH("SI",C89)))</formula>
    </cfRule>
    <cfRule type="containsText" dxfId="6407" priority="180" operator="containsText" text="NO">
      <formula>NOT(ISERROR(SEARCH("NO",C89)))</formula>
    </cfRule>
  </conditionalFormatting>
  <conditionalFormatting sqref="C89:D89 C91:D95 C96">
    <cfRule type="containsText" dxfId="6406" priority="178" operator="containsText" text="NUEVO">
      <formula>NOT(ISERROR(SEARCH("NUEVO",C89)))</formula>
    </cfRule>
  </conditionalFormatting>
  <conditionalFormatting sqref="E89 E91:E95">
    <cfRule type="containsText" dxfId="6405" priority="175" operator="containsText" text="Sin Información">
      <formula>NOT(ISERROR(SEARCH("Sin Información",E89)))</formula>
    </cfRule>
  </conditionalFormatting>
  <conditionalFormatting sqref="E89 E91:E95">
    <cfRule type="containsText" dxfId="6404" priority="176" operator="containsText" text="NUEVO">
      <formula>NOT(ISERROR(SEARCH("NUEVO",E89)))</formula>
    </cfRule>
  </conditionalFormatting>
  <conditionalFormatting sqref="E89 E91:E95">
    <cfRule type="containsText" dxfId="6403" priority="177" operator="containsText" text="Sin información">
      <formula>NOT(ISERROR(SEARCH("Sin información",E89)))</formula>
    </cfRule>
  </conditionalFormatting>
  <conditionalFormatting sqref="C54:D54">
    <cfRule type="containsText" dxfId="6402" priority="174" operator="containsText" text="NO+$D$4:$D$10">
      <formula>NOT(ISERROR(SEARCH("NO+$D$4:$D$10",C54)))</formula>
    </cfRule>
  </conditionalFormatting>
  <conditionalFormatting sqref="C54:D54">
    <cfRule type="containsText" dxfId="6401" priority="172" operator="containsText" text="SI">
      <formula>NOT(ISERROR(SEARCH("SI",C54)))</formula>
    </cfRule>
    <cfRule type="containsText" dxfId="6400" priority="173" operator="containsText" text="NO">
      <formula>NOT(ISERROR(SEARCH("NO",C54)))</formula>
    </cfRule>
  </conditionalFormatting>
  <conditionalFormatting sqref="C54:D54">
    <cfRule type="containsText" dxfId="6399" priority="171" operator="containsText" text="NUEVO">
      <formula>NOT(ISERROR(SEARCH("NUEVO",C54)))</formula>
    </cfRule>
  </conditionalFormatting>
  <conditionalFormatting sqref="E54">
    <cfRule type="containsText" dxfId="6398" priority="170" operator="containsText" text="Sin información">
      <formula>NOT(ISERROR(SEARCH("Sin información",E54)))</formula>
    </cfRule>
  </conditionalFormatting>
  <conditionalFormatting sqref="E54">
    <cfRule type="containsText" dxfId="6397" priority="169" operator="containsText" text="NUEVO">
      <formula>NOT(ISERROR(SEARCH("NUEVO",E54)))</formula>
    </cfRule>
  </conditionalFormatting>
  <conditionalFormatting sqref="E54">
    <cfRule type="containsText" dxfId="6396" priority="168" operator="containsText" text="Sin Información">
      <formula>NOT(ISERROR(SEARCH("Sin Información",E54)))</formula>
    </cfRule>
  </conditionalFormatting>
  <conditionalFormatting sqref="E506">
    <cfRule type="containsText" dxfId="6395" priority="167" operator="containsText" text="NUEVO">
      <formula>NOT(ISERROR(SEARCH("NUEVO",E506)))</formula>
    </cfRule>
  </conditionalFormatting>
  <conditionalFormatting sqref="E506">
    <cfRule type="containsText" dxfId="6394" priority="166" operator="containsText" text="Sin Información">
      <formula>NOT(ISERROR(SEARCH("Sin Información",E506)))</formula>
    </cfRule>
  </conditionalFormatting>
  <conditionalFormatting sqref="C552:D552">
    <cfRule type="containsText" dxfId="6393" priority="165" operator="containsText" text="NO+$D$4:$D$10">
      <formula>NOT(ISERROR(SEARCH("NO+$D$4:$D$10",C552)))</formula>
    </cfRule>
  </conditionalFormatting>
  <conditionalFormatting sqref="C552:D552">
    <cfRule type="containsText" dxfId="6392" priority="163" operator="containsText" text="SI">
      <formula>NOT(ISERROR(SEARCH("SI",C552)))</formula>
    </cfRule>
    <cfRule type="containsText" dxfId="6391" priority="164" operator="containsText" text="NO">
      <formula>NOT(ISERROR(SEARCH("NO",C552)))</formula>
    </cfRule>
  </conditionalFormatting>
  <conditionalFormatting sqref="C552:D552">
    <cfRule type="containsText" dxfId="6390" priority="162" operator="containsText" text="NUEVO">
      <formula>NOT(ISERROR(SEARCH("NUEVO",C552)))</formula>
    </cfRule>
  </conditionalFormatting>
  <conditionalFormatting sqref="E552">
    <cfRule type="containsText" dxfId="6389" priority="160" operator="containsText" text="NUEVO">
      <formula>NOT(ISERROR(SEARCH("NUEVO",E552)))</formula>
    </cfRule>
  </conditionalFormatting>
  <conditionalFormatting sqref="E552">
    <cfRule type="containsText" dxfId="6388" priority="161" operator="containsText" text="Sin información">
      <formula>NOT(ISERROR(SEARCH("Sin información",E552)))</formula>
    </cfRule>
  </conditionalFormatting>
  <conditionalFormatting sqref="C275:D275">
    <cfRule type="containsText" dxfId="6387" priority="159" operator="containsText" text="NO+$D$4:$D$10">
      <formula>NOT(ISERROR(SEARCH("NO+$D$4:$D$10",C275)))</formula>
    </cfRule>
  </conditionalFormatting>
  <conditionalFormatting sqref="C275:D275">
    <cfRule type="containsText" dxfId="6386" priority="157" operator="containsText" text="SI">
      <formula>NOT(ISERROR(SEARCH("SI",C275)))</formula>
    </cfRule>
    <cfRule type="containsText" dxfId="6385" priority="158" operator="containsText" text="NO">
      <formula>NOT(ISERROR(SEARCH("NO",C275)))</formula>
    </cfRule>
  </conditionalFormatting>
  <conditionalFormatting sqref="C275:D275">
    <cfRule type="containsText" dxfId="6384" priority="156" operator="containsText" text="NUEVO">
      <formula>NOT(ISERROR(SEARCH("NUEVO",C275)))</formula>
    </cfRule>
  </conditionalFormatting>
  <conditionalFormatting sqref="E275">
    <cfRule type="containsText" dxfId="6383" priority="154" operator="containsText" text="Sin Información">
      <formula>NOT(ISERROR(SEARCH("Sin Información",E275)))</formula>
    </cfRule>
  </conditionalFormatting>
  <conditionalFormatting sqref="E275">
    <cfRule type="containsText" dxfId="6382" priority="155" operator="containsText" text="NUEVO">
      <formula>NOT(ISERROR(SEARCH("NUEVO",E275)))</formula>
    </cfRule>
  </conditionalFormatting>
  <conditionalFormatting sqref="C258:D258">
    <cfRule type="containsText" dxfId="6381" priority="153" operator="containsText" text="NO+$D$4:$D$10">
      <formula>NOT(ISERROR(SEARCH("NO+$D$4:$D$10",C258)))</formula>
    </cfRule>
  </conditionalFormatting>
  <conditionalFormatting sqref="C258:D258">
    <cfRule type="containsText" dxfId="6380" priority="151" operator="containsText" text="SI">
      <formula>NOT(ISERROR(SEARCH("SI",C258)))</formula>
    </cfRule>
    <cfRule type="containsText" dxfId="6379" priority="152" operator="containsText" text="NO">
      <formula>NOT(ISERROR(SEARCH("NO",C258)))</formula>
    </cfRule>
  </conditionalFormatting>
  <conditionalFormatting sqref="C258:E258">
    <cfRule type="containsText" dxfId="6378" priority="150" operator="containsText" text="NUEVO">
      <formula>NOT(ISERROR(SEARCH("NUEVO",C258)))</formula>
    </cfRule>
  </conditionalFormatting>
  <conditionalFormatting sqref="E258">
    <cfRule type="containsText" dxfId="6377" priority="149" operator="containsText" text="Sin Información">
      <formula>NOT(ISERROR(SEARCH("Sin Información",E258)))</formula>
    </cfRule>
  </conditionalFormatting>
  <conditionalFormatting sqref="C276:D276">
    <cfRule type="containsText" dxfId="6376" priority="148" operator="containsText" text="NO+$D$4:$D$10">
      <formula>NOT(ISERROR(SEARCH("NO+$D$4:$D$10",C276)))</formula>
    </cfRule>
  </conditionalFormatting>
  <conditionalFormatting sqref="C276:D276">
    <cfRule type="containsText" dxfId="6375" priority="146" operator="containsText" text="SI">
      <formula>NOT(ISERROR(SEARCH("SI",C276)))</formula>
    </cfRule>
    <cfRule type="containsText" dxfId="6374" priority="147" operator="containsText" text="NO">
      <formula>NOT(ISERROR(SEARCH("NO",C276)))</formula>
    </cfRule>
  </conditionalFormatting>
  <conditionalFormatting sqref="C276:D276">
    <cfRule type="containsText" dxfId="6373" priority="145" operator="containsText" text="NUEVO">
      <formula>NOT(ISERROR(SEARCH("NUEVO",C276)))</formula>
    </cfRule>
  </conditionalFormatting>
  <conditionalFormatting sqref="E276">
    <cfRule type="containsText" dxfId="6372" priority="143" operator="containsText" text="Sin Información">
      <formula>NOT(ISERROR(SEARCH("Sin Información",E276)))</formula>
    </cfRule>
  </conditionalFormatting>
  <conditionalFormatting sqref="E276">
    <cfRule type="containsText" dxfId="6371" priority="144" operator="containsText" text="NUEVO">
      <formula>NOT(ISERROR(SEARCH("NUEVO",E276)))</formula>
    </cfRule>
  </conditionalFormatting>
  <conditionalFormatting sqref="C260:D260">
    <cfRule type="containsText" dxfId="6370" priority="142" operator="containsText" text="NO+$D$4:$D$10">
      <formula>NOT(ISERROR(SEARCH("NO+$D$4:$D$10",C260)))</formula>
    </cfRule>
  </conditionalFormatting>
  <conditionalFormatting sqref="C260:D260">
    <cfRule type="containsText" dxfId="6369" priority="140" operator="containsText" text="SI">
      <formula>NOT(ISERROR(SEARCH("SI",C260)))</formula>
    </cfRule>
    <cfRule type="containsText" dxfId="6368" priority="141" operator="containsText" text="NO">
      <formula>NOT(ISERROR(SEARCH("NO",C260)))</formula>
    </cfRule>
  </conditionalFormatting>
  <conditionalFormatting sqref="C260:D260">
    <cfRule type="containsText" dxfId="6367" priority="139" operator="containsText" text="NUEVO">
      <formula>NOT(ISERROR(SEARCH("NUEVO",C260)))</formula>
    </cfRule>
  </conditionalFormatting>
  <conditionalFormatting sqref="E260">
    <cfRule type="containsText" dxfId="6366" priority="138" operator="containsText" text="NUEVO">
      <formula>NOT(ISERROR(SEARCH("NUEVO",E260)))</formula>
    </cfRule>
  </conditionalFormatting>
  <conditionalFormatting sqref="E260">
    <cfRule type="containsText" dxfId="6365" priority="137" operator="containsText" text="Sin Información">
      <formula>NOT(ISERROR(SEARCH("Sin Información",E260)))</formula>
    </cfRule>
  </conditionalFormatting>
  <conditionalFormatting sqref="C383:D383">
    <cfRule type="containsText" dxfId="6364" priority="136" operator="containsText" text="NO+$D$4:$D$10">
      <formula>NOT(ISERROR(SEARCH("NO+$D$4:$D$10",C383)))</formula>
    </cfRule>
  </conditionalFormatting>
  <conditionalFormatting sqref="C383:D383">
    <cfRule type="containsText" dxfId="6363" priority="134" operator="containsText" text="SI">
      <formula>NOT(ISERROR(SEARCH("SI",C383)))</formula>
    </cfRule>
    <cfRule type="containsText" dxfId="6362" priority="135" operator="containsText" text="NO">
      <formula>NOT(ISERROR(SEARCH("NO",C383)))</formula>
    </cfRule>
  </conditionalFormatting>
  <conditionalFormatting sqref="C383:D383">
    <cfRule type="containsText" dxfId="6361" priority="133" operator="containsText" text="NUEVO">
      <formula>NOT(ISERROR(SEARCH("NUEVO",C383)))</formula>
    </cfRule>
  </conditionalFormatting>
  <conditionalFormatting sqref="E383">
    <cfRule type="containsText" dxfId="6360" priority="132" operator="containsText" text="NUEVO">
      <formula>NOT(ISERROR(SEARCH("NUEVO",E383)))</formula>
    </cfRule>
  </conditionalFormatting>
  <conditionalFormatting sqref="E383">
    <cfRule type="containsText" dxfId="6359" priority="131" operator="containsText" text="Sin Información">
      <formula>NOT(ISERROR(SEARCH("Sin Información",E383)))</formula>
    </cfRule>
  </conditionalFormatting>
  <conditionalFormatting sqref="C384:D389 C391:D391 D392:D393">
    <cfRule type="containsText" dxfId="6358" priority="130" operator="containsText" text="NO+$D$4:$D$10">
      <formula>NOT(ISERROR(SEARCH("NO+$D$4:$D$10",C384)))</formula>
    </cfRule>
  </conditionalFormatting>
  <conditionalFormatting sqref="C384:D389 C391:D391 D392:D393">
    <cfRule type="containsText" dxfId="6357" priority="128" operator="containsText" text="SI">
      <formula>NOT(ISERROR(SEARCH("SI",C384)))</formula>
    </cfRule>
    <cfRule type="containsText" dxfId="6356" priority="129" operator="containsText" text="NO">
      <formula>NOT(ISERROR(SEARCH("NO",C384)))</formula>
    </cfRule>
  </conditionalFormatting>
  <conditionalFormatting sqref="C384:D389 C391:D391 D392:D393">
    <cfRule type="containsText" dxfId="6355" priority="127" operator="containsText" text="NUEVO">
      <formula>NOT(ISERROR(SEARCH("NUEVO",C384)))</formula>
    </cfRule>
  </conditionalFormatting>
  <conditionalFormatting sqref="E384:E389 E391:E393">
    <cfRule type="containsText" dxfId="6354" priority="126" operator="containsText" text="NUEVO">
      <formula>NOT(ISERROR(SEARCH("NUEVO",E384)))</formula>
    </cfRule>
  </conditionalFormatting>
  <conditionalFormatting sqref="E384:E389 E391:E393">
    <cfRule type="containsText" dxfId="6353" priority="125" operator="containsText" text="Sin Información">
      <formula>NOT(ISERROR(SEARCH("Sin Información",E384)))</formula>
    </cfRule>
  </conditionalFormatting>
  <conditionalFormatting sqref="C311:D311">
    <cfRule type="containsText" dxfId="6352" priority="124" operator="containsText" text="NO+$D$4:$D$10">
      <formula>NOT(ISERROR(SEARCH("NO+$D$4:$D$10",C311)))</formula>
    </cfRule>
  </conditionalFormatting>
  <conditionalFormatting sqref="C311:D311">
    <cfRule type="containsText" dxfId="6351" priority="122" operator="containsText" text="SI">
      <formula>NOT(ISERROR(SEARCH("SI",C311)))</formula>
    </cfRule>
    <cfRule type="containsText" dxfId="6350" priority="123" operator="containsText" text="NO">
      <formula>NOT(ISERROR(SEARCH("NO",C311)))</formula>
    </cfRule>
  </conditionalFormatting>
  <conditionalFormatting sqref="C311:D311">
    <cfRule type="containsText" dxfId="6349" priority="121" operator="containsText" text="NUEVO">
      <formula>NOT(ISERROR(SEARCH("NUEVO",C311)))</formula>
    </cfRule>
  </conditionalFormatting>
  <conditionalFormatting sqref="E311">
    <cfRule type="containsText" dxfId="6348" priority="120" operator="containsText" text="Sin información">
      <formula>NOT(ISERROR(SEARCH("Sin información",E311)))</formula>
    </cfRule>
  </conditionalFormatting>
  <conditionalFormatting sqref="E311">
    <cfRule type="containsText" dxfId="6347" priority="119" operator="containsText" text="NUEVO">
      <formula>NOT(ISERROR(SEARCH("NUEVO",E311)))</formula>
    </cfRule>
  </conditionalFormatting>
  <conditionalFormatting sqref="C90:D90">
    <cfRule type="containsText" dxfId="6346" priority="118" operator="containsText" text="NO+$D$4:$D$10">
      <formula>NOT(ISERROR(SEARCH("NO+$D$4:$D$10",C90)))</formula>
    </cfRule>
  </conditionalFormatting>
  <conditionalFormatting sqref="C90:D90">
    <cfRule type="containsText" dxfId="6345" priority="116" operator="containsText" text="SI">
      <formula>NOT(ISERROR(SEARCH("SI",C90)))</formula>
    </cfRule>
    <cfRule type="containsText" dxfId="6344" priority="117" operator="containsText" text="NO">
      <formula>NOT(ISERROR(SEARCH("NO",C90)))</formula>
    </cfRule>
  </conditionalFormatting>
  <conditionalFormatting sqref="C90:D90">
    <cfRule type="containsText" dxfId="6343" priority="115" operator="containsText" text="NUEVO">
      <formula>NOT(ISERROR(SEARCH("NUEVO",C90)))</formula>
    </cfRule>
  </conditionalFormatting>
  <conditionalFormatting sqref="E90">
    <cfRule type="containsText" dxfId="6342" priority="112" operator="containsText" text="Sin Información">
      <formula>NOT(ISERROR(SEARCH("Sin Información",E90)))</formula>
    </cfRule>
  </conditionalFormatting>
  <conditionalFormatting sqref="E90">
    <cfRule type="containsText" dxfId="6341" priority="113" operator="containsText" text="NUEVO">
      <formula>NOT(ISERROR(SEARCH("NUEVO",E90)))</formula>
    </cfRule>
  </conditionalFormatting>
  <conditionalFormatting sqref="E90">
    <cfRule type="containsText" dxfId="6340" priority="114" operator="containsText" text="Sin información">
      <formula>NOT(ISERROR(SEARCH("Sin información",E90)))</formula>
    </cfRule>
  </conditionalFormatting>
  <conditionalFormatting sqref="C192:D192">
    <cfRule type="containsText" dxfId="6339" priority="111" operator="containsText" text="NO+$D$4:$D$10">
      <formula>NOT(ISERROR(SEARCH("NO+$D$4:$D$10",C192)))</formula>
    </cfRule>
  </conditionalFormatting>
  <conditionalFormatting sqref="C192:D192">
    <cfRule type="containsText" dxfId="6338" priority="109" operator="containsText" text="SI">
      <formula>NOT(ISERROR(SEARCH("SI",C192)))</formula>
    </cfRule>
    <cfRule type="containsText" dxfId="6337" priority="110" operator="containsText" text="NO">
      <formula>NOT(ISERROR(SEARCH("NO",C192)))</formula>
    </cfRule>
  </conditionalFormatting>
  <conditionalFormatting sqref="C192:E192">
    <cfRule type="containsText" dxfId="6336" priority="108" operator="containsText" text="NUEVO">
      <formula>NOT(ISERROR(SEARCH("NUEVO",C192)))</formula>
    </cfRule>
  </conditionalFormatting>
  <conditionalFormatting sqref="E192">
    <cfRule type="containsText" dxfId="6335" priority="107" operator="containsText" text="Sin Información">
      <formula>NOT(ISERROR(SEARCH("Sin Información",E192)))</formula>
    </cfRule>
  </conditionalFormatting>
  <conditionalFormatting sqref="C200:D200">
    <cfRule type="containsText" dxfId="6334" priority="106" operator="containsText" text="NO+$D$4:$D$10">
      <formula>NOT(ISERROR(SEARCH("NO+$D$4:$D$10",C200)))</formula>
    </cfRule>
  </conditionalFormatting>
  <conditionalFormatting sqref="C200:D200">
    <cfRule type="containsText" dxfId="6333" priority="104" operator="containsText" text="SI">
      <formula>NOT(ISERROR(SEARCH("SI",C200)))</formula>
    </cfRule>
    <cfRule type="containsText" dxfId="6332" priority="105" operator="containsText" text="NO">
      <formula>NOT(ISERROR(SEARCH("NO",C200)))</formula>
    </cfRule>
  </conditionalFormatting>
  <conditionalFormatting sqref="C200:E200">
    <cfRule type="containsText" dxfId="6331" priority="103" operator="containsText" text="NUEVO">
      <formula>NOT(ISERROR(SEARCH("NUEVO",C200)))</formula>
    </cfRule>
  </conditionalFormatting>
  <conditionalFormatting sqref="E200">
    <cfRule type="containsText" dxfId="6330" priority="102" operator="containsText" text="Sin Información">
      <formula>NOT(ISERROR(SEARCH("Sin Información",E200)))</formula>
    </cfRule>
  </conditionalFormatting>
  <conditionalFormatting sqref="C455:D455">
    <cfRule type="containsText" dxfId="6329" priority="101" operator="containsText" text="NO+$D$4:$D$10">
      <formula>NOT(ISERROR(SEARCH("NO+$D$4:$D$10",C455)))</formula>
    </cfRule>
  </conditionalFormatting>
  <conditionalFormatting sqref="C455:D455">
    <cfRule type="containsText" dxfId="6328" priority="99" operator="containsText" text="SI">
      <formula>NOT(ISERROR(SEARCH("SI",C455)))</formula>
    </cfRule>
    <cfRule type="containsText" dxfId="6327" priority="100" operator="containsText" text="NO">
      <formula>NOT(ISERROR(SEARCH("NO",C455)))</formula>
    </cfRule>
  </conditionalFormatting>
  <conditionalFormatting sqref="E455">
    <cfRule type="containsText" dxfId="6326" priority="98" operator="containsText" text="Sin información">
      <formula>NOT(ISERROR(SEARCH("Sin información",E455)))</formula>
    </cfRule>
  </conditionalFormatting>
  <conditionalFormatting sqref="C455:E455">
    <cfRule type="containsText" dxfId="6325" priority="97" operator="containsText" text="NUEVO">
      <formula>NOT(ISERROR(SEARCH("NUEVO",C455)))</formula>
    </cfRule>
  </conditionalFormatting>
  <conditionalFormatting sqref="C478:D478">
    <cfRule type="containsText" dxfId="6324" priority="96" operator="containsText" text="NO+$D$4:$D$10">
      <formula>NOT(ISERROR(SEARCH("NO+$D$4:$D$10",C478)))</formula>
    </cfRule>
  </conditionalFormatting>
  <conditionalFormatting sqref="C478:D478">
    <cfRule type="containsText" dxfId="6323" priority="94" operator="containsText" text="SI">
      <formula>NOT(ISERROR(SEARCH("SI",C478)))</formula>
    </cfRule>
    <cfRule type="containsText" dxfId="6322" priority="95" operator="containsText" text="NO">
      <formula>NOT(ISERROR(SEARCH("NO",C478)))</formula>
    </cfRule>
  </conditionalFormatting>
  <conditionalFormatting sqref="E478">
    <cfRule type="containsText" dxfId="6321" priority="93" operator="containsText" text="Sin información">
      <formula>NOT(ISERROR(SEARCH("Sin información",E478)))</formula>
    </cfRule>
  </conditionalFormatting>
  <conditionalFormatting sqref="C478:E478">
    <cfRule type="containsText" dxfId="6320" priority="92" operator="containsText" text="NUEVO">
      <formula>NOT(ISERROR(SEARCH("NUEVO",C478)))</formula>
    </cfRule>
  </conditionalFormatting>
  <conditionalFormatting sqref="C508:D508">
    <cfRule type="containsText" dxfId="6319" priority="91" operator="containsText" text="NO+$D$4:$D$10">
      <formula>NOT(ISERROR(SEARCH("NO+$D$4:$D$10",C508)))</formula>
    </cfRule>
  </conditionalFormatting>
  <conditionalFormatting sqref="C508:D508">
    <cfRule type="containsText" dxfId="6318" priority="89" operator="containsText" text="SI">
      <formula>NOT(ISERROR(SEARCH("SI",C508)))</formula>
    </cfRule>
    <cfRule type="containsText" dxfId="6317" priority="90" operator="containsText" text="NO">
      <formula>NOT(ISERROR(SEARCH("NO",C508)))</formula>
    </cfRule>
  </conditionalFormatting>
  <conditionalFormatting sqref="C508:D508">
    <cfRule type="containsText" dxfId="6316" priority="88" operator="containsText" text="NUEVO">
      <formula>NOT(ISERROR(SEARCH("NUEVO",C508)))</formula>
    </cfRule>
  </conditionalFormatting>
  <conditionalFormatting sqref="E508">
    <cfRule type="containsText" dxfId="6315" priority="87" operator="containsText" text="NUEVO">
      <formula>NOT(ISERROR(SEARCH("NUEVO",E508)))</formula>
    </cfRule>
  </conditionalFormatting>
  <conditionalFormatting sqref="E508">
    <cfRule type="containsText" dxfId="6314" priority="86" operator="containsText" text="Sin Información">
      <formula>NOT(ISERROR(SEARCH("Sin Información",E508)))</formula>
    </cfRule>
  </conditionalFormatting>
  <conditionalFormatting sqref="C324:D324">
    <cfRule type="containsText" dxfId="6313" priority="83" operator="containsText" text="NO+$D$4:$D$10">
      <formula>NOT(ISERROR(SEARCH("NO+$D$4:$D$10",C324)))</formula>
    </cfRule>
  </conditionalFormatting>
  <conditionalFormatting sqref="C324:D324">
    <cfRule type="containsText" dxfId="6312" priority="81" operator="containsText" text="SI">
      <formula>NOT(ISERROR(SEARCH("SI",C324)))</formula>
    </cfRule>
    <cfRule type="containsText" dxfId="6311" priority="82" operator="containsText" text="NO">
      <formula>NOT(ISERROR(SEARCH("NO",C324)))</formula>
    </cfRule>
  </conditionalFormatting>
  <conditionalFormatting sqref="C324:D324">
    <cfRule type="containsText" dxfId="6310" priority="80" operator="containsText" text="NUEVO">
      <formula>NOT(ISERROR(SEARCH("NUEVO",C324)))</formula>
    </cfRule>
  </conditionalFormatting>
  <conditionalFormatting sqref="E324">
    <cfRule type="containsText" dxfId="6309" priority="84" operator="containsText" text="NUEVO">
      <formula>NOT(ISERROR(SEARCH("NUEVO",#REF!)))</formula>
    </cfRule>
  </conditionalFormatting>
  <conditionalFormatting sqref="E324">
    <cfRule type="containsText" dxfId="6308" priority="85" operator="containsText" text="Sin información">
      <formula>NOT(ISERROR(SEARCH("Sin información",#REF!)))</formula>
    </cfRule>
  </conditionalFormatting>
  <conditionalFormatting sqref="C351:D351">
    <cfRule type="containsText" dxfId="6307" priority="75" operator="containsText" text="NO+$D$4:$D$10">
      <formula>NOT(ISERROR(SEARCH("NO+$D$4:$D$10",C351)))</formula>
    </cfRule>
  </conditionalFormatting>
  <conditionalFormatting sqref="C351:D351">
    <cfRule type="containsText" dxfId="6306" priority="73" operator="containsText" text="SI">
      <formula>NOT(ISERROR(SEARCH("SI",C351)))</formula>
    </cfRule>
    <cfRule type="containsText" dxfId="6305" priority="74" operator="containsText" text="NO">
      <formula>NOT(ISERROR(SEARCH("NO",C351)))</formula>
    </cfRule>
  </conditionalFormatting>
  <conditionalFormatting sqref="C351:D351">
    <cfRule type="containsText" dxfId="6304" priority="72" operator="containsText" text="NUEVO">
      <formula>NOT(ISERROR(SEARCH("NUEVO",C351)))</formula>
    </cfRule>
  </conditionalFormatting>
  <conditionalFormatting sqref="E351">
    <cfRule type="containsText" dxfId="6303" priority="71" operator="containsText" text="Sin información">
      <formula>NOT(ISERROR(SEARCH("Sin información",E351)))</formula>
    </cfRule>
  </conditionalFormatting>
  <conditionalFormatting sqref="E351">
    <cfRule type="containsText" dxfId="6302" priority="70" operator="containsText" text="NUEVO">
      <formula>NOT(ISERROR(SEARCH("NUEVO",E351)))</formula>
    </cfRule>
  </conditionalFormatting>
  <conditionalFormatting sqref="C343:D343">
    <cfRule type="containsText" dxfId="6301" priority="65" operator="containsText" text="NO+$D$4:$D$10">
      <formula>NOT(ISERROR(SEARCH("NO+$D$4:$D$10",C343)))</formula>
    </cfRule>
  </conditionalFormatting>
  <conditionalFormatting sqref="C343:D343">
    <cfRule type="containsText" dxfId="6300" priority="63" operator="containsText" text="SI">
      <formula>NOT(ISERROR(SEARCH("SI",C343)))</formula>
    </cfRule>
    <cfRule type="containsText" dxfId="6299" priority="64" operator="containsText" text="NO">
      <formula>NOT(ISERROR(SEARCH("NO",C343)))</formula>
    </cfRule>
  </conditionalFormatting>
  <conditionalFormatting sqref="E343">
    <cfRule type="containsText" dxfId="6298" priority="62" operator="containsText" text="Sin información">
      <formula>NOT(ISERROR(SEARCH("Sin información",E343)))</formula>
    </cfRule>
  </conditionalFormatting>
  <conditionalFormatting sqref="C343:E343">
    <cfRule type="containsText" dxfId="6297" priority="61" operator="containsText" text="NUEVO">
      <formula>NOT(ISERROR(SEARCH("NUEVO",C343)))</formula>
    </cfRule>
  </conditionalFormatting>
  <conditionalFormatting sqref="E343">
    <cfRule type="containsText" dxfId="6296" priority="60" operator="containsText" text="Sin Información">
      <formula>NOT(ISERROR(SEARCH("Sin Información",E343)))</formula>
    </cfRule>
  </conditionalFormatting>
  <conditionalFormatting sqref="C345:D345">
    <cfRule type="containsText" dxfId="6295" priority="59" operator="containsText" text="NO+$D$4:$D$10">
      <formula>NOT(ISERROR(SEARCH("NO+$D$4:$D$10",C345)))</formula>
    </cfRule>
  </conditionalFormatting>
  <conditionalFormatting sqref="C345:D345">
    <cfRule type="containsText" dxfId="6294" priority="57" operator="containsText" text="SI">
      <formula>NOT(ISERROR(SEARCH("SI",C345)))</formula>
    </cfRule>
    <cfRule type="containsText" dxfId="6293" priority="58" operator="containsText" text="NO">
      <formula>NOT(ISERROR(SEARCH("NO",C345)))</formula>
    </cfRule>
  </conditionalFormatting>
  <conditionalFormatting sqref="C345:D345">
    <cfRule type="containsText" dxfId="6292" priority="56" operator="containsText" text="NUEVO">
      <formula>NOT(ISERROR(SEARCH("NUEVO",C345)))</formula>
    </cfRule>
  </conditionalFormatting>
  <conditionalFormatting sqref="E345">
    <cfRule type="containsText" dxfId="6291" priority="55" operator="containsText" text="NUEVO">
      <formula>NOT(ISERROR(SEARCH("NUEVO",E345)))</formula>
    </cfRule>
  </conditionalFormatting>
  <conditionalFormatting sqref="E345">
    <cfRule type="containsText" dxfId="6290" priority="54" operator="containsText" text="Sin información">
      <formula>NOT(ISERROR(SEARCH("Sin información",E345)))</formula>
    </cfRule>
  </conditionalFormatting>
  <conditionalFormatting sqref="C390:D390">
    <cfRule type="containsText" dxfId="6289" priority="53" operator="containsText" text="NO+$D$4:$D$10">
      <formula>NOT(ISERROR(SEARCH("NO+$D$4:$D$10",C390)))</formula>
    </cfRule>
  </conditionalFormatting>
  <conditionalFormatting sqref="C390:D390">
    <cfRule type="containsText" dxfId="6288" priority="51" operator="containsText" text="SI">
      <formula>NOT(ISERROR(SEARCH("SI",C390)))</formula>
    </cfRule>
    <cfRule type="containsText" dxfId="6287" priority="52" operator="containsText" text="NO">
      <formula>NOT(ISERROR(SEARCH("NO",C390)))</formula>
    </cfRule>
  </conditionalFormatting>
  <conditionalFormatting sqref="C390:D390">
    <cfRule type="containsText" dxfId="6286" priority="50" operator="containsText" text="NUEVO">
      <formula>NOT(ISERROR(SEARCH("NUEVO",C390)))</formula>
    </cfRule>
  </conditionalFormatting>
  <conditionalFormatting sqref="E390">
    <cfRule type="containsText" dxfId="6285" priority="49" operator="containsText" text="NUEVO">
      <formula>NOT(ISERROR(SEARCH("NUEVO",E390)))</formula>
    </cfRule>
  </conditionalFormatting>
  <conditionalFormatting sqref="E390">
    <cfRule type="containsText" dxfId="6284" priority="48" operator="containsText" text="Sin Información">
      <formula>NOT(ISERROR(SEARCH("Sin Información",E390)))</formula>
    </cfRule>
  </conditionalFormatting>
  <conditionalFormatting sqref="C392:C394">
    <cfRule type="containsText" dxfId="6283" priority="47" operator="containsText" text="NO+$D$4:$D$10">
      <formula>NOT(ISERROR(SEARCH("NO+$D$4:$D$10",C392)))</formula>
    </cfRule>
  </conditionalFormatting>
  <conditionalFormatting sqref="C392:C394">
    <cfRule type="containsText" dxfId="6282" priority="45" operator="containsText" text="SI">
      <formula>NOT(ISERROR(SEARCH("SI",C392)))</formula>
    </cfRule>
    <cfRule type="containsText" dxfId="6281" priority="46" operator="containsText" text="NO">
      <formula>NOT(ISERROR(SEARCH("NO",C392)))</formula>
    </cfRule>
  </conditionalFormatting>
  <conditionalFormatting sqref="C392:C394">
    <cfRule type="containsText" dxfId="6280" priority="44" operator="containsText" text="NUEVO">
      <formula>NOT(ISERROR(SEARCH("NUEVO",C392)))</formula>
    </cfRule>
  </conditionalFormatting>
  <conditionalFormatting sqref="C344:D344">
    <cfRule type="containsText" dxfId="6279" priority="43" operator="containsText" text="NO+$D$4:$D$10">
      <formula>NOT(ISERROR(SEARCH("NO+$D$4:$D$10",C344)))</formula>
    </cfRule>
  </conditionalFormatting>
  <conditionalFormatting sqref="C344:D344">
    <cfRule type="containsText" dxfId="6278" priority="41" operator="containsText" text="SI">
      <formula>NOT(ISERROR(SEARCH("SI",C344)))</formula>
    </cfRule>
    <cfRule type="containsText" dxfId="6277" priority="42" operator="containsText" text="NO">
      <formula>NOT(ISERROR(SEARCH("NO",C344)))</formula>
    </cfRule>
  </conditionalFormatting>
  <conditionalFormatting sqref="E344">
    <cfRule type="containsText" dxfId="6276" priority="40" operator="containsText" text="Sin información">
      <formula>NOT(ISERROR(SEARCH("Sin información",E344)))</formula>
    </cfRule>
  </conditionalFormatting>
  <conditionalFormatting sqref="C344:E344">
    <cfRule type="containsText" dxfId="6275" priority="39" operator="containsText" text="NUEVO">
      <formula>NOT(ISERROR(SEARCH("NUEVO",C344)))</formula>
    </cfRule>
  </conditionalFormatting>
  <conditionalFormatting sqref="E334">
    <cfRule type="containsText" dxfId="6274" priority="25833" operator="containsText" text="NUEVO">
      <formula>NOT(ISERROR(SEARCH("NUEVO",E344)))</formula>
    </cfRule>
  </conditionalFormatting>
  <conditionalFormatting sqref="E334">
    <cfRule type="containsText" dxfId="6273" priority="25859" operator="containsText" text="Sin información">
      <formula>NOT(ISERROR(SEARCH("Sin información",E344)))</formula>
    </cfRule>
  </conditionalFormatting>
  <conditionalFormatting sqref="C277:D277">
    <cfRule type="containsText" dxfId="6272" priority="38" operator="containsText" text="NO+$D$4:$D$10">
      <formula>NOT(ISERROR(SEARCH("NO+$D$4:$D$10",C277)))</formula>
    </cfRule>
  </conditionalFormatting>
  <conditionalFormatting sqref="C277:D277">
    <cfRule type="containsText" dxfId="6271" priority="36" operator="containsText" text="SI">
      <formula>NOT(ISERROR(SEARCH("SI",C277)))</formula>
    </cfRule>
    <cfRule type="containsText" dxfId="6270" priority="37" operator="containsText" text="NO">
      <formula>NOT(ISERROR(SEARCH("NO",C277)))</formula>
    </cfRule>
  </conditionalFormatting>
  <conditionalFormatting sqref="C277:D277">
    <cfRule type="containsText" dxfId="6269" priority="35" operator="containsText" text="NUEVO">
      <formula>NOT(ISERROR(SEARCH("NUEVO",C277)))</formula>
    </cfRule>
  </conditionalFormatting>
  <conditionalFormatting sqref="E277">
    <cfRule type="containsText" dxfId="6268" priority="33" operator="containsText" text="Sin Información">
      <formula>NOT(ISERROR(SEARCH("Sin Información",E277)))</formula>
    </cfRule>
  </conditionalFormatting>
  <conditionalFormatting sqref="E277">
    <cfRule type="containsText" dxfId="6267" priority="34" operator="containsText" text="NUEVO">
      <formula>NOT(ISERROR(SEARCH("NUEVO",E277)))</formula>
    </cfRule>
  </conditionalFormatting>
  <conditionalFormatting sqref="C278:D278">
    <cfRule type="containsText" dxfId="6266" priority="32" operator="containsText" text="NO+$D$4:$D$10">
      <formula>NOT(ISERROR(SEARCH("NO+$D$4:$D$10",C278)))</formula>
    </cfRule>
  </conditionalFormatting>
  <conditionalFormatting sqref="C278:D278">
    <cfRule type="containsText" dxfId="6265" priority="30" operator="containsText" text="SI">
      <formula>NOT(ISERROR(SEARCH("SI",C278)))</formula>
    </cfRule>
    <cfRule type="containsText" dxfId="6264" priority="31" operator="containsText" text="NO">
      <formula>NOT(ISERROR(SEARCH("NO",C278)))</formula>
    </cfRule>
  </conditionalFormatting>
  <conditionalFormatting sqref="C278:D278">
    <cfRule type="containsText" dxfId="6263" priority="29" operator="containsText" text="NUEVO">
      <formula>NOT(ISERROR(SEARCH("NUEVO",C278)))</formula>
    </cfRule>
  </conditionalFormatting>
  <conditionalFormatting sqref="E278">
    <cfRule type="containsText" dxfId="6262" priority="27" operator="containsText" text="Sin Información">
      <formula>NOT(ISERROR(SEARCH("Sin Información",E278)))</formula>
    </cfRule>
  </conditionalFormatting>
  <conditionalFormatting sqref="E278">
    <cfRule type="containsText" dxfId="6261" priority="28" operator="containsText" text="NUEVO">
      <formula>NOT(ISERROR(SEARCH("NUEVO",E278)))</formula>
    </cfRule>
  </conditionalFormatting>
  <conditionalFormatting sqref="C553:D553">
    <cfRule type="containsText" dxfId="6260" priority="26" operator="containsText" text="NO+$D$4:$D$10">
      <formula>NOT(ISERROR(SEARCH("NO+$D$4:$D$10",C553)))</formula>
    </cfRule>
  </conditionalFormatting>
  <conditionalFormatting sqref="C553:D553">
    <cfRule type="containsText" dxfId="6259" priority="24" operator="containsText" text="SI">
      <formula>NOT(ISERROR(SEARCH("SI",C553)))</formula>
    </cfRule>
    <cfRule type="containsText" dxfId="6258" priority="25" operator="containsText" text="NO">
      <formula>NOT(ISERROR(SEARCH("NO",C553)))</formula>
    </cfRule>
  </conditionalFormatting>
  <conditionalFormatting sqref="E553">
    <cfRule type="containsText" dxfId="6257" priority="23" operator="containsText" text="Sin información">
      <formula>NOT(ISERROR(SEARCH("Sin información",E553)))</formula>
    </cfRule>
  </conditionalFormatting>
  <conditionalFormatting sqref="E553">
    <cfRule type="containsText" dxfId="6256" priority="22" operator="containsText" text="NUEVO">
      <formula>NOT(ISERROR(SEARCH("NUEVO",E553)))</formula>
    </cfRule>
  </conditionalFormatting>
  <conditionalFormatting sqref="C553:D553">
    <cfRule type="containsText" dxfId="6255" priority="21" operator="containsText" text="NUEVO">
      <formula>NOT(ISERROR(SEARCH("NUEVO",C553)))</formula>
    </cfRule>
  </conditionalFormatting>
  <conditionalFormatting sqref="E242">
    <cfRule type="containsText" dxfId="6254" priority="26462" operator="containsText" text="NUEVO">
      <formula>NOT(ISERROR(SEARCH("NUEVO",#REF!)))</formula>
    </cfRule>
  </conditionalFormatting>
  <conditionalFormatting sqref="E242">
    <cfRule type="containsText" dxfId="6253" priority="26463" operator="containsText" text="Sin Información">
      <formula>NOT(ISERROR(SEARCH("Sin Información",#REF!)))</formula>
    </cfRule>
  </conditionalFormatting>
  <conditionalFormatting sqref="C269:E269">
    <cfRule type="containsText" dxfId="6252" priority="17" operator="containsText" text="NUEVO">
      <formula>NOT(ISERROR(SEARCH("NUEVO",C269)))</formula>
    </cfRule>
  </conditionalFormatting>
  <conditionalFormatting sqref="E269">
    <cfRule type="containsText" dxfId="6251" priority="16" operator="containsText" text="Sin Información">
      <formula>NOT(ISERROR(SEARCH("Sin Información",E269)))</formula>
    </cfRule>
  </conditionalFormatting>
  <conditionalFormatting sqref="C269:D269">
    <cfRule type="containsText" dxfId="6250" priority="20" operator="containsText" text="NO+$D$4:$D$10">
      <formula>NOT(ISERROR(SEARCH("NO+$D$4:$D$10",C269)))</formula>
    </cfRule>
  </conditionalFormatting>
  <conditionalFormatting sqref="C269:D269">
    <cfRule type="containsText" dxfId="6249" priority="18" operator="containsText" text="SI">
      <formula>NOT(ISERROR(SEARCH("SI",C269)))</formula>
    </cfRule>
    <cfRule type="containsText" dxfId="6248" priority="19" operator="containsText" text="NO">
      <formula>NOT(ISERROR(SEARCH("NO",C269)))</formula>
    </cfRule>
  </conditionalFormatting>
  <conditionalFormatting sqref="C267:D267">
    <cfRule type="containsText" dxfId="6247" priority="15" operator="containsText" text="NO+$D$4:$D$10">
      <formula>NOT(ISERROR(SEARCH("NO+$D$4:$D$10",C267)))</formula>
    </cfRule>
  </conditionalFormatting>
  <conditionalFormatting sqref="C267:D267">
    <cfRule type="containsText" dxfId="6246" priority="13" operator="containsText" text="SI">
      <formula>NOT(ISERROR(SEARCH("SI",C267)))</formula>
    </cfRule>
    <cfRule type="containsText" dxfId="6245" priority="14" operator="containsText" text="NO">
      <formula>NOT(ISERROR(SEARCH("NO",C267)))</formula>
    </cfRule>
  </conditionalFormatting>
  <conditionalFormatting sqref="C267:E267">
    <cfRule type="containsText" dxfId="6244" priority="12" operator="containsText" text="NUEVO">
      <formula>NOT(ISERROR(SEARCH("NUEVO",C267)))</formula>
    </cfRule>
  </conditionalFormatting>
  <conditionalFormatting sqref="E267">
    <cfRule type="containsText" dxfId="6243" priority="11" operator="containsText" text="Sin Información">
      <formula>NOT(ISERROR(SEARCH("Sin Información",E267)))</formula>
    </cfRule>
  </conditionalFormatting>
  <conditionalFormatting sqref="C498:D498">
    <cfRule type="containsText" dxfId="6242" priority="10" operator="containsText" text="NO+$D$4:$D$10">
      <formula>NOT(ISERROR(SEARCH("NO+$D$4:$D$10",C498)))</formula>
    </cfRule>
  </conditionalFormatting>
  <conditionalFormatting sqref="C498:D498">
    <cfRule type="containsText" dxfId="6241" priority="8" operator="containsText" text="SI">
      <formula>NOT(ISERROR(SEARCH("SI",C498)))</formula>
    </cfRule>
    <cfRule type="containsText" dxfId="6240" priority="9" operator="containsText" text="NO">
      <formula>NOT(ISERROR(SEARCH("NO",C498)))</formula>
    </cfRule>
  </conditionalFormatting>
  <conditionalFormatting sqref="E498">
    <cfRule type="containsText" dxfId="6239" priority="7" operator="containsText" text="Sin información">
      <formula>NOT(ISERROR(SEARCH("Sin información",E498)))</formula>
    </cfRule>
  </conditionalFormatting>
  <conditionalFormatting sqref="C498:E498">
    <cfRule type="containsText" dxfId="6238" priority="6" operator="containsText" text="NUEVO">
      <formula>NOT(ISERROR(SEARCH("NUEVO",C498)))</formula>
    </cfRule>
  </conditionalFormatting>
  <conditionalFormatting sqref="C499:D499">
    <cfRule type="containsText" dxfId="6237" priority="5" operator="containsText" text="NO+$D$4:$D$10">
      <formula>NOT(ISERROR(SEARCH("NO+$D$4:$D$10",C499)))</formula>
    </cfRule>
  </conditionalFormatting>
  <conditionalFormatting sqref="C499:D499">
    <cfRule type="containsText" dxfId="6236" priority="3" operator="containsText" text="SI">
      <formula>NOT(ISERROR(SEARCH("SI",C499)))</formula>
    </cfRule>
    <cfRule type="containsText" dxfId="6235" priority="4" operator="containsText" text="NO">
      <formula>NOT(ISERROR(SEARCH("NO",C499)))</formula>
    </cfRule>
  </conditionalFormatting>
  <conditionalFormatting sqref="E499">
    <cfRule type="containsText" dxfId="6234" priority="2" operator="containsText" text="Sin información">
      <formula>NOT(ISERROR(SEARCH("Sin información",E499)))</formula>
    </cfRule>
  </conditionalFormatting>
  <conditionalFormatting sqref="C499:E499">
    <cfRule type="containsText" dxfId="6233" priority="1" operator="containsText" text="NUEVO">
      <formula>NOT(ISERROR(SEARCH("NUEVO",C499)))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399" operator="containsText" text="Sin información" id="{1B119F04-E088-4385-8D3E-CFCFFE030033}">
            <xm:f>NOT(ISERROR(SEARCH("Sin información",Excluidos!E887)))</xm:f>
            <x14:dxf>
              <fill>
                <patternFill>
                  <bgColor rgb="FFFFC0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0" operator="containsText" text="NUEVO" id="{252BD03B-FB53-48D9-981D-496FA95454CC}">
            <xm:f>NOT(ISERROR(SEARCH("NUEVO",Excluidos!E887)))</xm:f>
            <x14:dxf>
              <fill>
                <patternFill>
                  <bgColor rgb="FFFFFF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2" operator="containsText" text="Sin información" id="{567C9B2F-68AA-45AF-9DF9-AF81F8E1CBEF}">
            <xm:f>NOT(ISERROR(SEARCH("Sin información",Excluidos!E882)))</xm:f>
            <x14:dxf>
              <fill>
                <patternFill>
                  <bgColor rgb="FFFFC0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06" operator="containsText" text="NUEVO" id="{6ECC8CB3-27C0-4FD4-B6C7-289613B0FE5B}">
            <xm:f>NOT(ISERROR(SEARCH("NUEVO",Excluidos!E783)))</xm:f>
            <x14:dxf>
              <fill>
                <patternFill>
                  <bgColor rgb="FFFFFF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7" operator="containsText" text="Sin información" id="{10141996-EBEE-4FC4-824C-39373CD42469}">
            <xm:f>NOT(ISERROR(SEARCH("Sin información",Excluidos!E783)))</xm:f>
            <x14:dxf>
              <fill>
                <patternFill>
                  <bgColor rgb="FFFFC0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8" operator="containsText" text="Sin información" id="{6D1F3460-43A3-42CF-B41E-E1EAB597AC94}">
            <xm:f>NOT(ISERROR(SEARCH("Sin información",Excluidos!E753)))</xm:f>
            <x14:dxf>
              <fill>
                <patternFill>
                  <bgColor rgb="FFFFC000"/>
                </patternFill>
              </fill>
            </x14:dxf>
          </x14:cfRule>
          <xm:sqref>E438 E361</xm:sqref>
        </x14:conditionalFormatting>
        <x14:conditionalFormatting xmlns:xm="http://schemas.microsoft.com/office/excel/2006/main">
          <x14:cfRule type="containsText" priority="21409" operator="containsText" text="NUEVO" id="{4464EEE2-952F-4195-9006-D3EF517B1873}">
            <xm:f>NOT(ISERROR(SEARCH("NUEVO",Excluidos!E882)))</xm:f>
            <x14:dxf>
              <fill>
                <patternFill>
                  <bgColor rgb="FFFFFF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14" operator="containsText" text="Sin Información" id="{12ACFF38-4BD0-4FCE-91FD-BC6CCCFDF951}">
            <xm:f>NOT(ISERROR(SEARCH("Sin Información",Excluidos!E815)))</xm:f>
            <x14:dxf>
              <fill>
                <patternFill>
                  <bgColor rgb="FFFFC0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1419" operator="containsText" text="NUEVO" id="{744C66BC-D4E3-48F3-9FB9-2343CA0D0590}">
            <xm:f>NOT(ISERROR(SEARCH("NUEVO",Excluidos!E838)))</xm:f>
            <x14:dxf>
              <fill>
                <patternFill>
                  <bgColor rgb="FFFFFF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3" operator="containsText" text="Sin información" id="{50278C50-F94B-4303-9492-D984E9FB9EA3}">
            <xm:f>NOT(ISERROR(SEARCH("Sin información",Excluidos!E838)))</xm:f>
            <x14:dxf>
              <fill>
                <patternFill>
                  <bgColor rgb="FFFFC0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6" operator="containsText" text="NUEVO" id="{6ECC8CB3-27C0-4FD4-B6C7-289613B0FE5B}">
            <xm:f>NOT(ISERROR(SEARCH("NUEVO",Excluidos!E843)))</xm:f>
            <x14:dxf>
              <fill>
                <patternFill>
                  <bgColor rgb="FFFFFF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27" operator="containsText" text="Sin información" id="{10141996-EBEE-4FC4-824C-39373CD42469}">
            <xm:f>NOT(ISERROR(SEARCH("Sin información",Excluidos!E843)))</xm:f>
            <x14:dxf>
              <fill>
                <patternFill>
                  <bgColor rgb="FFFFC0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46" operator="containsText" text="Sin Información" id="{12ACFF38-4BD0-4FCE-91FD-BC6CCCFDF951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2978" operator="containsText" text="Sin Información" id="{B24FC432-CF01-424D-B0B4-C0F38813980B}">
            <xm:f>NOT(ISERROR(SEARCH("Sin Información",Excluidos!E1370)))</xm:f>
            <x14:dxf>
              <fill>
                <patternFill>
                  <bgColor rgb="FFFFC0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2979" operator="containsText" text="Sin Información" id="{12ACFF38-4BD0-4FCE-91FD-BC6CCCFDF951}">
            <xm:f>NOT(ISERROR(SEARCH("Sin Información",Excluidos!E1198)))</xm:f>
            <x14:dxf>
              <fill>
                <patternFill>
                  <bgColor rgb="FFFFC0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2986" operator="containsText" text="Sin Información" id="{12ACFF38-4BD0-4FCE-91FD-BC6CCCFDF951}">
            <xm:f>NOT(ISERROR(SEARCH("Sin Información",Excluidos!E1303)))</xm:f>
            <x14:dxf>
              <fill>
                <patternFill>
                  <bgColor rgb="FFFFC0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2989" operator="containsText" text="NUEVO" id="{744C66BC-D4E3-48F3-9FB9-2343CA0D0590}">
            <xm:f>NOT(ISERROR(SEARCH("NUEVO",Excluidos!E1406)))</xm:f>
            <x14:dxf>
              <fill>
                <patternFill>
                  <bgColor rgb="FFFFFF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2995" operator="containsText" text="NUEVO" id="{4464EEE2-952F-4195-9006-D3EF517B1873}">
            <xm:f>NOT(ISERROR(SEARCH("NUEVO",Excluidos!E1370)))</xm:f>
            <x14:dxf>
              <fill>
                <patternFill>
                  <bgColor rgb="FFFFFF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3002" operator="containsText" text="Sin Información" id="{12ACFF38-4BD0-4FCE-91FD-BC6CCCFDF951}">
            <xm:f>NOT(ISERROR(SEARCH("Sin Información",Excluidos!E1342)))</xm:f>
            <x14:dxf>
              <fill>
                <patternFill>
                  <bgColor rgb="FFFFC0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3011" operator="containsText" text="NUEVO" id="{744C66BC-D4E3-48F3-9FB9-2343CA0D0590}">
            <xm:f>NOT(ISERROR(SEARCH("NUEVO",Excluidos!E1396)))</xm:f>
            <x14:dxf>
              <fill>
                <patternFill>
                  <bgColor rgb="FFFFFF00"/>
                </patternFill>
              </fill>
            </x14:dxf>
          </x14:cfRule>
          <xm:sqref>E355:E356</xm:sqref>
        </x14:conditionalFormatting>
        <x14:conditionalFormatting xmlns:xm="http://schemas.microsoft.com/office/excel/2006/main">
          <x14:cfRule type="containsText" priority="23012" operator="containsText" text="Sin información" id="{50278C50-F94B-4303-9492-D984E9FB9EA3}">
            <xm:f>NOT(ISERROR(SEARCH("Sin información",Excluidos!E1395)))</xm:f>
            <x14:dxf>
              <fill>
                <patternFill>
                  <bgColor rgb="FFFFC000"/>
                </patternFill>
              </fill>
            </x14:dxf>
          </x14:cfRule>
          <xm:sqref>E354:E356</xm:sqref>
        </x14:conditionalFormatting>
        <x14:conditionalFormatting xmlns:xm="http://schemas.microsoft.com/office/excel/2006/main">
          <x14:cfRule type="containsText" priority="23013" operator="containsText" text="NUEVO" id="{744C66BC-D4E3-48F3-9FB9-2343CA0D0590}">
            <xm:f>NOT(ISERROR(SEARCH("NUEVO",Excluidos!E1394)))</xm:f>
            <x14:dxf>
              <fill>
                <patternFill>
                  <bgColor rgb="FFFFFF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4" operator="containsText" text="Sin información" id="{50278C50-F94B-4303-9492-D984E9FB9EA3}">
            <xm:f>NOT(ISERROR(SEARCH("Sin información",Excluidos!E1394)))</xm:f>
            <x14:dxf>
              <fill>
                <patternFill>
                  <bgColor rgb="FFFFC0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7" operator="containsText" text="Sin información" id="{10141996-EBEE-4FC4-824C-39373CD42469}">
            <xm:f>NOT(ISERROR(SEARCH("Sin información",Excluidos!E1406)))</xm:f>
            <x14:dxf>
              <fill>
                <patternFill>
                  <bgColor rgb="FFFFC0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3018" operator="containsText" text="Sin información" id="{567C9B2F-68AA-45AF-9DF9-AF81F8E1CBEF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19" operator="containsText" text="NUEVO" id="{89C7CEF1-6FDD-4E89-BD5B-B09F425E65CD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22" operator="containsText" text="Sin información" id="{F6FFECA3-65DE-4BA6-816D-94B156F9AA24}">
            <xm:f>NOT(ISERROR(SEARCH("Sin información",Excluidos!E1405)))</xm:f>
            <x14:dxf>
              <fill>
                <patternFill>
                  <bgColor rgb="FFFFC0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024" operator="containsText" text="NUEVO" id="{4464EEE2-952F-4195-9006-D3EF517B1873}">
            <xm:f>NOT(ISERROR(SEARCH("NUEVO",Excluidos!E1405)))</xm:f>
            <x14:dxf>
              <fill>
                <patternFill>
                  <bgColor rgb="FFFFFF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889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3918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4642" operator="containsText" text="Sin información" id="{F6FFECA3-65DE-4BA6-816D-94B156F9AA24}">
            <xm:f>NOT(ISERROR(SEARCH("Sin información",Excluidos!E1113)))</xm:f>
            <x14:dxf>
              <fill>
                <patternFill>
                  <bgColor rgb="FFFFC0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643" operator="containsText" text="NUEVO" id="{4464EEE2-952F-4195-9006-D3EF517B1873}">
            <xm:f>NOT(ISERROR(SEARCH("NUEVO",Excluidos!E1113)))</xm:f>
            <x14:dxf>
              <fill>
                <patternFill>
                  <bgColor rgb="FFFFFF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703" operator="containsText" text="Sin información" id="{50278C50-F94B-4303-9492-D984E9FB9EA3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4726" operator="containsText" text="NUEVO" id="{6ECC8CB3-27C0-4FD4-B6C7-289613B0FE5B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5441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447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49" operator="containsText" text="NUEVO" id="{4464EEE2-952F-4195-9006-D3EF517B1873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58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537" operator="containsText" text="NUEVO" id="{4464EEE2-952F-4195-9006-D3EF517B1873}">
            <xm:f>NOT(ISERROR(SEARCH("NUEVO",Excluidos!E739)))</xm:f>
            <x14:dxf>
              <fill>
                <patternFill>
                  <bgColor rgb="FFFFFF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5551" operator="containsText" text="NUEVO" id="{4464EEE2-952F-4195-9006-D3EF517B1873}">
            <xm:f>NOT(ISERROR(SEARCH("NUEVO",Excluidos!E1303)))</xm:f>
            <x14:dxf>
              <fill>
                <patternFill>
                  <bgColor rgb="FFFFFF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5633" operator="containsText" text="NUEVO" id="{4464EEE2-952F-4195-9006-D3EF517B1873}">
            <xm:f>NOT(ISERROR(SEARCH("NUEVO",Excluidos!E1344)))</xm:f>
            <x14:dxf>
              <fill>
                <patternFill>
                  <bgColor rgb="FFFFFF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34" operator="containsText" text="Sin Información" id="{12ACFF38-4BD0-4FCE-91FD-BC6CCCFDF951}">
            <xm:f>NOT(ISERROR(SEARCH("Sin Información",Excluidos!E1344)))</xm:f>
            <x14:dxf>
              <fill>
                <patternFill>
                  <bgColor rgb="FFFFC0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80" operator="containsText" text="Sin información" id="{6D1F3460-43A3-42CF-B41E-E1EAB597AC94}">
            <xm:f>NOT(ISERROR(SEARCH("Sin información",Excluidos!E739)))</xm:f>
            <x14:dxf>
              <fill>
                <patternFill>
                  <bgColor rgb="FFFFC0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6069" operator="containsText" text="Sin Información" id="{B24FC432-CF01-424D-B0B4-C0F38813980B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131" operator="containsText" text="Sin Información" id="{12ACFF38-4BD0-4FCE-91FD-BC6CCCFDF951}">
            <xm:f>NOT(ISERROR(SEARCH("Sin Información",Excluidos!E1262)))</xm:f>
            <x14:dxf>
              <fill>
                <patternFill>
                  <bgColor rgb="FFFFC0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204" operator="containsText" text="Sin Información" id="{12ACFF38-4BD0-4FCE-91FD-BC6CCCFDF951}">
            <xm:f>NOT(ISERROR(SEARCH("Sin Información",Excluidos!E1196)))</xm:f>
            <x14:dxf>
              <fill>
                <patternFill>
                  <bgColor rgb="FFFFC0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258" operator="containsText" text="NUEVO" id="{744C66BC-D4E3-48F3-9FB9-2343CA0D0590}">
            <xm:f>NOT(ISERROR(SEARCH("NUEVO",Excluidos!E1198)))</xm:f>
            <x14:dxf>
              <fill>
                <patternFill>
                  <bgColor rgb="FFFFFF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6292" operator="containsText" text="Sin Información" id="{12ACFF38-4BD0-4FCE-91FD-BC6CCCFDF951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348" operator="containsText" text="Sin Información" id="{12ACFF38-4BD0-4FCE-91FD-BC6CCCFDF951}">
            <xm:f>NOT(ISERROR(SEARCH("Sin Información",Excluidos!E1176)))</xm:f>
            <x14:dxf>
              <fill>
                <patternFill>
                  <bgColor rgb="FFFFC0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373" operator="containsText" text="Sin Información" id="{12ACFF38-4BD0-4FCE-91FD-BC6CCCFDF951}">
            <xm:f>NOT(ISERROR(SEARCH("Sin Información",Excluidos!E1175)))</xm:f>
            <x14:dxf>
              <fill>
                <patternFill>
                  <bgColor rgb="FFFFC000"/>
                </patternFill>
              </fill>
            </x14:dxf>
          </x14:cfRule>
          <xm:sqref>E121 E116</xm:sqref>
        </x14:conditionalFormatting>
        <x14:conditionalFormatting xmlns:xm="http://schemas.microsoft.com/office/excel/2006/main">
          <x14:cfRule type="containsText" priority="26378" operator="containsText" text="NUEVO" id="{744C66BC-D4E3-48F3-9FB9-2343CA0D0590}">
            <xm:f>NOT(ISERROR(SEARCH("NUEVO",Excluidos!E1176)))</xm:f>
            <x14:dxf>
              <fill>
                <patternFill>
                  <bgColor rgb="FFFFFF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434" operator="containsText" text="Sin información" id="{567C9B2F-68AA-45AF-9DF9-AF81F8E1CBEF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38" operator="containsText" text="NUEVO" id="{4464EEE2-952F-4195-9006-D3EF517B1873}">
            <xm:f>NOT(ISERROR(SEARCH("NUEVO",Excluidos!E834)))</xm:f>
            <x14:dxf>
              <fill>
                <patternFill>
                  <bgColor rgb="FFFFFF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51" operator="containsText" text="NUEVO" id="{744C66BC-D4E3-48F3-9FB9-2343CA0D0590}">
            <xm:f>NOT(ISERROR(SEARCH("NUEVO",Excluidos!E815)))</xm:f>
            <x14:dxf>
              <fill>
                <patternFill>
                  <bgColor rgb="FFFFFF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6475" operator="containsText" text="NUEVO" id="{4464EEE2-952F-4195-9006-D3EF517B1873}">
            <xm:f>NOT(ISERROR(SEARCH("NUEVO",Excluidos!E753)))</xm:f>
            <x14:dxf>
              <fill>
                <patternFill>
                  <bgColor rgb="FFFFFF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6486" operator="containsText" text="NUEVO" id="{89C7CEF1-6FDD-4E89-BD5B-B09F425E65CD}">
            <xm:f>NOT(ISERROR(SEARCH("NUEVO",Excluidos!E1342)))</xm:f>
            <x14:dxf>
              <fill>
                <patternFill>
                  <bgColor rgb="FFFFFF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6495" operator="containsText" text="NUEVO" id="{744C66BC-D4E3-48F3-9FB9-2343CA0D0590}">
            <xm:f>NOT(ISERROR(SEARCH("NUEVO",Excluidos!E1196)))</xm:f>
            <x14:dxf>
              <fill>
                <patternFill>
                  <bgColor rgb="FFFFFF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498" operator="containsText" text="Sin información" id="{567C9B2F-68AA-45AF-9DF9-AF81F8E1CBEF}">
            <xm:f>NOT(ISERROR(SEARCH("Sin información",Excluidos!E1215)))</xm:f>
            <x14:dxf>
              <fill>
                <patternFill>
                  <bgColor rgb="FFFFC0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00" operator="containsText" text="Sin información" id="{F6FFECA3-65DE-4BA6-816D-94B156F9AA24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01" operator="containsText" text="NUEVO" id="{4464EEE2-952F-4195-9006-D3EF517B1873}">
            <xm:f>NOT(ISERROR(SEARCH("NUEVO",Excluidos!E1118)))</xm:f>
            <x14:dxf>
              <fill>
                <patternFill>
                  <bgColor rgb="FFFFFF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24" operator="containsText" text="NUEVO" id="{89C7CEF1-6FDD-4E89-BD5B-B09F425E65CD}">
            <xm:f>NOT(ISERROR(SEARCH("NUEVO",Excluidos!E1262)))</xm:f>
            <x14:dxf>
              <fill>
                <patternFill>
                  <bgColor rgb="FFFFFF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525" operator="containsText" text="Sin información" id="{F6FFECA3-65DE-4BA6-816D-94B156F9AA24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27" operator="containsText" text="NUEVO" id="{4464EEE2-952F-4195-9006-D3EF517B1873}">
            <xm:f>NOT(ISERROR(SEARCH("NUEVO",Excluidos!E1122)))</xm:f>
            <x14:dxf>
              <fill>
                <patternFill>
                  <bgColor rgb="FFFFFF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48" operator="containsText" text="Sin Información" id="{12ACFF38-4BD0-4FCE-91FD-BC6CCCFDF951}">
            <xm:f>NOT(ISERROR(SEARCH("Sin Información",Excluidos!E1254)))</xm:f>
            <x14:dxf>
              <fill>
                <patternFill>
                  <bgColor rgb="FFFFC0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49" operator="containsText" text="Sin Información" id="{12ACFF38-4BD0-4FCE-91FD-BC6CCCFDF951}">
            <xm:f>NOT(ISERROR(SEARCH("Sin Información",Excluidos!E1216)))</xm:f>
            <x14:dxf>
              <fill>
                <patternFill>
                  <bgColor rgb="FFFFC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26553" operator="containsText" text="NUEVO" id="{6ECC8CB3-27C0-4FD4-B6C7-289613B0FE5B}">
            <xm:f>NOT(ISERROR(SEARCH("NUEVO",Excluidos!E1175)))</xm:f>
            <x14:dxf>
              <fill>
                <patternFill>
                  <bgColor rgb="FFFFFF00"/>
                </patternFill>
              </fill>
            </x14:dxf>
          </x14:cfRule>
          <xm:sqref>E116 E121</xm:sqref>
        </x14:conditionalFormatting>
        <x14:conditionalFormatting xmlns:xm="http://schemas.microsoft.com/office/excel/2006/main">
          <x14:cfRule type="containsText" priority="26557" operator="containsText" text="NUEVO" id="{4464EEE2-952F-4195-9006-D3EF517B1873}">
            <xm:f>NOT(ISERROR(SEARCH("NUEVO",Excluidos!E1254)))</xm:f>
            <x14:dxf>
              <fill>
                <patternFill>
                  <bgColor rgb="FFFFFF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74" operator="containsText" text="NUEVO" id="{89C7CEF1-6FDD-4E89-BD5B-B09F425E65CD}">
            <xm:f>NOT(ISERROR(SEARCH("NUEVO",Excluidos!E1215)))</xm:f>
            <x14:dxf>
              <fill>
                <patternFill>
                  <bgColor rgb="FFFFFF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95" operator="containsText" text="NUEVO" id="{744C66BC-D4E3-48F3-9FB9-2343CA0D0590}">
            <xm:f>NOT(ISERROR(SEARCH("NUEVO",Excluidos!E1104)))</xm:f>
            <x14:dxf>
              <fill>
                <patternFill>
                  <bgColor rgb="FFFFFF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596" operator="containsText" text="Sin información" id="{10141996-EBEE-4FC4-824C-39373CD42469}">
            <xm:f>NOT(ISERROR(SEARCH("Sin información",Excluidos!E1104)))</xm:f>
            <x14:dxf>
              <fill>
                <patternFill>
                  <bgColor rgb="FFFFC0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607" operator="containsText" text="Sin información" id="{567C9B2F-68AA-45AF-9DF9-AF81F8E1CBEF}">
            <xm:f>NOT(ISERROR(SEARCH("Sin información",Excluidos!E740)))</xm:f>
            <x14:dxf>
              <fill>
                <patternFill>
                  <bgColor rgb="FFFFC000"/>
                </patternFill>
              </fill>
            </x14:dxf>
          </x14:cfRule>
          <xm:sqref>E346</xm:sqref>
        </x14:conditionalFormatting>
        <x14:conditionalFormatting xmlns:xm="http://schemas.microsoft.com/office/excel/2006/main">
          <x14:cfRule type="containsText" priority="26612" operator="containsText" text="NUEVO" id="{4464EEE2-952F-4195-9006-D3EF517B1873}">
            <xm:f>NOT(ISERROR(SEARCH("NUEVO",Excluidos!E740)))</xm:f>
            <x14:dxf>
              <fill>
                <patternFill>
                  <bgColor rgb="FFFFFF00"/>
                </patternFill>
              </fill>
            </x14:dxf>
          </x14:cfRule>
          <xm:sqref>E346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Hoja2!$A$2:$A$4</xm:f>
          </x14:formula1>
          <xm:sqref>N149:O149 AD204:AE204 O133:P133 BS160:BT160 C112:D279 C294:D394 C525:D556 C409:D510 C23:D96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4"/>
  <sheetViews>
    <sheetView topLeftCell="A2" workbookViewId="0">
      <selection activeCell="C9" sqref="C9"/>
    </sheetView>
  </sheetViews>
  <sheetFormatPr baseColWidth="10" defaultRowHeight="15" x14ac:dyDescent="0.25"/>
  <sheetData>
    <row r="1" spans="1:2" x14ac:dyDescent="0.25">
      <c r="A1" s="201" t="s">
        <v>4</v>
      </c>
      <c r="B1" s="201"/>
    </row>
    <row r="2" spans="1:2" x14ac:dyDescent="0.25">
      <c r="A2" s="1" t="s">
        <v>5</v>
      </c>
      <c r="B2" s="1" t="s">
        <v>5</v>
      </c>
    </row>
    <row r="3" spans="1:2" x14ac:dyDescent="0.25">
      <c r="A3" s="1" t="s">
        <v>6</v>
      </c>
      <c r="B3" s="1" t="s">
        <v>6</v>
      </c>
    </row>
    <row r="4" spans="1:2" x14ac:dyDescent="0.25">
      <c r="A4" s="2" t="s">
        <v>1815</v>
      </c>
    </row>
    <row r="8" spans="1:2" x14ac:dyDescent="0.25">
      <c r="A8" t="s">
        <v>291</v>
      </c>
      <c r="B8" s="25"/>
    </row>
    <row r="9" spans="1:2" x14ac:dyDescent="0.25">
      <c r="A9" t="s">
        <v>292</v>
      </c>
    </row>
    <row r="10" spans="1:2" x14ac:dyDescent="0.25">
      <c r="A10" t="s">
        <v>293</v>
      </c>
    </row>
    <row r="11" spans="1:2" x14ac:dyDescent="0.25">
      <c r="A11" t="s">
        <v>294</v>
      </c>
    </row>
    <row r="12" spans="1:2" x14ac:dyDescent="0.25">
      <c r="A12" t="s">
        <v>295</v>
      </c>
    </row>
    <row r="13" spans="1:2" x14ac:dyDescent="0.25">
      <c r="A13" t="s">
        <v>296</v>
      </c>
    </row>
    <row r="14" spans="1:2" x14ac:dyDescent="0.25">
      <c r="A14" t="s">
        <v>297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3"/>
      <c r="B1" s="203"/>
      <c r="C1" s="203"/>
    </row>
    <row r="2" spans="1:3" ht="42.75" customHeight="1" x14ac:dyDescent="0.25">
      <c r="A2" s="203" t="s">
        <v>377</v>
      </c>
      <c r="B2" s="203"/>
      <c r="C2" s="203"/>
    </row>
    <row r="3" spans="1:3" x14ac:dyDescent="0.25">
      <c r="A3" s="48" t="s">
        <v>378</v>
      </c>
    </row>
    <row r="4" spans="1:3" x14ac:dyDescent="0.25">
      <c r="A4" s="48" t="s">
        <v>379</v>
      </c>
    </row>
    <row r="5" spans="1:3" x14ac:dyDescent="0.25">
      <c r="A5" s="48" t="s">
        <v>380</v>
      </c>
    </row>
    <row r="6" spans="1:3" x14ac:dyDescent="0.25">
      <c r="A6" t="s">
        <v>381</v>
      </c>
    </row>
    <row r="7" spans="1:3" x14ac:dyDescent="0.25">
      <c r="A7" t="s">
        <v>383</v>
      </c>
    </row>
    <row r="8" spans="1:3" x14ac:dyDescent="0.25">
      <c r="A8" t="s">
        <v>384</v>
      </c>
      <c r="C8" t="s">
        <v>382</v>
      </c>
    </row>
    <row r="9" spans="1:3" x14ac:dyDescent="0.25">
      <c r="A9" t="s">
        <v>385</v>
      </c>
      <c r="C9" t="s">
        <v>382</v>
      </c>
    </row>
    <row r="10" spans="1:3" x14ac:dyDescent="0.25">
      <c r="A10" t="s">
        <v>386</v>
      </c>
      <c r="C10" t="s">
        <v>382</v>
      </c>
    </row>
    <row r="11" spans="1:3" x14ac:dyDescent="0.25">
      <c r="A11" t="s">
        <v>387</v>
      </c>
      <c r="C11" t="s">
        <v>382</v>
      </c>
    </row>
    <row r="12" spans="1:3" x14ac:dyDescent="0.25">
      <c r="A12" t="s">
        <v>388</v>
      </c>
      <c r="C12" t="s">
        <v>382</v>
      </c>
    </row>
    <row r="13" spans="1:3" x14ac:dyDescent="0.25">
      <c r="A13" t="s">
        <v>389</v>
      </c>
      <c r="C13" t="s">
        <v>382</v>
      </c>
    </row>
    <row r="14" spans="1:3" x14ac:dyDescent="0.25">
      <c r="A14" t="s">
        <v>390</v>
      </c>
      <c r="C14" t="s">
        <v>382</v>
      </c>
    </row>
    <row r="15" spans="1:3" x14ac:dyDescent="0.25">
      <c r="A15" t="s">
        <v>391</v>
      </c>
      <c r="C15" t="s">
        <v>382</v>
      </c>
    </row>
    <row r="16" spans="1:3" x14ac:dyDescent="0.25">
      <c r="A16" t="s">
        <v>392</v>
      </c>
    </row>
    <row r="17" spans="1:3" ht="75" customHeight="1" x14ac:dyDescent="0.25">
      <c r="A17" s="202" t="s">
        <v>393</v>
      </c>
      <c r="B17" s="202"/>
      <c r="C17" s="49" t="s">
        <v>382</v>
      </c>
    </row>
    <row r="18" spans="1:3" ht="45" customHeight="1" x14ac:dyDescent="0.25">
      <c r="A18" s="202" t="s">
        <v>394</v>
      </c>
      <c r="B18" s="202"/>
      <c r="C18" s="49" t="s">
        <v>382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85"/>
  <sheetViews>
    <sheetView zoomScale="85" zoomScaleNormal="85" workbookViewId="0">
      <selection activeCell="I14" sqref="I14:J14"/>
    </sheetView>
  </sheetViews>
  <sheetFormatPr baseColWidth="10" defaultRowHeight="15" x14ac:dyDescent="0.25"/>
  <cols>
    <col min="2" max="2" width="24.42578125" customWidth="1"/>
    <col min="6" max="6" width="11.42578125" style="133"/>
  </cols>
  <sheetData>
    <row r="1" spans="1:6" x14ac:dyDescent="0.25">
      <c r="A1" s="123" t="s">
        <v>1879</v>
      </c>
    </row>
    <row r="2" spans="1:6" x14ac:dyDescent="0.25">
      <c r="A2" s="11">
        <v>1</v>
      </c>
      <c r="B2" s="52" t="s">
        <v>1732</v>
      </c>
      <c r="C2" s="20" t="s">
        <v>6</v>
      </c>
      <c r="D2" s="20" t="s">
        <v>6</v>
      </c>
      <c r="E2" s="101" t="s">
        <v>46</v>
      </c>
      <c r="F2" s="127">
        <v>46145</v>
      </c>
    </row>
    <row r="3" spans="1:6" x14ac:dyDescent="0.25">
      <c r="A3" s="11">
        <v>2</v>
      </c>
      <c r="B3" s="8" t="s">
        <v>1761</v>
      </c>
      <c r="C3" s="20" t="s">
        <v>6</v>
      </c>
      <c r="D3" s="20" t="s">
        <v>6</v>
      </c>
      <c r="E3" s="129" t="s">
        <v>46</v>
      </c>
      <c r="F3" s="127">
        <v>46159</v>
      </c>
    </row>
    <row r="4" spans="1:6" x14ac:dyDescent="0.25">
      <c r="A4" s="11">
        <v>3</v>
      </c>
      <c r="B4" s="52" t="s">
        <v>1760</v>
      </c>
      <c r="C4" s="20" t="s">
        <v>6</v>
      </c>
      <c r="D4" s="20" t="s">
        <v>6</v>
      </c>
      <c r="E4" s="101" t="s">
        <v>46</v>
      </c>
      <c r="F4" s="127">
        <v>46159</v>
      </c>
    </row>
    <row r="5" spans="1:6" x14ac:dyDescent="0.25">
      <c r="A5" s="11">
        <v>4</v>
      </c>
      <c r="B5" s="52" t="s">
        <v>1684</v>
      </c>
      <c r="C5" s="20" t="s">
        <v>6</v>
      </c>
      <c r="D5" s="20" t="s">
        <v>6</v>
      </c>
      <c r="E5" s="101" t="s">
        <v>46</v>
      </c>
      <c r="F5" s="127">
        <v>46152</v>
      </c>
    </row>
    <row r="6" spans="1:6" x14ac:dyDescent="0.25">
      <c r="A6" s="11">
        <v>5</v>
      </c>
      <c r="B6" s="52" t="s">
        <v>1744</v>
      </c>
      <c r="C6" s="20" t="s">
        <v>6</v>
      </c>
      <c r="D6" s="20" t="s">
        <v>6</v>
      </c>
      <c r="E6" s="101" t="s">
        <v>46</v>
      </c>
      <c r="F6" s="127">
        <v>46152</v>
      </c>
    </row>
    <row r="7" spans="1:6" x14ac:dyDescent="0.25">
      <c r="A7" s="11">
        <v>6</v>
      </c>
      <c r="B7" s="52" t="s">
        <v>1749</v>
      </c>
      <c r="C7" s="20" t="s">
        <v>6</v>
      </c>
      <c r="D7" s="20" t="s">
        <v>6</v>
      </c>
      <c r="E7" s="101" t="s">
        <v>46</v>
      </c>
      <c r="F7" s="127">
        <v>46152</v>
      </c>
    </row>
    <row r="8" spans="1:6" x14ac:dyDescent="0.25">
      <c r="A8" s="11">
        <v>7</v>
      </c>
      <c r="B8" s="52" t="s">
        <v>1748</v>
      </c>
      <c r="C8" s="20" t="s">
        <v>6</v>
      </c>
      <c r="D8" s="20" t="s">
        <v>6</v>
      </c>
      <c r="E8" s="101" t="s">
        <v>46</v>
      </c>
      <c r="F8" s="127">
        <v>46152</v>
      </c>
    </row>
    <row r="9" spans="1:6" x14ac:dyDescent="0.25">
      <c r="A9" s="11">
        <v>8</v>
      </c>
      <c r="B9" s="52" t="s">
        <v>1745</v>
      </c>
      <c r="C9" s="20" t="s">
        <v>6</v>
      </c>
      <c r="D9" s="20" t="s">
        <v>6</v>
      </c>
      <c r="E9" s="101" t="s">
        <v>46</v>
      </c>
      <c r="F9" s="127">
        <v>46152</v>
      </c>
    </row>
    <row r="10" spans="1:6" x14ac:dyDescent="0.25">
      <c r="A10" s="11">
        <v>9</v>
      </c>
      <c r="B10" s="52" t="s">
        <v>1747</v>
      </c>
      <c r="C10" s="20" t="s">
        <v>6</v>
      </c>
      <c r="D10" s="20" t="s">
        <v>6</v>
      </c>
      <c r="E10" s="101" t="s">
        <v>46</v>
      </c>
      <c r="F10" s="127">
        <v>46152</v>
      </c>
    </row>
    <row r="11" spans="1:6" x14ac:dyDescent="0.25">
      <c r="A11" s="11">
        <v>10</v>
      </c>
      <c r="B11" s="52" t="s">
        <v>1746</v>
      </c>
      <c r="C11" s="20" t="s">
        <v>6</v>
      </c>
      <c r="D11" s="20" t="s">
        <v>6</v>
      </c>
      <c r="E11" s="101" t="s">
        <v>46</v>
      </c>
      <c r="F11" s="127">
        <v>46152</v>
      </c>
    </row>
    <row r="12" spans="1:6" x14ac:dyDescent="0.25">
      <c r="A12" s="11">
        <v>11</v>
      </c>
      <c r="B12" s="52" t="s">
        <v>465</v>
      </c>
      <c r="C12" s="20" t="s">
        <v>6</v>
      </c>
      <c r="D12" s="20" t="s">
        <v>6</v>
      </c>
      <c r="E12" s="106" t="s">
        <v>46</v>
      </c>
      <c r="F12" s="127">
        <v>45845</v>
      </c>
    </row>
    <row r="13" spans="1:6" x14ac:dyDescent="0.25">
      <c r="A13" s="11">
        <v>12</v>
      </c>
      <c r="B13" s="52" t="s">
        <v>474</v>
      </c>
      <c r="C13" s="20" t="s">
        <v>6</v>
      </c>
      <c r="D13" s="20" t="s">
        <v>6</v>
      </c>
      <c r="E13" s="101" t="s">
        <v>46</v>
      </c>
      <c r="F13" s="127">
        <v>45845</v>
      </c>
    </row>
    <row r="14" spans="1:6" x14ac:dyDescent="0.25">
      <c r="A14" s="11">
        <v>13</v>
      </c>
      <c r="B14" s="52" t="s">
        <v>475</v>
      </c>
      <c r="C14" s="20" t="s">
        <v>6</v>
      </c>
      <c r="D14" s="20" t="s">
        <v>6</v>
      </c>
      <c r="E14" s="101" t="s">
        <v>46</v>
      </c>
      <c r="F14" s="127">
        <v>45845</v>
      </c>
    </row>
    <row r="15" spans="1:6" x14ac:dyDescent="0.25">
      <c r="A15" s="11">
        <v>14</v>
      </c>
      <c r="B15" s="52" t="s">
        <v>476</v>
      </c>
      <c r="C15" s="20" t="s">
        <v>6</v>
      </c>
      <c r="D15" s="20" t="s">
        <v>6</v>
      </c>
      <c r="E15" s="101" t="s">
        <v>46</v>
      </c>
      <c r="F15" s="127">
        <v>45845</v>
      </c>
    </row>
    <row r="16" spans="1:6" x14ac:dyDescent="0.25">
      <c r="A16" s="11">
        <v>15</v>
      </c>
      <c r="B16" s="52" t="s">
        <v>477</v>
      </c>
      <c r="C16" s="20" t="s">
        <v>6</v>
      </c>
      <c r="D16" s="20" t="s">
        <v>6</v>
      </c>
      <c r="E16" s="101" t="s">
        <v>46</v>
      </c>
      <c r="F16" s="127">
        <v>45845</v>
      </c>
    </row>
    <row r="17" spans="1:6" x14ac:dyDescent="0.25">
      <c r="A17" s="11">
        <v>16</v>
      </c>
      <c r="B17" s="52" t="s">
        <v>478</v>
      </c>
      <c r="C17" s="20" t="s">
        <v>6</v>
      </c>
      <c r="D17" s="20" t="s">
        <v>6</v>
      </c>
      <c r="E17" s="101" t="s">
        <v>46</v>
      </c>
      <c r="F17" s="127">
        <v>45845</v>
      </c>
    </row>
    <row r="18" spans="1:6" x14ac:dyDescent="0.25">
      <c r="A18" s="11">
        <v>17</v>
      </c>
      <c r="B18" s="37" t="s">
        <v>398</v>
      </c>
      <c r="C18" s="20" t="s">
        <v>6</v>
      </c>
      <c r="D18" s="20" t="s">
        <v>6</v>
      </c>
      <c r="E18" s="101" t="s">
        <v>46</v>
      </c>
      <c r="F18" s="127">
        <v>45845</v>
      </c>
    </row>
    <row r="19" spans="1:6" x14ac:dyDescent="0.25">
      <c r="A19" s="11">
        <v>18</v>
      </c>
      <c r="B19" s="37" t="s">
        <v>462</v>
      </c>
      <c r="C19" s="20" t="s">
        <v>6</v>
      </c>
      <c r="D19" s="20" t="s">
        <v>6</v>
      </c>
      <c r="E19" s="101" t="s">
        <v>46</v>
      </c>
      <c r="F19" s="127">
        <v>45845</v>
      </c>
    </row>
    <row r="20" spans="1:6" x14ac:dyDescent="0.25">
      <c r="A20" s="11">
        <v>19</v>
      </c>
      <c r="B20" s="8" t="s">
        <v>23</v>
      </c>
      <c r="C20" s="20" t="s">
        <v>6</v>
      </c>
      <c r="D20" s="20" t="s">
        <v>6</v>
      </c>
      <c r="E20" s="129" t="s">
        <v>333</v>
      </c>
      <c r="F20" s="127">
        <v>45859</v>
      </c>
    </row>
    <row r="21" spans="1:6" x14ac:dyDescent="0.25">
      <c r="A21" s="11">
        <v>20</v>
      </c>
      <c r="B21" s="52" t="s">
        <v>33</v>
      </c>
      <c r="C21" s="20" t="s">
        <v>6</v>
      </c>
      <c r="D21" s="20" t="s">
        <v>6</v>
      </c>
      <c r="E21" s="101" t="s">
        <v>46</v>
      </c>
      <c r="F21" s="127">
        <v>45859</v>
      </c>
    </row>
    <row r="22" spans="1:6" x14ac:dyDescent="0.25">
      <c r="A22" s="11">
        <v>21</v>
      </c>
      <c r="B22" s="52" t="s">
        <v>536</v>
      </c>
      <c r="C22" s="20" t="s">
        <v>6</v>
      </c>
      <c r="D22" s="20" t="s">
        <v>6</v>
      </c>
      <c r="E22" s="101" t="s">
        <v>46</v>
      </c>
      <c r="F22" s="127">
        <v>45859</v>
      </c>
    </row>
    <row r="23" spans="1:6" x14ac:dyDescent="0.25">
      <c r="A23" s="11">
        <v>22</v>
      </c>
      <c r="B23" s="52" t="s">
        <v>561</v>
      </c>
      <c r="C23" s="20" t="s">
        <v>6</v>
      </c>
      <c r="D23" s="20" t="s">
        <v>6</v>
      </c>
      <c r="E23" s="101" t="s">
        <v>46</v>
      </c>
      <c r="F23" s="127">
        <v>45859</v>
      </c>
    </row>
    <row r="24" spans="1:6" x14ac:dyDescent="0.25">
      <c r="A24" s="11">
        <v>23</v>
      </c>
      <c r="B24" s="52" t="s">
        <v>556</v>
      </c>
      <c r="C24" s="20" t="s">
        <v>6</v>
      </c>
      <c r="D24" s="20" t="s">
        <v>6</v>
      </c>
      <c r="E24" s="101" t="s">
        <v>569</v>
      </c>
      <c r="F24" s="127">
        <v>45859</v>
      </c>
    </row>
    <row r="25" spans="1:6" x14ac:dyDescent="0.25">
      <c r="A25" s="11">
        <v>24</v>
      </c>
      <c r="B25" s="52" t="s">
        <v>593</v>
      </c>
      <c r="C25" s="20" t="s">
        <v>6</v>
      </c>
      <c r="D25" s="20" t="s">
        <v>6</v>
      </c>
      <c r="E25" s="101" t="s">
        <v>569</v>
      </c>
      <c r="F25" s="127">
        <v>45866</v>
      </c>
    </row>
    <row r="26" spans="1:6" x14ac:dyDescent="0.25">
      <c r="A26" s="11">
        <v>25</v>
      </c>
      <c r="B26" s="52" t="s">
        <v>599</v>
      </c>
      <c r="C26" s="20" t="s">
        <v>6</v>
      </c>
      <c r="D26" s="20" t="s">
        <v>6</v>
      </c>
      <c r="E26" s="101" t="s">
        <v>46</v>
      </c>
      <c r="F26" s="127">
        <v>45866</v>
      </c>
    </row>
    <row r="27" spans="1:6" x14ac:dyDescent="0.25">
      <c r="A27" s="11">
        <v>26</v>
      </c>
      <c r="B27" s="52" t="s">
        <v>600</v>
      </c>
      <c r="C27" s="20" t="s">
        <v>6</v>
      </c>
      <c r="D27" s="20" t="s">
        <v>6</v>
      </c>
      <c r="E27" s="101" t="s">
        <v>46</v>
      </c>
      <c r="F27" s="127">
        <v>45866</v>
      </c>
    </row>
    <row r="28" spans="1:6" x14ac:dyDescent="0.25">
      <c r="A28" s="11">
        <v>27</v>
      </c>
      <c r="B28" s="42" t="s">
        <v>484</v>
      </c>
      <c r="C28" s="20" t="s">
        <v>6</v>
      </c>
      <c r="D28" s="20" t="s">
        <v>6</v>
      </c>
      <c r="E28" s="104" t="s">
        <v>40</v>
      </c>
      <c r="F28" s="127">
        <v>45886</v>
      </c>
    </row>
    <row r="29" spans="1:6" x14ac:dyDescent="0.25">
      <c r="A29" s="11">
        <v>28</v>
      </c>
      <c r="B29" s="8" t="s">
        <v>623</v>
      </c>
      <c r="C29" s="20" t="s">
        <v>6</v>
      </c>
      <c r="D29" s="20" t="s">
        <v>6</v>
      </c>
      <c r="E29" s="104" t="s">
        <v>41</v>
      </c>
      <c r="F29" s="127">
        <v>45886</v>
      </c>
    </row>
    <row r="30" spans="1:6" x14ac:dyDescent="0.25">
      <c r="A30" s="11">
        <v>29</v>
      </c>
      <c r="B30" s="52" t="s">
        <v>596</v>
      </c>
      <c r="C30" s="20" t="s">
        <v>6</v>
      </c>
      <c r="D30" s="20" t="s">
        <v>6</v>
      </c>
      <c r="E30" s="101" t="s">
        <v>46</v>
      </c>
      <c r="F30" s="127">
        <v>45886</v>
      </c>
    </row>
    <row r="31" spans="1:6" x14ac:dyDescent="0.25">
      <c r="A31" s="11">
        <v>30</v>
      </c>
      <c r="B31" s="52" t="s">
        <v>624</v>
      </c>
      <c r="C31" s="20" t="s">
        <v>6</v>
      </c>
      <c r="D31" s="20" t="s">
        <v>6</v>
      </c>
      <c r="E31" s="101" t="s">
        <v>46</v>
      </c>
      <c r="F31" s="127">
        <v>45886</v>
      </c>
    </row>
    <row r="32" spans="1:6" x14ac:dyDescent="0.25">
      <c r="A32" s="11">
        <v>31</v>
      </c>
      <c r="B32" s="52" t="s">
        <v>1613</v>
      </c>
      <c r="C32" s="20" t="s">
        <v>6</v>
      </c>
      <c r="D32" s="20" t="s">
        <v>6</v>
      </c>
      <c r="E32" s="101" t="s">
        <v>46</v>
      </c>
      <c r="F32" s="127">
        <v>46138</v>
      </c>
    </row>
    <row r="33" spans="1:6" x14ac:dyDescent="0.25">
      <c r="A33" s="11">
        <v>32</v>
      </c>
      <c r="B33" s="21" t="s">
        <v>656</v>
      </c>
      <c r="C33" s="20" t="s">
        <v>6</v>
      </c>
      <c r="D33" s="20" t="s">
        <v>6</v>
      </c>
      <c r="E33" s="101" t="s">
        <v>154</v>
      </c>
      <c r="F33" s="127">
        <v>45886</v>
      </c>
    </row>
    <row r="34" spans="1:6" x14ac:dyDescent="0.25">
      <c r="A34" s="11">
        <v>33</v>
      </c>
      <c r="B34" s="52" t="s">
        <v>657</v>
      </c>
      <c r="C34" s="20" t="s">
        <v>6</v>
      </c>
      <c r="D34" s="20" t="s">
        <v>6</v>
      </c>
      <c r="E34" s="101" t="s">
        <v>46</v>
      </c>
      <c r="F34" s="127">
        <v>45886</v>
      </c>
    </row>
    <row r="35" spans="1:6" x14ac:dyDescent="0.25">
      <c r="A35" s="11">
        <v>34</v>
      </c>
      <c r="B35" s="52" t="s">
        <v>658</v>
      </c>
      <c r="C35" s="20" t="s">
        <v>6</v>
      </c>
      <c r="D35" s="20" t="s">
        <v>6</v>
      </c>
      <c r="E35" s="101" t="s">
        <v>46</v>
      </c>
      <c r="F35" s="127">
        <v>45886</v>
      </c>
    </row>
    <row r="36" spans="1:6" x14ac:dyDescent="0.25">
      <c r="A36" s="11">
        <v>35</v>
      </c>
      <c r="B36" s="52" t="s">
        <v>659</v>
      </c>
      <c r="C36" s="20" t="s">
        <v>6</v>
      </c>
      <c r="D36" s="20" t="s">
        <v>6</v>
      </c>
      <c r="E36" s="101" t="s">
        <v>46</v>
      </c>
      <c r="F36" s="127">
        <v>45886</v>
      </c>
    </row>
    <row r="37" spans="1:6" x14ac:dyDescent="0.25">
      <c r="A37" s="11">
        <v>36</v>
      </c>
      <c r="B37" s="21" t="s">
        <v>1514</v>
      </c>
      <c r="C37" s="20" t="s">
        <v>6</v>
      </c>
      <c r="D37" s="20" t="s">
        <v>6</v>
      </c>
      <c r="E37" s="101" t="s">
        <v>43</v>
      </c>
      <c r="F37" s="127">
        <v>46082</v>
      </c>
    </row>
    <row r="38" spans="1:6" x14ac:dyDescent="0.25">
      <c r="A38" s="11">
        <v>37</v>
      </c>
      <c r="B38" s="52" t="s">
        <v>731</v>
      </c>
      <c r="C38" s="20" t="s">
        <v>6</v>
      </c>
      <c r="D38" s="20" t="s">
        <v>6</v>
      </c>
      <c r="E38" s="101" t="s">
        <v>46</v>
      </c>
      <c r="F38" s="127">
        <v>45894</v>
      </c>
    </row>
    <row r="39" spans="1:6" x14ac:dyDescent="0.25">
      <c r="A39" s="11">
        <v>38</v>
      </c>
      <c r="B39" s="52" t="s">
        <v>463</v>
      </c>
      <c r="C39" s="20" t="s">
        <v>6</v>
      </c>
      <c r="D39" s="20" t="s">
        <v>6</v>
      </c>
      <c r="E39" s="101" t="s">
        <v>46</v>
      </c>
      <c r="F39" s="127">
        <v>45900</v>
      </c>
    </row>
    <row r="40" spans="1:6" x14ac:dyDescent="0.25">
      <c r="A40" s="11">
        <v>39</v>
      </c>
      <c r="B40" s="21" t="s">
        <v>345</v>
      </c>
      <c r="C40" s="20" t="s">
        <v>6</v>
      </c>
      <c r="D40" s="20" t="s">
        <v>6</v>
      </c>
      <c r="E40" s="101" t="s">
        <v>46</v>
      </c>
      <c r="F40" s="127">
        <v>45900</v>
      </c>
    </row>
    <row r="41" spans="1:6" x14ac:dyDescent="0.25">
      <c r="A41" s="11">
        <v>40</v>
      </c>
      <c r="B41" s="21" t="s">
        <v>339</v>
      </c>
      <c r="C41" s="20" t="s">
        <v>6</v>
      </c>
      <c r="D41" s="20" t="s">
        <v>6</v>
      </c>
      <c r="E41" s="101" t="s">
        <v>46</v>
      </c>
      <c r="F41" s="127">
        <v>45900</v>
      </c>
    </row>
    <row r="42" spans="1:6" x14ac:dyDescent="0.25">
      <c r="A42" s="11">
        <v>41</v>
      </c>
      <c r="B42" s="21" t="s">
        <v>363</v>
      </c>
      <c r="C42" s="20" t="s">
        <v>6</v>
      </c>
      <c r="D42" s="20" t="s">
        <v>6</v>
      </c>
      <c r="E42" s="101" t="s">
        <v>46</v>
      </c>
      <c r="F42" s="127">
        <v>45900</v>
      </c>
    </row>
    <row r="43" spans="1:6" x14ac:dyDescent="0.25">
      <c r="A43" s="11">
        <v>42</v>
      </c>
      <c r="B43" s="58" t="s">
        <v>752</v>
      </c>
      <c r="C43" s="20" t="s">
        <v>6</v>
      </c>
      <c r="D43" s="20" t="s">
        <v>6</v>
      </c>
      <c r="E43" s="101" t="s">
        <v>359</v>
      </c>
      <c r="F43" s="127">
        <v>45900</v>
      </c>
    </row>
    <row r="44" spans="1:6" x14ac:dyDescent="0.25">
      <c r="A44" s="11">
        <v>43</v>
      </c>
      <c r="B44" s="58" t="s">
        <v>361</v>
      </c>
      <c r="C44" s="20" t="s">
        <v>6</v>
      </c>
      <c r="D44" s="20" t="s">
        <v>6</v>
      </c>
      <c r="E44" s="101" t="s">
        <v>359</v>
      </c>
      <c r="F44" s="127">
        <v>45907</v>
      </c>
    </row>
    <row r="45" spans="1:6" x14ac:dyDescent="0.25">
      <c r="A45" s="11">
        <v>44</v>
      </c>
      <c r="B45" s="52" t="s">
        <v>402</v>
      </c>
      <c r="C45" s="20" t="s">
        <v>6</v>
      </c>
      <c r="D45" s="20" t="s">
        <v>6</v>
      </c>
      <c r="E45" s="101" t="s">
        <v>46</v>
      </c>
      <c r="F45" s="127">
        <v>45907</v>
      </c>
    </row>
    <row r="46" spans="1:6" x14ac:dyDescent="0.25">
      <c r="A46" s="11">
        <v>45</v>
      </c>
      <c r="B46" s="52" t="s">
        <v>788</v>
      </c>
      <c r="C46" s="20" t="s">
        <v>6</v>
      </c>
      <c r="D46" s="20" t="s">
        <v>6</v>
      </c>
      <c r="E46" s="101" t="s">
        <v>46</v>
      </c>
      <c r="F46" s="127">
        <v>45907</v>
      </c>
    </row>
    <row r="47" spans="1:6" x14ac:dyDescent="0.25">
      <c r="A47" s="11">
        <v>46</v>
      </c>
      <c r="B47" s="52" t="s">
        <v>789</v>
      </c>
      <c r="C47" s="20" t="s">
        <v>6</v>
      </c>
      <c r="D47" s="20" t="s">
        <v>6</v>
      </c>
      <c r="E47" s="101" t="s">
        <v>46</v>
      </c>
      <c r="F47" s="127">
        <v>45907</v>
      </c>
    </row>
    <row r="48" spans="1:6" x14ac:dyDescent="0.25">
      <c r="A48" s="11">
        <v>47</v>
      </c>
      <c r="B48" s="52" t="s">
        <v>790</v>
      </c>
      <c r="C48" s="20" t="s">
        <v>6</v>
      </c>
      <c r="D48" s="20" t="s">
        <v>6</v>
      </c>
      <c r="E48" s="101" t="s">
        <v>46</v>
      </c>
      <c r="F48" s="127">
        <v>45907</v>
      </c>
    </row>
    <row r="49" spans="1:6" x14ac:dyDescent="0.25">
      <c r="A49" s="11">
        <v>48</v>
      </c>
      <c r="B49" s="52" t="s">
        <v>794</v>
      </c>
      <c r="C49" s="20" t="s">
        <v>6</v>
      </c>
      <c r="D49" s="20" t="s">
        <v>6</v>
      </c>
      <c r="E49" s="101" t="s">
        <v>46</v>
      </c>
      <c r="F49" s="127">
        <v>45907</v>
      </c>
    </row>
    <row r="50" spans="1:6" x14ac:dyDescent="0.25">
      <c r="A50" s="11">
        <v>49</v>
      </c>
      <c r="B50" s="52" t="s">
        <v>796</v>
      </c>
      <c r="C50" s="20" t="s">
        <v>6</v>
      </c>
      <c r="D50" s="20" t="s">
        <v>6</v>
      </c>
      <c r="E50" s="101" t="s">
        <v>46</v>
      </c>
      <c r="F50" s="127">
        <v>45907</v>
      </c>
    </row>
    <row r="51" spans="1:6" x14ac:dyDescent="0.25">
      <c r="A51" s="11">
        <v>50</v>
      </c>
      <c r="B51" s="52" t="s">
        <v>821</v>
      </c>
      <c r="C51" s="20" t="s">
        <v>6</v>
      </c>
      <c r="D51" s="20" t="s">
        <v>6</v>
      </c>
      <c r="E51" s="101" t="s">
        <v>46</v>
      </c>
      <c r="F51" s="127">
        <v>45914</v>
      </c>
    </row>
    <row r="52" spans="1:6" x14ac:dyDescent="0.25">
      <c r="A52" s="11">
        <v>51</v>
      </c>
      <c r="B52" s="52" t="s">
        <v>822</v>
      </c>
      <c r="C52" s="20" t="s">
        <v>6</v>
      </c>
      <c r="D52" s="20" t="s">
        <v>6</v>
      </c>
      <c r="E52" s="101" t="s">
        <v>46</v>
      </c>
      <c r="F52" s="127">
        <v>45914</v>
      </c>
    </row>
    <row r="53" spans="1:6" x14ac:dyDescent="0.25">
      <c r="A53" s="11">
        <v>52</v>
      </c>
      <c r="B53" s="52" t="s">
        <v>823</v>
      </c>
      <c r="C53" s="20" t="s">
        <v>6</v>
      </c>
      <c r="D53" s="20" t="s">
        <v>6</v>
      </c>
      <c r="E53" s="101" t="s">
        <v>46</v>
      </c>
      <c r="F53" s="127">
        <v>45914</v>
      </c>
    </row>
    <row r="54" spans="1:6" x14ac:dyDescent="0.25">
      <c r="A54" s="11">
        <v>53</v>
      </c>
      <c r="B54" s="52" t="s">
        <v>824</v>
      </c>
      <c r="C54" s="20" t="s">
        <v>6</v>
      </c>
      <c r="D54" s="20" t="s">
        <v>6</v>
      </c>
      <c r="E54" s="101" t="s">
        <v>46</v>
      </c>
      <c r="F54" s="127">
        <v>45914</v>
      </c>
    </row>
    <row r="55" spans="1:6" x14ac:dyDescent="0.25">
      <c r="A55" s="11">
        <v>54</v>
      </c>
      <c r="B55" s="8" t="s">
        <v>38</v>
      </c>
      <c r="C55" s="20" t="s">
        <v>6</v>
      </c>
      <c r="D55" s="20" t="s">
        <v>6</v>
      </c>
      <c r="E55" s="129" t="s">
        <v>46</v>
      </c>
      <c r="F55" s="127">
        <v>45929</v>
      </c>
    </row>
    <row r="56" spans="1:6" x14ac:dyDescent="0.25">
      <c r="A56" s="11">
        <v>55</v>
      </c>
      <c r="B56" s="21" t="s">
        <v>909</v>
      </c>
      <c r="C56" s="20" t="s">
        <v>6</v>
      </c>
      <c r="D56" s="20" t="s">
        <v>6</v>
      </c>
      <c r="E56" s="101" t="s">
        <v>46</v>
      </c>
      <c r="F56" s="127">
        <v>45929</v>
      </c>
    </row>
    <row r="57" spans="1:6" x14ac:dyDescent="0.25">
      <c r="A57" s="11">
        <v>56</v>
      </c>
      <c r="B57" s="8" t="s">
        <v>289</v>
      </c>
      <c r="C57" s="20" t="s">
        <v>6</v>
      </c>
      <c r="D57" s="20" t="s">
        <v>6</v>
      </c>
      <c r="E57" s="129" t="s">
        <v>46</v>
      </c>
      <c r="F57" s="127">
        <v>45929</v>
      </c>
    </row>
    <row r="58" spans="1:6" x14ac:dyDescent="0.25">
      <c r="A58" s="11">
        <v>57</v>
      </c>
      <c r="B58" s="8" t="s">
        <v>290</v>
      </c>
      <c r="C58" s="20" t="s">
        <v>6</v>
      </c>
      <c r="D58" s="20" t="s">
        <v>6</v>
      </c>
      <c r="E58" s="129" t="s">
        <v>46</v>
      </c>
      <c r="F58" s="127">
        <v>45929</v>
      </c>
    </row>
    <row r="59" spans="1:6" x14ac:dyDescent="0.25">
      <c r="A59" s="11">
        <v>58</v>
      </c>
      <c r="B59" s="52" t="s">
        <v>592</v>
      </c>
      <c r="C59" s="20" t="s">
        <v>6</v>
      </c>
      <c r="D59" s="20" t="s">
        <v>6</v>
      </c>
      <c r="E59" s="101" t="s">
        <v>569</v>
      </c>
      <c r="F59" s="127">
        <v>45929</v>
      </c>
    </row>
    <row r="60" spans="1:6" x14ac:dyDescent="0.25">
      <c r="A60" s="11">
        <v>59</v>
      </c>
      <c r="B60" s="21" t="s">
        <v>856</v>
      </c>
      <c r="C60" s="20" t="s">
        <v>6</v>
      </c>
      <c r="D60" s="20" t="s">
        <v>6</v>
      </c>
      <c r="E60" s="101" t="s">
        <v>359</v>
      </c>
      <c r="F60" s="127">
        <v>45922</v>
      </c>
    </row>
    <row r="61" spans="1:6" x14ac:dyDescent="0.25">
      <c r="A61" s="11">
        <v>60</v>
      </c>
      <c r="B61" s="21" t="s">
        <v>857</v>
      </c>
      <c r="C61" s="20" t="s">
        <v>6</v>
      </c>
      <c r="D61" s="20" t="s">
        <v>6</v>
      </c>
      <c r="E61" s="101" t="s">
        <v>359</v>
      </c>
      <c r="F61" s="127">
        <v>45922</v>
      </c>
    </row>
    <row r="62" spans="1:6" x14ac:dyDescent="0.25">
      <c r="A62" s="11">
        <v>61</v>
      </c>
      <c r="B62" s="21" t="s">
        <v>858</v>
      </c>
      <c r="C62" s="20" t="s">
        <v>6</v>
      </c>
      <c r="D62" s="20" t="s">
        <v>6</v>
      </c>
      <c r="E62" s="101" t="s">
        <v>359</v>
      </c>
      <c r="F62" s="127">
        <v>45922</v>
      </c>
    </row>
    <row r="63" spans="1:6" x14ac:dyDescent="0.25">
      <c r="A63" s="11">
        <v>62</v>
      </c>
      <c r="B63" s="8" t="s">
        <v>750</v>
      </c>
      <c r="C63" s="20" t="s">
        <v>6</v>
      </c>
      <c r="D63" s="20" t="s">
        <v>6</v>
      </c>
      <c r="E63" s="104" t="s">
        <v>46</v>
      </c>
      <c r="F63" s="127">
        <v>45922</v>
      </c>
    </row>
    <row r="64" spans="1:6" ht="15.75" x14ac:dyDescent="0.25">
      <c r="A64" s="11">
        <v>63</v>
      </c>
      <c r="B64" s="54" t="s">
        <v>724</v>
      </c>
      <c r="C64" s="20" t="s">
        <v>6</v>
      </c>
      <c r="D64" s="20" t="s">
        <v>6</v>
      </c>
      <c r="E64" s="100" t="s">
        <v>46</v>
      </c>
      <c r="F64" s="127">
        <v>45929</v>
      </c>
    </row>
    <row r="65" spans="1:6" x14ac:dyDescent="0.25">
      <c r="A65" s="11">
        <v>64</v>
      </c>
      <c r="B65" s="58" t="s">
        <v>850</v>
      </c>
      <c r="C65" s="20" t="s">
        <v>6</v>
      </c>
      <c r="D65" s="20" t="s">
        <v>6</v>
      </c>
      <c r="E65" s="101" t="s">
        <v>46</v>
      </c>
      <c r="F65" s="127">
        <v>45929</v>
      </c>
    </row>
    <row r="66" spans="1:6" x14ac:dyDescent="0.25">
      <c r="A66" s="11">
        <v>65</v>
      </c>
      <c r="B66" s="58" t="s">
        <v>908</v>
      </c>
      <c r="C66" s="20" t="s">
        <v>6</v>
      </c>
      <c r="D66" s="20" t="s">
        <v>6</v>
      </c>
      <c r="E66" s="101" t="s">
        <v>46</v>
      </c>
      <c r="F66" s="127">
        <v>45922</v>
      </c>
    </row>
    <row r="67" spans="1:6" x14ac:dyDescent="0.25">
      <c r="A67" s="11">
        <v>66</v>
      </c>
      <c r="B67" s="58" t="s">
        <v>851</v>
      </c>
      <c r="C67" s="20" t="s">
        <v>6</v>
      </c>
      <c r="D67" s="20" t="s">
        <v>6</v>
      </c>
      <c r="E67" s="101" t="s">
        <v>46</v>
      </c>
      <c r="F67" s="127">
        <v>45922</v>
      </c>
    </row>
    <row r="68" spans="1:6" x14ac:dyDescent="0.25">
      <c r="A68" s="11">
        <v>67</v>
      </c>
      <c r="B68" s="58" t="s">
        <v>910</v>
      </c>
      <c r="C68" s="20" t="s">
        <v>6</v>
      </c>
      <c r="D68" s="20" t="s">
        <v>6</v>
      </c>
      <c r="E68" s="101" t="s">
        <v>46</v>
      </c>
      <c r="F68" s="127">
        <v>45929</v>
      </c>
    </row>
    <row r="69" spans="1:6" x14ac:dyDescent="0.25">
      <c r="A69" s="11">
        <v>68</v>
      </c>
      <c r="B69" s="58" t="s">
        <v>911</v>
      </c>
      <c r="C69" s="20" t="s">
        <v>6</v>
      </c>
      <c r="D69" s="20" t="s">
        <v>6</v>
      </c>
      <c r="E69" s="101" t="s">
        <v>46</v>
      </c>
      <c r="F69" s="127">
        <v>45929</v>
      </c>
    </row>
    <row r="70" spans="1:6" x14ac:dyDescent="0.25">
      <c r="A70" s="11">
        <v>69</v>
      </c>
      <c r="B70" s="58" t="s">
        <v>914</v>
      </c>
      <c r="C70" s="20" t="s">
        <v>6</v>
      </c>
      <c r="D70" s="20" t="s">
        <v>6</v>
      </c>
      <c r="E70" s="101" t="s">
        <v>46</v>
      </c>
      <c r="F70" s="127">
        <v>45929</v>
      </c>
    </row>
    <row r="71" spans="1:6" x14ac:dyDescent="0.25">
      <c r="A71" s="11">
        <v>70</v>
      </c>
      <c r="B71" s="52" t="s">
        <v>907</v>
      </c>
      <c r="C71" s="20" t="s">
        <v>6</v>
      </c>
      <c r="D71" s="20" t="s">
        <v>6</v>
      </c>
      <c r="E71" s="101" t="s">
        <v>46</v>
      </c>
      <c r="F71" s="127">
        <v>45929</v>
      </c>
    </row>
    <row r="72" spans="1:6" x14ac:dyDescent="0.25">
      <c r="A72" s="11">
        <v>71</v>
      </c>
      <c r="B72" s="52" t="s">
        <v>318</v>
      </c>
      <c r="C72" s="20" t="s">
        <v>6</v>
      </c>
      <c r="D72" s="20" t="s">
        <v>6</v>
      </c>
      <c r="E72" s="101" t="s">
        <v>46</v>
      </c>
      <c r="F72" s="127">
        <v>45929</v>
      </c>
    </row>
    <row r="73" spans="1:6" x14ac:dyDescent="0.25">
      <c r="A73" s="11">
        <v>72</v>
      </c>
      <c r="B73" s="52" t="s">
        <v>913</v>
      </c>
      <c r="C73" s="20" t="s">
        <v>6</v>
      </c>
      <c r="D73" s="20" t="s">
        <v>6</v>
      </c>
      <c r="E73" s="101" t="s">
        <v>46</v>
      </c>
      <c r="F73" s="127">
        <v>45929</v>
      </c>
    </row>
    <row r="74" spans="1:6" x14ac:dyDescent="0.25">
      <c r="A74" s="11">
        <v>73</v>
      </c>
      <c r="B74" s="52" t="s">
        <v>912</v>
      </c>
      <c r="C74" s="20" t="s">
        <v>6</v>
      </c>
      <c r="D74" s="20" t="s">
        <v>6</v>
      </c>
      <c r="E74" s="101" t="s">
        <v>46</v>
      </c>
      <c r="F74" s="127">
        <v>45929</v>
      </c>
    </row>
    <row r="75" spans="1:6" x14ac:dyDescent="0.25">
      <c r="A75" s="11">
        <v>74</v>
      </c>
      <c r="B75" s="52" t="s">
        <v>915</v>
      </c>
      <c r="C75" s="20" t="s">
        <v>6</v>
      </c>
      <c r="D75" s="20" t="s">
        <v>6</v>
      </c>
      <c r="E75" s="101" t="s">
        <v>46</v>
      </c>
      <c r="F75" s="127">
        <v>45929</v>
      </c>
    </row>
    <row r="76" spans="1:6" x14ac:dyDescent="0.25">
      <c r="A76" s="11">
        <v>75</v>
      </c>
      <c r="B76" s="52" t="s">
        <v>916</v>
      </c>
      <c r="C76" s="20" t="s">
        <v>6</v>
      </c>
      <c r="D76" s="20" t="s">
        <v>6</v>
      </c>
      <c r="E76" s="101" t="s">
        <v>46</v>
      </c>
      <c r="F76" s="127">
        <v>45929</v>
      </c>
    </row>
    <row r="77" spans="1:6" x14ac:dyDescent="0.25">
      <c r="A77" s="11">
        <v>76</v>
      </c>
      <c r="B77" s="52" t="s">
        <v>921</v>
      </c>
      <c r="C77" s="20" t="s">
        <v>6</v>
      </c>
      <c r="D77" s="20" t="s">
        <v>6</v>
      </c>
      <c r="E77" s="101" t="s">
        <v>46</v>
      </c>
      <c r="F77" s="127">
        <v>45929</v>
      </c>
    </row>
    <row r="78" spans="1:6" x14ac:dyDescent="0.25">
      <c r="A78" s="11">
        <v>77</v>
      </c>
      <c r="B78" s="52" t="s">
        <v>920</v>
      </c>
      <c r="C78" s="20" t="s">
        <v>6</v>
      </c>
      <c r="D78" s="20" t="s">
        <v>6</v>
      </c>
      <c r="E78" s="101" t="s">
        <v>46</v>
      </c>
      <c r="F78" s="127">
        <v>45929</v>
      </c>
    </row>
    <row r="79" spans="1:6" x14ac:dyDescent="0.25">
      <c r="A79" s="11">
        <v>78</v>
      </c>
      <c r="B79" s="52" t="s">
        <v>940</v>
      </c>
      <c r="C79" s="20" t="s">
        <v>6</v>
      </c>
      <c r="D79" s="20" t="s">
        <v>6</v>
      </c>
      <c r="E79" s="101" t="s">
        <v>46</v>
      </c>
      <c r="F79" s="127">
        <v>45929</v>
      </c>
    </row>
    <row r="80" spans="1:6" x14ac:dyDescent="0.25">
      <c r="A80" s="11">
        <v>79</v>
      </c>
      <c r="B80" s="52" t="s">
        <v>941</v>
      </c>
      <c r="C80" s="20" t="s">
        <v>6</v>
      </c>
      <c r="D80" s="20" t="s">
        <v>6</v>
      </c>
      <c r="E80" s="101" t="s">
        <v>46</v>
      </c>
      <c r="F80" s="127">
        <v>45929</v>
      </c>
    </row>
    <row r="81" spans="1:6" x14ac:dyDescent="0.25">
      <c r="A81" s="11">
        <v>80</v>
      </c>
      <c r="B81" s="8" t="s">
        <v>987</v>
      </c>
      <c r="C81" s="20" t="s">
        <v>6</v>
      </c>
      <c r="D81" s="20" t="s">
        <v>6</v>
      </c>
      <c r="E81" s="104" t="s">
        <v>46</v>
      </c>
      <c r="F81" s="127">
        <v>45935</v>
      </c>
    </row>
    <row r="82" spans="1:6" x14ac:dyDescent="0.25">
      <c r="A82" s="11">
        <v>81</v>
      </c>
      <c r="B82" s="52" t="s">
        <v>820</v>
      </c>
      <c r="C82" s="20" t="s">
        <v>6</v>
      </c>
      <c r="D82" s="20" t="s">
        <v>6</v>
      </c>
      <c r="E82" s="101" t="s">
        <v>46</v>
      </c>
      <c r="F82" s="127">
        <v>45935</v>
      </c>
    </row>
    <row r="83" spans="1:6" x14ac:dyDescent="0.25">
      <c r="A83" s="11">
        <v>82</v>
      </c>
      <c r="B83" s="52" t="s">
        <v>939</v>
      </c>
      <c r="C83" s="20" t="s">
        <v>6</v>
      </c>
      <c r="D83" s="20" t="s">
        <v>6</v>
      </c>
      <c r="E83" s="101" t="s">
        <v>46</v>
      </c>
      <c r="F83" s="127">
        <v>45935</v>
      </c>
    </row>
    <row r="84" spans="1:6" x14ac:dyDescent="0.25">
      <c r="A84" s="11">
        <v>83</v>
      </c>
      <c r="B84" s="52" t="s">
        <v>985</v>
      </c>
      <c r="C84" s="20" t="s">
        <v>6</v>
      </c>
      <c r="D84" s="20" t="s">
        <v>6</v>
      </c>
      <c r="E84" s="101" t="s">
        <v>46</v>
      </c>
      <c r="F84" s="127">
        <v>45935</v>
      </c>
    </row>
    <row r="85" spans="1:6" x14ac:dyDescent="0.25">
      <c r="A85" s="11">
        <v>84</v>
      </c>
      <c r="B85" s="52" t="s">
        <v>988</v>
      </c>
      <c r="C85" s="20" t="s">
        <v>6</v>
      </c>
      <c r="D85" s="20" t="s">
        <v>6</v>
      </c>
      <c r="E85" s="101" t="s">
        <v>46</v>
      </c>
      <c r="F85" s="127">
        <v>45935</v>
      </c>
    </row>
    <row r="86" spans="1:6" x14ac:dyDescent="0.25">
      <c r="A86" s="11">
        <v>85</v>
      </c>
      <c r="B86" s="37" t="s">
        <v>309</v>
      </c>
      <c r="C86" s="20" t="s">
        <v>6</v>
      </c>
      <c r="D86" s="20" t="s">
        <v>6</v>
      </c>
      <c r="E86" s="104" t="s">
        <v>44</v>
      </c>
      <c r="F86" s="127">
        <v>45942</v>
      </c>
    </row>
    <row r="87" spans="1:6" x14ac:dyDescent="0.25">
      <c r="A87" s="11">
        <v>86</v>
      </c>
      <c r="B87" s="8" t="s">
        <v>986</v>
      </c>
      <c r="C87" s="20" t="s">
        <v>6</v>
      </c>
      <c r="D87" s="20" t="s">
        <v>6</v>
      </c>
      <c r="E87" s="104" t="s">
        <v>46</v>
      </c>
      <c r="F87" s="127">
        <v>45942</v>
      </c>
    </row>
    <row r="88" spans="1:6" x14ac:dyDescent="0.25">
      <c r="A88" s="11">
        <v>87</v>
      </c>
      <c r="B88" s="52" t="s">
        <v>786</v>
      </c>
      <c r="C88" s="20" t="s">
        <v>6</v>
      </c>
      <c r="D88" s="20" t="s">
        <v>6</v>
      </c>
      <c r="E88" s="101" t="s">
        <v>46</v>
      </c>
      <c r="F88" s="127">
        <v>45942</v>
      </c>
    </row>
    <row r="89" spans="1:6" x14ac:dyDescent="0.25">
      <c r="A89" s="11">
        <v>88</v>
      </c>
      <c r="B89" s="52" t="s">
        <v>795</v>
      </c>
      <c r="C89" s="20" t="s">
        <v>6</v>
      </c>
      <c r="D89" s="20" t="s">
        <v>6</v>
      </c>
      <c r="E89" s="101" t="s">
        <v>46</v>
      </c>
      <c r="F89" s="127">
        <v>45942</v>
      </c>
    </row>
    <row r="90" spans="1:6" x14ac:dyDescent="0.25">
      <c r="A90" s="11">
        <v>89</v>
      </c>
      <c r="B90" s="58" t="s">
        <v>555</v>
      </c>
      <c r="C90" s="20" t="s">
        <v>6</v>
      </c>
      <c r="D90" s="20" t="s">
        <v>6</v>
      </c>
      <c r="E90" s="101" t="s">
        <v>46</v>
      </c>
      <c r="F90" s="127">
        <v>45942</v>
      </c>
    </row>
    <row r="91" spans="1:6" x14ac:dyDescent="0.25">
      <c r="A91" s="11">
        <v>90</v>
      </c>
      <c r="B91" s="52" t="s">
        <v>1027</v>
      </c>
      <c r="C91" s="20" t="s">
        <v>6</v>
      </c>
      <c r="D91" s="20" t="s">
        <v>6</v>
      </c>
      <c r="E91" s="101" t="s">
        <v>46</v>
      </c>
      <c r="F91" s="127">
        <v>45942</v>
      </c>
    </row>
    <row r="92" spans="1:6" x14ac:dyDescent="0.25">
      <c r="A92" s="11">
        <v>91</v>
      </c>
      <c r="B92" s="52" t="s">
        <v>1028</v>
      </c>
      <c r="C92" s="20" t="s">
        <v>6</v>
      </c>
      <c r="D92" s="20" t="s">
        <v>6</v>
      </c>
      <c r="E92" s="101" t="s">
        <v>46</v>
      </c>
      <c r="F92" s="127">
        <v>45942</v>
      </c>
    </row>
    <row r="93" spans="1:6" x14ac:dyDescent="0.25">
      <c r="A93" s="11">
        <v>92</v>
      </c>
      <c r="B93" s="52" t="s">
        <v>1029</v>
      </c>
      <c r="C93" s="20" t="s">
        <v>6</v>
      </c>
      <c r="D93" s="20" t="s">
        <v>6</v>
      </c>
      <c r="E93" s="101" t="s">
        <v>46</v>
      </c>
      <c r="F93" s="127">
        <v>45942</v>
      </c>
    </row>
    <row r="94" spans="1:6" x14ac:dyDescent="0.25">
      <c r="A94" s="11">
        <v>93</v>
      </c>
      <c r="B94" s="52" t="s">
        <v>1030</v>
      </c>
      <c r="C94" s="20" t="s">
        <v>6</v>
      </c>
      <c r="D94" s="20" t="s">
        <v>6</v>
      </c>
      <c r="E94" s="101" t="s">
        <v>46</v>
      </c>
      <c r="F94" s="127">
        <v>45942</v>
      </c>
    </row>
    <row r="95" spans="1:6" x14ac:dyDescent="0.25">
      <c r="A95" s="11">
        <v>94</v>
      </c>
      <c r="B95" s="52" t="s">
        <v>1031</v>
      </c>
      <c r="C95" s="20" t="s">
        <v>6</v>
      </c>
      <c r="D95" s="20" t="s">
        <v>6</v>
      </c>
      <c r="E95" s="101" t="s">
        <v>46</v>
      </c>
      <c r="F95" s="127">
        <v>45942</v>
      </c>
    </row>
    <row r="96" spans="1:6" x14ac:dyDescent="0.25">
      <c r="A96" s="11">
        <v>95</v>
      </c>
      <c r="B96" s="52" t="s">
        <v>360</v>
      </c>
      <c r="C96" s="20" t="s">
        <v>6</v>
      </c>
      <c r="D96" s="20" t="s">
        <v>6</v>
      </c>
      <c r="E96" s="101" t="s">
        <v>46</v>
      </c>
      <c r="F96" s="127">
        <v>45942</v>
      </c>
    </row>
    <row r="97" spans="1:6" x14ac:dyDescent="0.25">
      <c r="A97" s="11">
        <v>96</v>
      </c>
      <c r="B97" s="8" t="s">
        <v>30</v>
      </c>
      <c r="C97" s="20" t="s">
        <v>6</v>
      </c>
      <c r="D97" s="20" t="s">
        <v>6</v>
      </c>
      <c r="E97" s="129" t="s">
        <v>46</v>
      </c>
      <c r="F97" s="127">
        <v>45949</v>
      </c>
    </row>
    <row r="98" spans="1:6" x14ac:dyDescent="0.25">
      <c r="A98" s="11">
        <v>97</v>
      </c>
      <c r="B98" s="52" t="s">
        <v>825</v>
      </c>
      <c r="C98" s="20" t="s">
        <v>6</v>
      </c>
      <c r="D98" s="20" t="s">
        <v>6</v>
      </c>
      <c r="E98" s="101" t="s">
        <v>46</v>
      </c>
      <c r="F98" s="127">
        <v>45949</v>
      </c>
    </row>
    <row r="99" spans="1:6" x14ac:dyDescent="0.25">
      <c r="A99" s="11">
        <v>98</v>
      </c>
      <c r="B99" s="21" t="s">
        <v>501</v>
      </c>
      <c r="C99" s="20" t="s">
        <v>6</v>
      </c>
      <c r="D99" s="20" t="s">
        <v>6</v>
      </c>
      <c r="E99" s="101" t="s">
        <v>46</v>
      </c>
      <c r="F99" s="127">
        <v>45949</v>
      </c>
    </row>
    <row r="100" spans="1:6" x14ac:dyDescent="0.25">
      <c r="A100" s="11">
        <v>99</v>
      </c>
      <c r="B100" s="52" t="s">
        <v>1057</v>
      </c>
      <c r="C100" s="20" t="s">
        <v>6</v>
      </c>
      <c r="D100" s="20" t="s">
        <v>6</v>
      </c>
      <c r="E100" s="101" t="s">
        <v>46</v>
      </c>
      <c r="F100" s="127">
        <v>45949</v>
      </c>
    </row>
    <row r="101" spans="1:6" x14ac:dyDescent="0.25">
      <c r="A101" s="11">
        <v>100</v>
      </c>
      <c r="B101" s="52" t="s">
        <v>1058</v>
      </c>
      <c r="C101" s="20" t="s">
        <v>6</v>
      </c>
      <c r="D101" s="20" t="s">
        <v>6</v>
      </c>
      <c r="E101" s="101" t="s">
        <v>46</v>
      </c>
      <c r="F101" s="127">
        <v>45949</v>
      </c>
    </row>
    <row r="102" spans="1:6" x14ac:dyDescent="0.25">
      <c r="A102" s="11">
        <v>101</v>
      </c>
      <c r="B102" s="8" t="s">
        <v>28</v>
      </c>
      <c r="C102" s="20" t="s">
        <v>6</v>
      </c>
      <c r="D102" s="20" t="s">
        <v>6</v>
      </c>
      <c r="E102" s="129" t="s">
        <v>43</v>
      </c>
      <c r="F102" s="127">
        <v>46033</v>
      </c>
    </row>
    <row r="103" spans="1:6" x14ac:dyDescent="0.25">
      <c r="A103" s="11">
        <v>102</v>
      </c>
      <c r="B103" s="52" t="s">
        <v>1092</v>
      </c>
      <c r="C103" s="20" t="s">
        <v>6</v>
      </c>
      <c r="D103" s="20" t="s">
        <v>6</v>
      </c>
      <c r="E103" s="101" t="s">
        <v>46</v>
      </c>
      <c r="F103" s="127">
        <v>45956</v>
      </c>
    </row>
    <row r="104" spans="1:6" x14ac:dyDescent="0.25">
      <c r="A104" s="11">
        <v>103</v>
      </c>
      <c r="B104" s="52" t="s">
        <v>1105</v>
      </c>
      <c r="C104" s="20" t="s">
        <v>6</v>
      </c>
      <c r="D104" s="20" t="s">
        <v>6</v>
      </c>
      <c r="E104" s="101" t="s">
        <v>46</v>
      </c>
      <c r="F104" s="127">
        <v>45956</v>
      </c>
    </row>
    <row r="105" spans="1:6" x14ac:dyDescent="0.25">
      <c r="A105" s="11">
        <v>104</v>
      </c>
      <c r="B105" s="52" t="s">
        <v>1106</v>
      </c>
      <c r="C105" s="20" t="s">
        <v>6</v>
      </c>
      <c r="D105" s="20" t="s">
        <v>6</v>
      </c>
      <c r="E105" s="101" t="s">
        <v>46</v>
      </c>
      <c r="F105" s="127">
        <v>45956</v>
      </c>
    </row>
    <row r="106" spans="1:6" x14ac:dyDescent="0.25">
      <c r="A106" s="11">
        <v>105</v>
      </c>
      <c r="B106" s="52" t="s">
        <v>1107</v>
      </c>
      <c r="C106" s="20" t="s">
        <v>6</v>
      </c>
      <c r="D106" s="20" t="s">
        <v>6</v>
      </c>
      <c r="E106" s="101" t="s">
        <v>46</v>
      </c>
      <c r="F106" s="127">
        <v>45956</v>
      </c>
    </row>
    <row r="107" spans="1:6" x14ac:dyDescent="0.25">
      <c r="A107" s="11">
        <v>106</v>
      </c>
      <c r="B107" s="52" t="s">
        <v>1108</v>
      </c>
      <c r="C107" s="20" t="s">
        <v>6</v>
      </c>
      <c r="D107" s="20" t="s">
        <v>6</v>
      </c>
      <c r="E107" s="101" t="s">
        <v>46</v>
      </c>
      <c r="F107" s="127">
        <v>45956</v>
      </c>
    </row>
    <row r="108" spans="1:6" x14ac:dyDescent="0.25">
      <c r="A108" s="11">
        <v>107</v>
      </c>
      <c r="B108" s="8" t="s">
        <v>9</v>
      </c>
      <c r="C108" s="20" t="s">
        <v>6</v>
      </c>
      <c r="D108" s="20" t="s">
        <v>6</v>
      </c>
      <c r="E108" s="130" t="s">
        <v>40</v>
      </c>
      <c r="F108" s="127">
        <v>45964</v>
      </c>
    </row>
    <row r="109" spans="1:6" x14ac:dyDescent="0.25">
      <c r="A109" s="11">
        <v>108</v>
      </c>
      <c r="B109" s="8" t="s">
        <v>1059</v>
      </c>
      <c r="C109" s="20" t="s">
        <v>6</v>
      </c>
      <c r="D109" s="20" t="s">
        <v>6</v>
      </c>
      <c r="E109" s="129" t="s">
        <v>46</v>
      </c>
      <c r="F109" s="127">
        <v>45970</v>
      </c>
    </row>
    <row r="110" spans="1:6" x14ac:dyDescent="0.25">
      <c r="A110" s="11">
        <v>109</v>
      </c>
      <c r="B110" s="37" t="s">
        <v>1185</v>
      </c>
      <c r="C110" s="20" t="s">
        <v>6</v>
      </c>
      <c r="D110" s="20" t="s">
        <v>6</v>
      </c>
      <c r="E110" s="104" t="s">
        <v>46</v>
      </c>
      <c r="F110" s="127">
        <v>45984</v>
      </c>
    </row>
    <row r="111" spans="1:6" x14ac:dyDescent="0.25">
      <c r="A111" s="11">
        <v>110</v>
      </c>
      <c r="B111" s="52" t="s">
        <v>1186</v>
      </c>
      <c r="C111" s="20" t="s">
        <v>6</v>
      </c>
      <c r="D111" s="20" t="s">
        <v>6</v>
      </c>
      <c r="E111" s="101" t="s">
        <v>46</v>
      </c>
      <c r="F111" s="127">
        <v>45984</v>
      </c>
    </row>
    <row r="112" spans="1:6" x14ac:dyDescent="0.25">
      <c r="A112" s="11">
        <v>111</v>
      </c>
      <c r="B112" s="37" t="s">
        <v>300</v>
      </c>
      <c r="C112" s="20" t="s">
        <v>6</v>
      </c>
      <c r="D112" s="20" t="s">
        <v>6</v>
      </c>
      <c r="E112" s="129" t="s">
        <v>40</v>
      </c>
      <c r="F112" s="127">
        <v>46110</v>
      </c>
    </row>
    <row r="113" spans="1:6" x14ac:dyDescent="0.25">
      <c r="A113" s="11">
        <v>112</v>
      </c>
      <c r="B113" s="21" t="s">
        <v>433</v>
      </c>
      <c r="C113" s="20" t="s">
        <v>6</v>
      </c>
      <c r="D113" s="20" t="s">
        <v>6</v>
      </c>
      <c r="E113" s="101" t="s">
        <v>40</v>
      </c>
      <c r="F113" s="127">
        <v>46005</v>
      </c>
    </row>
    <row r="114" spans="1:6" x14ac:dyDescent="0.25">
      <c r="A114" s="11">
        <v>113</v>
      </c>
      <c r="B114" s="21" t="s">
        <v>1287</v>
      </c>
      <c r="C114" s="20" t="s">
        <v>6</v>
      </c>
      <c r="D114" s="20" t="s">
        <v>6</v>
      </c>
      <c r="E114" s="101" t="s">
        <v>46</v>
      </c>
      <c r="F114" s="127">
        <v>46005</v>
      </c>
    </row>
    <row r="115" spans="1:6" x14ac:dyDescent="0.25">
      <c r="A115" s="11">
        <v>114</v>
      </c>
      <c r="B115" s="8" t="s">
        <v>29</v>
      </c>
      <c r="C115" s="20" t="s">
        <v>6</v>
      </c>
      <c r="D115" s="20" t="s">
        <v>6</v>
      </c>
      <c r="E115" s="129" t="s">
        <v>43</v>
      </c>
      <c r="F115" s="127">
        <v>46033</v>
      </c>
    </row>
    <row r="116" spans="1:6" x14ac:dyDescent="0.25">
      <c r="A116" s="11">
        <v>115</v>
      </c>
      <c r="B116" s="21" t="s">
        <v>1222</v>
      </c>
      <c r="C116" s="20" t="s">
        <v>6</v>
      </c>
      <c r="D116" s="20" t="s">
        <v>6</v>
      </c>
      <c r="E116" s="101" t="s">
        <v>43</v>
      </c>
      <c r="F116" s="127">
        <v>45998</v>
      </c>
    </row>
    <row r="117" spans="1:6" x14ac:dyDescent="0.25">
      <c r="A117" s="11">
        <v>116</v>
      </c>
      <c r="B117" s="8" t="s">
        <v>25</v>
      </c>
      <c r="C117" s="20" t="s">
        <v>6</v>
      </c>
      <c r="D117" s="20" t="s">
        <v>6</v>
      </c>
      <c r="E117" s="129" t="s">
        <v>40</v>
      </c>
      <c r="F117" s="127">
        <v>45998</v>
      </c>
    </row>
    <row r="118" spans="1:6" x14ac:dyDescent="0.25">
      <c r="A118" s="11">
        <v>117</v>
      </c>
      <c r="B118" s="8" t="s">
        <v>26</v>
      </c>
      <c r="C118" s="20" t="s">
        <v>6</v>
      </c>
      <c r="D118" s="20" t="s">
        <v>6</v>
      </c>
      <c r="E118" s="129" t="s">
        <v>46</v>
      </c>
      <c r="F118" s="127">
        <v>46033</v>
      </c>
    </row>
    <row r="119" spans="1:6" x14ac:dyDescent="0.25">
      <c r="A119" s="11">
        <v>118</v>
      </c>
      <c r="B119" s="42" t="s">
        <v>428</v>
      </c>
      <c r="C119" s="20" t="s">
        <v>6</v>
      </c>
      <c r="D119" s="20" t="s">
        <v>6</v>
      </c>
      <c r="E119" s="101" t="s">
        <v>46</v>
      </c>
      <c r="F119" s="127">
        <v>45998</v>
      </c>
    </row>
    <row r="120" spans="1:6" x14ac:dyDescent="0.25">
      <c r="A120" s="11">
        <v>119</v>
      </c>
      <c r="B120" s="8" t="s">
        <v>852</v>
      </c>
      <c r="C120" s="20" t="s">
        <v>6</v>
      </c>
      <c r="D120" s="20" t="s">
        <v>6</v>
      </c>
      <c r="E120" s="104" t="s">
        <v>46</v>
      </c>
      <c r="F120" s="127">
        <v>45998</v>
      </c>
    </row>
    <row r="121" spans="1:6" x14ac:dyDescent="0.25">
      <c r="A121" s="11">
        <v>120</v>
      </c>
      <c r="B121" s="52" t="s">
        <v>1061</v>
      </c>
      <c r="C121" s="20" t="s">
        <v>6</v>
      </c>
      <c r="D121" s="20" t="s">
        <v>6</v>
      </c>
      <c r="E121" s="101" t="s">
        <v>46</v>
      </c>
      <c r="F121" s="127">
        <v>45998</v>
      </c>
    </row>
    <row r="122" spans="1:6" x14ac:dyDescent="0.25">
      <c r="A122" s="11">
        <v>121</v>
      </c>
      <c r="B122" s="52" t="s">
        <v>1263</v>
      </c>
      <c r="C122" s="20" t="s">
        <v>6</v>
      </c>
      <c r="D122" s="20" t="s">
        <v>6</v>
      </c>
      <c r="E122" s="101" t="s">
        <v>359</v>
      </c>
      <c r="F122" s="127">
        <v>45998</v>
      </c>
    </row>
    <row r="123" spans="1:6" x14ac:dyDescent="0.25">
      <c r="A123" s="11">
        <v>122</v>
      </c>
      <c r="B123" s="52" t="s">
        <v>1257</v>
      </c>
      <c r="C123" s="20" t="s">
        <v>6</v>
      </c>
      <c r="D123" s="20" t="s">
        <v>6</v>
      </c>
      <c r="E123" s="101" t="s">
        <v>46</v>
      </c>
      <c r="F123" s="127">
        <v>45998</v>
      </c>
    </row>
    <row r="124" spans="1:6" x14ac:dyDescent="0.25">
      <c r="A124" s="11">
        <v>123</v>
      </c>
      <c r="B124" s="37" t="s">
        <v>328</v>
      </c>
      <c r="C124" s="20" t="s">
        <v>6</v>
      </c>
      <c r="D124" s="20" t="s">
        <v>6</v>
      </c>
      <c r="E124" s="104" t="s">
        <v>44</v>
      </c>
      <c r="F124" s="127">
        <v>46033</v>
      </c>
    </row>
    <row r="125" spans="1:6" x14ac:dyDescent="0.25">
      <c r="A125" s="11">
        <v>124</v>
      </c>
      <c r="B125" s="52" t="s">
        <v>1130</v>
      </c>
      <c r="C125" s="20" t="s">
        <v>6</v>
      </c>
      <c r="D125" s="20" t="s">
        <v>6</v>
      </c>
      <c r="E125" s="101" t="s">
        <v>46</v>
      </c>
      <c r="F125" s="127">
        <v>46033</v>
      </c>
    </row>
    <row r="126" spans="1:6" x14ac:dyDescent="0.25">
      <c r="A126" s="11">
        <v>125</v>
      </c>
      <c r="B126" s="52" t="s">
        <v>1331</v>
      </c>
      <c r="C126" s="20" t="s">
        <v>6</v>
      </c>
      <c r="D126" s="20" t="s">
        <v>6</v>
      </c>
      <c r="E126" s="101" t="s">
        <v>46</v>
      </c>
      <c r="F126" s="127">
        <v>46033</v>
      </c>
    </row>
    <row r="127" spans="1:6" x14ac:dyDescent="0.25">
      <c r="A127" s="11">
        <v>126</v>
      </c>
      <c r="B127" s="8" t="s">
        <v>1402</v>
      </c>
      <c r="C127" s="20" t="s">
        <v>6</v>
      </c>
      <c r="D127" s="20" t="s">
        <v>6</v>
      </c>
      <c r="E127" s="129" t="s">
        <v>46</v>
      </c>
      <c r="F127" s="127">
        <v>46055</v>
      </c>
    </row>
    <row r="128" spans="1:6" x14ac:dyDescent="0.25">
      <c r="A128" s="11">
        <v>127</v>
      </c>
      <c r="B128" s="52" t="s">
        <v>1333</v>
      </c>
      <c r="C128" s="20" t="s">
        <v>6</v>
      </c>
      <c r="D128" s="20" t="s">
        <v>6</v>
      </c>
      <c r="E128" s="101" t="s">
        <v>46</v>
      </c>
      <c r="F128" s="127">
        <v>46061</v>
      </c>
    </row>
    <row r="129" spans="1:6" x14ac:dyDescent="0.25">
      <c r="A129" s="11">
        <v>128</v>
      </c>
      <c r="B129" s="52" t="s">
        <v>1332</v>
      </c>
      <c r="C129" s="20" t="s">
        <v>6</v>
      </c>
      <c r="D129" s="20" t="s">
        <v>6</v>
      </c>
      <c r="E129" s="101" t="s">
        <v>46</v>
      </c>
      <c r="F129" s="127">
        <v>46055</v>
      </c>
    </row>
    <row r="130" spans="1:6" x14ac:dyDescent="0.25">
      <c r="A130" s="11">
        <v>129</v>
      </c>
      <c r="B130" s="52" t="s">
        <v>1262</v>
      </c>
      <c r="C130" s="20" t="s">
        <v>6</v>
      </c>
      <c r="D130" s="20" t="s">
        <v>6</v>
      </c>
      <c r="E130" s="101" t="s">
        <v>46</v>
      </c>
      <c r="F130" s="127">
        <v>46046</v>
      </c>
    </row>
    <row r="131" spans="1:6" x14ac:dyDescent="0.25">
      <c r="A131" s="11">
        <v>130</v>
      </c>
      <c r="B131" s="52" t="s">
        <v>1334</v>
      </c>
      <c r="C131" s="20" t="s">
        <v>6</v>
      </c>
      <c r="D131" s="20" t="s">
        <v>6</v>
      </c>
      <c r="E131" s="101" t="s">
        <v>46</v>
      </c>
      <c r="F131" s="127">
        <v>46055</v>
      </c>
    </row>
    <row r="132" spans="1:6" x14ac:dyDescent="0.25">
      <c r="A132" s="11">
        <v>131</v>
      </c>
      <c r="B132" s="8" t="s">
        <v>1429</v>
      </c>
      <c r="C132" s="20" t="s">
        <v>6</v>
      </c>
      <c r="D132" s="20" t="s">
        <v>6</v>
      </c>
      <c r="E132" s="129" t="s">
        <v>41</v>
      </c>
      <c r="F132" s="127">
        <v>46095</v>
      </c>
    </row>
    <row r="133" spans="1:6" x14ac:dyDescent="0.25">
      <c r="A133" s="11">
        <v>132</v>
      </c>
      <c r="B133" s="8" t="s">
        <v>1428</v>
      </c>
      <c r="C133" s="20" t="s">
        <v>6</v>
      </c>
      <c r="D133" s="20" t="s">
        <v>6</v>
      </c>
      <c r="E133" s="129" t="s">
        <v>41</v>
      </c>
      <c r="F133" s="127">
        <v>46095</v>
      </c>
    </row>
    <row r="134" spans="1:6" x14ac:dyDescent="0.25">
      <c r="A134" s="11">
        <v>133</v>
      </c>
      <c r="B134" s="8" t="s">
        <v>751</v>
      </c>
      <c r="C134" s="20" t="s">
        <v>6</v>
      </c>
      <c r="D134" s="20" t="s">
        <v>6</v>
      </c>
      <c r="E134" s="129" t="s">
        <v>46</v>
      </c>
      <c r="F134" s="127">
        <v>46095</v>
      </c>
    </row>
    <row r="135" spans="1:6" x14ac:dyDescent="0.25">
      <c r="A135" s="11">
        <v>134</v>
      </c>
      <c r="B135" s="52" t="s">
        <v>539</v>
      </c>
      <c r="C135" s="20" t="s">
        <v>6</v>
      </c>
      <c r="D135" s="20" t="s">
        <v>6</v>
      </c>
      <c r="E135" s="101" t="s">
        <v>46</v>
      </c>
      <c r="F135" s="127">
        <v>46082</v>
      </c>
    </row>
    <row r="136" spans="1:6" x14ac:dyDescent="0.25">
      <c r="A136" s="11">
        <v>135</v>
      </c>
      <c r="B136" s="52" t="s">
        <v>1515</v>
      </c>
      <c r="C136" s="20" t="s">
        <v>6</v>
      </c>
      <c r="D136" s="20" t="s">
        <v>6</v>
      </c>
      <c r="E136" s="101" t="s">
        <v>46</v>
      </c>
      <c r="F136" s="127">
        <v>46082</v>
      </c>
    </row>
    <row r="137" spans="1:6" x14ac:dyDescent="0.25">
      <c r="A137" s="11">
        <v>136</v>
      </c>
      <c r="B137" s="52" t="s">
        <v>1461</v>
      </c>
      <c r="C137" s="20" t="s">
        <v>6</v>
      </c>
      <c r="D137" s="20" t="s">
        <v>6</v>
      </c>
      <c r="E137" s="101" t="s">
        <v>46</v>
      </c>
      <c r="F137" s="127">
        <v>46110</v>
      </c>
    </row>
    <row r="138" spans="1:6" x14ac:dyDescent="0.25">
      <c r="A138" s="11">
        <v>137</v>
      </c>
      <c r="B138" s="52" t="s">
        <v>1462</v>
      </c>
      <c r="C138" s="20" t="s">
        <v>6</v>
      </c>
      <c r="D138" s="20" t="s">
        <v>6</v>
      </c>
      <c r="E138" s="101" t="s">
        <v>46</v>
      </c>
      <c r="F138" s="127">
        <v>46110</v>
      </c>
    </row>
    <row r="139" spans="1:6" x14ac:dyDescent="0.25">
      <c r="A139" s="11">
        <v>138</v>
      </c>
      <c r="B139" s="52" t="s">
        <v>1598</v>
      </c>
      <c r="C139" s="20" t="s">
        <v>6</v>
      </c>
      <c r="D139" s="20" t="s">
        <v>6</v>
      </c>
      <c r="E139" s="101" t="s">
        <v>46</v>
      </c>
      <c r="F139" s="127">
        <v>46104</v>
      </c>
    </row>
    <row r="140" spans="1:6" x14ac:dyDescent="0.25">
      <c r="A140" s="11">
        <v>139</v>
      </c>
      <c r="B140" s="52" t="s">
        <v>1606</v>
      </c>
      <c r="C140" s="20" t="s">
        <v>6</v>
      </c>
      <c r="D140" s="20" t="s">
        <v>6</v>
      </c>
      <c r="E140" s="101" t="s">
        <v>46</v>
      </c>
      <c r="F140" s="127">
        <v>46104</v>
      </c>
    </row>
    <row r="141" spans="1:6" x14ac:dyDescent="0.25">
      <c r="A141" s="11">
        <v>140</v>
      </c>
      <c r="B141" s="52" t="s">
        <v>1614</v>
      </c>
      <c r="C141" s="20" t="s">
        <v>6</v>
      </c>
      <c r="D141" s="20" t="s">
        <v>6</v>
      </c>
      <c r="E141" s="101" t="s">
        <v>46</v>
      </c>
      <c r="F141" s="127">
        <v>46138</v>
      </c>
    </row>
    <row r="142" spans="1:6" x14ac:dyDescent="0.25">
      <c r="A142" s="11">
        <v>141</v>
      </c>
      <c r="B142" s="52" t="s">
        <v>1604</v>
      </c>
      <c r="C142" s="20" t="s">
        <v>6</v>
      </c>
      <c r="D142" s="20" t="s">
        <v>6</v>
      </c>
      <c r="E142" s="101" t="s">
        <v>46</v>
      </c>
      <c r="F142" s="127">
        <v>46104</v>
      </c>
    </row>
    <row r="143" spans="1:6" x14ac:dyDescent="0.25">
      <c r="A143" s="11">
        <v>142</v>
      </c>
      <c r="B143" s="52" t="s">
        <v>1603</v>
      </c>
      <c r="C143" s="20" t="s">
        <v>6</v>
      </c>
      <c r="D143" s="20" t="s">
        <v>6</v>
      </c>
      <c r="E143" s="101" t="s">
        <v>46</v>
      </c>
      <c r="F143" s="127">
        <v>46104</v>
      </c>
    </row>
    <row r="144" spans="1:6" x14ac:dyDescent="0.25">
      <c r="A144" s="11">
        <v>143</v>
      </c>
      <c r="B144" s="52" t="s">
        <v>1602</v>
      </c>
      <c r="C144" s="20" t="s">
        <v>6</v>
      </c>
      <c r="D144" s="20" t="s">
        <v>6</v>
      </c>
      <c r="E144" s="101" t="s">
        <v>46</v>
      </c>
      <c r="F144" s="127">
        <v>46104</v>
      </c>
    </row>
    <row r="145" spans="1:6" x14ac:dyDescent="0.25">
      <c r="A145" s="11">
        <v>144</v>
      </c>
      <c r="B145" s="52" t="s">
        <v>1601</v>
      </c>
      <c r="C145" s="20" t="s">
        <v>6</v>
      </c>
      <c r="D145" s="20" t="s">
        <v>6</v>
      </c>
      <c r="E145" s="101" t="s">
        <v>46</v>
      </c>
      <c r="F145" s="127">
        <v>46104</v>
      </c>
    </row>
    <row r="146" spans="1:6" x14ac:dyDescent="0.25">
      <c r="A146" s="11">
        <v>145</v>
      </c>
      <c r="B146" s="52" t="s">
        <v>1600</v>
      </c>
      <c r="C146" s="20" t="s">
        <v>6</v>
      </c>
      <c r="D146" s="20" t="s">
        <v>6</v>
      </c>
      <c r="E146" s="101" t="s">
        <v>46</v>
      </c>
      <c r="F146" s="127">
        <v>46104</v>
      </c>
    </row>
    <row r="147" spans="1:6" x14ac:dyDescent="0.25">
      <c r="A147" s="11">
        <v>146</v>
      </c>
      <c r="B147" s="52" t="s">
        <v>1599</v>
      </c>
      <c r="C147" s="20" t="s">
        <v>6</v>
      </c>
      <c r="D147" s="20" t="s">
        <v>6</v>
      </c>
      <c r="E147" s="101" t="s">
        <v>46</v>
      </c>
      <c r="F147" s="127">
        <v>46104</v>
      </c>
    </row>
    <row r="148" spans="1:6" x14ac:dyDescent="0.25">
      <c r="A148" s="11">
        <v>147</v>
      </c>
      <c r="B148" s="52" t="s">
        <v>1608</v>
      </c>
      <c r="C148" s="20" t="s">
        <v>6</v>
      </c>
      <c r="D148" s="20" t="s">
        <v>6</v>
      </c>
      <c r="E148" s="101" t="s">
        <v>46</v>
      </c>
      <c r="F148" s="127">
        <v>46104</v>
      </c>
    </row>
    <row r="149" spans="1:6" x14ac:dyDescent="0.25">
      <c r="A149" s="11">
        <v>148</v>
      </c>
      <c r="B149" s="52" t="s">
        <v>1609</v>
      </c>
      <c r="C149" s="20" t="s">
        <v>6</v>
      </c>
      <c r="D149" s="20" t="s">
        <v>6</v>
      </c>
      <c r="E149" s="101" t="s">
        <v>46</v>
      </c>
      <c r="F149" s="127">
        <v>46104</v>
      </c>
    </row>
    <row r="150" spans="1:6" x14ac:dyDescent="0.25">
      <c r="A150" s="11">
        <v>149</v>
      </c>
      <c r="B150" s="52" t="s">
        <v>1610</v>
      </c>
      <c r="C150" s="20" t="s">
        <v>6</v>
      </c>
      <c r="D150" s="20" t="s">
        <v>6</v>
      </c>
      <c r="E150" s="101" t="s">
        <v>46</v>
      </c>
      <c r="F150" s="127">
        <v>46104</v>
      </c>
    </row>
    <row r="151" spans="1:6" x14ac:dyDescent="0.25">
      <c r="A151" s="11">
        <v>150</v>
      </c>
      <c r="B151" s="52" t="s">
        <v>1611</v>
      </c>
      <c r="C151" s="20" t="s">
        <v>6</v>
      </c>
      <c r="D151" s="20" t="s">
        <v>6</v>
      </c>
      <c r="E151" s="101" t="s">
        <v>46</v>
      </c>
      <c r="F151" s="127">
        <v>46104</v>
      </c>
    </row>
    <row r="152" spans="1:6" x14ac:dyDescent="0.25">
      <c r="A152" s="11">
        <v>151</v>
      </c>
      <c r="B152" s="52" t="s">
        <v>1630</v>
      </c>
      <c r="C152" s="20" t="s">
        <v>6</v>
      </c>
      <c r="D152" s="20" t="s">
        <v>6</v>
      </c>
      <c r="E152" s="101" t="s">
        <v>46</v>
      </c>
      <c r="F152" s="127">
        <v>46104</v>
      </c>
    </row>
    <row r="153" spans="1:6" x14ac:dyDescent="0.25">
      <c r="A153" s="11">
        <v>152</v>
      </c>
      <c r="B153" s="52" t="s">
        <v>1632</v>
      </c>
      <c r="C153" s="20" t="s">
        <v>6</v>
      </c>
      <c r="D153" s="20" t="s">
        <v>6</v>
      </c>
      <c r="E153" s="101" t="s">
        <v>46</v>
      </c>
      <c r="F153" s="127">
        <v>46104</v>
      </c>
    </row>
    <row r="154" spans="1:6" x14ac:dyDescent="0.25">
      <c r="A154" s="11">
        <v>153</v>
      </c>
      <c r="B154" s="52" t="s">
        <v>1631</v>
      </c>
      <c r="C154" s="20" t="s">
        <v>6</v>
      </c>
      <c r="D154" s="20" t="s">
        <v>6</v>
      </c>
      <c r="E154" s="101" t="s">
        <v>46</v>
      </c>
      <c r="F154" s="127">
        <v>46104</v>
      </c>
    </row>
    <row r="155" spans="1:6" x14ac:dyDescent="0.25">
      <c r="A155" s="11">
        <v>154</v>
      </c>
      <c r="B155" s="52" t="s">
        <v>1635</v>
      </c>
      <c r="C155" s="20" t="s">
        <v>6</v>
      </c>
      <c r="D155" s="20" t="s">
        <v>6</v>
      </c>
      <c r="E155" s="101" t="s">
        <v>46</v>
      </c>
      <c r="F155" s="127">
        <v>46104</v>
      </c>
    </row>
    <row r="156" spans="1:6" x14ac:dyDescent="0.25">
      <c r="A156" s="11">
        <v>155</v>
      </c>
      <c r="B156" s="52" t="s">
        <v>331</v>
      </c>
      <c r="C156" s="20" t="s">
        <v>6</v>
      </c>
      <c r="D156" s="20" t="s">
        <v>6</v>
      </c>
      <c r="E156" s="101" t="s">
        <v>46</v>
      </c>
      <c r="F156" s="127">
        <v>46110</v>
      </c>
    </row>
    <row r="157" spans="1:6" x14ac:dyDescent="0.25">
      <c r="A157" s="11">
        <v>156</v>
      </c>
      <c r="B157" s="52" t="s">
        <v>1634</v>
      </c>
      <c r="C157" s="20" t="s">
        <v>6</v>
      </c>
      <c r="D157" s="20" t="s">
        <v>6</v>
      </c>
      <c r="E157" s="101" t="s">
        <v>46</v>
      </c>
      <c r="F157" s="127">
        <v>46138</v>
      </c>
    </row>
    <row r="158" spans="1:6" x14ac:dyDescent="0.25">
      <c r="A158" s="11">
        <v>157</v>
      </c>
      <c r="B158" s="52" t="s">
        <v>1633</v>
      </c>
      <c r="C158" s="20" t="s">
        <v>6</v>
      </c>
      <c r="D158" s="20" t="s">
        <v>6</v>
      </c>
      <c r="E158" s="101" t="s">
        <v>46</v>
      </c>
      <c r="F158" s="127">
        <v>46138</v>
      </c>
    </row>
    <row r="159" spans="1:6" x14ac:dyDescent="0.25">
      <c r="A159" s="11">
        <v>158</v>
      </c>
      <c r="B159" s="52" t="s">
        <v>1612</v>
      </c>
      <c r="C159" s="20" t="s">
        <v>6</v>
      </c>
      <c r="D159" s="20" t="s">
        <v>6</v>
      </c>
      <c r="E159" s="101" t="s">
        <v>46</v>
      </c>
      <c r="F159" s="127">
        <v>46131</v>
      </c>
    </row>
    <row r="160" spans="1:6" x14ac:dyDescent="0.25">
      <c r="A160" s="11">
        <v>159</v>
      </c>
      <c r="B160" s="52" t="s">
        <v>1716</v>
      </c>
      <c r="C160" s="20" t="s">
        <v>6</v>
      </c>
      <c r="D160" s="20" t="s">
        <v>6</v>
      </c>
      <c r="E160" s="101" t="s">
        <v>46</v>
      </c>
      <c r="F160" s="127">
        <v>46138</v>
      </c>
    </row>
    <row r="161" spans="1:6" x14ac:dyDescent="0.25">
      <c r="A161" s="11">
        <v>160</v>
      </c>
      <c r="B161" s="52" t="s">
        <v>1712</v>
      </c>
      <c r="C161" s="20" t="s">
        <v>6</v>
      </c>
      <c r="D161" s="20" t="s">
        <v>6</v>
      </c>
      <c r="E161" s="101" t="s">
        <v>46</v>
      </c>
      <c r="F161" s="127">
        <v>46131</v>
      </c>
    </row>
    <row r="162" spans="1:6" x14ac:dyDescent="0.25">
      <c r="A162" s="11">
        <v>161</v>
      </c>
      <c r="B162" s="52" t="s">
        <v>1713</v>
      </c>
      <c r="C162" s="20" t="s">
        <v>6</v>
      </c>
      <c r="D162" s="20" t="s">
        <v>6</v>
      </c>
      <c r="E162" s="101" t="s">
        <v>46</v>
      </c>
      <c r="F162" s="127">
        <v>46131</v>
      </c>
    </row>
    <row r="163" spans="1:6" x14ac:dyDescent="0.25">
      <c r="A163" s="11">
        <v>162</v>
      </c>
      <c r="B163" s="52" t="s">
        <v>1714</v>
      </c>
      <c r="C163" s="20" t="s">
        <v>6</v>
      </c>
      <c r="D163" s="20" t="s">
        <v>6</v>
      </c>
      <c r="E163" s="101" t="s">
        <v>46</v>
      </c>
      <c r="F163" s="127">
        <v>46131</v>
      </c>
    </row>
    <row r="164" spans="1:6" x14ac:dyDescent="0.25">
      <c r="A164" s="11">
        <v>163</v>
      </c>
      <c r="B164" s="52" t="s">
        <v>1715</v>
      </c>
      <c r="C164" s="20" t="s">
        <v>6</v>
      </c>
      <c r="D164" s="20" t="s">
        <v>6</v>
      </c>
      <c r="E164" s="101" t="s">
        <v>46</v>
      </c>
      <c r="F164" s="127">
        <v>46131</v>
      </c>
    </row>
    <row r="165" spans="1:6" x14ac:dyDescent="0.25">
      <c r="A165" s="11">
        <v>164</v>
      </c>
      <c r="B165" s="52" t="s">
        <v>1692</v>
      </c>
      <c r="C165" s="20" t="s">
        <v>6</v>
      </c>
      <c r="D165" s="20" t="s">
        <v>6</v>
      </c>
      <c r="E165" s="24" t="s">
        <v>46</v>
      </c>
      <c r="F165" s="142">
        <v>46166</v>
      </c>
    </row>
    <row r="166" spans="1:6" x14ac:dyDescent="0.25">
      <c r="A166" s="11">
        <v>165</v>
      </c>
      <c r="B166" s="52" t="s">
        <v>1689</v>
      </c>
      <c r="C166" s="20" t="s">
        <v>6</v>
      </c>
      <c r="D166" s="20" t="s">
        <v>6</v>
      </c>
      <c r="E166" s="24" t="s">
        <v>46</v>
      </c>
      <c r="F166" s="142">
        <v>46166</v>
      </c>
    </row>
    <row r="167" spans="1:6" x14ac:dyDescent="0.25">
      <c r="A167" s="11">
        <v>166</v>
      </c>
      <c r="B167" s="52" t="s">
        <v>1777</v>
      </c>
      <c r="C167" s="20" t="s">
        <v>6</v>
      </c>
      <c r="D167" s="20" t="s">
        <v>6</v>
      </c>
      <c r="E167" s="24" t="s">
        <v>46</v>
      </c>
      <c r="F167" s="142">
        <v>46166</v>
      </c>
    </row>
    <row r="168" spans="1:6" x14ac:dyDescent="0.25">
      <c r="A168" s="11">
        <v>167</v>
      </c>
      <c r="B168" s="52" t="s">
        <v>1778</v>
      </c>
      <c r="C168" s="20" t="s">
        <v>6</v>
      </c>
      <c r="D168" s="20" t="s">
        <v>6</v>
      </c>
      <c r="E168" s="24" t="s">
        <v>46</v>
      </c>
      <c r="F168" s="142">
        <v>46166</v>
      </c>
    </row>
    <row r="169" spans="1:6" x14ac:dyDescent="0.25">
      <c r="A169" s="11">
        <v>168</v>
      </c>
      <c r="B169" s="8" t="s">
        <v>8</v>
      </c>
      <c r="C169" s="20" t="s">
        <v>6</v>
      </c>
      <c r="D169" s="20" t="s">
        <v>6</v>
      </c>
      <c r="E169" s="8" t="s">
        <v>333</v>
      </c>
      <c r="F169" s="142">
        <v>46173</v>
      </c>
    </row>
    <row r="170" spans="1:6" x14ac:dyDescent="0.25">
      <c r="A170" s="11">
        <v>169</v>
      </c>
      <c r="B170" s="52" t="s">
        <v>536</v>
      </c>
      <c r="C170" s="20" t="s">
        <v>6</v>
      </c>
      <c r="D170" s="20" t="s">
        <v>6</v>
      </c>
      <c r="E170" s="24" t="s">
        <v>46</v>
      </c>
      <c r="F170" s="142">
        <v>46173</v>
      </c>
    </row>
    <row r="171" spans="1:6" x14ac:dyDescent="0.25">
      <c r="A171" s="11">
        <v>170</v>
      </c>
      <c r="B171" s="52" t="s">
        <v>1776</v>
      </c>
      <c r="C171" s="20" t="s">
        <v>6</v>
      </c>
      <c r="D171" s="20" t="s">
        <v>6</v>
      </c>
      <c r="E171" s="24" t="s">
        <v>46</v>
      </c>
      <c r="F171" s="142">
        <v>46173</v>
      </c>
    </row>
    <row r="173" spans="1:6" x14ac:dyDescent="0.25">
      <c r="A173" s="123" t="s">
        <v>570</v>
      </c>
    </row>
    <row r="174" spans="1:6" x14ac:dyDescent="0.25">
      <c r="A174" s="11">
        <v>1</v>
      </c>
      <c r="B174" s="42" t="s">
        <v>1405</v>
      </c>
      <c r="C174" s="11" t="s">
        <v>6</v>
      </c>
      <c r="D174" s="11" t="s">
        <v>6</v>
      </c>
      <c r="E174" s="101" t="s">
        <v>46</v>
      </c>
      <c r="F174" s="127">
        <v>46152</v>
      </c>
    </row>
    <row r="175" spans="1:6" x14ac:dyDescent="0.25">
      <c r="A175" s="11">
        <v>2</v>
      </c>
      <c r="B175" s="42" t="s">
        <v>1743</v>
      </c>
      <c r="C175" s="11" t="s">
        <v>6</v>
      </c>
      <c r="D175" s="11" t="s">
        <v>6</v>
      </c>
      <c r="E175" s="101" t="s">
        <v>46</v>
      </c>
      <c r="F175" s="127">
        <v>46152</v>
      </c>
    </row>
    <row r="176" spans="1:6" x14ac:dyDescent="0.25">
      <c r="A176" s="11">
        <v>3</v>
      </c>
      <c r="B176" s="8" t="s">
        <v>1770</v>
      </c>
      <c r="C176" s="11" t="s">
        <v>6</v>
      </c>
      <c r="D176" s="11" t="s">
        <v>6</v>
      </c>
      <c r="E176" s="104" t="s">
        <v>359</v>
      </c>
      <c r="F176" s="127">
        <v>46159</v>
      </c>
    </row>
    <row r="177" spans="1:6" x14ac:dyDescent="0.25">
      <c r="A177" s="11">
        <v>4</v>
      </c>
      <c r="B177" s="8" t="s">
        <v>145</v>
      </c>
      <c r="C177" s="11" t="s">
        <v>6</v>
      </c>
      <c r="D177" s="11" t="s">
        <v>6</v>
      </c>
      <c r="E177" s="104" t="s">
        <v>155</v>
      </c>
      <c r="F177" s="127">
        <v>46159</v>
      </c>
    </row>
    <row r="178" spans="1:6" x14ac:dyDescent="0.25">
      <c r="A178" s="11">
        <v>5</v>
      </c>
      <c r="B178" s="8" t="s">
        <v>101</v>
      </c>
      <c r="C178" s="11" t="s">
        <v>6</v>
      </c>
      <c r="D178" s="11" t="s">
        <v>6</v>
      </c>
      <c r="E178" s="104" t="s">
        <v>46</v>
      </c>
      <c r="F178" s="127">
        <v>46159</v>
      </c>
    </row>
    <row r="179" spans="1:6" x14ac:dyDescent="0.25">
      <c r="A179" s="11">
        <v>6</v>
      </c>
      <c r="B179" s="8" t="s">
        <v>91</v>
      </c>
      <c r="C179" s="11" t="s">
        <v>6</v>
      </c>
      <c r="D179" s="11" t="s">
        <v>6</v>
      </c>
      <c r="E179" s="104" t="s">
        <v>40</v>
      </c>
      <c r="F179" s="127">
        <v>46159</v>
      </c>
    </row>
    <row r="180" spans="1:6" x14ac:dyDescent="0.25">
      <c r="A180" s="11">
        <v>7</v>
      </c>
      <c r="B180" s="8" t="s">
        <v>81</v>
      </c>
      <c r="C180" s="11" t="s">
        <v>6</v>
      </c>
      <c r="D180" s="11" t="s">
        <v>6</v>
      </c>
      <c r="E180" s="104" t="s">
        <v>359</v>
      </c>
      <c r="F180" s="127">
        <v>46159</v>
      </c>
    </row>
    <row r="181" spans="1:6" x14ac:dyDescent="0.25">
      <c r="A181" s="11">
        <v>8</v>
      </c>
      <c r="B181" s="8" t="s">
        <v>1122</v>
      </c>
      <c r="C181" s="11" t="s">
        <v>6</v>
      </c>
      <c r="D181" s="11" t="s">
        <v>6</v>
      </c>
      <c r="E181" s="104" t="s">
        <v>41</v>
      </c>
      <c r="F181" s="127">
        <v>46159</v>
      </c>
    </row>
    <row r="182" spans="1:6" x14ac:dyDescent="0.25">
      <c r="A182" s="11">
        <v>9</v>
      </c>
      <c r="B182" s="8" t="s">
        <v>135</v>
      </c>
      <c r="C182" s="11" t="s">
        <v>6</v>
      </c>
      <c r="D182" s="11" t="s">
        <v>6</v>
      </c>
      <c r="E182" s="103" t="s">
        <v>40</v>
      </c>
      <c r="F182" s="127">
        <v>46159</v>
      </c>
    </row>
    <row r="183" spans="1:6" x14ac:dyDescent="0.25">
      <c r="A183" s="11">
        <v>10</v>
      </c>
      <c r="B183" s="8" t="s">
        <v>1017</v>
      </c>
      <c r="C183" s="11" t="s">
        <v>6</v>
      </c>
      <c r="D183" s="11" t="s">
        <v>6</v>
      </c>
      <c r="E183" s="103" t="s">
        <v>46</v>
      </c>
      <c r="F183" s="127">
        <v>46159</v>
      </c>
    </row>
    <row r="184" spans="1:6" x14ac:dyDescent="0.25">
      <c r="A184" s="11">
        <v>11</v>
      </c>
      <c r="B184" s="8" t="s">
        <v>217</v>
      </c>
      <c r="C184" s="11" t="s">
        <v>6</v>
      </c>
      <c r="D184" s="11" t="s">
        <v>6</v>
      </c>
      <c r="E184" s="101" t="s">
        <v>40</v>
      </c>
      <c r="F184" s="127">
        <v>46159</v>
      </c>
    </row>
    <row r="185" spans="1:6" x14ac:dyDescent="0.25">
      <c r="A185" s="11">
        <v>12</v>
      </c>
      <c r="B185" s="8" t="s">
        <v>1301</v>
      </c>
      <c r="C185" s="11" t="s">
        <v>6</v>
      </c>
      <c r="D185" s="11" t="s">
        <v>6</v>
      </c>
      <c r="E185" s="104" t="s">
        <v>46</v>
      </c>
      <c r="F185" s="127">
        <v>46159</v>
      </c>
    </row>
    <row r="186" spans="1:6" x14ac:dyDescent="0.25">
      <c r="A186" s="11">
        <v>13</v>
      </c>
      <c r="B186" s="42" t="s">
        <v>804</v>
      </c>
      <c r="C186" s="11" t="s">
        <v>6</v>
      </c>
      <c r="D186" s="11" t="s">
        <v>6</v>
      </c>
      <c r="E186" s="101" t="s">
        <v>155</v>
      </c>
      <c r="F186" s="127">
        <v>46159</v>
      </c>
    </row>
    <row r="187" spans="1:6" x14ac:dyDescent="0.25">
      <c r="A187" s="11">
        <v>14</v>
      </c>
      <c r="B187" s="42" t="s">
        <v>1718</v>
      </c>
      <c r="C187" s="11" t="s">
        <v>6</v>
      </c>
      <c r="D187" s="11" t="s">
        <v>6</v>
      </c>
      <c r="E187" s="101" t="s">
        <v>46</v>
      </c>
      <c r="F187" s="127">
        <v>46159</v>
      </c>
    </row>
    <row r="188" spans="1:6" x14ac:dyDescent="0.25">
      <c r="A188" s="11">
        <v>15</v>
      </c>
      <c r="B188" s="42" t="s">
        <v>1763</v>
      </c>
      <c r="C188" s="11" t="s">
        <v>6</v>
      </c>
      <c r="D188" s="11" t="s">
        <v>6</v>
      </c>
      <c r="E188" s="101"/>
      <c r="F188" s="127">
        <v>46159</v>
      </c>
    </row>
    <row r="189" spans="1:6" x14ac:dyDescent="0.25">
      <c r="A189" s="11">
        <v>16</v>
      </c>
      <c r="B189" s="42" t="s">
        <v>1689</v>
      </c>
      <c r="C189" s="11" t="s">
        <v>6</v>
      </c>
      <c r="D189" s="11" t="s">
        <v>6</v>
      </c>
      <c r="E189" s="101" t="s">
        <v>46</v>
      </c>
      <c r="F189" s="127">
        <v>46159</v>
      </c>
    </row>
    <row r="190" spans="1:6" x14ac:dyDescent="0.25">
      <c r="A190" s="11">
        <v>17</v>
      </c>
      <c r="B190" s="42" t="s">
        <v>1676</v>
      </c>
      <c r="C190" s="11" t="s">
        <v>6</v>
      </c>
      <c r="D190" s="11" t="s">
        <v>6</v>
      </c>
      <c r="E190" s="101" t="s">
        <v>46</v>
      </c>
      <c r="F190" s="127">
        <v>46159</v>
      </c>
    </row>
    <row r="191" spans="1:6" x14ac:dyDescent="0.25">
      <c r="A191" s="11">
        <v>18</v>
      </c>
      <c r="B191" s="42" t="s">
        <v>1757</v>
      </c>
      <c r="C191" s="11" t="s">
        <v>6</v>
      </c>
      <c r="D191" s="11" t="s">
        <v>6</v>
      </c>
      <c r="E191" s="101" t="s">
        <v>46</v>
      </c>
      <c r="F191" s="127">
        <v>46159</v>
      </c>
    </row>
    <row r="192" spans="1:6" x14ac:dyDescent="0.25">
      <c r="A192" s="11">
        <v>19</v>
      </c>
      <c r="B192" s="8" t="s">
        <v>1754</v>
      </c>
      <c r="C192" s="11" t="s">
        <v>6</v>
      </c>
      <c r="D192" s="11" t="s">
        <v>6</v>
      </c>
      <c r="E192" s="103" t="s">
        <v>46</v>
      </c>
      <c r="F192" s="127">
        <v>46159</v>
      </c>
    </row>
    <row r="193" spans="1:6" x14ac:dyDescent="0.25">
      <c r="A193" s="11">
        <v>20</v>
      </c>
      <c r="B193" s="42" t="s">
        <v>560</v>
      </c>
      <c r="C193" s="11" t="s">
        <v>6</v>
      </c>
      <c r="D193" s="11" t="s">
        <v>6</v>
      </c>
      <c r="E193" s="101" t="s">
        <v>46</v>
      </c>
      <c r="F193" s="127">
        <v>46159</v>
      </c>
    </row>
    <row r="194" spans="1:6" x14ac:dyDescent="0.25">
      <c r="A194" s="11">
        <v>21</v>
      </c>
      <c r="B194" s="42" t="s">
        <v>1755</v>
      </c>
      <c r="C194" s="11" t="s">
        <v>6</v>
      </c>
      <c r="D194" s="11" t="s">
        <v>6</v>
      </c>
      <c r="E194" s="104" t="s">
        <v>46</v>
      </c>
      <c r="F194" s="127">
        <v>46159</v>
      </c>
    </row>
    <row r="195" spans="1:6" x14ac:dyDescent="0.25">
      <c r="A195" s="11">
        <v>22</v>
      </c>
      <c r="B195" s="42" t="s">
        <v>1756</v>
      </c>
      <c r="C195" s="11" t="s">
        <v>6</v>
      </c>
      <c r="D195" s="11" t="s">
        <v>6</v>
      </c>
      <c r="E195" s="104" t="s">
        <v>46</v>
      </c>
      <c r="F195" s="127">
        <v>46159</v>
      </c>
    </row>
    <row r="196" spans="1:6" x14ac:dyDescent="0.25">
      <c r="A196" s="11">
        <v>23</v>
      </c>
      <c r="B196" s="42" t="s">
        <v>1759</v>
      </c>
      <c r="C196" s="11" t="s">
        <v>6</v>
      </c>
      <c r="D196" s="11" t="s">
        <v>6</v>
      </c>
      <c r="E196" s="104" t="s">
        <v>46</v>
      </c>
      <c r="F196" s="127">
        <v>46159</v>
      </c>
    </row>
    <row r="197" spans="1:6" x14ac:dyDescent="0.25">
      <c r="A197" s="11">
        <v>24</v>
      </c>
      <c r="B197" s="42" t="s">
        <v>805</v>
      </c>
      <c r="C197" s="11" t="s">
        <v>6</v>
      </c>
      <c r="D197" s="11" t="s">
        <v>6</v>
      </c>
      <c r="E197" s="101" t="s">
        <v>155</v>
      </c>
      <c r="F197" s="127">
        <v>46159</v>
      </c>
    </row>
    <row r="198" spans="1:6" x14ac:dyDescent="0.25">
      <c r="A198" s="11">
        <v>25</v>
      </c>
      <c r="B198" s="8" t="s">
        <v>1770</v>
      </c>
      <c r="C198" s="11" t="s">
        <v>6</v>
      </c>
      <c r="D198" s="11" t="s">
        <v>6</v>
      </c>
      <c r="E198" s="104" t="s">
        <v>359</v>
      </c>
      <c r="F198" s="127">
        <v>46159</v>
      </c>
    </row>
    <row r="199" spans="1:6" x14ac:dyDescent="0.25">
      <c r="A199" s="11">
        <v>26</v>
      </c>
      <c r="B199" s="8" t="s">
        <v>145</v>
      </c>
      <c r="C199" s="11" t="s">
        <v>6</v>
      </c>
      <c r="D199" s="11" t="s">
        <v>6</v>
      </c>
      <c r="E199" s="104" t="s">
        <v>155</v>
      </c>
      <c r="F199" s="127">
        <v>46159</v>
      </c>
    </row>
    <row r="200" spans="1:6" x14ac:dyDescent="0.25">
      <c r="A200" s="11">
        <v>27</v>
      </c>
      <c r="B200" s="8" t="s">
        <v>101</v>
      </c>
      <c r="C200" s="11" t="s">
        <v>6</v>
      </c>
      <c r="D200" s="11" t="s">
        <v>6</v>
      </c>
      <c r="E200" s="104" t="s">
        <v>46</v>
      </c>
      <c r="F200" s="127">
        <v>46159</v>
      </c>
    </row>
    <row r="201" spans="1:6" x14ac:dyDescent="0.25">
      <c r="A201" s="11">
        <v>28</v>
      </c>
      <c r="B201" s="8" t="s">
        <v>91</v>
      </c>
      <c r="C201" s="11" t="s">
        <v>6</v>
      </c>
      <c r="D201" s="11" t="s">
        <v>6</v>
      </c>
      <c r="E201" s="104" t="s">
        <v>40</v>
      </c>
      <c r="F201" s="127">
        <v>46159</v>
      </c>
    </row>
    <row r="202" spans="1:6" x14ac:dyDescent="0.25">
      <c r="A202" s="11">
        <v>29</v>
      </c>
      <c r="B202" s="8" t="s">
        <v>81</v>
      </c>
      <c r="C202" s="11" t="s">
        <v>6</v>
      </c>
      <c r="D202" s="11" t="s">
        <v>6</v>
      </c>
      <c r="E202" s="104" t="s">
        <v>359</v>
      </c>
      <c r="F202" s="127">
        <v>46159</v>
      </c>
    </row>
    <row r="203" spans="1:6" x14ac:dyDescent="0.25">
      <c r="A203" s="11">
        <v>30</v>
      </c>
      <c r="B203" s="8" t="s">
        <v>1122</v>
      </c>
      <c r="C203" s="11" t="s">
        <v>6</v>
      </c>
      <c r="D203" s="11" t="s">
        <v>6</v>
      </c>
      <c r="E203" s="104" t="s">
        <v>41</v>
      </c>
      <c r="F203" s="127">
        <v>46159</v>
      </c>
    </row>
    <row r="204" spans="1:6" x14ac:dyDescent="0.25">
      <c r="A204" s="11">
        <v>31</v>
      </c>
      <c r="B204" s="42" t="s">
        <v>1447</v>
      </c>
      <c r="C204" s="11" t="s">
        <v>6</v>
      </c>
      <c r="D204" s="11" t="s">
        <v>6</v>
      </c>
      <c r="E204" s="104" t="s">
        <v>46</v>
      </c>
      <c r="F204" s="127"/>
    </row>
    <row r="205" spans="1:6" x14ac:dyDescent="0.25">
      <c r="A205" s="11">
        <v>32</v>
      </c>
      <c r="B205" s="8" t="s">
        <v>135</v>
      </c>
      <c r="C205" s="11" t="s">
        <v>6</v>
      </c>
      <c r="D205" s="11" t="s">
        <v>6</v>
      </c>
      <c r="E205" s="103" t="s">
        <v>40</v>
      </c>
      <c r="F205" s="127">
        <v>46159</v>
      </c>
    </row>
    <row r="206" spans="1:6" x14ac:dyDescent="0.25">
      <c r="A206" s="11">
        <v>33</v>
      </c>
      <c r="B206" s="8" t="s">
        <v>1017</v>
      </c>
      <c r="C206" s="11" t="s">
        <v>6</v>
      </c>
      <c r="D206" s="11" t="s">
        <v>6</v>
      </c>
      <c r="E206" s="103" t="s">
        <v>46</v>
      </c>
      <c r="F206" s="127">
        <v>46159</v>
      </c>
    </row>
    <row r="207" spans="1:6" x14ac:dyDescent="0.25">
      <c r="A207" s="11">
        <v>34</v>
      </c>
      <c r="B207" s="8" t="s">
        <v>217</v>
      </c>
      <c r="C207" s="11" t="s">
        <v>6</v>
      </c>
      <c r="D207" s="11" t="s">
        <v>6</v>
      </c>
      <c r="E207" s="101" t="s">
        <v>40</v>
      </c>
      <c r="F207" s="127"/>
    </row>
    <row r="208" spans="1:6" x14ac:dyDescent="0.25">
      <c r="A208" s="11">
        <v>35</v>
      </c>
      <c r="B208" s="8" t="s">
        <v>1301</v>
      </c>
      <c r="C208" s="11" t="s">
        <v>6</v>
      </c>
      <c r="D208" s="11" t="s">
        <v>6</v>
      </c>
      <c r="E208" s="104" t="s">
        <v>46</v>
      </c>
      <c r="F208" s="127">
        <v>46159</v>
      </c>
    </row>
    <row r="209" spans="1:6" x14ac:dyDescent="0.25">
      <c r="A209" s="11">
        <v>36</v>
      </c>
      <c r="B209" s="42" t="s">
        <v>804</v>
      </c>
      <c r="C209" s="11" t="s">
        <v>6</v>
      </c>
      <c r="D209" s="11" t="s">
        <v>6</v>
      </c>
      <c r="E209" s="101" t="s">
        <v>155</v>
      </c>
      <c r="F209" s="127">
        <v>46159</v>
      </c>
    </row>
    <row r="210" spans="1:6" x14ac:dyDescent="0.25">
      <c r="A210" s="11">
        <v>37</v>
      </c>
      <c r="B210" s="42" t="s">
        <v>330</v>
      </c>
      <c r="C210" s="11" t="s">
        <v>6</v>
      </c>
      <c r="D210" s="11" t="s">
        <v>6</v>
      </c>
      <c r="E210" s="101" t="s">
        <v>155</v>
      </c>
      <c r="F210" s="127">
        <v>46159</v>
      </c>
    </row>
    <row r="211" spans="1:6" x14ac:dyDescent="0.25">
      <c r="A211" s="11">
        <v>38</v>
      </c>
      <c r="B211" s="42" t="s">
        <v>1718</v>
      </c>
      <c r="C211" s="11" t="s">
        <v>6</v>
      </c>
      <c r="D211" s="11" t="s">
        <v>6</v>
      </c>
      <c r="E211" s="101" t="s">
        <v>46</v>
      </c>
      <c r="F211" s="127">
        <v>46159</v>
      </c>
    </row>
    <row r="212" spans="1:6" x14ac:dyDescent="0.25">
      <c r="A212" s="11">
        <v>39</v>
      </c>
      <c r="B212" s="42" t="s">
        <v>1763</v>
      </c>
      <c r="C212" s="11" t="s">
        <v>6</v>
      </c>
      <c r="D212" s="11" t="s">
        <v>6</v>
      </c>
      <c r="E212" s="101"/>
      <c r="F212" s="127">
        <v>46159</v>
      </c>
    </row>
    <row r="213" spans="1:6" x14ac:dyDescent="0.25">
      <c r="A213" s="11">
        <v>40</v>
      </c>
      <c r="B213" s="42" t="s">
        <v>1676</v>
      </c>
      <c r="C213" s="11" t="s">
        <v>6</v>
      </c>
      <c r="D213" s="11" t="s">
        <v>6</v>
      </c>
      <c r="E213" s="101" t="s">
        <v>46</v>
      </c>
      <c r="F213" s="127">
        <v>46159</v>
      </c>
    </row>
    <row r="214" spans="1:6" x14ac:dyDescent="0.25">
      <c r="A214" s="11">
        <v>41</v>
      </c>
      <c r="B214" s="42" t="s">
        <v>1757</v>
      </c>
      <c r="C214" s="11" t="s">
        <v>6</v>
      </c>
      <c r="D214" s="11" t="s">
        <v>6</v>
      </c>
      <c r="E214" s="101" t="s">
        <v>46</v>
      </c>
      <c r="F214" s="127">
        <v>46159</v>
      </c>
    </row>
    <row r="215" spans="1:6" x14ac:dyDescent="0.25">
      <c r="A215" s="11">
        <v>42</v>
      </c>
      <c r="B215" s="8" t="s">
        <v>1754</v>
      </c>
      <c r="C215" s="11" t="s">
        <v>6</v>
      </c>
      <c r="D215" s="11" t="s">
        <v>6</v>
      </c>
      <c r="E215" s="103" t="s">
        <v>46</v>
      </c>
      <c r="F215" s="127">
        <v>46159</v>
      </c>
    </row>
    <row r="216" spans="1:6" x14ac:dyDescent="0.25">
      <c r="A216" s="11">
        <v>43</v>
      </c>
      <c r="B216" s="42" t="s">
        <v>417</v>
      </c>
      <c r="C216" s="11" t="s">
        <v>6</v>
      </c>
      <c r="D216" s="11" t="s">
        <v>6</v>
      </c>
      <c r="E216" s="101" t="s">
        <v>46</v>
      </c>
      <c r="F216" s="127">
        <v>46159</v>
      </c>
    </row>
    <row r="217" spans="1:6" x14ac:dyDescent="0.25">
      <c r="A217" s="11">
        <v>44</v>
      </c>
      <c r="B217" s="42" t="s">
        <v>560</v>
      </c>
      <c r="C217" s="11" t="s">
        <v>6</v>
      </c>
      <c r="D217" s="11" t="s">
        <v>6</v>
      </c>
      <c r="E217" s="101" t="s">
        <v>46</v>
      </c>
      <c r="F217" s="127">
        <v>46159</v>
      </c>
    </row>
    <row r="218" spans="1:6" x14ac:dyDescent="0.25">
      <c r="A218" s="11">
        <v>45</v>
      </c>
      <c r="B218" s="42" t="s">
        <v>1755</v>
      </c>
      <c r="C218" s="11" t="s">
        <v>6</v>
      </c>
      <c r="D218" s="11" t="s">
        <v>6</v>
      </c>
      <c r="E218" s="104" t="s">
        <v>46</v>
      </c>
      <c r="F218" s="127">
        <v>46159</v>
      </c>
    </row>
    <row r="219" spans="1:6" x14ac:dyDescent="0.25">
      <c r="A219" s="11">
        <v>46</v>
      </c>
      <c r="B219" s="42" t="s">
        <v>1756</v>
      </c>
      <c r="C219" s="11" t="s">
        <v>6</v>
      </c>
      <c r="D219" s="11" t="s">
        <v>6</v>
      </c>
      <c r="E219" s="104" t="s">
        <v>46</v>
      </c>
      <c r="F219" s="127">
        <v>46159</v>
      </c>
    </row>
    <row r="220" spans="1:6" x14ac:dyDescent="0.25">
      <c r="A220" s="11">
        <v>47</v>
      </c>
      <c r="B220" s="42" t="s">
        <v>1759</v>
      </c>
      <c r="C220" s="11" t="s">
        <v>6</v>
      </c>
      <c r="D220" s="11" t="s">
        <v>6</v>
      </c>
      <c r="E220" s="104" t="s">
        <v>46</v>
      </c>
      <c r="F220" s="127">
        <v>46159</v>
      </c>
    </row>
    <row r="221" spans="1:6" x14ac:dyDescent="0.25">
      <c r="A221" s="11">
        <v>48</v>
      </c>
      <c r="B221" s="108" t="s">
        <v>517</v>
      </c>
      <c r="C221" s="96" t="s">
        <v>6</v>
      </c>
      <c r="D221" s="96" t="s">
        <v>6</v>
      </c>
      <c r="E221" s="131" t="s">
        <v>41</v>
      </c>
      <c r="F221" s="127">
        <v>45845</v>
      </c>
    </row>
    <row r="222" spans="1:6" x14ac:dyDescent="0.25">
      <c r="A222" s="11">
        <v>49</v>
      </c>
      <c r="B222" s="42" t="s">
        <v>372</v>
      </c>
      <c r="C222" s="11" t="s">
        <v>6</v>
      </c>
      <c r="D222" s="11" t="s">
        <v>6</v>
      </c>
      <c r="E222" s="101" t="s">
        <v>40</v>
      </c>
      <c r="F222" s="127">
        <v>45830</v>
      </c>
    </row>
    <row r="223" spans="1:6" x14ac:dyDescent="0.25">
      <c r="A223" s="11">
        <v>50</v>
      </c>
      <c r="B223" s="8" t="s">
        <v>520</v>
      </c>
      <c r="C223" s="11" t="s">
        <v>6</v>
      </c>
      <c r="D223" s="11" t="s">
        <v>6</v>
      </c>
      <c r="E223" s="103" t="s">
        <v>45</v>
      </c>
      <c r="F223" s="127">
        <v>45845</v>
      </c>
    </row>
    <row r="224" spans="1:6" x14ac:dyDescent="0.25">
      <c r="A224" s="11">
        <v>51</v>
      </c>
      <c r="B224" s="42" t="s">
        <v>466</v>
      </c>
      <c r="C224" s="11" t="s">
        <v>6</v>
      </c>
      <c r="D224" s="11" t="s">
        <v>6</v>
      </c>
      <c r="E224" s="101" t="s">
        <v>46</v>
      </c>
      <c r="F224" s="127">
        <v>45837</v>
      </c>
    </row>
    <row r="225" spans="1:6" x14ac:dyDescent="0.25">
      <c r="A225" s="11">
        <v>52</v>
      </c>
      <c r="B225" s="42" t="s">
        <v>458</v>
      </c>
      <c r="C225" s="11" t="s">
        <v>6</v>
      </c>
      <c r="D225" s="11" t="s">
        <v>6</v>
      </c>
      <c r="E225" s="101" t="s">
        <v>46</v>
      </c>
      <c r="F225" s="127">
        <v>45837</v>
      </c>
    </row>
    <row r="226" spans="1:6" x14ac:dyDescent="0.25">
      <c r="A226" s="11">
        <v>53</v>
      </c>
      <c r="B226" s="42" t="s">
        <v>459</v>
      </c>
      <c r="C226" s="11" t="s">
        <v>6</v>
      </c>
      <c r="D226" s="11" t="s">
        <v>6</v>
      </c>
      <c r="E226" s="101" t="s">
        <v>46</v>
      </c>
      <c r="F226" s="127">
        <v>45837</v>
      </c>
    </row>
    <row r="227" spans="1:6" x14ac:dyDescent="0.25">
      <c r="A227" s="11">
        <v>54</v>
      </c>
      <c r="B227" s="38" t="s">
        <v>460</v>
      </c>
      <c r="C227" s="11" t="s">
        <v>6</v>
      </c>
      <c r="D227" s="11" t="s">
        <v>6</v>
      </c>
      <c r="E227" s="101" t="s">
        <v>46</v>
      </c>
      <c r="F227" s="127">
        <v>45837</v>
      </c>
    </row>
    <row r="228" spans="1:6" x14ac:dyDescent="0.25">
      <c r="A228" s="11">
        <v>55</v>
      </c>
      <c r="B228" s="42" t="s">
        <v>461</v>
      </c>
      <c r="C228" s="11" t="s">
        <v>6</v>
      </c>
      <c r="D228" s="11" t="s">
        <v>6</v>
      </c>
      <c r="E228" s="101" t="s">
        <v>154</v>
      </c>
      <c r="F228" s="127">
        <v>45837</v>
      </c>
    </row>
    <row r="229" spans="1:6" x14ac:dyDescent="0.25">
      <c r="A229" s="11">
        <v>56</v>
      </c>
      <c r="B229" s="42" t="s">
        <v>451</v>
      </c>
      <c r="C229" s="11" t="s">
        <v>6</v>
      </c>
      <c r="D229" s="11" t="s">
        <v>6</v>
      </c>
      <c r="E229" s="101" t="s">
        <v>154</v>
      </c>
      <c r="F229" s="127">
        <v>45837</v>
      </c>
    </row>
    <row r="230" spans="1:6" x14ac:dyDescent="0.25">
      <c r="A230" s="11">
        <v>57</v>
      </c>
      <c r="B230" s="42" t="s">
        <v>454</v>
      </c>
      <c r="C230" s="11" t="s">
        <v>6</v>
      </c>
      <c r="D230" s="11" t="s">
        <v>6</v>
      </c>
      <c r="E230" s="101" t="s">
        <v>46</v>
      </c>
      <c r="F230" s="127">
        <v>45837</v>
      </c>
    </row>
    <row r="231" spans="1:6" x14ac:dyDescent="0.25">
      <c r="A231" s="11">
        <v>58</v>
      </c>
      <c r="B231" s="42" t="s">
        <v>455</v>
      </c>
      <c r="C231" s="11" t="s">
        <v>6</v>
      </c>
      <c r="D231" s="11" t="s">
        <v>6</v>
      </c>
      <c r="E231" s="101" t="s">
        <v>46</v>
      </c>
      <c r="F231" s="127">
        <v>45837</v>
      </c>
    </row>
    <row r="232" spans="1:6" x14ac:dyDescent="0.25">
      <c r="A232" s="11">
        <v>59</v>
      </c>
      <c r="B232" s="42" t="s">
        <v>456</v>
      </c>
      <c r="C232" s="11" t="s">
        <v>6</v>
      </c>
      <c r="D232" s="11" t="s">
        <v>6</v>
      </c>
      <c r="E232" s="101" t="s">
        <v>46</v>
      </c>
      <c r="F232" s="127">
        <v>45837</v>
      </c>
    </row>
    <row r="233" spans="1:6" x14ac:dyDescent="0.25">
      <c r="A233" s="11">
        <v>60</v>
      </c>
      <c r="B233" s="42" t="s">
        <v>457</v>
      </c>
      <c r="C233" s="11" t="s">
        <v>6</v>
      </c>
      <c r="D233" s="11" t="s">
        <v>6</v>
      </c>
      <c r="E233" s="101" t="s">
        <v>46</v>
      </c>
      <c r="F233" s="127">
        <v>45837</v>
      </c>
    </row>
    <row r="234" spans="1:6" x14ac:dyDescent="0.25">
      <c r="A234" s="11">
        <v>61</v>
      </c>
      <c r="B234" s="42" t="s">
        <v>469</v>
      </c>
      <c r="C234" s="11" t="s">
        <v>6</v>
      </c>
      <c r="D234" s="11" t="s">
        <v>6</v>
      </c>
      <c r="E234" s="101" t="s">
        <v>46</v>
      </c>
      <c r="F234" s="127">
        <v>45837</v>
      </c>
    </row>
    <row r="235" spans="1:6" x14ac:dyDescent="0.25">
      <c r="A235" s="11">
        <v>62</v>
      </c>
      <c r="B235" s="21" t="s">
        <v>440</v>
      </c>
      <c r="C235" s="11" t="s">
        <v>6</v>
      </c>
      <c r="D235" s="11" t="s">
        <v>6</v>
      </c>
      <c r="E235" s="101" t="s">
        <v>46</v>
      </c>
      <c r="F235" s="127">
        <v>45830</v>
      </c>
    </row>
    <row r="236" spans="1:6" x14ac:dyDescent="0.25">
      <c r="A236" s="11">
        <v>63</v>
      </c>
      <c r="B236" s="21" t="s">
        <v>441</v>
      </c>
      <c r="C236" s="11" t="s">
        <v>6</v>
      </c>
      <c r="D236" s="11" t="s">
        <v>6</v>
      </c>
      <c r="E236" s="101" t="s">
        <v>46</v>
      </c>
      <c r="F236" s="127">
        <v>45830</v>
      </c>
    </row>
    <row r="237" spans="1:6" x14ac:dyDescent="0.25">
      <c r="A237" s="11">
        <v>64</v>
      </c>
      <c r="B237" s="21" t="s">
        <v>442</v>
      </c>
      <c r="C237" s="11" t="s">
        <v>6</v>
      </c>
      <c r="D237" s="11" t="s">
        <v>6</v>
      </c>
      <c r="E237" s="101" t="s">
        <v>46</v>
      </c>
      <c r="F237" s="127">
        <v>45830</v>
      </c>
    </row>
    <row r="238" spans="1:6" x14ac:dyDescent="0.25">
      <c r="A238" s="11">
        <v>65</v>
      </c>
      <c r="B238" s="42" t="s">
        <v>443</v>
      </c>
      <c r="C238" s="11" t="s">
        <v>6</v>
      </c>
      <c r="D238" s="11" t="s">
        <v>6</v>
      </c>
      <c r="E238" s="101" t="s">
        <v>46</v>
      </c>
      <c r="F238" s="127">
        <v>45830</v>
      </c>
    </row>
    <row r="239" spans="1:6" x14ac:dyDescent="0.25">
      <c r="A239" s="11">
        <v>66</v>
      </c>
      <c r="B239" s="42" t="s">
        <v>444</v>
      </c>
      <c r="C239" s="11" t="s">
        <v>6</v>
      </c>
      <c r="D239" s="11" t="s">
        <v>6</v>
      </c>
      <c r="E239" s="101" t="s">
        <v>46</v>
      </c>
      <c r="F239" s="127">
        <v>45830</v>
      </c>
    </row>
    <row r="240" spans="1:6" x14ac:dyDescent="0.25">
      <c r="A240" s="11">
        <v>67</v>
      </c>
      <c r="B240" s="42" t="s">
        <v>445</v>
      </c>
      <c r="C240" s="11" t="s">
        <v>6</v>
      </c>
      <c r="D240" s="11" t="s">
        <v>6</v>
      </c>
      <c r="E240" s="101" t="s">
        <v>46</v>
      </c>
      <c r="F240" s="127">
        <v>45830</v>
      </c>
    </row>
    <row r="241" spans="1:6" x14ac:dyDescent="0.25">
      <c r="A241" s="11">
        <v>68</v>
      </c>
      <c r="B241" s="21" t="s">
        <v>430</v>
      </c>
      <c r="C241" s="11" t="s">
        <v>6</v>
      </c>
      <c r="D241" s="11" t="s">
        <v>6</v>
      </c>
      <c r="E241" s="101" t="s">
        <v>46</v>
      </c>
      <c r="F241" s="127">
        <v>45830</v>
      </c>
    </row>
    <row r="242" spans="1:6" x14ac:dyDescent="0.25">
      <c r="A242" s="11">
        <v>69</v>
      </c>
      <c r="B242" s="21" t="s">
        <v>431</v>
      </c>
      <c r="C242" s="11" t="s">
        <v>6</v>
      </c>
      <c r="D242" s="11" t="s">
        <v>6</v>
      </c>
      <c r="E242" s="101" t="s">
        <v>46</v>
      </c>
      <c r="F242" s="127">
        <v>45830</v>
      </c>
    </row>
    <row r="243" spans="1:6" x14ac:dyDescent="0.25">
      <c r="A243" s="11">
        <v>70</v>
      </c>
      <c r="B243" s="21" t="s">
        <v>423</v>
      </c>
      <c r="C243" s="11" t="s">
        <v>6</v>
      </c>
      <c r="D243" s="11" t="s">
        <v>6</v>
      </c>
      <c r="E243" s="101" t="s">
        <v>46</v>
      </c>
      <c r="F243" s="127">
        <v>45830</v>
      </c>
    </row>
    <row r="244" spans="1:6" x14ac:dyDescent="0.25">
      <c r="A244" s="11">
        <v>71</v>
      </c>
      <c r="B244" s="21" t="s">
        <v>426</v>
      </c>
      <c r="C244" s="11" t="s">
        <v>6</v>
      </c>
      <c r="D244" s="11" t="s">
        <v>6</v>
      </c>
      <c r="E244" s="101" t="s">
        <v>155</v>
      </c>
      <c r="F244" s="127">
        <v>45830</v>
      </c>
    </row>
    <row r="245" spans="1:6" x14ac:dyDescent="0.25">
      <c r="A245" s="11">
        <v>72</v>
      </c>
      <c r="B245" s="21" t="s">
        <v>427</v>
      </c>
      <c r="C245" s="11" t="s">
        <v>6</v>
      </c>
      <c r="D245" s="11" t="s">
        <v>6</v>
      </c>
      <c r="E245" s="101" t="s">
        <v>155</v>
      </c>
      <c r="F245" s="127">
        <v>45830</v>
      </c>
    </row>
    <row r="246" spans="1:6" x14ac:dyDescent="0.25">
      <c r="A246" s="11">
        <v>73</v>
      </c>
      <c r="B246" s="21" t="s">
        <v>415</v>
      </c>
      <c r="C246" s="11" t="s">
        <v>6</v>
      </c>
      <c r="D246" s="11" t="s">
        <v>6</v>
      </c>
      <c r="E246" s="101" t="s">
        <v>46</v>
      </c>
      <c r="F246" s="127">
        <v>45830</v>
      </c>
    </row>
    <row r="247" spans="1:6" x14ac:dyDescent="0.25">
      <c r="A247" s="11">
        <v>74</v>
      </c>
      <c r="B247" s="38" t="s">
        <v>370</v>
      </c>
      <c r="C247" s="11" t="s">
        <v>6</v>
      </c>
      <c r="D247" s="11" t="s">
        <v>6</v>
      </c>
      <c r="E247" s="101" t="s">
        <v>46</v>
      </c>
      <c r="F247" s="127">
        <v>45837</v>
      </c>
    </row>
    <row r="248" spans="1:6" x14ac:dyDescent="0.25">
      <c r="A248" s="11">
        <v>75</v>
      </c>
      <c r="B248" s="21" t="s">
        <v>352</v>
      </c>
      <c r="C248" s="11" t="s">
        <v>6</v>
      </c>
      <c r="D248" s="11" t="s">
        <v>6</v>
      </c>
      <c r="E248" s="101" t="s">
        <v>46</v>
      </c>
      <c r="F248" s="127">
        <v>45830</v>
      </c>
    </row>
    <row r="249" spans="1:6" x14ac:dyDescent="0.25">
      <c r="A249" s="11">
        <v>76</v>
      </c>
      <c r="B249" s="8" t="s">
        <v>65</v>
      </c>
      <c r="C249" s="11" t="s">
        <v>6</v>
      </c>
      <c r="D249" s="11" t="s">
        <v>6</v>
      </c>
      <c r="E249" s="101" t="s">
        <v>46</v>
      </c>
      <c r="F249" s="127">
        <v>45830</v>
      </c>
    </row>
    <row r="250" spans="1:6" x14ac:dyDescent="0.25">
      <c r="A250" s="11">
        <v>77</v>
      </c>
      <c r="B250" s="8" t="s">
        <v>438</v>
      </c>
      <c r="C250" s="11" t="s">
        <v>6</v>
      </c>
      <c r="D250" s="11" t="s">
        <v>6</v>
      </c>
      <c r="E250" s="104" t="s">
        <v>46</v>
      </c>
      <c r="F250" s="127">
        <v>45837</v>
      </c>
    </row>
    <row r="251" spans="1:6" x14ac:dyDescent="0.25">
      <c r="A251" s="11">
        <v>78</v>
      </c>
      <c r="B251" s="8" t="s">
        <v>141</v>
      </c>
      <c r="C251" s="11" t="s">
        <v>6</v>
      </c>
      <c r="D251" s="11" t="s">
        <v>6</v>
      </c>
      <c r="E251" s="103" t="s">
        <v>42</v>
      </c>
      <c r="F251" s="127">
        <v>45830</v>
      </c>
    </row>
    <row r="252" spans="1:6" x14ac:dyDescent="0.25">
      <c r="A252" s="11">
        <v>79</v>
      </c>
      <c r="B252" s="8" t="s">
        <v>131</v>
      </c>
      <c r="C252" s="11" t="s">
        <v>6</v>
      </c>
      <c r="D252" s="11" t="s">
        <v>6</v>
      </c>
      <c r="E252" s="103" t="s">
        <v>43</v>
      </c>
      <c r="F252" s="127">
        <v>45830</v>
      </c>
    </row>
    <row r="253" spans="1:6" x14ac:dyDescent="0.25">
      <c r="A253" s="11">
        <v>80</v>
      </c>
      <c r="B253" s="8" t="s">
        <v>120</v>
      </c>
      <c r="C253" s="11" t="s">
        <v>6</v>
      </c>
      <c r="D253" s="11" t="s">
        <v>6</v>
      </c>
      <c r="E253" s="104" t="s">
        <v>40</v>
      </c>
      <c r="F253" s="127">
        <v>45830</v>
      </c>
    </row>
    <row r="254" spans="1:6" x14ac:dyDescent="0.25">
      <c r="A254" s="11">
        <v>81</v>
      </c>
      <c r="B254" s="8" t="s">
        <v>110</v>
      </c>
      <c r="C254" s="11" t="s">
        <v>6</v>
      </c>
      <c r="D254" s="11" t="s">
        <v>6</v>
      </c>
      <c r="E254" s="104" t="s">
        <v>40</v>
      </c>
      <c r="F254" s="127">
        <v>45837</v>
      </c>
    </row>
    <row r="255" spans="1:6" x14ac:dyDescent="0.25">
      <c r="A255" s="11">
        <v>82</v>
      </c>
      <c r="B255" s="8" t="s">
        <v>98</v>
      </c>
      <c r="C255" s="11" t="s">
        <v>6</v>
      </c>
      <c r="D255" s="11" t="s">
        <v>6</v>
      </c>
      <c r="E255" s="104" t="s">
        <v>40</v>
      </c>
      <c r="F255" s="127">
        <v>45830</v>
      </c>
    </row>
    <row r="256" spans="1:6" x14ac:dyDescent="0.25">
      <c r="A256" s="11">
        <v>83</v>
      </c>
      <c r="B256" s="21" t="s">
        <v>421</v>
      </c>
      <c r="C256" s="11" t="s">
        <v>6</v>
      </c>
      <c r="D256" s="11" t="s">
        <v>6</v>
      </c>
      <c r="E256" s="101" t="s">
        <v>46</v>
      </c>
      <c r="F256" s="127">
        <v>45845</v>
      </c>
    </row>
    <row r="257" spans="1:6" x14ac:dyDescent="0.25">
      <c r="A257" s="11">
        <v>84</v>
      </c>
      <c r="B257" s="21" t="s">
        <v>422</v>
      </c>
      <c r="C257" s="11" t="s">
        <v>6</v>
      </c>
      <c r="D257" s="11" t="s">
        <v>6</v>
      </c>
      <c r="E257" s="101" t="s">
        <v>46</v>
      </c>
      <c r="F257" s="127">
        <v>45845</v>
      </c>
    </row>
    <row r="258" spans="1:6" x14ac:dyDescent="0.25">
      <c r="A258" s="11">
        <v>85</v>
      </c>
      <c r="B258" s="42" t="s">
        <v>514</v>
      </c>
      <c r="C258" s="11" t="s">
        <v>6</v>
      </c>
      <c r="D258" s="11" t="s">
        <v>6</v>
      </c>
      <c r="E258" s="101" t="s">
        <v>46</v>
      </c>
      <c r="F258" s="127">
        <v>45845</v>
      </c>
    </row>
    <row r="259" spans="1:6" x14ac:dyDescent="0.25">
      <c r="A259" s="11">
        <v>86</v>
      </c>
      <c r="B259" s="42" t="s">
        <v>515</v>
      </c>
      <c r="C259" s="11" t="s">
        <v>6</v>
      </c>
      <c r="D259" s="11" t="s">
        <v>6</v>
      </c>
      <c r="E259" s="101" t="s">
        <v>46</v>
      </c>
      <c r="F259" s="127">
        <v>45845</v>
      </c>
    </row>
    <row r="260" spans="1:6" x14ac:dyDescent="0.25">
      <c r="A260" s="11">
        <v>87</v>
      </c>
      <c r="B260" s="42" t="s">
        <v>516</v>
      </c>
      <c r="C260" s="11" t="s">
        <v>6</v>
      </c>
      <c r="D260" s="11" t="s">
        <v>6</v>
      </c>
      <c r="E260" s="101" t="s">
        <v>46</v>
      </c>
      <c r="F260" s="127">
        <v>45845</v>
      </c>
    </row>
    <row r="261" spans="1:6" x14ac:dyDescent="0.25">
      <c r="A261" s="11">
        <v>88</v>
      </c>
      <c r="B261" s="42" t="s">
        <v>519</v>
      </c>
      <c r="C261" s="11" t="s">
        <v>6</v>
      </c>
      <c r="D261" s="11" t="s">
        <v>6</v>
      </c>
      <c r="E261" s="101" t="s">
        <v>46</v>
      </c>
      <c r="F261" s="127">
        <v>45845</v>
      </c>
    </row>
    <row r="262" spans="1:6" x14ac:dyDescent="0.25">
      <c r="A262" s="11">
        <v>89</v>
      </c>
      <c r="B262" s="21" t="s">
        <v>1615</v>
      </c>
      <c r="C262" s="23" t="s">
        <v>6</v>
      </c>
      <c r="D262" s="23" t="s">
        <v>6</v>
      </c>
      <c r="E262" s="107" t="s">
        <v>46</v>
      </c>
      <c r="F262" s="127">
        <v>46138</v>
      </c>
    </row>
    <row r="263" spans="1:6" x14ac:dyDescent="0.25">
      <c r="A263" s="11">
        <v>90</v>
      </c>
      <c r="B263" s="42" t="s">
        <v>483</v>
      </c>
      <c r="C263" s="11" t="s">
        <v>6</v>
      </c>
      <c r="D263" s="11" t="s">
        <v>6</v>
      </c>
      <c r="E263" s="101" t="s">
        <v>40</v>
      </c>
      <c r="F263" s="127">
        <v>45845</v>
      </c>
    </row>
    <row r="264" spans="1:6" x14ac:dyDescent="0.25">
      <c r="A264" s="11">
        <v>91</v>
      </c>
      <c r="B264" s="38" t="s">
        <v>480</v>
      </c>
      <c r="C264" s="11" t="s">
        <v>6</v>
      </c>
      <c r="D264" s="11" t="s">
        <v>6</v>
      </c>
      <c r="E264" s="101" t="s">
        <v>40</v>
      </c>
      <c r="F264" s="127">
        <v>45845</v>
      </c>
    </row>
    <row r="265" spans="1:6" x14ac:dyDescent="0.25">
      <c r="A265" s="11">
        <v>92</v>
      </c>
      <c r="B265" s="42" t="s">
        <v>481</v>
      </c>
      <c r="C265" s="11" t="s">
        <v>6</v>
      </c>
      <c r="D265" s="11" t="s">
        <v>6</v>
      </c>
      <c r="E265" s="101" t="s">
        <v>40</v>
      </c>
      <c r="F265" s="127">
        <v>45845</v>
      </c>
    </row>
    <row r="266" spans="1:6" x14ac:dyDescent="0.25">
      <c r="A266" s="11">
        <v>93</v>
      </c>
      <c r="B266" s="8" t="s">
        <v>336</v>
      </c>
      <c r="C266" s="11" t="s">
        <v>6</v>
      </c>
      <c r="D266" s="11" t="s">
        <v>6</v>
      </c>
      <c r="E266" s="104" t="s">
        <v>40</v>
      </c>
      <c r="F266" s="127">
        <v>45859</v>
      </c>
    </row>
    <row r="267" spans="1:6" x14ac:dyDescent="0.25">
      <c r="A267" s="11">
        <v>94</v>
      </c>
      <c r="B267" s="8" t="s">
        <v>511</v>
      </c>
      <c r="C267" s="11" t="s">
        <v>6</v>
      </c>
      <c r="D267" s="11" t="s">
        <v>6</v>
      </c>
      <c r="E267" s="104" t="s">
        <v>41</v>
      </c>
      <c r="F267" s="127">
        <v>45866</v>
      </c>
    </row>
    <row r="268" spans="1:6" x14ac:dyDescent="0.25">
      <c r="A268" s="11">
        <v>95</v>
      </c>
      <c r="B268" s="8" t="s">
        <v>548</v>
      </c>
      <c r="C268" s="11" t="s">
        <v>6</v>
      </c>
      <c r="D268" s="11" t="s">
        <v>6</v>
      </c>
      <c r="E268" s="104" t="s">
        <v>46</v>
      </c>
      <c r="F268" s="127">
        <v>45859</v>
      </c>
    </row>
    <row r="269" spans="1:6" x14ac:dyDescent="0.25">
      <c r="A269" s="11">
        <v>96</v>
      </c>
      <c r="B269" s="8" t="s">
        <v>533</v>
      </c>
      <c r="C269" s="11" t="s">
        <v>6</v>
      </c>
      <c r="D269" s="11" t="s">
        <v>6</v>
      </c>
      <c r="E269" s="104" t="s">
        <v>40</v>
      </c>
      <c r="F269" s="127">
        <v>45859</v>
      </c>
    </row>
    <row r="270" spans="1:6" x14ac:dyDescent="0.25">
      <c r="A270" s="11">
        <v>97</v>
      </c>
      <c r="B270" s="8" t="s">
        <v>358</v>
      </c>
      <c r="C270" s="11" t="s">
        <v>6</v>
      </c>
      <c r="D270" s="11" t="s">
        <v>6</v>
      </c>
      <c r="E270" s="103" t="s">
        <v>40</v>
      </c>
      <c r="F270" s="127">
        <v>45866</v>
      </c>
    </row>
    <row r="271" spans="1:6" x14ac:dyDescent="0.25">
      <c r="A271" s="11">
        <v>98</v>
      </c>
      <c r="B271" s="8" t="s">
        <v>147</v>
      </c>
      <c r="C271" s="11" t="s">
        <v>6</v>
      </c>
      <c r="D271" s="11" t="s">
        <v>6</v>
      </c>
      <c r="E271" s="104" t="s">
        <v>46</v>
      </c>
      <c r="F271" s="127">
        <v>45859</v>
      </c>
    </row>
    <row r="272" spans="1:6" x14ac:dyDescent="0.25">
      <c r="A272" s="11">
        <v>99</v>
      </c>
      <c r="B272" s="21" t="s">
        <v>447</v>
      </c>
      <c r="C272" s="11" t="s">
        <v>6</v>
      </c>
      <c r="D272" s="11" t="s">
        <v>6</v>
      </c>
      <c r="E272" s="101" t="s">
        <v>46</v>
      </c>
      <c r="F272" s="127">
        <v>45866</v>
      </c>
    </row>
    <row r="273" spans="1:6" x14ac:dyDescent="0.25">
      <c r="A273" s="11">
        <v>100</v>
      </c>
      <c r="B273" s="21" t="s">
        <v>368</v>
      </c>
      <c r="C273" s="11" t="s">
        <v>6</v>
      </c>
      <c r="D273" s="11" t="s">
        <v>6</v>
      </c>
      <c r="E273" s="101" t="s">
        <v>46</v>
      </c>
      <c r="F273" s="127">
        <v>45866</v>
      </c>
    </row>
    <row r="274" spans="1:6" x14ac:dyDescent="0.25">
      <c r="A274" s="11">
        <v>101</v>
      </c>
      <c r="B274" s="21" t="s">
        <v>429</v>
      </c>
      <c r="C274" s="11" t="s">
        <v>6</v>
      </c>
      <c r="D274" s="11" t="s">
        <v>6</v>
      </c>
      <c r="E274" s="101" t="s">
        <v>46</v>
      </c>
      <c r="F274" s="127">
        <v>45859</v>
      </c>
    </row>
    <row r="275" spans="1:6" x14ac:dyDescent="0.25">
      <c r="A275" s="11">
        <v>102</v>
      </c>
      <c r="B275" s="42" t="s">
        <v>618</v>
      </c>
      <c r="C275" s="11" t="s">
        <v>6</v>
      </c>
      <c r="D275" s="11" t="s">
        <v>6</v>
      </c>
      <c r="E275" s="101" t="s">
        <v>154</v>
      </c>
      <c r="F275" s="127">
        <v>45866</v>
      </c>
    </row>
    <row r="276" spans="1:6" x14ac:dyDescent="0.25">
      <c r="A276" s="11">
        <v>103</v>
      </c>
      <c r="B276" s="21" t="s">
        <v>1725</v>
      </c>
      <c r="C276" s="23" t="s">
        <v>6</v>
      </c>
      <c r="D276" s="23" t="s">
        <v>6</v>
      </c>
      <c r="E276" s="107" t="s">
        <v>46</v>
      </c>
      <c r="F276" s="127">
        <v>46138</v>
      </c>
    </row>
    <row r="277" spans="1:6" x14ac:dyDescent="0.25">
      <c r="A277" s="11">
        <v>104</v>
      </c>
      <c r="B277" s="42" t="s">
        <v>609</v>
      </c>
      <c r="C277" s="11" t="s">
        <v>6</v>
      </c>
      <c r="D277" s="11" t="s">
        <v>6</v>
      </c>
      <c r="E277" s="101" t="s">
        <v>154</v>
      </c>
      <c r="F277" s="127">
        <v>45866</v>
      </c>
    </row>
    <row r="278" spans="1:6" x14ac:dyDescent="0.25">
      <c r="A278" s="11">
        <v>105</v>
      </c>
      <c r="B278" s="42" t="s">
        <v>527</v>
      </c>
      <c r="C278" s="11" t="s">
        <v>6</v>
      </c>
      <c r="D278" s="11" t="s">
        <v>6</v>
      </c>
      <c r="E278" s="101" t="s">
        <v>46</v>
      </c>
      <c r="F278" s="127">
        <v>45859</v>
      </c>
    </row>
    <row r="279" spans="1:6" x14ac:dyDescent="0.25">
      <c r="A279" s="11">
        <v>106</v>
      </c>
      <c r="B279" s="42" t="s">
        <v>528</v>
      </c>
      <c r="C279" s="11" t="s">
        <v>6</v>
      </c>
      <c r="D279" s="11" t="s">
        <v>6</v>
      </c>
      <c r="E279" s="101" t="s">
        <v>46</v>
      </c>
      <c r="F279" s="127">
        <v>45859</v>
      </c>
    </row>
    <row r="280" spans="1:6" x14ac:dyDescent="0.25">
      <c r="A280" s="11">
        <v>107</v>
      </c>
      <c r="B280" s="42" t="s">
        <v>530</v>
      </c>
      <c r="C280" s="11" t="s">
        <v>6</v>
      </c>
      <c r="D280" s="11" t="s">
        <v>6</v>
      </c>
      <c r="E280" s="101" t="s">
        <v>46</v>
      </c>
      <c r="F280" s="127">
        <v>45859</v>
      </c>
    </row>
    <row r="281" spans="1:6" x14ac:dyDescent="0.25">
      <c r="A281" s="11">
        <v>108</v>
      </c>
      <c r="B281" s="42" t="s">
        <v>542</v>
      </c>
      <c r="C281" s="11" t="s">
        <v>6</v>
      </c>
      <c r="D281" s="11" t="s">
        <v>6</v>
      </c>
      <c r="E281" s="101" t="s">
        <v>46</v>
      </c>
      <c r="F281" s="127">
        <v>45859</v>
      </c>
    </row>
    <row r="282" spans="1:6" x14ac:dyDescent="0.25">
      <c r="A282" s="11">
        <v>109</v>
      </c>
      <c r="B282" s="42" t="s">
        <v>151</v>
      </c>
      <c r="C282" s="11" t="s">
        <v>6</v>
      </c>
      <c r="D282" s="11" t="s">
        <v>6</v>
      </c>
      <c r="E282" s="101" t="s">
        <v>154</v>
      </c>
      <c r="F282" s="127">
        <v>45866</v>
      </c>
    </row>
    <row r="283" spans="1:6" x14ac:dyDescent="0.25">
      <c r="A283" s="11">
        <v>110</v>
      </c>
      <c r="B283" s="42" t="s">
        <v>550</v>
      </c>
      <c r="C283" s="11" t="s">
        <v>6</v>
      </c>
      <c r="D283" s="11" t="s">
        <v>6</v>
      </c>
      <c r="E283" s="101" t="s">
        <v>46</v>
      </c>
      <c r="F283" s="127">
        <v>45859</v>
      </c>
    </row>
    <row r="284" spans="1:6" x14ac:dyDescent="0.25">
      <c r="A284" s="11">
        <v>111</v>
      </c>
      <c r="B284" s="21" t="s">
        <v>1724</v>
      </c>
      <c r="C284" s="23" t="s">
        <v>6</v>
      </c>
      <c r="D284" s="23" t="s">
        <v>6</v>
      </c>
      <c r="E284" s="104" t="s">
        <v>46</v>
      </c>
      <c r="F284" s="127">
        <v>46138</v>
      </c>
    </row>
    <row r="285" spans="1:6" x14ac:dyDescent="0.25">
      <c r="A285" s="11">
        <v>112</v>
      </c>
      <c r="B285" s="42" t="s">
        <v>558</v>
      </c>
      <c r="C285" s="11" t="s">
        <v>6</v>
      </c>
      <c r="D285" s="11" t="s">
        <v>6</v>
      </c>
      <c r="E285" s="101" t="s">
        <v>46</v>
      </c>
      <c r="F285" s="127">
        <v>45859</v>
      </c>
    </row>
    <row r="286" spans="1:6" x14ac:dyDescent="0.25">
      <c r="A286" s="11">
        <v>113</v>
      </c>
      <c r="B286" s="42" t="s">
        <v>566</v>
      </c>
      <c r="C286" s="11" t="s">
        <v>6</v>
      </c>
      <c r="D286" s="11" t="s">
        <v>6</v>
      </c>
      <c r="E286" s="101" t="s">
        <v>40</v>
      </c>
      <c r="F286" s="127">
        <v>45859</v>
      </c>
    </row>
    <row r="287" spans="1:6" x14ac:dyDescent="0.25">
      <c r="A287" s="11">
        <v>114</v>
      </c>
      <c r="B287" s="42" t="s">
        <v>565</v>
      </c>
      <c r="C287" s="11" t="s">
        <v>6</v>
      </c>
      <c r="D287" s="11" t="s">
        <v>6</v>
      </c>
      <c r="E287" s="101" t="s">
        <v>40</v>
      </c>
      <c r="F287" s="127">
        <v>45859</v>
      </c>
    </row>
    <row r="288" spans="1:6" x14ac:dyDescent="0.25">
      <c r="A288" s="11">
        <v>115</v>
      </c>
      <c r="B288" s="42" t="s">
        <v>559</v>
      </c>
      <c r="C288" s="11" t="s">
        <v>6</v>
      </c>
      <c r="D288" s="11" t="s">
        <v>6</v>
      </c>
      <c r="E288" s="101" t="s">
        <v>46</v>
      </c>
      <c r="F288" s="127">
        <v>45859</v>
      </c>
    </row>
    <row r="289" spans="1:6" x14ac:dyDescent="0.25">
      <c r="A289" s="11">
        <v>116</v>
      </c>
      <c r="B289" s="42" t="s">
        <v>617</v>
      </c>
      <c r="C289" s="11" t="s">
        <v>6</v>
      </c>
      <c r="D289" s="11" t="s">
        <v>6</v>
      </c>
      <c r="E289" s="101" t="s">
        <v>154</v>
      </c>
      <c r="F289" s="127">
        <v>45866</v>
      </c>
    </row>
    <row r="290" spans="1:6" x14ac:dyDescent="0.25">
      <c r="A290" s="11">
        <v>117</v>
      </c>
      <c r="B290" s="42" t="s">
        <v>583</v>
      </c>
      <c r="C290" s="11" t="s">
        <v>6</v>
      </c>
      <c r="D290" s="11" t="s">
        <v>6</v>
      </c>
      <c r="E290" s="101" t="s">
        <v>46</v>
      </c>
      <c r="F290" s="127">
        <v>45866</v>
      </c>
    </row>
    <row r="291" spans="1:6" x14ac:dyDescent="0.25">
      <c r="A291" s="11">
        <v>118</v>
      </c>
      <c r="B291" s="42" t="s">
        <v>582</v>
      </c>
      <c r="C291" s="11" t="s">
        <v>6</v>
      </c>
      <c r="D291" s="11" t="s">
        <v>6</v>
      </c>
      <c r="E291" s="101" t="s">
        <v>46</v>
      </c>
      <c r="F291" s="127">
        <v>45866</v>
      </c>
    </row>
    <row r="292" spans="1:6" x14ac:dyDescent="0.25">
      <c r="A292" s="11">
        <v>119</v>
      </c>
      <c r="B292" s="42" t="s">
        <v>587</v>
      </c>
      <c r="C292" s="11" t="s">
        <v>6</v>
      </c>
      <c r="D292" s="11" t="s">
        <v>6</v>
      </c>
      <c r="E292" s="101" t="s">
        <v>46</v>
      </c>
      <c r="F292" s="127">
        <v>45866</v>
      </c>
    </row>
    <row r="293" spans="1:6" x14ac:dyDescent="0.25">
      <c r="A293" s="11">
        <v>120</v>
      </c>
      <c r="B293" s="42" t="s">
        <v>589</v>
      </c>
      <c r="C293" s="11" t="s">
        <v>6</v>
      </c>
      <c r="D293" s="11" t="s">
        <v>6</v>
      </c>
      <c r="E293" s="101" t="s">
        <v>154</v>
      </c>
      <c r="F293" s="127">
        <v>45866</v>
      </c>
    </row>
    <row r="294" spans="1:6" x14ac:dyDescent="0.25">
      <c r="A294" s="11">
        <v>121</v>
      </c>
      <c r="B294" s="42" t="s">
        <v>605</v>
      </c>
      <c r="C294" s="11" t="s">
        <v>6</v>
      </c>
      <c r="D294" s="11" t="s">
        <v>6</v>
      </c>
      <c r="E294" s="101" t="s">
        <v>46</v>
      </c>
      <c r="F294" s="127">
        <v>45866</v>
      </c>
    </row>
    <row r="295" spans="1:6" x14ac:dyDescent="0.25">
      <c r="A295" s="11">
        <v>122</v>
      </c>
      <c r="B295" s="42" t="s">
        <v>607</v>
      </c>
      <c r="C295" s="11" t="s">
        <v>6</v>
      </c>
      <c r="D295" s="11" t="s">
        <v>6</v>
      </c>
      <c r="E295" s="101" t="s">
        <v>154</v>
      </c>
      <c r="F295" s="127">
        <v>45866</v>
      </c>
    </row>
    <row r="296" spans="1:6" x14ac:dyDescent="0.25">
      <c r="A296" s="11">
        <v>123</v>
      </c>
      <c r="B296" s="42" t="s">
        <v>608</v>
      </c>
      <c r="C296" s="11" t="s">
        <v>6</v>
      </c>
      <c r="D296" s="11" t="s">
        <v>6</v>
      </c>
      <c r="E296" s="101" t="s">
        <v>154</v>
      </c>
      <c r="F296" s="127">
        <v>45866</v>
      </c>
    </row>
    <row r="297" spans="1:6" x14ac:dyDescent="0.25">
      <c r="A297" s="11">
        <v>124</v>
      </c>
      <c r="B297" s="42" t="s">
        <v>610</v>
      </c>
      <c r="C297" s="11" t="s">
        <v>6</v>
      </c>
      <c r="D297" s="11" t="s">
        <v>6</v>
      </c>
      <c r="E297" s="101" t="s">
        <v>154</v>
      </c>
      <c r="F297" s="127">
        <v>45866</v>
      </c>
    </row>
    <row r="298" spans="1:6" x14ac:dyDescent="0.25">
      <c r="A298" s="11">
        <v>125</v>
      </c>
      <c r="B298" s="42" t="s">
        <v>612</v>
      </c>
      <c r="C298" s="11" t="s">
        <v>6</v>
      </c>
      <c r="D298" s="11" t="s">
        <v>6</v>
      </c>
      <c r="E298" s="101" t="s">
        <v>46</v>
      </c>
      <c r="F298" s="127">
        <v>45866</v>
      </c>
    </row>
    <row r="299" spans="1:6" x14ac:dyDescent="0.25">
      <c r="A299" s="11">
        <v>126</v>
      </c>
      <c r="B299" s="42" t="s">
        <v>613</v>
      </c>
      <c r="C299" s="11" t="s">
        <v>6</v>
      </c>
      <c r="D299" s="11" t="s">
        <v>6</v>
      </c>
      <c r="E299" s="101" t="s">
        <v>46</v>
      </c>
      <c r="F299" s="127">
        <v>45866</v>
      </c>
    </row>
    <row r="300" spans="1:6" x14ac:dyDescent="0.25">
      <c r="A300" s="11">
        <v>127</v>
      </c>
      <c r="B300" s="42" t="s">
        <v>619</v>
      </c>
      <c r="C300" s="11" t="s">
        <v>6</v>
      </c>
      <c r="D300" s="11" t="s">
        <v>6</v>
      </c>
      <c r="E300" s="101" t="s">
        <v>46</v>
      </c>
      <c r="F300" s="127">
        <v>45866</v>
      </c>
    </row>
    <row r="301" spans="1:6" x14ac:dyDescent="0.25">
      <c r="A301" s="11">
        <v>128</v>
      </c>
      <c r="B301" s="8" t="s">
        <v>634</v>
      </c>
      <c r="C301" s="11" t="s">
        <v>6</v>
      </c>
      <c r="D301" s="11" t="s">
        <v>6</v>
      </c>
      <c r="E301" s="104" t="s">
        <v>40</v>
      </c>
      <c r="F301" s="127">
        <v>45886</v>
      </c>
    </row>
    <row r="302" spans="1:6" x14ac:dyDescent="0.25">
      <c r="A302" s="11">
        <v>129</v>
      </c>
      <c r="B302" s="8" t="s">
        <v>129</v>
      </c>
      <c r="C302" s="11" t="s">
        <v>6</v>
      </c>
      <c r="D302" s="11" t="s">
        <v>6</v>
      </c>
      <c r="E302" s="103" t="s">
        <v>40</v>
      </c>
      <c r="F302" s="127">
        <v>45886</v>
      </c>
    </row>
    <row r="303" spans="1:6" x14ac:dyDescent="0.25">
      <c r="A303" s="11">
        <v>130</v>
      </c>
      <c r="B303" s="8" t="s">
        <v>606</v>
      </c>
      <c r="C303" s="11" t="s">
        <v>6</v>
      </c>
      <c r="D303" s="11" t="s">
        <v>6</v>
      </c>
      <c r="E303" s="103" t="s">
        <v>359</v>
      </c>
      <c r="F303" s="127">
        <v>45886</v>
      </c>
    </row>
    <row r="304" spans="1:6" x14ac:dyDescent="0.25">
      <c r="A304" s="11">
        <v>131</v>
      </c>
      <c r="B304" s="8" t="s">
        <v>677</v>
      </c>
      <c r="C304" s="11" t="s">
        <v>6</v>
      </c>
      <c r="D304" s="11" t="s">
        <v>6</v>
      </c>
      <c r="E304" s="103" t="s">
        <v>154</v>
      </c>
      <c r="F304" s="127">
        <v>45886</v>
      </c>
    </row>
    <row r="305" spans="1:6" x14ac:dyDescent="0.25">
      <c r="A305" s="11">
        <v>132</v>
      </c>
      <c r="B305" s="21" t="s">
        <v>327</v>
      </c>
      <c r="C305" s="11" t="s">
        <v>6</v>
      </c>
      <c r="D305" s="11" t="s">
        <v>6</v>
      </c>
      <c r="E305" s="101" t="s">
        <v>46</v>
      </c>
      <c r="F305" s="127">
        <v>45886</v>
      </c>
    </row>
    <row r="306" spans="1:6" x14ac:dyDescent="0.25">
      <c r="A306" s="11">
        <v>133</v>
      </c>
      <c r="B306" s="21" t="s">
        <v>404</v>
      </c>
      <c r="C306" s="11" t="s">
        <v>6</v>
      </c>
      <c r="D306" s="11" t="s">
        <v>6</v>
      </c>
      <c r="E306" s="101" t="s">
        <v>46</v>
      </c>
      <c r="F306" s="127">
        <v>45886</v>
      </c>
    </row>
    <row r="307" spans="1:6" x14ac:dyDescent="0.25">
      <c r="A307" s="11">
        <v>134</v>
      </c>
      <c r="B307" s="42" t="s">
        <v>546</v>
      </c>
      <c r="C307" s="11" t="s">
        <v>6</v>
      </c>
      <c r="D307" s="11" t="s">
        <v>6</v>
      </c>
      <c r="E307" s="101" t="s">
        <v>46</v>
      </c>
      <c r="F307" s="127">
        <v>45886</v>
      </c>
    </row>
    <row r="308" spans="1:6" x14ac:dyDescent="0.25">
      <c r="A308" s="11">
        <v>135</v>
      </c>
      <c r="B308" s="42" t="s">
        <v>509</v>
      </c>
      <c r="C308" s="11" t="s">
        <v>6</v>
      </c>
      <c r="D308" s="11" t="s">
        <v>6</v>
      </c>
      <c r="E308" s="101" t="s">
        <v>46</v>
      </c>
      <c r="F308" s="127">
        <v>45886</v>
      </c>
    </row>
    <row r="309" spans="1:6" x14ac:dyDescent="0.25">
      <c r="A309" s="11">
        <v>136</v>
      </c>
      <c r="B309" s="42" t="s">
        <v>513</v>
      </c>
      <c r="C309" s="11" t="s">
        <v>6</v>
      </c>
      <c r="D309" s="11" t="s">
        <v>6</v>
      </c>
      <c r="E309" s="101" t="s">
        <v>46</v>
      </c>
      <c r="F309" s="127">
        <v>45886</v>
      </c>
    </row>
    <row r="310" spans="1:6" x14ac:dyDescent="0.25">
      <c r="A310" s="11">
        <v>137</v>
      </c>
      <c r="B310" s="42" t="s">
        <v>529</v>
      </c>
      <c r="C310" s="11" t="s">
        <v>6</v>
      </c>
      <c r="D310" s="11" t="s">
        <v>6</v>
      </c>
      <c r="E310" s="101" t="s">
        <v>154</v>
      </c>
      <c r="F310" s="127">
        <v>45886</v>
      </c>
    </row>
    <row r="311" spans="1:6" x14ac:dyDescent="0.25">
      <c r="A311" s="11">
        <v>138</v>
      </c>
      <c r="B311" s="42" t="s">
        <v>540</v>
      </c>
      <c r="C311" s="11" t="s">
        <v>6</v>
      </c>
      <c r="D311" s="11" t="s">
        <v>6</v>
      </c>
      <c r="E311" s="101" t="s">
        <v>46</v>
      </c>
      <c r="F311" s="127">
        <v>45886</v>
      </c>
    </row>
    <row r="312" spans="1:6" x14ac:dyDescent="0.25">
      <c r="A312" s="11">
        <v>139</v>
      </c>
      <c r="B312" s="42" t="s">
        <v>323</v>
      </c>
      <c r="C312" s="11" t="s">
        <v>6</v>
      </c>
      <c r="D312" s="11" t="s">
        <v>6</v>
      </c>
      <c r="E312" s="101" t="s">
        <v>46</v>
      </c>
      <c r="F312" s="127">
        <v>45886</v>
      </c>
    </row>
    <row r="313" spans="1:6" x14ac:dyDescent="0.25">
      <c r="A313" s="11">
        <v>140</v>
      </c>
      <c r="B313" s="42" t="s">
        <v>547</v>
      </c>
      <c r="C313" s="11" t="s">
        <v>6</v>
      </c>
      <c r="D313" s="11" t="s">
        <v>6</v>
      </c>
      <c r="E313" s="101" t="s">
        <v>46</v>
      </c>
      <c r="F313" s="127">
        <v>45886</v>
      </c>
    </row>
    <row r="314" spans="1:6" x14ac:dyDescent="0.25">
      <c r="A314" s="11">
        <v>141</v>
      </c>
      <c r="B314" s="42" t="s">
        <v>549</v>
      </c>
      <c r="C314" s="11" t="s">
        <v>6</v>
      </c>
      <c r="D314" s="11" t="s">
        <v>6</v>
      </c>
      <c r="E314" s="101" t="s">
        <v>46</v>
      </c>
      <c r="F314" s="127">
        <v>45886</v>
      </c>
    </row>
    <row r="315" spans="1:6" x14ac:dyDescent="0.25">
      <c r="A315" s="11">
        <v>142</v>
      </c>
      <c r="B315" s="42" t="s">
        <v>223</v>
      </c>
      <c r="C315" s="11" t="s">
        <v>6</v>
      </c>
      <c r="D315" s="11" t="s">
        <v>6</v>
      </c>
      <c r="E315" s="101" t="s">
        <v>40</v>
      </c>
      <c r="F315" s="127">
        <v>45886</v>
      </c>
    </row>
    <row r="316" spans="1:6" x14ac:dyDescent="0.25">
      <c r="A316" s="11">
        <v>143</v>
      </c>
      <c r="B316" s="42" t="s">
        <v>567</v>
      </c>
      <c r="C316" s="11" t="s">
        <v>6</v>
      </c>
      <c r="D316" s="11" t="s">
        <v>6</v>
      </c>
      <c r="E316" s="101" t="s">
        <v>46</v>
      </c>
      <c r="F316" s="127">
        <v>45886</v>
      </c>
    </row>
    <row r="317" spans="1:6" x14ac:dyDescent="0.25">
      <c r="A317" s="11">
        <v>144</v>
      </c>
      <c r="B317" s="42" t="s">
        <v>663</v>
      </c>
      <c r="C317" s="11" t="s">
        <v>6</v>
      </c>
      <c r="D317" s="11" t="s">
        <v>6</v>
      </c>
      <c r="E317" s="101" t="s">
        <v>46</v>
      </c>
      <c r="F317" s="127">
        <v>45886</v>
      </c>
    </row>
    <row r="318" spans="1:6" x14ac:dyDescent="0.25">
      <c r="A318" s="11">
        <v>145</v>
      </c>
      <c r="B318" s="42" t="s">
        <v>611</v>
      </c>
      <c r="C318" s="11" t="s">
        <v>6</v>
      </c>
      <c r="D318" s="11" t="s">
        <v>6</v>
      </c>
      <c r="E318" s="101" t="s">
        <v>46</v>
      </c>
      <c r="F318" s="127">
        <v>45886</v>
      </c>
    </row>
    <row r="319" spans="1:6" x14ac:dyDescent="0.25">
      <c r="A319" s="11">
        <v>146</v>
      </c>
      <c r="B319" s="42" t="s">
        <v>614</v>
      </c>
      <c r="C319" s="11" t="s">
        <v>6</v>
      </c>
      <c r="D319" s="11" t="s">
        <v>6</v>
      </c>
      <c r="E319" s="101" t="s">
        <v>154</v>
      </c>
      <c r="F319" s="127">
        <v>45886</v>
      </c>
    </row>
    <row r="320" spans="1:6" x14ac:dyDescent="0.25">
      <c r="A320" s="11">
        <v>147</v>
      </c>
      <c r="B320" s="42" t="s">
        <v>365</v>
      </c>
      <c r="C320" s="11" t="s">
        <v>6</v>
      </c>
      <c r="D320" s="11" t="s">
        <v>6</v>
      </c>
      <c r="E320" s="101" t="s">
        <v>46</v>
      </c>
      <c r="F320" s="127">
        <v>45886</v>
      </c>
    </row>
    <row r="321" spans="1:6" x14ac:dyDescent="0.25">
      <c r="A321" s="11">
        <v>148</v>
      </c>
      <c r="B321" s="42" t="s">
        <v>625</v>
      </c>
      <c r="C321" s="11" t="s">
        <v>6</v>
      </c>
      <c r="D321" s="11" t="s">
        <v>6</v>
      </c>
      <c r="E321" s="101" t="s">
        <v>46</v>
      </c>
      <c r="F321" s="127">
        <v>45886</v>
      </c>
    </row>
    <row r="322" spans="1:6" x14ac:dyDescent="0.25">
      <c r="A322" s="11">
        <v>149</v>
      </c>
      <c r="B322" s="42" t="s">
        <v>626</v>
      </c>
      <c r="C322" s="11" t="s">
        <v>6</v>
      </c>
      <c r="D322" s="11" t="s">
        <v>6</v>
      </c>
      <c r="E322" s="101" t="s">
        <v>46</v>
      </c>
      <c r="F322" s="127">
        <v>45886</v>
      </c>
    </row>
    <row r="323" spans="1:6" x14ac:dyDescent="0.25">
      <c r="A323" s="11">
        <v>150</v>
      </c>
      <c r="B323" s="42" t="s">
        <v>627</v>
      </c>
      <c r="C323" s="11" t="s">
        <v>6</v>
      </c>
      <c r="D323" s="11" t="s">
        <v>6</v>
      </c>
      <c r="E323" s="101" t="s">
        <v>46</v>
      </c>
      <c r="F323" s="127">
        <v>45886</v>
      </c>
    </row>
    <row r="324" spans="1:6" x14ac:dyDescent="0.25">
      <c r="A324" s="11">
        <v>151</v>
      </c>
      <c r="B324" s="42" t="s">
        <v>629</v>
      </c>
      <c r="C324" s="11" t="s">
        <v>6</v>
      </c>
      <c r="D324" s="11" t="s">
        <v>6</v>
      </c>
      <c r="E324" s="101" t="s">
        <v>154</v>
      </c>
      <c r="F324" s="127">
        <v>45886</v>
      </c>
    </row>
    <row r="325" spans="1:6" x14ac:dyDescent="0.25">
      <c r="A325" s="11">
        <v>152</v>
      </c>
      <c r="B325" s="42" t="s">
        <v>631</v>
      </c>
      <c r="C325" s="11" t="s">
        <v>6</v>
      </c>
      <c r="D325" s="11" t="s">
        <v>6</v>
      </c>
      <c r="E325" s="101" t="s">
        <v>46</v>
      </c>
      <c r="F325" s="127">
        <v>45886</v>
      </c>
    </row>
    <row r="326" spans="1:6" x14ac:dyDescent="0.25">
      <c r="A326" s="11">
        <v>153</v>
      </c>
      <c r="B326" s="42" t="s">
        <v>632</v>
      </c>
      <c r="C326" s="11" t="s">
        <v>6</v>
      </c>
      <c r="D326" s="11" t="s">
        <v>6</v>
      </c>
      <c r="E326" s="101" t="s">
        <v>46</v>
      </c>
      <c r="F326" s="127">
        <v>45886</v>
      </c>
    </row>
    <row r="327" spans="1:6" x14ac:dyDescent="0.25">
      <c r="A327" s="11">
        <v>154</v>
      </c>
      <c r="B327" s="42" t="s">
        <v>633</v>
      </c>
      <c r="C327" s="11" t="s">
        <v>6</v>
      </c>
      <c r="D327" s="11" t="s">
        <v>6</v>
      </c>
      <c r="E327" s="101" t="s">
        <v>46</v>
      </c>
      <c r="F327" s="127">
        <v>45886</v>
      </c>
    </row>
    <row r="328" spans="1:6" x14ac:dyDescent="0.25">
      <c r="A328" s="11">
        <v>155</v>
      </c>
      <c r="B328" s="8" t="s">
        <v>62</v>
      </c>
      <c r="C328" s="11" t="s">
        <v>6</v>
      </c>
      <c r="D328" s="11" t="s">
        <v>6</v>
      </c>
      <c r="E328" s="104" t="s">
        <v>40</v>
      </c>
      <c r="F328" s="127">
        <v>46023</v>
      </c>
    </row>
    <row r="329" spans="1:6" x14ac:dyDescent="0.25">
      <c r="A329" s="11">
        <v>156</v>
      </c>
      <c r="B329" s="42" t="s">
        <v>636</v>
      </c>
      <c r="C329" s="11" t="s">
        <v>6</v>
      </c>
      <c r="D329" s="11" t="s">
        <v>6</v>
      </c>
      <c r="E329" s="101" t="s">
        <v>46</v>
      </c>
      <c r="F329" s="127">
        <v>45886</v>
      </c>
    </row>
    <row r="330" spans="1:6" x14ac:dyDescent="0.25">
      <c r="A330" s="11">
        <v>157</v>
      </c>
      <c r="B330" s="42" t="s">
        <v>644</v>
      </c>
      <c r="C330" s="11" t="s">
        <v>6</v>
      </c>
      <c r="D330" s="11" t="s">
        <v>6</v>
      </c>
      <c r="E330" s="101" t="s">
        <v>46</v>
      </c>
      <c r="F330" s="127">
        <v>45886</v>
      </c>
    </row>
    <row r="331" spans="1:6" x14ac:dyDescent="0.25">
      <c r="A331" s="11">
        <v>158</v>
      </c>
      <c r="B331" s="42" t="s">
        <v>651</v>
      </c>
      <c r="C331" s="11" t="s">
        <v>6</v>
      </c>
      <c r="D331" s="11" t="s">
        <v>6</v>
      </c>
      <c r="E331" s="101" t="s">
        <v>46</v>
      </c>
      <c r="F331" s="127">
        <v>45886</v>
      </c>
    </row>
    <row r="332" spans="1:6" x14ac:dyDescent="0.25">
      <c r="A332" s="11">
        <v>159</v>
      </c>
      <c r="B332" s="42" t="s">
        <v>653</v>
      </c>
      <c r="C332" s="11" t="s">
        <v>6</v>
      </c>
      <c r="D332" s="11" t="s">
        <v>6</v>
      </c>
      <c r="E332" s="101" t="s">
        <v>46</v>
      </c>
      <c r="F332" s="127">
        <v>45886</v>
      </c>
    </row>
    <row r="333" spans="1:6" x14ac:dyDescent="0.25">
      <c r="A333" s="11">
        <v>160</v>
      </c>
      <c r="B333" s="42" t="s">
        <v>662</v>
      </c>
      <c r="C333" s="11" t="s">
        <v>6</v>
      </c>
      <c r="D333" s="11" t="s">
        <v>6</v>
      </c>
      <c r="E333" s="101" t="s">
        <v>46</v>
      </c>
      <c r="F333" s="127">
        <v>45886</v>
      </c>
    </row>
    <row r="334" spans="1:6" x14ac:dyDescent="0.25">
      <c r="A334" s="11">
        <v>161</v>
      </c>
      <c r="B334" s="42" t="s">
        <v>674</v>
      </c>
      <c r="C334" s="11" t="s">
        <v>6</v>
      </c>
      <c r="D334" s="11" t="s">
        <v>6</v>
      </c>
      <c r="E334" s="101" t="s">
        <v>46</v>
      </c>
      <c r="F334" s="127">
        <v>45886</v>
      </c>
    </row>
    <row r="335" spans="1:6" x14ac:dyDescent="0.25">
      <c r="A335" s="11">
        <v>162</v>
      </c>
      <c r="B335" s="42" t="s">
        <v>675</v>
      </c>
      <c r="C335" s="11" t="s">
        <v>6</v>
      </c>
      <c r="D335" s="11" t="s">
        <v>6</v>
      </c>
      <c r="E335" s="101" t="s">
        <v>46</v>
      </c>
      <c r="F335" s="127">
        <v>45886</v>
      </c>
    </row>
    <row r="336" spans="1:6" x14ac:dyDescent="0.25">
      <c r="A336" s="11">
        <v>163</v>
      </c>
      <c r="B336" s="42" t="s">
        <v>676</v>
      </c>
      <c r="C336" s="11" t="s">
        <v>6</v>
      </c>
      <c r="D336" s="11" t="s">
        <v>6</v>
      </c>
      <c r="E336" s="101" t="s">
        <v>46</v>
      </c>
      <c r="F336" s="127">
        <v>45886</v>
      </c>
    </row>
    <row r="337" spans="1:6" x14ac:dyDescent="0.25">
      <c r="A337" s="11">
        <v>164</v>
      </c>
      <c r="B337" s="42" t="s">
        <v>679</v>
      </c>
      <c r="C337" s="11" t="s">
        <v>6</v>
      </c>
      <c r="D337" s="11" t="s">
        <v>6</v>
      </c>
      <c r="E337" s="101" t="s">
        <v>46</v>
      </c>
      <c r="F337" s="127">
        <v>45886</v>
      </c>
    </row>
    <row r="338" spans="1:6" x14ac:dyDescent="0.25">
      <c r="A338" s="11">
        <v>165</v>
      </c>
      <c r="B338" s="42" t="s">
        <v>322</v>
      </c>
      <c r="C338" s="11" t="s">
        <v>6</v>
      </c>
      <c r="D338" s="11" t="s">
        <v>6</v>
      </c>
      <c r="E338" s="101" t="s">
        <v>46</v>
      </c>
      <c r="F338" s="127">
        <v>45886</v>
      </c>
    </row>
    <row r="339" spans="1:6" x14ac:dyDescent="0.25">
      <c r="A339" s="11">
        <v>166</v>
      </c>
      <c r="B339" s="42" t="s">
        <v>686</v>
      </c>
      <c r="C339" s="11" t="s">
        <v>6</v>
      </c>
      <c r="D339" s="11" t="s">
        <v>6</v>
      </c>
      <c r="E339" s="101" t="s">
        <v>46</v>
      </c>
      <c r="F339" s="127">
        <v>45886</v>
      </c>
    </row>
    <row r="340" spans="1:6" x14ac:dyDescent="0.25">
      <c r="A340" s="11">
        <v>167</v>
      </c>
      <c r="B340" s="42" t="s">
        <v>687</v>
      </c>
      <c r="C340" s="11" t="s">
        <v>6</v>
      </c>
      <c r="D340" s="11" t="s">
        <v>6</v>
      </c>
      <c r="E340" s="101" t="s">
        <v>46</v>
      </c>
      <c r="F340" s="127">
        <v>45886</v>
      </c>
    </row>
    <row r="341" spans="1:6" x14ac:dyDescent="0.25">
      <c r="A341" s="11">
        <v>168</v>
      </c>
      <c r="B341" s="42" t="s">
        <v>688</v>
      </c>
      <c r="C341" s="11" t="s">
        <v>6</v>
      </c>
      <c r="D341" s="11" t="s">
        <v>6</v>
      </c>
      <c r="E341" s="101" t="s">
        <v>46</v>
      </c>
      <c r="F341" s="127">
        <v>45886</v>
      </c>
    </row>
    <row r="342" spans="1:6" x14ac:dyDescent="0.25">
      <c r="A342" s="11">
        <v>169</v>
      </c>
      <c r="B342" s="42" t="s">
        <v>691</v>
      </c>
      <c r="C342" s="11" t="s">
        <v>6</v>
      </c>
      <c r="D342" s="11" t="s">
        <v>6</v>
      </c>
      <c r="E342" s="101" t="s">
        <v>154</v>
      </c>
      <c r="F342" s="127">
        <v>45886</v>
      </c>
    </row>
    <row r="343" spans="1:6" x14ac:dyDescent="0.25">
      <c r="A343" s="11">
        <v>170</v>
      </c>
      <c r="B343" s="42" t="s">
        <v>694</v>
      </c>
      <c r="C343" s="11" t="s">
        <v>6</v>
      </c>
      <c r="D343" s="11" t="s">
        <v>6</v>
      </c>
      <c r="E343" s="101" t="s">
        <v>46</v>
      </c>
      <c r="F343" s="127">
        <v>45886</v>
      </c>
    </row>
    <row r="344" spans="1:6" x14ac:dyDescent="0.25">
      <c r="A344" s="11">
        <v>171</v>
      </c>
      <c r="B344" s="42" t="s">
        <v>695</v>
      </c>
      <c r="C344" s="11" t="s">
        <v>6</v>
      </c>
      <c r="D344" s="11" t="s">
        <v>6</v>
      </c>
      <c r="E344" s="101" t="s">
        <v>154</v>
      </c>
      <c r="F344" s="127">
        <v>45886</v>
      </c>
    </row>
    <row r="345" spans="1:6" x14ac:dyDescent="0.25">
      <c r="A345" s="11">
        <v>172</v>
      </c>
      <c r="B345" s="42" t="s">
        <v>696</v>
      </c>
      <c r="C345" s="11" t="s">
        <v>6</v>
      </c>
      <c r="D345" s="11" t="s">
        <v>6</v>
      </c>
      <c r="E345" s="101" t="s">
        <v>154</v>
      </c>
      <c r="F345" s="127">
        <v>45886</v>
      </c>
    </row>
    <row r="346" spans="1:6" x14ac:dyDescent="0.25">
      <c r="A346" s="11">
        <v>173</v>
      </c>
      <c r="B346" s="42" t="s">
        <v>697</v>
      </c>
      <c r="C346" s="11" t="s">
        <v>6</v>
      </c>
      <c r="D346" s="11" t="s">
        <v>6</v>
      </c>
      <c r="E346" s="101" t="s">
        <v>46</v>
      </c>
      <c r="F346" s="127">
        <v>45886</v>
      </c>
    </row>
    <row r="347" spans="1:6" x14ac:dyDescent="0.25">
      <c r="A347" s="11">
        <v>174</v>
      </c>
      <c r="B347" s="8" t="s">
        <v>344</v>
      </c>
      <c r="C347" s="11" t="s">
        <v>6</v>
      </c>
      <c r="D347" s="11" t="s">
        <v>6</v>
      </c>
      <c r="E347" s="104" t="s">
        <v>40</v>
      </c>
      <c r="F347" s="127">
        <v>45894</v>
      </c>
    </row>
    <row r="348" spans="1:6" x14ac:dyDescent="0.25">
      <c r="A348" s="11">
        <v>175</v>
      </c>
      <c r="B348" s="8" t="s">
        <v>467</v>
      </c>
      <c r="C348" s="11" t="s">
        <v>6</v>
      </c>
      <c r="D348" s="11" t="s">
        <v>6</v>
      </c>
      <c r="E348" s="104" t="s">
        <v>40</v>
      </c>
      <c r="F348" s="127">
        <v>45894</v>
      </c>
    </row>
    <row r="349" spans="1:6" x14ac:dyDescent="0.25">
      <c r="A349" s="11">
        <v>176</v>
      </c>
      <c r="B349" s="8" t="s">
        <v>108</v>
      </c>
      <c r="C349" s="11" t="s">
        <v>6</v>
      </c>
      <c r="D349" s="11" t="s">
        <v>6</v>
      </c>
      <c r="E349" s="104" t="s">
        <v>40</v>
      </c>
      <c r="F349" s="127">
        <v>45894</v>
      </c>
    </row>
    <row r="350" spans="1:6" x14ac:dyDescent="0.25">
      <c r="A350" s="11">
        <v>177</v>
      </c>
      <c r="B350" s="8" t="s">
        <v>109</v>
      </c>
      <c r="C350" s="11" t="s">
        <v>6</v>
      </c>
      <c r="D350" s="11" t="s">
        <v>6</v>
      </c>
      <c r="E350" s="104" t="s">
        <v>40</v>
      </c>
      <c r="F350" s="127">
        <v>45894</v>
      </c>
    </row>
    <row r="351" spans="1:6" x14ac:dyDescent="0.25">
      <c r="A351" s="11">
        <v>178</v>
      </c>
      <c r="B351" s="8" t="s">
        <v>112</v>
      </c>
      <c r="C351" s="11" t="s">
        <v>6</v>
      </c>
      <c r="D351" s="11" t="s">
        <v>6</v>
      </c>
      <c r="E351" s="104" t="s">
        <v>46</v>
      </c>
      <c r="F351" s="127">
        <v>45894</v>
      </c>
    </row>
    <row r="352" spans="1:6" x14ac:dyDescent="0.25">
      <c r="A352" s="11">
        <v>179</v>
      </c>
      <c r="B352" s="42" t="s">
        <v>678</v>
      </c>
      <c r="C352" s="11" t="s">
        <v>6</v>
      </c>
      <c r="D352" s="11" t="s">
        <v>6</v>
      </c>
      <c r="E352" s="101" t="s">
        <v>46</v>
      </c>
      <c r="F352" s="127">
        <v>45894</v>
      </c>
    </row>
    <row r="353" spans="1:6" x14ac:dyDescent="0.25">
      <c r="A353" s="11">
        <v>180</v>
      </c>
      <c r="B353" s="42" t="s">
        <v>690</v>
      </c>
      <c r="C353" s="11" t="s">
        <v>6</v>
      </c>
      <c r="D353" s="11" t="s">
        <v>6</v>
      </c>
      <c r="E353" s="101" t="s">
        <v>46</v>
      </c>
      <c r="F353" s="127">
        <v>45894</v>
      </c>
    </row>
    <row r="354" spans="1:6" x14ac:dyDescent="0.25">
      <c r="A354" s="11">
        <v>181</v>
      </c>
      <c r="B354" s="42" t="s">
        <v>710</v>
      </c>
      <c r="C354" s="11" t="s">
        <v>6</v>
      </c>
      <c r="D354" s="11" t="s">
        <v>6</v>
      </c>
      <c r="E354" s="101" t="s">
        <v>46</v>
      </c>
      <c r="F354" s="127">
        <v>45894</v>
      </c>
    </row>
    <row r="355" spans="1:6" x14ac:dyDescent="0.25">
      <c r="A355" s="11">
        <v>182</v>
      </c>
      <c r="B355" s="42" t="s">
        <v>721</v>
      </c>
      <c r="C355" s="11" t="s">
        <v>6</v>
      </c>
      <c r="D355" s="11" t="s">
        <v>6</v>
      </c>
      <c r="E355" s="101" t="s">
        <v>46</v>
      </c>
      <c r="F355" s="127">
        <v>45894</v>
      </c>
    </row>
    <row r="356" spans="1:6" x14ac:dyDescent="0.25">
      <c r="A356" s="11">
        <v>183</v>
      </c>
      <c r="B356" s="42" t="s">
        <v>768</v>
      </c>
      <c r="C356" s="11" t="s">
        <v>6</v>
      </c>
      <c r="D356" s="11" t="s">
        <v>6</v>
      </c>
      <c r="E356" s="101" t="s">
        <v>46</v>
      </c>
      <c r="F356" s="127">
        <v>45894</v>
      </c>
    </row>
    <row r="357" spans="1:6" x14ac:dyDescent="0.25">
      <c r="A357" s="11">
        <v>184</v>
      </c>
      <c r="B357" s="42" t="s">
        <v>722</v>
      </c>
      <c r="C357" s="11" t="s">
        <v>6</v>
      </c>
      <c r="D357" s="11" t="s">
        <v>6</v>
      </c>
      <c r="E357" s="101" t="s">
        <v>46</v>
      </c>
      <c r="F357" s="127">
        <v>45894</v>
      </c>
    </row>
    <row r="358" spans="1:6" x14ac:dyDescent="0.25">
      <c r="A358" s="11">
        <v>185</v>
      </c>
      <c r="B358" s="42" t="s">
        <v>725</v>
      </c>
      <c r="C358" s="11" t="s">
        <v>6</v>
      </c>
      <c r="D358" s="11" t="s">
        <v>6</v>
      </c>
      <c r="E358" s="101" t="s">
        <v>46</v>
      </c>
      <c r="F358" s="127">
        <v>45894</v>
      </c>
    </row>
    <row r="359" spans="1:6" x14ac:dyDescent="0.25">
      <c r="A359" s="11">
        <v>186</v>
      </c>
      <c r="B359" s="42" t="s">
        <v>729</v>
      </c>
      <c r="C359" s="11" t="s">
        <v>6</v>
      </c>
      <c r="D359" s="11" t="s">
        <v>6</v>
      </c>
      <c r="E359" s="101" t="s">
        <v>46</v>
      </c>
      <c r="F359" s="127">
        <v>45894</v>
      </c>
    </row>
    <row r="360" spans="1:6" x14ac:dyDescent="0.25">
      <c r="A360" s="11">
        <v>187</v>
      </c>
      <c r="B360" s="42" t="s">
        <v>727</v>
      </c>
      <c r="C360" s="11" t="s">
        <v>6</v>
      </c>
      <c r="D360" s="11" t="s">
        <v>6</v>
      </c>
      <c r="E360" s="101" t="s">
        <v>46</v>
      </c>
      <c r="F360" s="127">
        <v>45894</v>
      </c>
    </row>
    <row r="361" spans="1:6" x14ac:dyDescent="0.25">
      <c r="A361" s="11">
        <v>188</v>
      </c>
      <c r="B361" s="42" t="s">
        <v>735</v>
      </c>
      <c r="C361" s="11" t="s">
        <v>6</v>
      </c>
      <c r="D361" s="11" t="s">
        <v>6</v>
      </c>
      <c r="E361" s="101" t="s">
        <v>46</v>
      </c>
      <c r="F361" s="127">
        <v>45894</v>
      </c>
    </row>
    <row r="362" spans="1:6" x14ac:dyDescent="0.25">
      <c r="A362" s="11">
        <v>189</v>
      </c>
      <c r="B362" s="42" t="s">
        <v>736</v>
      </c>
      <c r="C362" s="11" t="s">
        <v>6</v>
      </c>
      <c r="D362" s="11" t="s">
        <v>6</v>
      </c>
      <c r="E362" s="101" t="s">
        <v>155</v>
      </c>
      <c r="F362" s="127">
        <v>45894</v>
      </c>
    </row>
    <row r="363" spans="1:6" x14ac:dyDescent="0.25">
      <c r="A363" s="11">
        <v>190</v>
      </c>
      <c r="B363" s="42" t="s">
        <v>737</v>
      </c>
      <c r="C363" s="11" t="s">
        <v>6</v>
      </c>
      <c r="D363" s="11" t="s">
        <v>6</v>
      </c>
      <c r="E363" s="101" t="s">
        <v>155</v>
      </c>
      <c r="F363" s="127">
        <v>45894</v>
      </c>
    </row>
    <row r="364" spans="1:6" x14ac:dyDescent="0.25">
      <c r="A364" s="11">
        <v>191</v>
      </c>
      <c r="B364" s="42" t="s">
        <v>738</v>
      </c>
      <c r="C364" s="11" t="s">
        <v>6</v>
      </c>
      <c r="D364" s="11" t="s">
        <v>6</v>
      </c>
      <c r="E364" s="101" t="s">
        <v>155</v>
      </c>
      <c r="F364" s="127">
        <v>45894</v>
      </c>
    </row>
    <row r="365" spans="1:6" x14ac:dyDescent="0.25">
      <c r="A365" s="11">
        <v>192</v>
      </c>
      <c r="B365" s="42" t="s">
        <v>739</v>
      </c>
      <c r="C365" s="11" t="s">
        <v>6</v>
      </c>
      <c r="D365" s="11" t="s">
        <v>6</v>
      </c>
      <c r="E365" s="101" t="s">
        <v>155</v>
      </c>
      <c r="F365" s="127">
        <v>45894</v>
      </c>
    </row>
    <row r="366" spans="1:6" x14ac:dyDescent="0.25">
      <c r="A366" s="11">
        <v>193</v>
      </c>
      <c r="B366" s="42" t="s">
        <v>740</v>
      </c>
      <c r="C366" s="11" t="s">
        <v>6</v>
      </c>
      <c r="D366" s="11" t="s">
        <v>6</v>
      </c>
      <c r="E366" s="101" t="s">
        <v>155</v>
      </c>
      <c r="F366" s="127">
        <v>45894</v>
      </c>
    </row>
    <row r="367" spans="1:6" x14ac:dyDescent="0.25">
      <c r="A367" s="11">
        <v>194</v>
      </c>
      <c r="B367" s="8" t="s">
        <v>803</v>
      </c>
      <c r="C367" s="11" t="s">
        <v>6</v>
      </c>
      <c r="D367" s="11" t="s">
        <v>6</v>
      </c>
      <c r="E367" s="104" t="s">
        <v>359</v>
      </c>
      <c r="F367" s="127">
        <v>45907</v>
      </c>
    </row>
    <row r="368" spans="1:6" x14ac:dyDescent="0.25">
      <c r="A368" s="11">
        <v>195</v>
      </c>
      <c r="B368" s="8" t="s">
        <v>364</v>
      </c>
      <c r="C368" s="11" t="s">
        <v>6</v>
      </c>
      <c r="D368" s="11" t="s">
        <v>6</v>
      </c>
      <c r="E368" s="104" t="s">
        <v>43</v>
      </c>
      <c r="F368" s="127">
        <v>45907</v>
      </c>
    </row>
    <row r="369" spans="1:6" x14ac:dyDescent="0.25">
      <c r="A369" s="11">
        <v>196</v>
      </c>
      <c r="B369" s="8" t="s">
        <v>507</v>
      </c>
      <c r="C369" s="11" t="s">
        <v>6</v>
      </c>
      <c r="D369" s="11" t="s">
        <v>6</v>
      </c>
      <c r="E369" s="104" t="s">
        <v>359</v>
      </c>
      <c r="F369" s="127">
        <v>45907</v>
      </c>
    </row>
    <row r="370" spans="1:6" x14ac:dyDescent="0.25">
      <c r="A370" s="11">
        <v>197</v>
      </c>
      <c r="B370" s="8" t="s">
        <v>111</v>
      </c>
      <c r="C370" s="11" t="s">
        <v>6</v>
      </c>
      <c r="D370" s="11" t="s">
        <v>6</v>
      </c>
      <c r="E370" s="104" t="s">
        <v>40</v>
      </c>
      <c r="F370" s="127">
        <v>46040</v>
      </c>
    </row>
    <row r="371" spans="1:6" x14ac:dyDescent="0.25">
      <c r="A371" s="11">
        <v>198</v>
      </c>
      <c r="B371" s="8" t="s">
        <v>449</v>
      </c>
      <c r="C371" s="11" t="s">
        <v>6</v>
      </c>
      <c r="D371" s="11" t="s">
        <v>6</v>
      </c>
      <c r="E371" s="104" t="s">
        <v>46</v>
      </c>
      <c r="F371" s="127">
        <v>45900</v>
      </c>
    </row>
    <row r="372" spans="1:6" x14ac:dyDescent="0.25">
      <c r="A372" s="11">
        <v>199</v>
      </c>
      <c r="B372" s="8" t="s">
        <v>90</v>
      </c>
      <c r="C372" s="11" t="s">
        <v>6</v>
      </c>
      <c r="D372" s="11" t="s">
        <v>6</v>
      </c>
      <c r="E372" s="104" t="s">
        <v>46</v>
      </c>
      <c r="F372" s="127">
        <v>45907</v>
      </c>
    </row>
    <row r="373" spans="1:6" x14ac:dyDescent="0.25">
      <c r="A373" s="11">
        <v>200</v>
      </c>
      <c r="B373" s="42" t="s">
        <v>648</v>
      </c>
      <c r="C373" s="11" t="s">
        <v>6</v>
      </c>
      <c r="D373" s="11" t="s">
        <v>6</v>
      </c>
      <c r="E373" s="101" t="s">
        <v>46</v>
      </c>
      <c r="F373" s="127">
        <v>45907</v>
      </c>
    </row>
    <row r="374" spans="1:6" x14ac:dyDescent="0.25">
      <c r="A374" s="11">
        <v>201</v>
      </c>
      <c r="B374" s="42" t="s">
        <v>508</v>
      </c>
      <c r="C374" s="11" t="s">
        <v>6</v>
      </c>
      <c r="D374" s="11" t="s">
        <v>6</v>
      </c>
      <c r="E374" s="101" t="s">
        <v>46</v>
      </c>
      <c r="F374" s="127">
        <v>45900</v>
      </c>
    </row>
    <row r="375" spans="1:6" x14ac:dyDescent="0.25">
      <c r="A375" s="11">
        <v>202</v>
      </c>
      <c r="B375" s="42" t="s">
        <v>756</v>
      </c>
      <c r="C375" s="11" t="s">
        <v>6</v>
      </c>
      <c r="D375" s="11" t="s">
        <v>6</v>
      </c>
      <c r="E375" s="101" t="s">
        <v>46</v>
      </c>
      <c r="F375" s="127">
        <v>45900</v>
      </c>
    </row>
    <row r="376" spans="1:6" x14ac:dyDescent="0.25">
      <c r="A376" s="11">
        <v>203</v>
      </c>
      <c r="B376" s="42" t="s">
        <v>806</v>
      </c>
      <c r="C376" s="11" t="s">
        <v>6</v>
      </c>
      <c r="D376" s="11" t="s">
        <v>6</v>
      </c>
      <c r="E376" s="101" t="s">
        <v>155</v>
      </c>
      <c r="F376" s="127">
        <v>45907</v>
      </c>
    </row>
    <row r="377" spans="1:6" x14ac:dyDescent="0.25">
      <c r="A377" s="11">
        <v>204</v>
      </c>
      <c r="B377" s="42" t="s">
        <v>728</v>
      </c>
      <c r="C377" s="11" t="s">
        <v>6</v>
      </c>
      <c r="D377" s="11" t="s">
        <v>6</v>
      </c>
      <c r="E377" s="101" t="s">
        <v>46</v>
      </c>
      <c r="F377" s="127">
        <v>45907</v>
      </c>
    </row>
    <row r="378" spans="1:6" x14ac:dyDescent="0.25">
      <c r="A378" s="11">
        <v>205</v>
      </c>
      <c r="B378" s="42" t="s">
        <v>753</v>
      </c>
      <c r="C378" s="11" t="s">
        <v>6</v>
      </c>
      <c r="D378" s="11" t="s">
        <v>6</v>
      </c>
      <c r="E378" s="101" t="s">
        <v>359</v>
      </c>
      <c r="F378" s="127">
        <v>45900</v>
      </c>
    </row>
    <row r="379" spans="1:6" x14ac:dyDescent="0.25">
      <c r="A379" s="11">
        <v>206</v>
      </c>
      <c r="B379" s="42" t="s">
        <v>754</v>
      </c>
      <c r="C379" s="11" t="s">
        <v>6</v>
      </c>
      <c r="D379" s="11" t="s">
        <v>6</v>
      </c>
      <c r="E379" s="101" t="s">
        <v>359</v>
      </c>
      <c r="F379" s="127">
        <v>45900</v>
      </c>
    </row>
    <row r="380" spans="1:6" x14ac:dyDescent="0.25">
      <c r="A380" s="11">
        <v>207</v>
      </c>
      <c r="B380" s="59" t="s">
        <v>748</v>
      </c>
      <c r="C380" s="11" t="s">
        <v>6</v>
      </c>
      <c r="D380" s="11" t="s">
        <v>6</v>
      </c>
      <c r="E380" s="101" t="s">
        <v>46</v>
      </c>
      <c r="F380" s="127">
        <v>45900</v>
      </c>
    </row>
    <row r="381" spans="1:6" x14ac:dyDescent="0.25">
      <c r="A381" s="11">
        <v>208</v>
      </c>
      <c r="B381" s="59" t="s">
        <v>757</v>
      </c>
      <c r="C381" s="11" t="s">
        <v>6</v>
      </c>
      <c r="D381" s="11" t="s">
        <v>6</v>
      </c>
      <c r="E381" s="101" t="s">
        <v>46</v>
      </c>
      <c r="F381" s="127">
        <v>45900</v>
      </c>
    </row>
    <row r="382" spans="1:6" x14ac:dyDescent="0.25">
      <c r="A382" s="11">
        <v>209</v>
      </c>
      <c r="B382" s="42" t="s">
        <v>766</v>
      </c>
      <c r="C382" s="11" t="s">
        <v>6</v>
      </c>
      <c r="D382" s="11" t="s">
        <v>6</v>
      </c>
      <c r="E382" s="101" t="s">
        <v>46</v>
      </c>
      <c r="F382" s="127">
        <v>45907</v>
      </c>
    </row>
    <row r="383" spans="1:6" x14ac:dyDescent="0.25">
      <c r="A383" s="11">
        <v>210</v>
      </c>
      <c r="B383" s="42" t="s">
        <v>767</v>
      </c>
      <c r="C383" s="11" t="s">
        <v>6</v>
      </c>
      <c r="D383" s="11" t="s">
        <v>6</v>
      </c>
      <c r="E383" s="101" t="s">
        <v>46</v>
      </c>
      <c r="F383" s="127">
        <v>45907</v>
      </c>
    </row>
    <row r="384" spans="1:6" x14ac:dyDescent="0.25">
      <c r="A384" s="11">
        <v>211</v>
      </c>
      <c r="B384" s="42" t="s">
        <v>765</v>
      </c>
      <c r="C384" s="11" t="s">
        <v>6</v>
      </c>
      <c r="D384" s="11" t="s">
        <v>6</v>
      </c>
      <c r="E384" s="101" t="s">
        <v>46</v>
      </c>
      <c r="F384" s="127">
        <v>45907</v>
      </c>
    </row>
    <row r="385" spans="1:6" x14ac:dyDescent="0.25">
      <c r="A385" s="11">
        <v>212</v>
      </c>
      <c r="B385" s="42" t="s">
        <v>781</v>
      </c>
      <c r="C385" s="11" t="s">
        <v>6</v>
      </c>
      <c r="D385" s="11" t="s">
        <v>6</v>
      </c>
      <c r="E385" s="101" t="s">
        <v>46</v>
      </c>
      <c r="F385" s="127">
        <v>45907</v>
      </c>
    </row>
    <row r="386" spans="1:6" x14ac:dyDescent="0.25">
      <c r="A386" s="11">
        <v>213</v>
      </c>
      <c r="B386" s="42" t="s">
        <v>782</v>
      </c>
      <c r="C386" s="11" t="s">
        <v>6</v>
      </c>
      <c r="D386" s="11" t="s">
        <v>6</v>
      </c>
      <c r="E386" s="101" t="s">
        <v>46</v>
      </c>
      <c r="F386" s="127">
        <v>45907</v>
      </c>
    </row>
    <row r="387" spans="1:6" x14ac:dyDescent="0.25">
      <c r="A387" s="11">
        <v>214</v>
      </c>
      <c r="B387" s="42" t="s">
        <v>783</v>
      </c>
      <c r="C387" s="11" t="s">
        <v>6</v>
      </c>
      <c r="D387" s="11" t="s">
        <v>6</v>
      </c>
      <c r="E387" s="101" t="s">
        <v>46</v>
      </c>
      <c r="F387" s="127">
        <v>45907</v>
      </c>
    </row>
    <row r="388" spans="1:6" x14ac:dyDescent="0.25">
      <c r="A388" s="11">
        <v>215</v>
      </c>
      <c r="B388" s="42" t="s">
        <v>784</v>
      </c>
      <c r="C388" s="11" t="s">
        <v>6</v>
      </c>
      <c r="D388" s="11" t="s">
        <v>6</v>
      </c>
      <c r="E388" s="101" t="s">
        <v>46</v>
      </c>
      <c r="F388" s="127">
        <v>45907</v>
      </c>
    </row>
    <row r="389" spans="1:6" x14ac:dyDescent="0.25">
      <c r="A389" s="11">
        <v>216</v>
      </c>
      <c r="B389" s="42" t="s">
        <v>785</v>
      </c>
      <c r="C389" s="11" t="s">
        <v>6</v>
      </c>
      <c r="D389" s="11" t="s">
        <v>6</v>
      </c>
      <c r="E389" s="101" t="s">
        <v>46</v>
      </c>
      <c r="F389" s="127">
        <v>45907</v>
      </c>
    </row>
    <row r="390" spans="1:6" x14ac:dyDescent="0.25">
      <c r="A390" s="11">
        <v>217</v>
      </c>
      <c r="B390" s="42" t="s">
        <v>807</v>
      </c>
      <c r="C390" s="11" t="s">
        <v>6</v>
      </c>
      <c r="D390" s="11" t="s">
        <v>6</v>
      </c>
      <c r="E390" s="101" t="s">
        <v>46</v>
      </c>
      <c r="F390" s="127">
        <v>45907</v>
      </c>
    </row>
    <row r="391" spans="1:6" x14ac:dyDescent="0.25">
      <c r="A391" s="11">
        <v>218</v>
      </c>
      <c r="B391" s="8" t="s">
        <v>106</v>
      </c>
      <c r="C391" s="11" t="s">
        <v>6</v>
      </c>
      <c r="D391" s="11" t="s">
        <v>6</v>
      </c>
      <c r="E391" s="104" t="s">
        <v>152</v>
      </c>
      <c r="F391" s="127">
        <v>46075</v>
      </c>
    </row>
    <row r="392" spans="1:6" x14ac:dyDescent="0.25">
      <c r="A392" s="11">
        <v>219</v>
      </c>
      <c r="B392" s="8" t="s">
        <v>107</v>
      </c>
      <c r="C392" s="11" t="s">
        <v>6</v>
      </c>
      <c r="D392" s="11" t="s">
        <v>6</v>
      </c>
      <c r="E392" s="104" t="s">
        <v>152</v>
      </c>
      <c r="F392" s="127">
        <v>46068</v>
      </c>
    </row>
    <row r="393" spans="1:6" x14ac:dyDescent="0.25">
      <c r="A393" s="11">
        <v>220</v>
      </c>
      <c r="B393" s="8" t="s">
        <v>133</v>
      </c>
      <c r="C393" s="11" t="s">
        <v>6</v>
      </c>
      <c r="D393" s="11" t="s">
        <v>6</v>
      </c>
      <c r="E393" s="101" t="s">
        <v>40</v>
      </c>
      <c r="F393" s="127">
        <v>45914</v>
      </c>
    </row>
    <row r="394" spans="1:6" x14ac:dyDescent="0.25">
      <c r="A394" s="11">
        <v>221</v>
      </c>
      <c r="B394" s="8" t="s">
        <v>812</v>
      </c>
      <c r="C394" s="11" t="s">
        <v>6</v>
      </c>
      <c r="D394" s="11" t="s">
        <v>6</v>
      </c>
      <c r="E394" s="101" t="s">
        <v>46</v>
      </c>
      <c r="F394" s="127">
        <v>45914</v>
      </c>
    </row>
    <row r="395" spans="1:6" x14ac:dyDescent="0.25">
      <c r="A395" s="11">
        <v>222</v>
      </c>
      <c r="B395" s="8" t="s">
        <v>1318</v>
      </c>
      <c r="C395" s="11" t="s">
        <v>6</v>
      </c>
      <c r="D395" s="11" t="s">
        <v>6</v>
      </c>
      <c r="E395" s="104" t="s">
        <v>46</v>
      </c>
      <c r="F395" s="127">
        <v>46023</v>
      </c>
    </row>
    <row r="396" spans="1:6" x14ac:dyDescent="0.25">
      <c r="A396" s="11">
        <v>223</v>
      </c>
      <c r="B396" s="8" t="s">
        <v>408</v>
      </c>
      <c r="C396" s="11" t="s">
        <v>6</v>
      </c>
      <c r="D396" s="11" t="s">
        <v>6</v>
      </c>
      <c r="E396" s="103" t="s">
        <v>359</v>
      </c>
      <c r="F396" s="127">
        <v>45929</v>
      </c>
    </row>
    <row r="397" spans="1:6" x14ac:dyDescent="0.25">
      <c r="A397" s="11">
        <v>224</v>
      </c>
      <c r="B397" s="21" t="s">
        <v>958</v>
      </c>
      <c r="C397" s="11" t="s">
        <v>6</v>
      </c>
      <c r="D397" s="11" t="s">
        <v>6</v>
      </c>
      <c r="E397" s="101" t="s">
        <v>359</v>
      </c>
      <c r="F397" s="127">
        <v>45929</v>
      </c>
    </row>
    <row r="398" spans="1:6" x14ac:dyDescent="0.25">
      <c r="A398" s="11">
        <v>225</v>
      </c>
      <c r="B398" s="42" t="s">
        <v>862</v>
      </c>
      <c r="C398" s="11" t="s">
        <v>6</v>
      </c>
      <c r="D398" s="11" t="s">
        <v>6</v>
      </c>
      <c r="E398" s="101" t="s">
        <v>155</v>
      </c>
      <c r="F398" s="127">
        <v>45929</v>
      </c>
    </row>
    <row r="399" spans="1:6" ht="14.25" customHeight="1" x14ac:dyDescent="0.25">
      <c r="A399" s="11">
        <v>226</v>
      </c>
      <c r="B399" s="42" t="s">
        <v>863</v>
      </c>
      <c r="C399" s="11" t="s">
        <v>6</v>
      </c>
      <c r="D399" s="11" t="s">
        <v>6</v>
      </c>
      <c r="E399" s="101" t="s">
        <v>155</v>
      </c>
      <c r="F399" s="127">
        <v>45922</v>
      </c>
    </row>
    <row r="400" spans="1:6" x14ac:dyDescent="0.25">
      <c r="A400" s="11">
        <v>227</v>
      </c>
      <c r="B400" s="42" t="s">
        <v>819</v>
      </c>
      <c r="C400" s="11" t="s">
        <v>6</v>
      </c>
      <c r="D400" s="11" t="s">
        <v>6</v>
      </c>
      <c r="E400" s="101" t="s">
        <v>46</v>
      </c>
      <c r="F400" s="127">
        <v>45922</v>
      </c>
    </row>
    <row r="401" spans="1:6" x14ac:dyDescent="0.25">
      <c r="A401" s="11">
        <v>228</v>
      </c>
      <c r="B401" s="42" t="s">
        <v>832</v>
      </c>
      <c r="C401" s="11" t="s">
        <v>6</v>
      </c>
      <c r="D401" s="11" t="s">
        <v>6</v>
      </c>
      <c r="E401" s="101" t="s">
        <v>46</v>
      </c>
      <c r="F401" s="127">
        <v>45922</v>
      </c>
    </row>
    <row r="402" spans="1:6" x14ac:dyDescent="0.25">
      <c r="A402" s="11">
        <v>229</v>
      </c>
      <c r="B402" s="59" t="s">
        <v>843</v>
      </c>
      <c r="C402" s="11" t="s">
        <v>6</v>
      </c>
      <c r="D402" s="11" t="s">
        <v>6</v>
      </c>
      <c r="E402" s="101" t="s">
        <v>46</v>
      </c>
      <c r="F402" s="127">
        <v>45922</v>
      </c>
    </row>
    <row r="403" spans="1:6" x14ac:dyDescent="0.25">
      <c r="A403" s="11">
        <v>230</v>
      </c>
      <c r="B403" s="59" t="s">
        <v>848</v>
      </c>
      <c r="C403" s="11" t="s">
        <v>6</v>
      </c>
      <c r="D403" s="11" t="s">
        <v>6</v>
      </c>
      <c r="E403" s="101" t="s">
        <v>46</v>
      </c>
      <c r="F403" s="127">
        <v>45922</v>
      </c>
    </row>
    <row r="404" spans="1:6" x14ac:dyDescent="0.25">
      <c r="A404" s="11">
        <v>231</v>
      </c>
      <c r="B404" s="59" t="s">
        <v>847</v>
      </c>
      <c r="C404" s="11" t="s">
        <v>6</v>
      </c>
      <c r="D404" s="11" t="s">
        <v>6</v>
      </c>
      <c r="E404" s="101" t="s">
        <v>46</v>
      </c>
      <c r="F404" s="127">
        <v>45922</v>
      </c>
    </row>
    <row r="405" spans="1:6" x14ac:dyDescent="0.25">
      <c r="A405" s="11">
        <v>232</v>
      </c>
      <c r="B405" s="59" t="s">
        <v>846</v>
      </c>
      <c r="C405" s="11" t="s">
        <v>6</v>
      </c>
      <c r="D405" s="11" t="s">
        <v>6</v>
      </c>
      <c r="E405" s="101" t="s">
        <v>46</v>
      </c>
      <c r="F405" s="127">
        <v>45922</v>
      </c>
    </row>
    <row r="406" spans="1:6" x14ac:dyDescent="0.25">
      <c r="A406" s="11">
        <v>233</v>
      </c>
      <c r="B406" s="59" t="s">
        <v>859</v>
      </c>
      <c r="C406" s="11" t="s">
        <v>6</v>
      </c>
      <c r="D406" s="11" t="s">
        <v>6</v>
      </c>
      <c r="E406" s="101" t="s">
        <v>46</v>
      </c>
      <c r="F406" s="127">
        <v>45922</v>
      </c>
    </row>
    <row r="407" spans="1:6" x14ac:dyDescent="0.25">
      <c r="A407" s="11">
        <v>234</v>
      </c>
      <c r="B407" s="59" t="s">
        <v>860</v>
      </c>
      <c r="C407" s="11" t="s">
        <v>6</v>
      </c>
      <c r="D407" s="11" t="s">
        <v>6</v>
      </c>
      <c r="E407" s="101" t="s">
        <v>46</v>
      </c>
      <c r="F407" s="127">
        <v>45922</v>
      </c>
    </row>
    <row r="408" spans="1:6" x14ac:dyDescent="0.25">
      <c r="A408" s="11">
        <v>235</v>
      </c>
      <c r="B408" s="59" t="s">
        <v>972</v>
      </c>
      <c r="C408" s="11" t="s">
        <v>6</v>
      </c>
      <c r="D408" s="11" t="s">
        <v>6</v>
      </c>
      <c r="E408" s="101" t="s">
        <v>359</v>
      </c>
      <c r="F408" s="127">
        <v>45929</v>
      </c>
    </row>
    <row r="409" spans="1:6" x14ac:dyDescent="0.25">
      <c r="A409" s="11">
        <v>236</v>
      </c>
      <c r="B409" s="42" t="s">
        <v>877</v>
      </c>
      <c r="C409" s="11" t="s">
        <v>6</v>
      </c>
      <c r="D409" s="11" t="s">
        <v>6</v>
      </c>
      <c r="E409" s="101" t="s">
        <v>46</v>
      </c>
      <c r="F409" s="127">
        <v>45929</v>
      </c>
    </row>
    <row r="410" spans="1:6" x14ac:dyDescent="0.25">
      <c r="A410" s="11">
        <v>237</v>
      </c>
      <c r="B410" s="42" t="s">
        <v>878</v>
      </c>
      <c r="C410" s="11" t="s">
        <v>6</v>
      </c>
      <c r="D410" s="11" t="s">
        <v>6</v>
      </c>
      <c r="E410" s="101" t="s">
        <v>46</v>
      </c>
      <c r="F410" s="127">
        <v>45929</v>
      </c>
    </row>
    <row r="411" spans="1:6" x14ac:dyDescent="0.25">
      <c r="A411" s="11">
        <v>238</v>
      </c>
      <c r="B411" s="42" t="s">
        <v>881</v>
      </c>
      <c r="C411" s="11" t="s">
        <v>6</v>
      </c>
      <c r="D411" s="11" t="s">
        <v>6</v>
      </c>
      <c r="E411" s="101" t="s">
        <v>46</v>
      </c>
      <c r="F411" s="127">
        <v>45929</v>
      </c>
    </row>
    <row r="412" spans="1:6" x14ac:dyDescent="0.25">
      <c r="A412" s="11">
        <v>239</v>
      </c>
      <c r="B412" s="42" t="s">
        <v>879</v>
      </c>
      <c r="C412" s="11" t="s">
        <v>6</v>
      </c>
      <c r="D412" s="11" t="s">
        <v>6</v>
      </c>
      <c r="E412" s="101" t="s">
        <v>46</v>
      </c>
      <c r="F412" s="127">
        <v>45929</v>
      </c>
    </row>
    <row r="413" spans="1:6" x14ac:dyDescent="0.25">
      <c r="A413" s="11">
        <v>240</v>
      </c>
      <c r="B413" s="42" t="s">
        <v>897</v>
      </c>
      <c r="C413" s="11" t="s">
        <v>6</v>
      </c>
      <c r="D413" s="11" t="s">
        <v>6</v>
      </c>
      <c r="E413" s="101" t="s">
        <v>46</v>
      </c>
      <c r="F413" s="127">
        <v>45929</v>
      </c>
    </row>
    <row r="414" spans="1:6" x14ac:dyDescent="0.25">
      <c r="A414" s="11">
        <v>241</v>
      </c>
      <c r="B414" s="42" t="s">
        <v>899</v>
      </c>
      <c r="C414" s="11" t="s">
        <v>6</v>
      </c>
      <c r="D414" s="11" t="s">
        <v>6</v>
      </c>
      <c r="E414" s="101" t="s">
        <v>46</v>
      </c>
      <c r="F414" s="127">
        <v>45929</v>
      </c>
    </row>
    <row r="415" spans="1:6" x14ac:dyDescent="0.25">
      <c r="A415" s="11">
        <v>242</v>
      </c>
      <c r="B415" s="42" t="s">
        <v>900</v>
      </c>
      <c r="C415" s="11" t="s">
        <v>6</v>
      </c>
      <c r="D415" s="11" t="s">
        <v>6</v>
      </c>
      <c r="E415" s="101" t="s">
        <v>46</v>
      </c>
      <c r="F415" s="127">
        <v>45929</v>
      </c>
    </row>
    <row r="416" spans="1:6" x14ac:dyDescent="0.25">
      <c r="A416" s="11">
        <v>243</v>
      </c>
      <c r="B416" s="42" t="s">
        <v>906</v>
      </c>
      <c r="C416" s="11" t="s">
        <v>6</v>
      </c>
      <c r="D416" s="11" t="s">
        <v>6</v>
      </c>
      <c r="E416" s="101" t="s">
        <v>46</v>
      </c>
      <c r="F416" s="127">
        <v>45929</v>
      </c>
    </row>
    <row r="417" spans="1:6" x14ac:dyDescent="0.25">
      <c r="A417" s="11">
        <v>244</v>
      </c>
      <c r="B417" s="42" t="s">
        <v>955</v>
      </c>
      <c r="C417" s="11" t="s">
        <v>6</v>
      </c>
      <c r="D417" s="11" t="s">
        <v>6</v>
      </c>
      <c r="E417" s="101" t="s">
        <v>46</v>
      </c>
      <c r="F417" s="127">
        <v>45929</v>
      </c>
    </row>
    <row r="418" spans="1:6" x14ac:dyDescent="0.25">
      <c r="A418" s="11">
        <v>245</v>
      </c>
      <c r="B418" s="42" t="s">
        <v>952</v>
      </c>
      <c r="C418" s="11" t="s">
        <v>6</v>
      </c>
      <c r="D418" s="11" t="s">
        <v>6</v>
      </c>
      <c r="E418" s="101" t="s">
        <v>46</v>
      </c>
      <c r="F418" s="127">
        <v>45929</v>
      </c>
    </row>
    <row r="419" spans="1:6" x14ac:dyDescent="0.25">
      <c r="A419" s="11">
        <v>246</v>
      </c>
      <c r="B419" s="42" t="s">
        <v>953</v>
      </c>
      <c r="C419" s="11" t="s">
        <v>6</v>
      </c>
      <c r="D419" s="11" t="s">
        <v>6</v>
      </c>
      <c r="E419" s="101" t="s">
        <v>46</v>
      </c>
      <c r="F419" s="127">
        <v>45929</v>
      </c>
    </row>
    <row r="420" spans="1:6" x14ac:dyDescent="0.25">
      <c r="A420" s="11">
        <v>247</v>
      </c>
      <c r="B420" s="42" t="s">
        <v>957</v>
      </c>
      <c r="C420" s="11" t="s">
        <v>6</v>
      </c>
      <c r="D420" s="11" t="s">
        <v>6</v>
      </c>
      <c r="E420" s="101" t="s">
        <v>46</v>
      </c>
      <c r="F420" s="127">
        <v>45929</v>
      </c>
    </row>
    <row r="421" spans="1:6" x14ac:dyDescent="0.25">
      <c r="A421" s="11">
        <v>248</v>
      </c>
      <c r="B421" s="42" t="s">
        <v>956</v>
      </c>
      <c r="C421" s="11" t="s">
        <v>6</v>
      </c>
      <c r="D421" s="11" t="s">
        <v>6</v>
      </c>
      <c r="E421" s="101" t="s">
        <v>46</v>
      </c>
      <c r="F421" s="127">
        <v>45929</v>
      </c>
    </row>
    <row r="422" spans="1:6" x14ac:dyDescent="0.25">
      <c r="A422" s="11">
        <v>249</v>
      </c>
      <c r="B422" s="42" t="s">
        <v>954</v>
      </c>
      <c r="C422" s="11" t="s">
        <v>6</v>
      </c>
      <c r="D422" s="11" t="s">
        <v>6</v>
      </c>
      <c r="E422" s="101" t="s">
        <v>46</v>
      </c>
      <c r="F422" s="127">
        <v>45929</v>
      </c>
    </row>
    <row r="423" spans="1:6" x14ac:dyDescent="0.25">
      <c r="A423" s="11">
        <v>250</v>
      </c>
      <c r="B423" s="42" t="s">
        <v>959</v>
      </c>
      <c r="C423" s="11" t="s">
        <v>6</v>
      </c>
      <c r="D423" s="11" t="s">
        <v>6</v>
      </c>
      <c r="E423" s="101" t="s">
        <v>46</v>
      </c>
      <c r="F423" s="127">
        <v>45929</v>
      </c>
    </row>
    <row r="424" spans="1:6" x14ac:dyDescent="0.25">
      <c r="A424" s="11">
        <v>251</v>
      </c>
      <c r="B424" s="42" t="s">
        <v>960</v>
      </c>
      <c r="C424" s="11" t="s">
        <v>6</v>
      </c>
      <c r="D424" s="11" t="s">
        <v>6</v>
      </c>
      <c r="E424" s="101" t="s">
        <v>46</v>
      </c>
      <c r="F424" s="127">
        <v>45929</v>
      </c>
    </row>
    <row r="425" spans="1:6" x14ac:dyDescent="0.25">
      <c r="A425" s="11">
        <v>252</v>
      </c>
      <c r="B425" s="42" t="s">
        <v>269</v>
      </c>
      <c r="C425" s="11" t="s">
        <v>6</v>
      </c>
      <c r="D425" s="11" t="s">
        <v>6</v>
      </c>
      <c r="E425" s="101" t="s">
        <v>46</v>
      </c>
      <c r="F425" s="127">
        <v>45929</v>
      </c>
    </row>
    <row r="426" spans="1:6" x14ac:dyDescent="0.25">
      <c r="A426" s="11">
        <v>253</v>
      </c>
      <c r="B426" s="42" t="s">
        <v>963</v>
      </c>
      <c r="C426" s="11" t="s">
        <v>6</v>
      </c>
      <c r="D426" s="11" t="s">
        <v>6</v>
      </c>
      <c r="E426" s="101" t="s">
        <v>46</v>
      </c>
      <c r="F426" s="127">
        <v>45929</v>
      </c>
    </row>
    <row r="427" spans="1:6" x14ac:dyDescent="0.25">
      <c r="A427" s="11">
        <v>254</v>
      </c>
      <c r="B427" s="42" t="s">
        <v>961</v>
      </c>
      <c r="C427" s="11" t="s">
        <v>6</v>
      </c>
      <c r="D427" s="11" t="s">
        <v>6</v>
      </c>
      <c r="E427" s="101" t="s">
        <v>46</v>
      </c>
      <c r="F427" s="127">
        <v>45929</v>
      </c>
    </row>
    <row r="428" spans="1:6" x14ac:dyDescent="0.25">
      <c r="A428" s="11">
        <v>255</v>
      </c>
      <c r="B428" s="42" t="s">
        <v>964</v>
      </c>
      <c r="C428" s="11" t="s">
        <v>6</v>
      </c>
      <c r="D428" s="11" t="s">
        <v>6</v>
      </c>
      <c r="E428" s="101" t="s">
        <v>46</v>
      </c>
      <c r="F428" s="127">
        <v>45929</v>
      </c>
    </row>
    <row r="429" spans="1:6" x14ac:dyDescent="0.25">
      <c r="A429" s="11">
        <v>256</v>
      </c>
      <c r="B429" s="42" t="s">
        <v>968</v>
      </c>
      <c r="C429" s="11" t="s">
        <v>6</v>
      </c>
      <c r="D429" s="11" t="s">
        <v>6</v>
      </c>
      <c r="E429" s="101" t="s">
        <v>46</v>
      </c>
      <c r="F429" s="127">
        <v>45929</v>
      </c>
    </row>
    <row r="430" spans="1:6" x14ac:dyDescent="0.25">
      <c r="A430" s="11">
        <v>257</v>
      </c>
      <c r="B430" s="42" t="s">
        <v>967</v>
      </c>
      <c r="C430" s="11" t="s">
        <v>6</v>
      </c>
      <c r="D430" s="11" t="s">
        <v>6</v>
      </c>
      <c r="E430" s="101" t="s">
        <v>46</v>
      </c>
      <c r="F430" s="127">
        <v>45929</v>
      </c>
    </row>
    <row r="431" spans="1:6" x14ac:dyDescent="0.25">
      <c r="A431" s="11">
        <v>258</v>
      </c>
      <c r="B431" s="42" t="s">
        <v>966</v>
      </c>
      <c r="C431" s="11" t="s">
        <v>6</v>
      </c>
      <c r="D431" s="11" t="s">
        <v>6</v>
      </c>
      <c r="E431" s="101" t="s">
        <v>46</v>
      </c>
      <c r="F431" s="127">
        <v>45929</v>
      </c>
    </row>
    <row r="432" spans="1:6" x14ac:dyDescent="0.25">
      <c r="A432" s="11">
        <v>259</v>
      </c>
      <c r="B432" s="42" t="s">
        <v>965</v>
      </c>
      <c r="C432" s="11" t="s">
        <v>6</v>
      </c>
      <c r="D432" s="11" t="s">
        <v>6</v>
      </c>
      <c r="E432" s="101" t="s">
        <v>46</v>
      </c>
      <c r="F432" s="127">
        <v>45929</v>
      </c>
    </row>
    <row r="433" spans="1:6" x14ac:dyDescent="0.25">
      <c r="A433" s="11">
        <v>260</v>
      </c>
      <c r="B433" s="42" t="s">
        <v>971</v>
      </c>
      <c r="C433" s="11" t="s">
        <v>6</v>
      </c>
      <c r="D433" s="11" t="s">
        <v>6</v>
      </c>
      <c r="E433" s="101" t="s">
        <v>46</v>
      </c>
      <c r="F433" s="127">
        <v>45929</v>
      </c>
    </row>
    <row r="434" spans="1:6" x14ac:dyDescent="0.25">
      <c r="A434" s="11">
        <v>261</v>
      </c>
      <c r="B434" s="42" t="s">
        <v>970</v>
      </c>
      <c r="C434" s="11" t="s">
        <v>6</v>
      </c>
      <c r="D434" s="11" t="s">
        <v>6</v>
      </c>
      <c r="E434" s="101" t="s">
        <v>46</v>
      </c>
      <c r="F434" s="127">
        <v>45929</v>
      </c>
    </row>
    <row r="435" spans="1:6" x14ac:dyDescent="0.25">
      <c r="A435" s="11">
        <v>262</v>
      </c>
      <c r="B435" s="42" t="s">
        <v>969</v>
      </c>
      <c r="C435" s="11" t="s">
        <v>6</v>
      </c>
      <c r="D435" s="11" t="s">
        <v>6</v>
      </c>
      <c r="E435" s="101" t="s">
        <v>46</v>
      </c>
      <c r="F435" s="127">
        <v>45929</v>
      </c>
    </row>
    <row r="436" spans="1:6" x14ac:dyDescent="0.25">
      <c r="A436" s="11">
        <v>263</v>
      </c>
      <c r="B436" s="8" t="s">
        <v>69</v>
      </c>
      <c r="C436" s="11" t="s">
        <v>6</v>
      </c>
      <c r="D436" s="11" t="s">
        <v>6</v>
      </c>
      <c r="E436" s="104" t="s">
        <v>40</v>
      </c>
      <c r="F436" s="127">
        <v>45935</v>
      </c>
    </row>
    <row r="437" spans="1:6" x14ac:dyDescent="0.25">
      <c r="A437" s="11">
        <v>264</v>
      </c>
      <c r="B437" s="8" t="s">
        <v>997</v>
      </c>
      <c r="C437" s="11" t="s">
        <v>6</v>
      </c>
      <c r="D437" s="11" t="s">
        <v>6</v>
      </c>
      <c r="E437" s="104" t="s">
        <v>359</v>
      </c>
      <c r="F437" s="127">
        <v>45935</v>
      </c>
    </row>
    <row r="438" spans="1:6" x14ac:dyDescent="0.25">
      <c r="A438" s="11">
        <v>265</v>
      </c>
      <c r="B438" s="8" t="s">
        <v>980</v>
      </c>
      <c r="C438" s="11" t="s">
        <v>6</v>
      </c>
      <c r="D438" s="11" t="s">
        <v>6</v>
      </c>
      <c r="E438" s="104" t="s">
        <v>46</v>
      </c>
      <c r="F438" s="127">
        <v>45935</v>
      </c>
    </row>
    <row r="439" spans="1:6" x14ac:dyDescent="0.25">
      <c r="A439" s="11">
        <v>266</v>
      </c>
      <c r="B439" s="8" t="s">
        <v>833</v>
      </c>
      <c r="C439" s="11" t="s">
        <v>6</v>
      </c>
      <c r="D439" s="11" t="s">
        <v>6</v>
      </c>
      <c r="E439" s="103" t="s">
        <v>45</v>
      </c>
      <c r="F439" s="127">
        <v>45935</v>
      </c>
    </row>
    <row r="440" spans="1:6" x14ac:dyDescent="0.25">
      <c r="A440" s="11">
        <v>267</v>
      </c>
      <c r="B440" s="8" t="s">
        <v>770</v>
      </c>
      <c r="C440" s="11" t="s">
        <v>6</v>
      </c>
      <c r="D440" s="11" t="s">
        <v>6</v>
      </c>
      <c r="E440" s="103" t="s">
        <v>154</v>
      </c>
      <c r="F440" s="127">
        <v>45935</v>
      </c>
    </row>
    <row r="441" spans="1:6" x14ac:dyDescent="0.25">
      <c r="A441" s="11">
        <v>268</v>
      </c>
      <c r="B441" s="8" t="s">
        <v>1347</v>
      </c>
      <c r="C441" s="11" t="s">
        <v>6</v>
      </c>
      <c r="D441" s="11" t="s">
        <v>6</v>
      </c>
      <c r="E441" s="104" t="s">
        <v>46</v>
      </c>
      <c r="F441" s="127">
        <v>46023</v>
      </c>
    </row>
    <row r="442" spans="1:6" x14ac:dyDescent="0.25">
      <c r="A442" s="11">
        <v>269</v>
      </c>
      <c r="B442" s="8" t="s">
        <v>1348</v>
      </c>
      <c r="C442" s="11" t="s">
        <v>6</v>
      </c>
      <c r="D442" s="11" t="s">
        <v>6</v>
      </c>
      <c r="E442" s="104" t="s">
        <v>359</v>
      </c>
      <c r="F442" s="127">
        <v>46023</v>
      </c>
    </row>
    <row r="443" spans="1:6" x14ac:dyDescent="0.25">
      <c r="A443" s="11">
        <v>270</v>
      </c>
      <c r="B443" s="21" t="s">
        <v>1426</v>
      </c>
      <c r="C443" s="11" t="s">
        <v>6</v>
      </c>
      <c r="D443" s="11" t="s">
        <v>6</v>
      </c>
      <c r="E443" s="104" t="s">
        <v>46</v>
      </c>
      <c r="F443" s="127">
        <v>46075</v>
      </c>
    </row>
    <row r="444" spans="1:6" x14ac:dyDescent="0.25">
      <c r="A444" s="11">
        <v>271</v>
      </c>
      <c r="B444" s="59" t="s">
        <v>861</v>
      </c>
      <c r="C444" s="11" t="s">
        <v>6</v>
      </c>
      <c r="D444" s="11" t="s">
        <v>6</v>
      </c>
      <c r="E444" s="101" t="s">
        <v>154</v>
      </c>
      <c r="F444" s="127">
        <v>45935</v>
      </c>
    </row>
    <row r="445" spans="1:6" x14ac:dyDescent="0.25">
      <c r="A445" s="11">
        <v>272</v>
      </c>
      <c r="B445" s="42" t="s">
        <v>880</v>
      </c>
      <c r="C445" s="11" t="s">
        <v>6</v>
      </c>
      <c r="D445" s="11" t="s">
        <v>6</v>
      </c>
      <c r="E445" s="101" t="s">
        <v>46</v>
      </c>
      <c r="F445" s="127">
        <v>45935</v>
      </c>
    </row>
    <row r="446" spans="1:6" x14ac:dyDescent="0.25">
      <c r="A446" s="11">
        <v>273</v>
      </c>
      <c r="B446" s="42" t="s">
        <v>882</v>
      </c>
      <c r="C446" s="11" t="s">
        <v>6</v>
      </c>
      <c r="D446" s="11" t="s">
        <v>6</v>
      </c>
      <c r="E446" s="101" t="s">
        <v>154</v>
      </c>
      <c r="F446" s="127">
        <v>45935</v>
      </c>
    </row>
    <row r="447" spans="1:6" x14ac:dyDescent="0.25">
      <c r="A447" s="11">
        <v>274</v>
      </c>
      <c r="B447" s="42" t="s">
        <v>979</v>
      </c>
      <c r="C447" s="11" t="s">
        <v>6</v>
      </c>
      <c r="D447" s="11" t="s">
        <v>6</v>
      </c>
      <c r="E447" s="101" t="s">
        <v>46</v>
      </c>
      <c r="F447" s="127">
        <v>45935</v>
      </c>
    </row>
    <row r="448" spans="1:6" x14ac:dyDescent="0.25">
      <c r="A448" s="11">
        <v>275</v>
      </c>
      <c r="B448" s="42" t="s">
        <v>989</v>
      </c>
      <c r="C448" s="11" t="s">
        <v>6</v>
      </c>
      <c r="D448" s="11" t="s">
        <v>6</v>
      </c>
      <c r="E448" s="101" t="s">
        <v>46</v>
      </c>
      <c r="F448" s="127">
        <v>45935</v>
      </c>
    </row>
    <row r="449" spans="1:6" x14ac:dyDescent="0.25">
      <c r="A449" s="11">
        <v>276</v>
      </c>
      <c r="B449" s="42" t="s">
        <v>990</v>
      </c>
      <c r="C449" s="11" t="s">
        <v>6</v>
      </c>
      <c r="D449" s="11" t="s">
        <v>6</v>
      </c>
      <c r="E449" s="101" t="s">
        <v>46</v>
      </c>
      <c r="F449" s="127">
        <v>45935</v>
      </c>
    </row>
    <row r="450" spans="1:6" x14ac:dyDescent="0.25">
      <c r="A450" s="11">
        <v>277</v>
      </c>
      <c r="B450" s="42" t="s">
        <v>992</v>
      </c>
      <c r="C450" s="11" t="s">
        <v>6</v>
      </c>
      <c r="D450" s="11" t="s">
        <v>6</v>
      </c>
      <c r="E450" s="101" t="s">
        <v>46</v>
      </c>
      <c r="F450" s="127">
        <v>45935</v>
      </c>
    </row>
    <row r="451" spans="1:6" x14ac:dyDescent="0.25">
      <c r="A451" s="11">
        <v>278</v>
      </c>
      <c r="B451" s="42" t="s">
        <v>998</v>
      </c>
      <c r="C451" s="11" t="s">
        <v>6</v>
      </c>
      <c r="D451" s="11" t="s">
        <v>6</v>
      </c>
      <c r="E451" s="101" t="s">
        <v>46</v>
      </c>
      <c r="F451" s="127">
        <v>45935</v>
      </c>
    </row>
    <row r="452" spans="1:6" x14ac:dyDescent="0.25">
      <c r="A452" s="11">
        <v>279</v>
      </c>
      <c r="B452" s="42" t="s">
        <v>999</v>
      </c>
      <c r="C452" s="11" t="s">
        <v>6</v>
      </c>
      <c r="D452" s="11" t="s">
        <v>6</v>
      </c>
      <c r="E452" s="101" t="s">
        <v>46</v>
      </c>
      <c r="F452" s="127">
        <v>45935</v>
      </c>
    </row>
    <row r="453" spans="1:6" x14ac:dyDescent="0.25">
      <c r="A453" s="11">
        <v>280</v>
      </c>
      <c r="B453" s="42" t="s">
        <v>1000</v>
      </c>
      <c r="C453" s="11" t="s">
        <v>6</v>
      </c>
      <c r="D453" s="11" t="s">
        <v>6</v>
      </c>
      <c r="E453" s="101" t="s">
        <v>46</v>
      </c>
      <c r="F453" s="127">
        <v>45935</v>
      </c>
    </row>
    <row r="454" spans="1:6" x14ac:dyDescent="0.25">
      <c r="A454" s="11">
        <v>281</v>
      </c>
      <c r="B454" s="42" t="s">
        <v>1001</v>
      </c>
      <c r="C454" s="11" t="s">
        <v>6</v>
      </c>
      <c r="D454" s="11" t="s">
        <v>6</v>
      </c>
      <c r="E454" s="101" t="s">
        <v>46</v>
      </c>
      <c r="F454" s="127">
        <v>45935</v>
      </c>
    </row>
    <row r="455" spans="1:6" x14ac:dyDescent="0.25">
      <c r="A455" s="11">
        <v>282</v>
      </c>
      <c r="B455" s="8" t="s">
        <v>1019</v>
      </c>
      <c r="C455" s="11" t="s">
        <v>6</v>
      </c>
      <c r="D455" s="11" t="s">
        <v>6</v>
      </c>
      <c r="E455" s="101" t="s">
        <v>46</v>
      </c>
      <c r="F455" s="127" t="s">
        <v>1071</v>
      </c>
    </row>
    <row r="456" spans="1:6" x14ac:dyDescent="0.25">
      <c r="A456" s="11">
        <v>283</v>
      </c>
      <c r="B456" s="8" t="s">
        <v>1020</v>
      </c>
      <c r="C456" s="11" t="s">
        <v>6</v>
      </c>
      <c r="D456" s="11" t="s">
        <v>6</v>
      </c>
      <c r="E456" s="101" t="s">
        <v>46</v>
      </c>
      <c r="F456" s="127" t="s">
        <v>1071</v>
      </c>
    </row>
    <row r="457" spans="1:6" x14ac:dyDescent="0.25">
      <c r="A457" s="11">
        <v>284</v>
      </c>
      <c r="B457" s="19" t="s">
        <v>224</v>
      </c>
      <c r="C457" s="11" t="s">
        <v>6</v>
      </c>
      <c r="D457" s="11" t="s">
        <v>6</v>
      </c>
      <c r="E457" s="101" t="s">
        <v>44</v>
      </c>
      <c r="F457" s="127" t="s">
        <v>1071</v>
      </c>
    </row>
    <row r="458" spans="1:6" x14ac:dyDescent="0.25">
      <c r="A458" s="11">
        <v>285</v>
      </c>
      <c r="B458" s="8" t="s">
        <v>219</v>
      </c>
      <c r="C458" s="11" t="s">
        <v>6</v>
      </c>
      <c r="D458" s="11" t="s">
        <v>6</v>
      </c>
      <c r="E458" s="101" t="s">
        <v>40</v>
      </c>
      <c r="F458" s="127" t="s">
        <v>1071</v>
      </c>
    </row>
    <row r="459" spans="1:6" x14ac:dyDescent="0.25">
      <c r="A459" s="11">
        <v>286</v>
      </c>
      <c r="B459" s="42" t="s">
        <v>353</v>
      </c>
      <c r="C459" s="11" t="s">
        <v>6</v>
      </c>
      <c r="D459" s="11" t="s">
        <v>6</v>
      </c>
      <c r="E459" s="101" t="s">
        <v>406</v>
      </c>
      <c r="F459" s="127" t="s">
        <v>1071</v>
      </c>
    </row>
    <row r="460" spans="1:6" x14ac:dyDescent="0.25">
      <c r="A460" s="11">
        <v>287</v>
      </c>
      <c r="B460" s="42" t="s">
        <v>831</v>
      </c>
      <c r="C460" s="11" t="s">
        <v>6</v>
      </c>
      <c r="D460" s="11" t="s">
        <v>6</v>
      </c>
      <c r="E460" s="101" t="s">
        <v>46</v>
      </c>
      <c r="F460" s="127" t="s">
        <v>1071</v>
      </c>
    </row>
    <row r="461" spans="1:6" x14ac:dyDescent="0.25">
      <c r="A461" s="11">
        <v>288</v>
      </c>
      <c r="B461" s="59" t="s">
        <v>356</v>
      </c>
      <c r="C461" s="11" t="s">
        <v>6</v>
      </c>
      <c r="D461" s="11" t="s">
        <v>6</v>
      </c>
      <c r="E461" s="101" t="s">
        <v>46</v>
      </c>
      <c r="F461" s="127" t="s">
        <v>1071</v>
      </c>
    </row>
    <row r="462" spans="1:6" x14ac:dyDescent="0.25">
      <c r="A462" s="11">
        <v>289</v>
      </c>
      <c r="B462" s="42" t="s">
        <v>973</v>
      </c>
      <c r="C462" s="11" t="s">
        <v>6</v>
      </c>
      <c r="D462" s="11" t="s">
        <v>6</v>
      </c>
      <c r="E462" s="101" t="s">
        <v>46</v>
      </c>
      <c r="F462" s="127" t="s">
        <v>1071</v>
      </c>
    </row>
    <row r="463" spans="1:6" x14ac:dyDescent="0.25">
      <c r="A463" s="11">
        <v>290</v>
      </c>
      <c r="B463" s="42" t="s">
        <v>974</v>
      </c>
      <c r="C463" s="11" t="s">
        <v>6</v>
      </c>
      <c r="D463" s="11" t="s">
        <v>6</v>
      </c>
      <c r="E463" s="101" t="s">
        <v>46</v>
      </c>
      <c r="F463" s="127" t="s">
        <v>1071</v>
      </c>
    </row>
    <row r="464" spans="1:6" x14ac:dyDescent="0.25">
      <c r="A464" s="11">
        <v>291</v>
      </c>
      <c r="B464" s="42" t="s">
        <v>1025</v>
      </c>
      <c r="C464" s="11" t="s">
        <v>6</v>
      </c>
      <c r="D464" s="11" t="s">
        <v>6</v>
      </c>
      <c r="E464" s="101" t="s">
        <v>46</v>
      </c>
      <c r="F464" s="127" t="s">
        <v>1071</v>
      </c>
    </row>
    <row r="465" spans="1:6" x14ac:dyDescent="0.25">
      <c r="A465" s="11">
        <v>292</v>
      </c>
      <c r="B465" s="42" t="s">
        <v>1026</v>
      </c>
      <c r="C465" s="11" t="s">
        <v>6</v>
      </c>
      <c r="D465" s="11" t="s">
        <v>6</v>
      </c>
      <c r="E465" s="101" t="s">
        <v>46</v>
      </c>
      <c r="F465" s="127" t="s">
        <v>1071</v>
      </c>
    </row>
    <row r="466" spans="1:6" x14ac:dyDescent="0.25">
      <c r="A466" s="11">
        <v>293</v>
      </c>
      <c r="B466" s="8" t="s">
        <v>449</v>
      </c>
      <c r="C466" s="11" t="s">
        <v>6</v>
      </c>
      <c r="D466" s="11" t="s">
        <v>6</v>
      </c>
      <c r="E466" s="104" t="s">
        <v>46</v>
      </c>
      <c r="F466" s="127">
        <v>46068</v>
      </c>
    </row>
    <row r="467" spans="1:6" x14ac:dyDescent="0.25">
      <c r="A467" s="11">
        <v>294</v>
      </c>
      <c r="B467" s="21" t="s">
        <v>543</v>
      </c>
      <c r="C467" s="11" t="s">
        <v>6</v>
      </c>
      <c r="D467" s="11" t="s">
        <v>6</v>
      </c>
      <c r="E467" s="104" t="s">
        <v>46</v>
      </c>
      <c r="F467" s="127">
        <v>46023</v>
      </c>
    </row>
    <row r="468" spans="1:6" x14ac:dyDescent="0.25">
      <c r="A468" s="11">
        <v>295</v>
      </c>
      <c r="B468" s="42" t="s">
        <v>114</v>
      </c>
      <c r="C468" s="11" t="s">
        <v>6</v>
      </c>
      <c r="D468" s="11" t="s">
        <v>6</v>
      </c>
      <c r="E468" s="101" t="s">
        <v>359</v>
      </c>
      <c r="F468" s="127">
        <v>46023</v>
      </c>
    </row>
    <row r="469" spans="1:6" x14ac:dyDescent="0.25">
      <c r="A469" s="11">
        <v>296</v>
      </c>
      <c r="B469" s="8" t="s">
        <v>512</v>
      </c>
      <c r="C469" s="11" t="s">
        <v>6</v>
      </c>
      <c r="D469" s="11" t="s">
        <v>6</v>
      </c>
      <c r="E469" s="103" t="s">
        <v>46</v>
      </c>
      <c r="F469" s="127">
        <v>45949</v>
      </c>
    </row>
    <row r="470" spans="1:6" x14ac:dyDescent="0.25">
      <c r="A470" s="11">
        <v>297</v>
      </c>
      <c r="B470" s="8" t="s">
        <v>1070</v>
      </c>
      <c r="C470" s="11" t="s">
        <v>6</v>
      </c>
      <c r="D470" s="11" t="s">
        <v>6</v>
      </c>
      <c r="E470" s="101" t="s">
        <v>46</v>
      </c>
      <c r="F470" s="127">
        <v>45949</v>
      </c>
    </row>
    <row r="471" spans="1:6" x14ac:dyDescent="0.25">
      <c r="A471" s="11">
        <v>298</v>
      </c>
      <c r="B471" s="42" t="s">
        <v>1251</v>
      </c>
      <c r="C471" s="11" t="s">
        <v>6</v>
      </c>
      <c r="D471" s="11" t="s">
        <v>6</v>
      </c>
      <c r="E471" s="101" t="s">
        <v>46</v>
      </c>
      <c r="F471" s="127">
        <v>46075</v>
      </c>
    </row>
    <row r="472" spans="1:6" x14ac:dyDescent="0.25">
      <c r="A472" s="11">
        <v>299</v>
      </c>
      <c r="B472" s="42" t="s">
        <v>1047</v>
      </c>
      <c r="C472" s="11" t="s">
        <v>6</v>
      </c>
      <c r="D472" s="11" t="s">
        <v>6</v>
      </c>
      <c r="E472" s="101" t="s">
        <v>46</v>
      </c>
      <c r="F472" s="127">
        <v>45949</v>
      </c>
    </row>
    <row r="473" spans="1:6" x14ac:dyDescent="0.25">
      <c r="A473" s="11">
        <v>300</v>
      </c>
      <c r="B473" s="42" t="s">
        <v>1046</v>
      </c>
      <c r="C473" s="11" t="s">
        <v>6</v>
      </c>
      <c r="D473" s="11" t="s">
        <v>6</v>
      </c>
      <c r="E473" s="101" t="s">
        <v>46</v>
      </c>
      <c r="F473" s="127">
        <v>45949</v>
      </c>
    </row>
    <row r="474" spans="1:6" x14ac:dyDescent="0.25">
      <c r="A474" s="11">
        <v>301</v>
      </c>
      <c r="B474" s="42" t="s">
        <v>1049</v>
      </c>
      <c r="C474" s="11" t="s">
        <v>6</v>
      </c>
      <c r="D474" s="11" t="s">
        <v>6</v>
      </c>
      <c r="E474" s="101" t="s">
        <v>46</v>
      </c>
      <c r="F474" s="127">
        <v>45949</v>
      </c>
    </row>
    <row r="475" spans="1:6" x14ac:dyDescent="0.25">
      <c r="A475" s="11">
        <v>302</v>
      </c>
      <c r="B475" s="42" t="s">
        <v>1051</v>
      </c>
      <c r="C475" s="11" t="s">
        <v>6</v>
      </c>
      <c r="D475" s="11" t="s">
        <v>6</v>
      </c>
      <c r="E475" s="101" t="s">
        <v>46</v>
      </c>
      <c r="F475" s="127">
        <v>45949</v>
      </c>
    </row>
    <row r="476" spans="1:6" x14ac:dyDescent="0.25">
      <c r="A476" s="11">
        <v>303</v>
      </c>
      <c r="B476" s="42" t="s">
        <v>1053</v>
      </c>
      <c r="C476" s="11" t="s">
        <v>6</v>
      </c>
      <c r="D476" s="11" t="s">
        <v>6</v>
      </c>
      <c r="E476" s="101" t="s">
        <v>46</v>
      </c>
      <c r="F476" s="127">
        <v>45949</v>
      </c>
    </row>
    <row r="477" spans="1:6" x14ac:dyDescent="0.25">
      <c r="A477" s="11">
        <v>304</v>
      </c>
      <c r="B477" s="8" t="s">
        <v>1100</v>
      </c>
      <c r="C477" s="11" t="s">
        <v>6</v>
      </c>
      <c r="D477" s="11" t="s">
        <v>6</v>
      </c>
      <c r="E477" s="104" t="s">
        <v>46</v>
      </c>
      <c r="F477" s="127">
        <v>45956</v>
      </c>
    </row>
    <row r="478" spans="1:6" x14ac:dyDescent="0.25">
      <c r="A478" s="11">
        <v>305</v>
      </c>
      <c r="B478" s="21" t="s">
        <v>71</v>
      </c>
      <c r="C478" s="11" t="s">
        <v>6</v>
      </c>
      <c r="D478" s="11" t="s">
        <v>6</v>
      </c>
      <c r="E478" s="101" t="s">
        <v>359</v>
      </c>
      <c r="F478" s="127">
        <v>45956</v>
      </c>
    </row>
    <row r="479" spans="1:6" x14ac:dyDescent="0.25">
      <c r="A479" s="11">
        <v>306</v>
      </c>
      <c r="B479" s="8" t="s">
        <v>1018</v>
      </c>
      <c r="C479" s="11" t="s">
        <v>6</v>
      </c>
      <c r="D479" s="11" t="s">
        <v>6</v>
      </c>
      <c r="E479" s="101" t="s">
        <v>46</v>
      </c>
      <c r="F479" s="127">
        <v>45956</v>
      </c>
    </row>
    <row r="480" spans="1:6" x14ac:dyDescent="0.25">
      <c r="A480" s="11">
        <v>307</v>
      </c>
      <c r="B480" s="42" t="s">
        <v>1349</v>
      </c>
      <c r="C480" s="11" t="s">
        <v>6</v>
      </c>
      <c r="D480" s="11" t="s">
        <v>6</v>
      </c>
      <c r="E480" s="101" t="s">
        <v>46</v>
      </c>
      <c r="F480" s="127">
        <v>46023</v>
      </c>
    </row>
    <row r="481" spans="1:6" x14ac:dyDescent="0.25">
      <c r="A481" s="11">
        <v>308</v>
      </c>
      <c r="B481" s="42" t="s">
        <v>1050</v>
      </c>
      <c r="C481" s="11" t="s">
        <v>6</v>
      </c>
      <c r="D481" s="11" t="s">
        <v>6</v>
      </c>
      <c r="E481" s="101" t="s">
        <v>46</v>
      </c>
      <c r="F481" s="127">
        <v>45956</v>
      </c>
    </row>
    <row r="482" spans="1:6" x14ac:dyDescent="0.25">
      <c r="A482" s="11">
        <v>309</v>
      </c>
      <c r="B482" s="42" t="s">
        <v>1081</v>
      </c>
      <c r="C482" s="11" t="s">
        <v>6</v>
      </c>
      <c r="D482" s="11" t="s">
        <v>6</v>
      </c>
      <c r="E482" s="101" t="s">
        <v>46</v>
      </c>
      <c r="F482" s="127">
        <v>45956</v>
      </c>
    </row>
    <row r="483" spans="1:6" x14ac:dyDescent="0.25">
      <c r="A483" s="11">
        <v>310</v>
      </c>
      <c r="B483" s="42" t="s">
        <v>1094</v>
      </c>
      <c r="C483" s="11" t="s">
        <v>6</v>
      </c>
      <c r="D483" s="11" t="s">
        <v>6</v>
      </c>
      <c r="E483" s="101" t="s">
        <v>46</v>
      </c>
      <c r="F483" s="127">
        <v>45956</v>
      </c>
    </row>
    <row r="484" spans="1:6" x14ac:dyDescent="0.25">
      <c r="A484" s="11">
        <v>311</v>
      </c>
      <c r="B484" s="42" t="s">
        <v>1098</v>
      </c>
      <c r="C484" s="11" t="s">
        <v>6</v>
      </c>
      <c r="D484" s="11" t="s">
        <v>6</v>
      </c>
      <c r="E484" s="101" t="s">
        <v>46</v>
      </c>
      <c r="F484" s="127">
        <v>45956</v>
      </c>
    </row>
    <row r="485" spans="1:6" x14ac:dyDescent="0.25">
      <c r="A485" s="11">
        <v>312</v>
      </c>
      <c r="B485" s="42" t="s">
        <v>1101</v>
      </c>
      <c r="C485" s="11" t="s">
        <v>6</v>
      </c>
      <c r="D485" s="11" t="s">
        <v>6</v>
      </c>
      <c r="E485" s="101" t="s">
        <v>46</v>
      </c>
      <c r="F485" s="127">
        <v>45956</v>
      </c>
    </row>
    <row r="486" spans="1:6" x14ac:dyDescent="0.25">
      <c r="A486" s="11">
        <v>313</v>
      </c>
      <c r="B486" s="42" t="s">
        <v>1104</v>
      </c>
      <c r="C486" s="11" t="s">
        <v>6</v>
      </c>
      <c r="D486" s="11" t="s">
        <v>6</v>
      </c>
      <c r="E486" s="101" t="s">
        <v>46</v>
      </c>
      <c r="F486" s="127">
        <v>45956</v>
      </c>
    </row>
    <row r="487" spans="1:6" x14ac:dyDescent="0.25">
      <c r="A487" s="11">
        <v>314</v>
      </c>
      <c r="B487" s="42" t="s">
        <v>479</v>
      </c>
      <c r="C487" s="11" t="s">
        <v>6</v>
      </c>
      <c r="D487" s="11" t="s">
        <v>6</v>
      </c>
      <c r="E487" s="101" t="s">
        <v>40</v>
      </c>
      <c r="F487" s="127">
        <v>45964</v>
      </c>
    </row>
    <row r="488" spans="1:6" x14ac:dyDescent="0.25">
      <c r="A488" s="11">
        <v>315</v>
      </c>
      <c r="B488" s="42" t="s">
        <v>771</v>
      </c>
      <c r="C488" s="11" t="s">
        <v>6</v>
      </c>
      <c r="D488" s="11" t="s">
        <v>6</v>
      </c>
      <c r="E488" s="101" t="s">
        <v>46</v>
      </c>
      <c r="F488" s="127">
        <v>45964</v>
      </c>
    </row>
    <row r="489" spans="1:6" x14ac:dyDescent="0.25">
      <c r="A489" s="11">
        <v>316</v>
      </c>
      <c r="B489" s="59" t="s">
        <v>1124</v>
      </c>
      <c r="C489" s="11" t="s">
        <v>6</v>
      </c>
      <c r="D489" s="11" t="s">
        <v>6</v>
      </c>
      <c r="E489" s="101" t="s">
        <v>46</v>
      </c>
      <c r="F489" s="127">
        <v>45964</v>
      </c>
    </row>
    <row r="490" spans="1:6" x14ac:dyDescent="0.25">
      <c r="A490" s="11">
        <v>317</v>
      </c>
      <c r="B490" s="42" t="s">
        <v>991</v>
      </c>
      <c r="C490" s="11" t="s">
        <v>6</v>
      </c>
      <c r="D490" s="11" t="s">
        <v>6</v>
      </c>
      <c r="E490" s="101" t="s">
        <v>46</v>
      </c>
      <c r="F490" s="127">
        <v>45964</v>
      </c>
    </row>
    <row r="491" spans="1:6" x14ac:dyDescent="0.25">
      <c r="A491" s="11">
        <v>318</v>
      </c>
      <c r="B491" s="38" t="s">
        <v>1069</v>
      </c>
      <c r="C491" s="11" t="s">
        <v>6</v>
      </c>
      <c r="D491" s="11" t="s">
        <v>6</v>
      </c>
      <c r="E491" s="101" t="s">
        <v>46</v>
      </c>
      <c r="F491" s="127">
        <v>45964</v>
      </c>
    </row>
    <row r="492" spans="1:6" x14ac:dyDescent="0.25">
      <c r="A492" s="11">
        <v>319</v>
      </c>
      <c r="B492" s="8" t="s">
        <v>1149</v>
      </c>
      <c r="C492" s="11" t="s">
        <v>6</v>
      </c>
      <c r="D492" s="11" t="s">
        <v>6</v>
      </c>
      <c r="E492" s="101" t="s">
        <v>41</v>
      </c>
      <c r="F492" s="127">
        <v>45970</v>
      </c>
    </row>
    <row r="493" spans="1:6" x14ac:dyDescent="0.25">
      <c r="A493" s="11">
        <v>320</v>
      </c>
      <c r="B493" s="42" t="s">
        <v>650</v>
      </c>
      <c r="C493" s="11" t="s">
        <v>6</v>
      </c>
      <c r="D493" s="11" t="s">
        <v>6</v>
      </c>
      <c r="E493" s="101" t="s">
        <v>46</v>
      </c>
      <c r="F493" s="127">
        <v>45970</v>
      </c>
    </row>
    <row r="494" spans="1:6" x14ac:dyDescent="0.25">
      <c r="A494" s="11">
        <v>321</v>
      </c>
      <c r="B494" s="42" t="s">
        <v>1145</v>
      </c>
      <c r="C494" s="11" t="s">
        <v>6</v>
      </c>
      <c r="D494" s="11" t="s">
        <v>6</v>
      </c>
      <c r="E494" s="101" t="s">
        <v>46</v>
      </c>
      <c r="F494" s="127">
        <v>45970</v>
      </c>
    </row>
    <row r="495" spans="1:6" x14ac:dyDescent="0.25">
      <c r="A495" s="11">
        <v>322</v>
      </c>
      <c r="B495" s="42" t="s">
        <v>1123</v>
      </c>
      <c r="C495" s="11" t="s">
        <v>6</v>
      </c>
      <c r="D495" s="11" t="s">
        <v>6</v>
      </c>
      <c r="E495" s="101" t="s">
        <v>46</v>
      </c>
      <c r="F495" s="127">
        <v>45970</v>
      </c>
    </row>
    <row r="496" spans="1:6" x14ac:dyDescent="0.25">
      <c r="A496" s="11">
        <v>323</v>
      </c>
      <c r="B496" s="42" t="s">
        <v>1144</v>
      </c>
      <c r="C496" s="11" t="s">
        <v>6</v>
      </c>
      <c r="D496" s="11" t="s">
        <v>6</v>
      </c>
      <c r="E496" s="101" t="s">
        <v>46</v>
      </c>
      <c r="F496" s="127">
        <v>45970</v>
      </c>
    </row>
    <row r="497" spans="1:6" x14ac:dyDescent="0.25">
      <c r="A497" s="11">
        <v>324</v>
      </c>
      <c r="B497" s="42" t="s">
        <v>1148</v>
      </c>
      <c r="C497" s="11" t="s">
        <v>6</v>
      </c>
      <c r="D497" s="11" t="s">
        <v>6</v>
      </c>
      <c r="E497" s="101" t="s">
        <v>46</v>
      </c>
      <c r="F497" s="127">
        <v>45970</v>
      </c>
    </row>
    <row r="498" spans="1:6" x14ac:dyDescent="0.25">
      <c r="A498" s="11">
        <v>325</v>
      </c>
      <c r="B498" s="8" t="s">
        <v>1665</v>
      </c>
      <c r="C498" s="11" t="s">
        <v>6</v>
      </c>
      <c r="D498" s="11" t="s">
        <v>6</v>
      </c>
      <c r="E498" s="104" t="s">
        <v>46</v>
      </c>
      <c r="F498" s="127">
        <v>46110</v>
      </c>
    </row>
    <row r="499" spans="1:6" x14ac:dyDescent="0.25">
      <c r="A499" s="11">
        <v>326</v>
      </c>
      <c r="B499" s="8" t="s">
        <v>1196</v>
      </c>
      <c r="C499" s="11" t="s">
        <v>6</v>
      </c>
      <c r="D499" s="11" t="s">
        <v>6</v>
      </c>
      <c r="E499" s="103" t="s">
        <v>46</v>
      </c>
      <c r="F499" s="127">
        <v>45984</v>
      </c>
    </row>
    <row r="500" spans="1:6" x14ac:dyDescent="0.25">
      <c r="A500" s="11">
        <v>327</v>
      </c>
      <c r="B500" s="42" t="s">
        <v>1365</v>
      </c>
      <c r="C500" s="11" t="s">
        <v>6</v>
      </c>
      <c r="D500" s="11" t="s">
        <v>6</v>
      </c>
      <c r="E500" s="101" t="s">
        <v>155</v>
      </c>
      <c r="F500" s="127">
        <v>46040</v>
      </c>
    </row>
    <row r="501" spans="1:6" x14ac:dyDescent="0.25">
      <c r="A501" s="11">
        <v>328</v>
      </c>
      <c r="B501" s="42" t="s">
        <v>1021</v>
      </c>
      <c r="C501" s="11" t="s">
        <v>6</v>
      </c>
      <c r="D501" s="11" t="s">
        <v>6</v>
      </c>
      <c r="E501" s="101" t="s">
        <v>46</v>
      </c>
      <c r="F501" s="127">
        <v>45984</v>
      </c>
    </row>
    <row r="502" spans="1:6" x14ac:dyDescent="0.25">
      <c r="A502" s="11">
        <v>329</v>
      </c>
      <c r="B502" s="42" t="s">
        <v>1056</v>
      </c>
      <c r="C502" s="11" t="s">
        <v>6</v>
      </c>
      <c r="D502" s="11" t="s">
        <v>6</v>
      </c>
      <c r="E502" s="101" t="s">
        <v>46</v>
      </c>
      <c r="F502" s="127">
        <v>45977</v>
      </c>
    </row>
    <row r="503" spans="1:6" x14ac:dyDescent="0.25">
      <c r="A503" s="11">
        <v>330</v>
      </c>
      <c r="B503" s="42" t="s">
        <v>1133</v>
      </c>
      <c r="C503" s="11" t="s">
        <v>6</v>
      </c>
      <c r="D503" s="11" t="s">
        <v>6</v>
      </c>
      <c r="E503" s="101" t="s">
        <v>46</v>
      </c>
      <c r="F503" s="127">
        <v>45977</v>
      </c>
    </row>
    <row r="504" spans="1:6" x14ac:dyDescent="0.25">
      <c r="A504" s="11">
        <v>331</v>
      </c>
      <c r="B504" s="42" t="s">
        <v>1160</v>
      </c>
      <c r="C504" s="11" t="s">
        <v>6</v>
      </c>
      <c r="D504" s="11" t="s">
        <v>6</v>
      </c>
      <c r="E504" s="101" t="s">
        <v>46</v>
      </c>
      <c r="F504" s="127">
        <v>45977</v>
      </c>
    </row>
    <row r="505" spans="1:6" x14ac:dyDescent="0.25">
      <c r="A505" s="11">
        <v>332</v>
      </c>
      <c r="B505" s="42" t="s">
        <v>1161</v>
      </c>
      <c r="C505" s="11" t="s">
        <v>6</v>
      </c>
      <c r="D505" s="11" t="s">
        <v>6</v>
      </c>
      <c r="E505" s="101" t="s">
        <v>46</v>
      </c>
      <c r="F505" s="127">
        <v>45977</v>
      </c>
    </row>
    <row r="506" spans="1:6" x14ac:dyDescent="0.25">
      <c r="A506" s="11">
        <v>333</v>
      </c>
      <c r="B506" s="42" t="s">
        <v>1162</v>
      </c>
      <c r="C506" s="11" t="s">
        <v>6</v>
      </c>
      <c r="D506" s="11" t="s">
        <v>6</v>
      </c>
      <c r="E506" s="101" t="s">
        <v>46</v>
      </c>
      <c r="F506" s="127">
        <v>45977</v>
      </c>
    </row>
    <row r="507" spans="1:6" x14ac:dyDescent="0.25">
      <c r="A507" s="11">
        <v>334</v>
      </c>
      <c r="B507" s="42" t="s">
        <v>1163</v>
      </c>
      <c r="C507" s="11" t="s">
        <v>6</v>
      </c>
      <c r="D507" s="11" t="s">
        <v>6</v>
      </c>
      <c r="E507" s="101" t="s">
        <v>46</v>
      </c>
      <c r="F507" s="127">
        <v>45977</v>
      </c>
    </row>
    <row r="508" spans="1:6" x14ac:dyDescent="0.25">
      <c r="A508" s="11">
        <v>335</v>
      </c>
      <c r="B508" s="42" t="s">
        <v>1165</v>
      </c>
      <c r="C508" s="11" t="s">
        <v>6</v>
      </c>
      <c r="D508" s="11" t="s">
        <v>6</v>
      </c>
      <c r="E508" s="101" t="s">
        <v>46</v>
      </c>
      <c r="F508" s="127">
        <v>45977</v>
      </c>
    </row>
    <row r="509" spans="1:6" x14ac:dyDescent="0.25">
      <c r="A509" s="11">
        <v>336</v>
      </c>
      <c r="B509" s="42" t="s">
        <v>1171</v>
      </c>
      <c r="C509" s="11" t="s">
        <v>6</v>
      </c>
      <c r="D509" s="11" t="s">
        <v>6</v>
      </c>
      <c r="E509" s="101" t="s">
        <v>46</v>
      </c>
      <c r="F509" s="127">
        <v>45992</v>
      </c>
    </row>
    <row r="510" spans="1:6" x14ac:dyDescent="0.25">
      <c r="A510" s="11">
        <v>337</v>
      </c>
      <c r="B510" s="42" t="s">
        <v>1172</v>
      </c>
      <c r="C510" s="11" t="s">
        <v>6</v>
      </c>
      <c r="D510" s="11" t="s">
        <v>6</v>
      </c>
      <c r="E510" s="101" t="s">
        <v>46</v>
      </c>
      <c r="F510" s="127">
        <v>45977</v>
      </c>
    </row>
    <row r="511" spans="1:6" x14ac:dyDescent="0.25">
      <c r="A511" s="11">
        <v>338</v>
      </c>
      <c r="B511" s="42" t="s">
        <v>1187</v>
      </c>
      <c r="C511" s="11" t="s">
        <v>6</v>
      </c>
      <c r="D511" s="11" t="s">
        <v>6</v>
      </c>
      <c r="E511" s="101" t="s">
        <v>46</v>
      </c>
      <c r="F511" s="127">
        <v>45984</v>
      </c>
    </row>
    <row r="512" spans="1:6" x14ac:dyDescent="0.25">
      <c r="A512" s="11">
        <v>339</v>
      </c>
      <c r="B512" s="42" t="s">
        <v>1188</v>
      </c>
      <c r="C512" s="11" t="s">
        <v>6</v>
      </c>
      <c r="D512" s="11" t="s">
        <v>6</v>
      </c>
      <c r="E512" s="101" t="s">
        <v>46</v>
      </c>
      <c r="F512" s="127">
        <v>45984</v>
      </c>
    </row>
    <row r="513" spans="1:6" x14ac:dyDescent="0.25">
      <c r="A513" s="11">
        <v>340</v>
      </c>
      <c r="B513" s="42" t="s">
        <v>1190</v>
      </c>
      <c r="C513" s="11" t="s">
        <v>6</v>
      </c>
      <c r="D513" s="11" t="s">
        <v>6</v>
      </c>
      <c r="E513" s="101" t="s">
        <v>154</v>
      </c>
      <c r="F513" s="127">
        <v>45984</v>
      </c>
    </row>
    <row r="514" spans="1:6" x14ac:dyDescent="0.25">
      <c r="A514" s="11">
        <v>341</v>
      </c>
      <c r="B514" s="42" t="s">
        <v>1191</v>
      </c>
      <c r="C514" s="11" t="s">
        <v>6</v>
      </c>
      <c r="D514" s="11" t="s">
        <v>6</v>
      </c>
      <c r="E514" s="101" t="s">
        <v>154</v>
      </c>
      <c r="F514" s="127">
        <v>45984</v>
      </c>
    </row>
    <row r="515" spans="1:6" x14ac:dyDescent="0.25">
      <c r="A515" s="11">
        <v>342</v>
      </c>
      <c r="B515" s="42" t="s">
        <v>1192</v>
      </c>
      <c r="C515" s="11" t="s">
        <v>6</v>
      </c>
      <c r="D515" s="11" t="s">
        <v>6</v>
      </c>
      <c r="E515" s="101" t="s">
        <v>154</v>
      </c>
      <c r="F515" s="127">
        <v>45984</v>
      </c>
    </row>
    <row r="516" spans="1:6" x14ac:dyDescent="0.25">
      <c r="A516" s="11">
        <v>343</v>
      </c>
      <c r="B516" s="42" t="s">
        <v>1204</v>
      </c>
      <c r="C516" s="11" t="s">
        <v>6</v>
      </c>
      <c r="D516" s="11" t="s">
        <v>6</v>
      </c>
      <c r="E516" s="101" t="s">
        <v>46</v>
      </c>
      <c r="F516" s="127">
        <v>45984</v>
      </c>
    </row>
    <row r="517" spans="1:6" x14ac:dyDescent="0.25">
      <c r="A517" s="11">
        <v>344</v>
      </c>
      <c r="B517" s="59" t="s">
        <v>1368</v>
      </c>
      <c r="C517" s="11" t="s">
        <v>6</v>
      </c>
      <c r="D517" s="11" t="s">
        <v>6</v>
      </c>
      <c r="E517" s="101" t="s">
        <v>46</v>
      </c>
      <c r="F517" s="127">
        <v>46040</v>
      </c>
    </row>
    <row r="518" spans="1:6" x14ac:dyDescent="0.25">
      <c r="A518" s="11">
        <v>345</v>
      </c>
      <c r="B518" s="42" t="s">
        <v>1206</v>
      </c>
      <c r="C518" s="11" t="s">
        <v>6</v>
      </c>
      <c r="D518" s="11" t="s">
        <v>6</v>
      </c>
      <c r="E518" s="101" t="s">
        <v>154</v>
      </c>
      <c r="F518" s="127">
        <v>45984</v>
      </c>
    </row>
    <row r="519" spans="1:6" x14ac:dyDescent="0.25">
      <c r="A519" s="11">
        <v>346</v>
      </c>
      <c r="B519" s="42" t="s">
        <v>1207</v>
      </c>
      <c r="C519" s="11" t="s">
        <v>6</v>
      </c>
      <c r="D519" s="11" t="s">
        <v>6</v>
      </c>
      <c r="E519" s="101" t="s">
        <v>154</v>
      </c>
      <c r="F519" s="127">
        <v>45984</v>
      </c>
    </row>
    <row r="520" spans="1:6" x14ac:dyDescent="0.25">
      <c r="A520" s="11">
        <v>347</v>
      </c>
      <c r="B520" s="42" t="s">
        <v>1208</v>
      </c>
      <c r="C520" s="11" t="s">
        <v>6</v>
      </c>
      <c r="D520" s="11" t="s">
        <v>6</v>
      </c>
      <c r="E520" s="101" t="s">
        <v>154</v>
      </c>
      <c r="F520" s="127">
        <v>45984</v>
      </c>
    </row>
    <row r="521" spans="1:6" x14ac:dyDescent="0.25">
      <c r="A521" s="11">
        <v>348</v>
      </c>
      <c r="B521" s="42" t="s">
        <v>1205</v>
      </c>
      <c r="C521" s="11" t="s">
        <v>6</v>
      </c>
      <c r="D521" s="11" t="s">
        <v>6</v>
      </c>
      <c r="E521" s="101" t="s">
        <v>46</v>
      </c>
      <c r="F521" s="127">
        <v>45984</v>
      </c>
    </row>
    <row r="522" spans="1:6" x14ac:dyDescent="0.25">
      <c r="A522" s="11">
        <v>349</v>
      </c>
      <c r="B522" s="8" t="s">
        <v>1250</v>
      </c>
      <c r="C522" s="11" t="s">
        <v>6</v>
      </c>
      <c r="D522" s="11" t="s">
        <v>6</v>
      </c>
      <c r="E522" s="104" t="s">
        <v>46</v>
      </c>
      <c r="F522" s="127">
        <v>45998</v>
      </c>
    </row>
    <row r="523" spans="1:6" x14ac:dyDescent="0.25">
      <c r="A523" s="11">
        <v>350</v>
      </c>
      <c r="B523" s="59" t="s">
        <v>845</v>
      </c>
      <c r="C523" s="11" t="s">
        <v>6</v>
      </c>
      <c r="D523" s="11" t="s">
        <v>6</v>
      </c>
      <c r="E523" s="101" t="s">
        <v>46</v>
      </c>
      <c r="F523" s="127">
        <v>46040</v>
      </c>
    </row>
    <row r="524" spans="1:6" x14ac:dyDescent="0.25">
      <c r="A524" s="11">
        <v>351</v>
      </c>
      <c r="B524" s="8" t="s">
        <v>81</v>
      </c>
      <c r="C524" s="11" t="s">
        <v>6</v>
      </c>
      <c r="D524" s="11" t="s">
        <v>6</v>
      </c>
      <c r="E524" s="104" t="s">
        <v>359</v>
      </c>
      <c r="F524" s="127">
        <v>46104</v>
      </c>
    </row>
    <row r="525" spans="1:6" x14ac:dyDescent="0.25">
      <c r="A525" s="11">
        <v>352</v>
      </c>
      <c r="B525" s="8" t="s">
        <v>1244</v>
      </c>
      <c r="C525" s="11" t="s">
        <v>6</v>
      </c>
      <c r="D525" s="11" t="s">
        <v>6</v>
      </c>
      <c r="E525" s="104" t="s">
        <v>359</v>
      </c>
      <c r="F525" s="127">
        <v>45992</v>
      </c>
    </row>
    <row r="526" spans="1:6" x14ac:dyDescent="0.25">
      <c r="A526" s="11">
        <v>353</v>
      </c>
      <c r="B526" s="8" t="s">
        <v>1305</v>
      </c>
      <c r="C526" s="11" t="s">
        <v>6</v>
      </c>
      <c r="D526" s="11" t="s">
        <v>6</v>
      </c>
      <c r="E526" s="104" t="s">
        <v>46</v>
      </c>
      <c r="F526" s="127">
        <v>46012</v>
      </c>
    </row>
    <row r="527" spans="1:6" x14ac:dyDescent="0.25">
      <c r="A527" s="11">
        <v>354</v>
      </c>
      <c r="B527" s="8" t="s">
        <v>787</v>
      </c>
      <c r="C527" s="11" t="s">
        <v>6</v>
      </c>
      <c r="D527" s="11" t="s">
        <v>6</v>
      </c>
      <c r="E527" s="103" t="s">
        <v>46</v>
      </c>
      <c r="F527" s="127">
        <v>45992</v>
      </c>
    </row>
    <row r="528" spans="1:6" x14ac:dyDescent="0.25">
      <c r="A528" s="11">
        <v>355</v>
      </c>
      <c r="B528" s="21" t="s">
        <v>1221</v>
      </c>
      <c r="C528" s="11" t="s">
        <v>6</v>
      </c>
      <c r="D528" s="11" t="s">
        <v>6</v>
      </c>
      <c r="E528" s="104" t="s">
        <v>46</v>
      </c>
      <c r="F528" s="127">
        <v>45992</v>
      </c>
    </row>
    <row r="529" spans="1:6" x14ac:dyDescent="0.25">
      <c r="A529" s="11">
        <v>356</v>
      </c>
      <c r="B529" s="21" t="s">
        <v>1093</v>
      </c>
      <c r="C529" s="11" t="s">
        <v>6</v>
      </c>
      <c r="D529" s="11" t="s">
        <v>6</v>
      </c>
      <c r="E529" s="101" t="s">
        <v>46</v>
      </c>
      <c r="F529" s="127">
        <v>46005</v>
      </c>
    </row>
    <row r="530" spans="1:6" x14ac:dyDescent="0.25">
      <c r="A530" s="11">
        <v>357</v>
      </c>
      <c r="B530" s="42" t="s">
        <v>1189</v>
      </c>
      <c r="C530" s="11" t="s">
        <v>6</v>
      </c>
      <c r="D530" s="11" t="s">
        <v>6</v>
      </c>
      <c r="E530" s="101" t="s">
        <v>46</v>
      </c>
      <c r="F530" s="127">
        <v>46005</v>
      </c>
    </row>
    <row r="531" spans="1:6" x14ac:dyDescent="0.25">
      <c r="A531" s="11">
        <v>358</v>
      </c>
      <c r="B531" s="8" t="s">
        <v>1643</v>
      </c>
      <c r="C531" s="11" t="s">
        <v>6</v>
      </c>
      <c r="D531" s="11" t="s">
        <v>6</v>
      </c>
      <c r="E531" s="104" t="s">
        <v>46</v>
      </c>
      <c r="F531" s="127">
        <v>46110</v>
      </c>
    </row>
    <row r="532" spans="1:6" ht="15.75" x14ac:dyDescent="0.25">
      <c r="A532" s="11">
        <v>359</v>
      </c>
      <c r="B532" s="42" t="s">
        <v>597</v>
      </c>
      <c r="C532" s="11" t="s">
        <v>6</v>
      </c>
      <c r="D532" s="11" t="s">
        <v>6</v>
      </c>
      <c r="E532" s="102" t="s">
        <v>46</v>
      </c>
      <c r="F532" s="127">
        <v>45992</v>
      </c>
    </row>
    <row r="533" spans="1:6" x14ac:dyDescent="0.25">
      <c r="A533" s="11">
        <v>360</v>
      </c>
      <c r="B533" s="59" t="s">
        <v>844</v>
      </c>
      <c r="C533" s="11" t="s">
        <v>6</v>
      </c>
      <c r="D533" s="11" t="s">
        <v>6</v>
      </c>
      <c r="E533" s="101" t="s">
        <v>46</v>
      </c>
      <c r="F533" s="127">
        <v>45992</v>
      </c>
    </row>
    <row r="534" spans="1:6" x14ac:dyDescent="0.25">
      <c r="A534" s="11">
        <v>361</v>
      </c>
      <c r="B534" s="42" t="s">
        <v>365</v>
      </c>
      <c r="C534" s="11" t="s">
        <v>6</v>
      </c>
      <c r="D534" s="11" t="s">
        <v>6</v>
      </c>
      <c r="E534" s="101" t="s">
        <v>46</v>
      </c>
      <c r="F534" s="127">
        <v>46005</v>
      </c>
    </row>
    <row r="535" spans="1:6" x14ac:dyDescent="0.25">
      <c r="A535" s="11">
        <v>362</v>
      </c>
      <c r="B535" s="42" t="s">
        <v>1079</v>
      </c>
      <c r="C535" s="11" t="s">
        <v>6</v>
      </c>
      <c r="D535" s="11" t="s">
        <v>6</v>
      </c>
      <c r="E535" s="101" t="s">
        <v>46</v>
      </c>
      <c r="F535" s="127">
        <v>45998</v>
      </c>
    </row>
    <row r="536" spans="1:6" x14ac:dyDescent="0.25">
      <c r="A536" s="11">
        <v>363</v>
      </c>
      <c r="B536" s="42" t="s">
        <v>1080</v>
      </c>
      <c r="C536" s="11" t="s">
        <v>6</v>
      </c>
      <c r="D536" s="11" t="s">
        <v>6</v>
      </c>
      <c r="E536" s="101" t="s">
        <v>46</v>
      </c>
      <c r="F536" s="127">
        <v>45992</v>
      </c>
    </row>
    <row r="537" spans="1:6" x14ac:dyDescent="0.25">
      <c r="A537" s="11">
        <v>364</v>
      </c>
      <c r="B537" s="42" t="s">
        <v>1247</v>
      </c>
      <c r="C537" s="11" t="s">
        <v>6</v>
      </c>
      <c r="D537" s="11" t="s">
        <v>6</v>
      </c>
      <c r="E537" s="101" t="s">
        <v>46</v>
      </c>
      <c r="F537" s="127">
        <v>45992</v>
      </c>
    </row>
    <row r="538" spans="1:6" x14ac:dyDescent="0.25">
      <c r="A538" s="11">
        <v>365</v>
      </c>
      <c r="B538" s="42" t="s">
        <v>1203</v>
      </c>
      <c r="C538" s="11" t="s">
        <v>6</v>
      </c>
      <c r="D538" s="11" t="s">
        <v>6</v>
      </c>
      <c r="E538" s="101" t="s">
        <v>154</v>
      </c>
      <c r="F538" s="127">
        <v>45992</v>
      </c>
    </row>
    <row r="539" spans="1:6" x14ac:dyDescent="0.25">
      <c r="A539" s="11">
        <v>366</v>
      </c>
      <c r="B539" s="42" t="s">
        <v>1212</v>
      </c>
      <c r="C539" s="11" t="s">
        <v>6</v>
      </c>
      <c r="D539" s="11" t="s">
        <v>6</v>
      </c>
      <c r="E539" s="101" t="s">
        <v>154</v>
      </c>
      <c r="F539" s="127">
        <v>45992</v>
      </c>
    </row>
    <row r="540" spans="1:6" x14ac:dyDescent="0.25">
      <c r="A540" s="11">
        <v>367</v>
      </c>
      <c r="B540" s="42" t="s">
        <v>1214</v>
      </c>
      <c r="C540" s="11" t="s">
        <v>6</v>
      </c>
      <c r="D540" s="11" t="s">
        <v>6</v>
      </c>
      <c r="E540" s="101" t="s">
        <v>154</v>
      </c>
      <c r="F540" s="127">
        <v>45992</v>
      </c>
    </row>
    <row r="541" spans="1:6" x14ac:dyDescent="0.25">
      <c r="A541" s="11">
        <v>368</v>
      </c>
      <c r="B541" s="42" t="s">
        <v>1216</v>
      </c>
      <c r="C541" s="11" t="s">
        <v>6</v>
      </c>
      <c r="D541" s="11" t="s">
        <v>6</v>
      </c>
      <c r="E541" s="101" t="s">
        <v>46</v>
      </c>
      <c r="F541" s="127">
        <v>45992</v>
      </c>
    </row>
    <row r="542" spans="1:6" x14ac:dyDescent="0.25">
      <c r="A542" s="11">
        <v>369</v>
      </c>
      <c r="B542" s="42" t="s">
        <v>531</v>
      </c>
      <c r="C542" s="11" t="s">
        <v>6</v>
      </c>
      <c r="D542" s="11" t="s">
        <v>6</v>
      </c>
      <c r="E542" s="101" t="s">
        <v>46</v>
      </c>
      <c r="F542" s="127">
        <v>45998</v>
      </c>
    </row>
    <row r="543" spans="1:6" x14ac:dyDescent="0.25">
      <c r="A543" s="11">
        <v>370</v>
      </c>
      <c r="B543" s="42" t="s">
        <v>1246</v>
      </c>
      <c r="C543" s="11" t="s">
        <v>6</v>
      </c>
      <c r="D543" s="11" t="s">
        <v>6</v>
      </c>
      <c r="E543" s="101" t="s">
        <v>46</v>
      </c>
      <c r="F543" s="127">
        <v>45998</v>
      </c>
    </row>
    <row r="544" spans="1:6" x14ac:dyDescent="0.25">
      <c r="A544" s="11">
        <v>371</v>
      </c>
      <c r="B544" s="42" t="s">
        <v>1252</v>
      </c>
      <c r="C544" s="11" t="s">
        <v>6</v>
      </c>
      <c r="D544" s="11" t="s">
        <v>6</v>
      </c>
      <c r="E544" s="101" t="s">
        <v>46</v>
      </c>
      <c r="F544" s="127">
        <v>45998</v>
      </c>
    </row>
    <row r="545" spans="1:6" x14ac:dyDescent="0.25">
      <c r="A545" s="11">
        <v>372</v>
      </c>
      <c r="B545" s="42" t="s">
        <v>1266</v>
      </c>
      <c r="C545" s="11" t="s">
        <v>6</v>
      </c>
      <c r="D545" s="11" t="s">
        <v>6</v>
      </c>
      <c r="E545" s="101" t="s">
        <v>46</v>
      </c>
      <c r="F545" s="127">
        <v>45998</v>
      </c>
    </row>
    <row r="546" spans="1:6" x14ac:dyDescent="0.25">
      <c r="A546" s="11">
        <v>373</v>
      </c>
      <c r="B546" s="42" t="s">
        <v>956</v>
      </c>
      <c r="C546" s="11" t="s">
        <v>6</v>
      </c>
      <c r="D546" s="11" t="s">
        <v>6</v>
      </c>
      <c r="E546" s="101" t="s">
        <v>46</v>
      </c>
      <c r="F546" s="127">
        <v>45998</v>
      </c>
    </row>
    <row r="547" spans="1:6" x14ac:dyDescent="0.25">
      <c r="A547" s="11">
        <v>374</v>
      </c>
      <c r="B547" s="42" t="s">
        <v>1267</v>
      </c>
      <c r="C547" s="11" t="s">
        <v>6</v>
      </c>
      <c r="D547" s="11" t="s">
        <v>6</v>
      </c>
      <c r="E547" s="101" t="s">
        <v>46</v>
      </c>
      <c r="F547" s="127">
        <v>45998</v>
      </c>
    </row>
    <row r="548" spans="1:6" x14ac:dyDescent="0.25">
      <c r="A548" s="11">
        <v>375</v>
      </c>
      <c r="B548" s="42" t="s">
        <v>758</v>
      </c>
      <c r="C548" s="11" t="s">
        <v>6</v>
      </c>
      <c r="D548" s="11" t="s">
        <v>6</v>
      </c>
      <c r="E548" s="101" t="s">
        <v>46</v>
      </c>
      <c r="F548" s="127">
        <v>46005</v>
      </c>
    </row>
    <row r="549" spans="1:6" x14ac:dyDescent="0.25">
      <c r="A549" s="11">
        <v>376</v>
      </c>
      <c r="B549" s="42" t="s">
        <v>1269</v>
      </c>
      <c r="C549" s="11" t="s">
        <v>6</v>
      </c>
      <c r="D549" s="11" t="s">
        <v>6</v>
      </c>
      <c r="E549" s="101" t="s">
        <v>46</v>
      </c>
      <c r="F549" s="127">
        <v>45998</v>
      </c>
    </row>
    <row r="550" spans="1:6" x14ac:dyDescent="0.25">
      <c r="A550" s="11">
        <v>377</v>
      </c>
      <c r="B550" s="42" t="s">
        <v>1277</v>
      </c>
      <c r="C550" s="11" t="s">
        <v>6</v>
      </c>
      <c r="D550" s="11" t="s">
        <v>6</v>
      </c>
      <c r="E550" s="101" t="s">
        <v>46</v>
      </c>
      <c r="F550" s="127">
        <v>46005</v>
      </c>
    </row>
    <row r="551" spans="1:6" x14ac:dyDescent="0.25">
      <c r="A551" s="11">
        <v>378</v>
      </c>
      <c r="B551" s="42" t="s">
        <v>1278</v>
      </c>
      <c r="C551" s="11" t="s">
        <v>6</v>
      </c>
      <c r="D551" s="11" t="s">
        <v>6</v>
      </c>
      <c r="E551" s="101" t="s">
        <v>46</v>
      </c>
      <c r="F551" s="127">
        <v>46005</v>
      </c>
    </row>
    <row r="552" spans="1:6" x14ac:dyDescent="0.25">
      <c r="A552" s="11">
        <v>379</v>
      </c>
      <c r="B552" s="42" t="s">
        <v>1280</v>
      </c>
      <c r="C552" s="11" t="s">
        <v>6</v>
      </c>
      <c r="D552" s="11" t="s">
        <v>6</v>
      </c>
      <c r="E552" s="101" t="s">
        <v>46</v>
      </c>
      <c r="F552" s="127">
        <v>46005</v>
      </c>
    </row>
    <row r="553" spans="1:6" x14ac:dyDescent="0.25">
      <c r="A553" s="11">
        <v>380</v>
      </c>
      <c r="B553" s="42" t="s">
        <v>222</v>
      </c>
      <c r="C553" s="11" t="s">
        <v>6</v>
      </c>
      <c r="D553" s="11" t="s">
        <v>6</v>
      </c>
      <c r="E553" s="101" t="s">
        <v>46</v>
      </c>
      <c r="F553" s="127">
        <v>46005</v>
      </c>
    </row>
    <row r="554" spans="1:6" x14ac:dyDescent="0.25">
      <c r="A554" s="11">
        <v>381</v>
      </c>
      <c r="B554" s="42" t="s">
        <v>1302</v>
      </c>
      <c r="C554" s="11" t="s">
        <v>6</v>
      </c>
      <c r="D554" s="11" t="s">
        <v>6</v>
      </c>
      <c r="E554" s="101" t="s">
        <v>46</v>
      </c>
      <c r="F554" s="127">
        <v>46012</v>
      </c>
    </row>
    <row r="555" spans="1:6" x14ac:dyDescent="0.25">
      <c r="A555" s="11">
        <v>382</v>
      </c>
      <c r="B555" s="42" t="s">
        <v>1304</v>
      </c>
      <c r="C555" s="11" t="s">
        <v>6</v>
      </c>
      <c r="D555" s="11" t="s">
        <v>6</v>
      </c>
      <c r="E555" s="101" t="s">
        <v>46</v>
      </c>
      <c r="F555" s="127">
        <v>46012</v>
      </c>
    </row>
    <row r="556" spans="1:6" x14ac:dyDescent="0.25">
      <c r="A556" s="11">
        <v>383</v>
      </c>
      <c r="B556" s="42" t="s">
        <v>1307</v>
      </c>
      <c r="C556" s="11" t="s">
        <v>6</v>
      </c>
      <c r="D556" s="11" t="s">
        <v>6</v>
      </c>
      <c r="E556" s="101" t="s">
        <v>46</v>
      </c>
      <c r="F556" s="127">
        <v>46012</v>
      </c>
    </row>
    <row r="557" spans="1:6" x14ac:dyDescent="0.25">
      <c r="A557" s="11">
        <v>384</v>
      </c>
      <c r="B557" s="42" t="s">
        <v>1308</v>
      </c>
      <c r="C557" s="11" t="s">
        <v>6</v>
      </c>
      <c r="D557" s="11" t="s">
        <v>6</v>
      </c>
      <c r="E557" s="101" t="s">
        <v>46</v>
      </c>
      <c r="F557" s="127">
        <v>46012</v>
      </c>
    </row>
    <row r="558" spans="1:6" x14ac:dyDescent="0.25">
      <c r="A558" s="11">
        <v>385</v>
      </c>
      <c r="B558" s="42" t="s">
        <v>1319</v>
      </c>
      <c r="C558" s="11" t="s">
        <v>6</v>
      </c>
      <c r="D558" s="11" t="s">
        <v>6</v>
      </c>
      <c r="E558" s="101" t="s">
        <v>46</v>
      </c>
      <c r="F558" s="127">
        <v>46023</v>
      </c>
    </row>
    <row r="559" spans="1:6" x14ac:dyDescent="0.25">
      <c r="A559" s="11">
        <v>386</v>
      </c>
      <c r="B559" s="42" t="s">
        <v>1322</v>
      </c>
      <c r="C559" s="11" t="s">
        <v>6</v>
      </c>
      <c r="D559" s="11" t="s">
        <v>6</v>
      </c>
      <c r="E559" s="101" t="s">
        <v>46</v>
      </c>
      <c r="F559" s="127">
        <v>46023</v>
      </c>
    </row>
    <row r="560" spans="1:6" x14ac:dyDescent="0.25">
      <c r="A560" s="11">
        <v>387</v>
      </c>
      <c r="B560" s="42" t="s">
        <v>1326</v>
      </c>
      <c r="C560" s="11" t="s">
        <v>6</v>
      </c>
      <c r="D560" s="11" t="s">
        <v>6</v>
      </c>
      <c r="E560" s="101" t="s">
        <v>46</v>
      </c>
      <c r="F560" s="127">
        <v>46023</v>
      </c>
    </row>
    <row r="561" spans="1:6" x14ac:dyDescent="0.25">
      <c r="A561" s="11">
        <v>388</v>
      </c>
      <c r="B561" s="42" t="s">
        <v>1335</v>
      </c>
      <c r="C561" s="11" t="s">
        <v>6</v>
      </c>
      <c r="D561" s="11" t="s">
        <v>6</v>
      </c>
      <c r="E561" s="101" t="s">
        <v>46</v>
      </c>
      <c r="F561" s="127">
        <v>46023</v>
      </c>
    </row>
    <row r="562" spans="1:6" x14ac:dyDescent="0.25">
      <c r="A562" s="11">
        <v>389</v>
      </c>
      <c r="B562" s="42" t="s">
        <v>1346</v>
      </c>
      <c r="C562" s="11" t="s">
        <v>6</v>
      </c>
      <c r="D562" s="11" t="s">
        <v>6</v>
      </c>
      <c r="E562" s="101" t="s">
        <v>46</v>
      </c>
      <c r="F562" s="127">
        <v>46023</v>
      </c>
    </row>
    <row r="563" spans="1:6" x14ac:dyDescent="0.25">
      <c r="A563" s="11">
        <v>390</v>
      </c>
      <c r="B563" s="8" t="s">
        <v>396</v>
      </c>
      <c r="C563" s="11" t="s">
        <v>6</v>
      </c>
      <c r="D563" s="11" t="s">
        <v>6</v>
      </c>
      <c r="E563" s="104" t="s">
        <v>41</v>
      </c>
      <c r="F563" s="127">
        <v>46055</v>
      </c>
    </row>
    <row r="564" spans="1:6" x14ac:dyDescent="0.25">
      <c r="A564" s="11">
        <v>391</v>
      </c>
      <c r="B564" s="8" t="s">
        <v>63</v>
      </c>
      <c r="C564" s="11" t="s">
        <v>6</v>
      </c>
      <c r="D564" s="11" t="s">
        <v>6</v>
      </c>
      <c r="E564" s="104" t="s">
        <v>40</v>
      </c>
      <c r="F564" s="127">
        <v>46046</v>
      </c>
    </row>
    <row r="565" spans="1:6" x14ac:dyDescent="0.25">
      <c r="A565" s="11">
        <v>392</v>
      </c>
      <c r="B565" s="42" t="s">
        <v>1427</v>
      </c>
      <c r="C565" s="11" t="s">
        <v>6</v>
      </c>
      <c r="D565" s="11" t="s">
        <v>6</v>
      </c>
      <c r="E565" s="101" t="s">
        <v>46</v>
      </c>
      <c r="F565" s="127">
        <v>46061</v>
      </c>
    </row>
    <row r="566" spans="1:6" x14ac:dyDescent="0.25">
      <c r="A566" s="11">
        <v>393</v>
      </c>
      <c r="B566" s="8" t="s">
        <v>76</v>
      </c>
      <c r="C566" s="11" t="s">
        <v>6</v>
      </c>
      <c r="D566" s="11" t="s">
        <v>6</v>
      </c>
      <c r="E566" s="104" t="s">
        <v>359</v>
      </c>
      <c r="F566" s="127">
        <v>46061</v>
      </c>
    </row>
    <row r="567" spans="1:6" x14ac:dyDescent="0.25">
      <c r="A567" s="11">
        <v>394</v>
      </c>
      <c r="B567" s="8" t="s">
        <v>809</v>
      </c>
      <c r="C567" s="11" t="s">
        <v>6</v>
      </c>
      <c r="D567" s="11" t="s">
        <v>6</v>
      </c>
      <c r="E567" s="104" t="s">
        <v>40</v>
      </c>
      <c r="F567" s="127">
        <v>46055</v>
      </c>
    </row>
    <row r="568" spans="1:6" x14ac:dyDescent="0.25">
      <c r="A568" s="11">
        <v>395</v>
      </c>
      <c r="B568" s="8" t="s">
        <v>1366</v>
      </c>
      <c r="C568" s="11" t="s">
        <v>6</v>
      </c>
      <c r="D568" s="11" t="s">
        <v>6</v>
      </c>
      <c r="E568" s="103" t="s">
        <v>359</v>
      </c>
      <c r="F568" s="127">
        <v>46046</v>
      </c>
    </row>
    <row r="569" spans="1:6" x14ac:dyDescent="0.25">
      <c r="A569" s="11">
        <v>396</v>
      </c>
      <c r="B569" s="42" t="s">
        <v>95</v>
      </c>
      <c r="C569" s="11" t="s">
        <v>6</v>
      </c>
      <c r="D569" s="11" t="s">
        <v>6</v>
      </c>
      <c r="E569" s="101" t="s">
        <v>46</v>
      </c>
      <c r="F569" s="127">
        <v>46061</v>
      </c>
    </row>
    <row r="570" spans="1:6" x14ac:dyDescent="0.25">
      <c r="A570" s="11">
        <v>397</v>
      </c>
      <c r="B570" s="42" t="s">
        <v>1154</v>
      </c>
      <c r="C570" s="11" t="s">
        <v>6</v>
      </c>
      <c r="D570" s="11" t="s">
        <v>6</v>
      </c>
      <c r="E570" s="101" t="s">
        <v>46</v>
      </c>
      <c r="F570" s="127">
        <v>46061</v>
      </c>
    </row>
    <row r="571" spans="1:6" x14ac:dyDescent="0.25">
      <c r="A571" s="11">
        <v>398</v>
      </c>
      <c r="B571" s="42" t="s">
        <v>1377</v>
      </c>
      <c r="C571" s="11" t="s">
        <v>6</v>
      </c>
      <c r="D571" s="11" t="s">
        <v>6</v>
      </c>
      <c r="E571" s="101" t="s">
        <v>46</v>
      </c>
      <c r="F571" s="127">
        <v>46046</v>
      </c>
    </row>
    <row r="572" spans="1:6" x14ac:dyDescent="0.25">
      <c r="A572" s="11">
        <v>399</v>
      </c>
      <c r="B572" s="42" t="s">
        <v>1376</v>
      </c>
      <c r="C572" s="11" t="s">
        <v>6</v>
      </c>
      <c r="D572" s="11" t="s">
        <v>6</v>
      </c>
      <c r="E572" s="101" t="s">
        <v>46</v>
      </c>
      <c r="F572" s="127">
        <v>46046</v>
      </c>
    </row>
    <row r="573" spans="1:6" x14ac:dyDescent="0.25">
      <c r="A573" s="11">
        <v>400</v>
      </c>
      <c r="B573" s="42" t="s">
        <v>1386</v>
      </c>
      <c r="C573" s="11" t="s">
        <v>6</v>
      </c>
      <c r="D573" s="11" t="s">
        <v>6</v>
      </c>
      <c r="E573" s="101" t="s">
        <v>46</v>
      </c>
      <c r="F573" s="127">
        <v>46046</v>
      </c>
    </row>
    <row r="574" spans="1:6" x14ac:dyDescent="0.25">
      <c r="A574" s="11">
        <v>401</v>
      </c>
      <c r="B574" s="42" t="s">
        <v>1387</v>
      </c>
      <c r="C574" s="11" t="s">
        <v>6</v>
      </c>
      <c r="D574" s="11" t="s">
        <v>6</v>
      </c>
      <c r="E574" s="101" t="s">
        <v>46</v>
      </c>
      <c r="F574" s="127">
        <v>46046</v>
      </c>
    </row>
    <row r="575" spans="1:6" x14ac:dyDescent="0.25">
      <c r="A575" s="11">
        <v>402</v>
      </c>
      <c r="B575" s="42" t="s">
        <v>1384</v>
      </c>
      <c r="C575" s="11" t="s">
        <v>6</v>
      </c>
      <c r="D575" s="11" t="s">
        <v>6</v>
      </c>
      <c r="E575" s="101" t="s">
        <v>46</v>
      </c>
      <c r="F575" s="127">
        <v>46046</v>
      </c>
    </row>
    <row r="576" spans="1:6" x14ac:dyDescent="0.25">
      <c r="A576" s="11">
        <v>403</v>
      </c>
      <c r="B576" s="42" t="s">
        <v>725</v>
      </c>
      <c r="C576" s="11" t="s">
        <v>6</v>
      </c>
      <c r="D576" s="11" t="s">
        <v>6</v>
      </c>
      <c r="E576" s="101" t="s">
        <v>46</v>
      </c>
      <c r="F576" s="127">
        <v>46046</v>
      </c>
    </row>
    <row r="577" spans="1:6" x14ac:dyDescent="0.25">
      <c r="A577" s="11">
        <v>404</v>
      </c>
      <c r="B577" s="42" t="s">
        <v>739</v>
      </c>
      <c r="C577" s="11" t="s">
        <v>6</v>
      </c>
      <c r="D577" s="11" t="s">
        <v>6</v>
      </c>
      <c r="E577" s="101" t="s">
        <v>46</v>
      </c>
      <c r="F577" s="127">
        <v>46046</v>
      </c>
    </row>
    <row r="578" spans="1:6" x14ac:dyDescent="0.25">
      <c r="A578" s="11">
        <v>405</v>
      </c>
      <c r="B578" s="42" t="s">
        <v>1389</v>
      </c>
      <c r="C578" s="11" t="s">
        <v>6</v>
      </c>
      <c r="D578" s="11" t="s">
        <v>6</v>
      </c>
      <c r="E578" s="101" t="s">
        <v>46</v>
      </c>
      <c r="F578" s="127">
        <v>46046</v>
      </c>
    </row>
    <row r="579" spans="1:6" x14ac:dyDescent="0.25">
      <c r="A579" s="11">
        <v>406</v>
      </c>
      <c r="B579" s="42" t="s">
        <v>1390</v>
      </c>
      <c r="C579" s="11" t="s">
        <v>6</v>
      </c>
      <c r="D579" s="11" t="s">
        <v>6</v>
      </c>
      <c r="E579" s="101" t="s">
        <v>46</v>
      </c>
      <c r="F579" s="127">
        <v>46046</v>
      </c>
    </row>
    <row r="580" spans="1:6" x14ac:dyDescent="0.25">
      <c r="A580" s="11">
        <v>407</v>
      </c>
      <c r="B580" s="42" t="s">
        <v>1391</v>
      </c>
      <c r="C580" s="11" t="s">
        <v>6</v>
      </c>
      <c r="D580" s="11" t="s">
        <v>6</v>
      </c>
      <c r="E580" s="101" t="s">
        <v>46</v>
      </c>
      <c r="F580" s="127">
        <v>46046</v>
      </c>
    </row>
    <row r="581" spans="1:6" x14ac:dyDescent="0.25">
      <c r="A581" s="11">
        <v>408</v>
      </c>
      <c r="B581" s="42" t="s">
        <v>1406</v>
      </c>
      <c r="C581" s="11" t="s">
        <v>6</v>
      </c>
      <c r="D581" s="11" t="s">
        <v>6</v>
      </c>
      <c r="E581" s="101" t="s">
        <v>154</v>
      </c>
      <c r="F581" s="127">
        <v>46055</v>
      </c>
    </row>
    <row r="582" spans="1:6" x14ac:dyDescent="0.25">
      <c r="A582" s="11">
        <v>409</v>
      </c>
      <c r="B582" s="42" t="s">
        <v>1408</v>
      </c>
      <c r="C582" s="11" t="s">
        <v>6</v>
      </c>
      <c r="D582" s="11" t="s">
        <v>6</v>
      </c>
      <c r="E582" s="101" t="s">
        <v>154</v>
      </c>
      <c r="F582" s="127">
        <v>46055</v>
      </c>
    </row>
    <row r="583" spans="1:6" x14ac:dyDescent="0.25">
      <c r="A583" s="11">
        <v>410</v>
      </c>
      <c r="B583" s="42" t="s">
        <v>1422</v>
      </c>
      <c r="C583" s="11" t="s">
        <v>6</v>
      </c>
      <c r="D583" s="11" t="s">
        <v>6</v>
      </c>
      <c r="E583" s="101" t="s">
        <v>154</v>
      </c>
      <c r="F583" s="127">
        <v>46055</v>
      </c>
    </row>
    <row r="584" spans="1:6" x14ac:dyDescent="0.25">
      <c r="A584" s="11">
        <v>411</v>
      </c>
      <c r="B584" s="42" t="s">
        <v>1454</v>
      </c>
      <c r="C584" s="11" t="s">
        <v>6</v>
      </c>
      <c r="D584" s="11" t="s">
        <v>6</v>
      </c>
      <c r="E584" s="104" t="s">
        <v>46</v>
      </c>
      <c r="F584" s="127">
        <v>46061</v>
      </c>
    </row>
    <row r="585" spans="1:6" x14ac:dyDescent="0.25">
      <c r="A585" s="11">
        <v>412</v>
      </c>
      <c r="B585" s="42" t="s">
        <v>302</v>
      </c>
      <c r="C585" s="11" t="s">
        <v>6</v>
      </c>
      <c r="D585" s="11" t="s">
        <v>6</v>
      </c>
      <c r="E585" s="104" t="s">
        <v>46</v>
      </c>
      <c r="F585" s="127">
        <v>46061</v>
      </c>
    </row>
    <row r="586" spans="1:6" x14ac:dyDescent="0.25">
      <c r="A586" s="11">
        <v>413</v>
      </c>
      <c r="B586" s="42" t="s">
        <v>1463</v>
      </c>
      <c r="C586" s="11" t="s">
        <v>6</v>
      </c>
      <c r="D586" s="11" t="s">
        <v>6</v>
      </c>
      <c r="E586" s="104" t="s">
        <v>46</v>
      </c>
      <c r="F586" s="127">
        <v>46061</v>
      </c>
    </row>
    <row r="587" spans="1:6" x14ac:dyDescent="0.25">
      <c r="A587" s="11">
        <v>414</v>
      </c>
      <c r="B587" s="42" t="s">
        <v>1465</v>
      </c>
      <c r="C587" s="11" t="s">
        <v>6</v>
      </c>
      <c r="D587" s="11" t="s">
        <v>6</v>
      </c>
      <c r="E587" s="104" t="s">
        <v>46</v>
      </c>
      <c r="F587" s="127">
        <v>46061</v>
      </c>
    </row>
    <row r="588" spans="1:6" x14ac:dyDescent="0.25">
      <c r="A588" s="11">
        <v>415</v>
      </c>
      <c r="B588" s="42" t="s">
        <v>1466</v>
      </c>
      <c r="C588" s="11" t="s">
        <v>6</v>
      </c>
      <c r="D588" s="11" t="s">
        <v>6</v>
      </c>
      <c r="E588" s="104" t="s">
        <v>46</v>
      </c>
      <c r="F588" s="127">
        <v>46061</v>
      </c>
    </row>
    <row r="589" spans="1:6" x14ac:dyDescent="0.25">
      <c r="A589" s="11">
        <v>416</v>
      </c>
      <c r="B589" s="42" t="s">
        <v>127</v>
      </c>
      <c r="C589" s="11" t="s">
        <v>6</v>
      </c>
      <c r="D589" s="11" t="s">
        <v>6</v>
      </c>
      <c r="E589" s="101" t="s">
        <v>359</v>
      </c>
      <c r="F589" s="127">
        <v>46075</v>
      </c>
    </row>
    <row r="590" spans="1:6" x14ac:dyDescent="0.25">
      <c r="A590" s="11">
        <v>417</v>
      </c>
      <c r="B590" s="42" t="s">
        <v>1476</v>
      </c>
      <c r="C590" s="11" t="s">
        <v>6</v>
      </c>
      <c r="D590" s="11" t="s">
        <v>6</v>
      </c>
      <c r="E590" s="101" t="s">
        <v>46</v>
      </c>
      <c r="F590" s="127">
        <v>46068</v>
      </c>
    </row>
    <row r="591" spans="1:6" x14ac:dyDescent="0.25">
      <c r="A591" s="11">
        <v>418</v>
      </c>
      <c r="B591" s="42" t="s">
        <v>1477</v>
      </c>
      <c r="C591" s="11" t="s">
        <v>6</v>
      </c>
      <c r="D591" s="11" t="s">
        <v>6</v>
      </c>
      <c r="E591" s="101" t="s">
        <v>46</v>
      </c>
      <c r="F591" s="127">
        <v>46068</v>
      </c>
    </row>
    <row r="592" spans="1:6" x14ac:dyDescent="0.25">
      <c r="A592" s="11">
        <v>419</v>
      </c>
      <c r="B592" s="42" t="s">
        <v>1478</v>
      </c>
      <c r="C592" s="11" t="s">
        <v>6</v>
      </c>
      <c r="D592" s="11" t="s">
        <v>6</v>
      </c>
      <c r="E592" s="104" t="s">
        <v>46</v>
      </c>
      <c r="F592" s="127">
        <v>46075</v>
      </c>
    </row>
    <row r="593" spans="1:6" x14ac:dyDescent="0.25">
      <c r="A593" s="11">
        <v>420</v>
      </c>
      <c r="B593" s="42" t="s">
        <v>1509</v>
      </c>
      <c r="C593" s="11" t="s">
        <v>6</v>
      </c>
      <c r="D593" s="11" t="s">
        <v>6</v>
      </c>
      <c r="E593" s="104" t="s">
        <v>46</v>
      </c>
      <c r="F593" s="127">
        <v>46075</v>
      </c>
    </row>
    <row r="594" spans="1:6" x14ac:dyDescent="0.25">
      <c r="A594" s="11">
        <v>421</v>
      </c>
      <c r="B594" s="42" t="s">
        <v>1510</v>
      </c>
      <c r="C594" s="11" t="s">
        <v>6</v>
      </c>
      <c r="D594" s="11" t="s">
        <v>6</v>
      </c>
      <c r="E594" s="104" t="s">
        <v>46</v>
      </c>
      <c r="F594" s="127">
        <v>46075</v>
      </c>
    </row>
    <row r="595" spans="1:6" x14ac:dyDescent="0.25">
      <c r="A595" s="11">
        <v>422</v>
      </c>
      <c r="B595" s="42" t="s">
        <v>1448</v>
      </c>
      <c r="C595" s="11" t="s">
        <v>6</v>
      </c>
      <c r="D595" s="11" t="s">
        <v>6</v>
      </c>
      <c r="E595" s="104" t="s">
        <v>46</v>
      </c>
      <c r="F595" s="127">
        <v>46068</v>
      </c>
    </row>
    <row r="596" spans="1:6" x14ac:dyDescent="0.25">
      <c r="A596" s="11">
        <v>423</v>
      </c>
      <c r="B596" s="8" t="s">
        <v>755</v>
      </c>
      <c r="C596" s="11" t="s">
        <v>6</v>
      </c>
      <c r="D596" s="11" t="s">
        <v>6</v>
      </c>
      <c r="E596" s="103" t="s">
        <v>359</v>
      </c>
      <c r="F596" s="127">
        <v>46075</v>
      </c>
    </row>
    <row r="597" spans="1:6" x14ac:dyDescent="0.25">
      <c r="A597" s="11">
        <v>424</v>
      </c>
      <c r="B597" s="42" t="s">
        <v>1475</v>
      </c>
      <c r="C597" s="11" t="s">
        <v>6</v>
      </c>
      <c r="D597" s="11" t="s">
        <v>6</v>
      </c>
      <c r="E597" s="104" t="s">
        <v>46</v>
      </c>
      <c r="F597" s="127">
        <v>46068</v>
      </c>
    </row>
    <row r="598" spans="1:6" x14ac:dyDescent="0.25">
      <c r="A598" s="11">
        <v>425</v>
      </c>
      <c r="B598" s="42" t="s">
        <v>1484</v>
      </c>
      <c r="C598" s="11" t="s">
        <v>6</v>
      </c>
      <c r="D598" s="11" t="s">
        <v>6</v>
      </c>
      <c r="E598" s="104" t="s">
        <v>46</v>
      </c>
      <c r="F598" s="127">
        <v>46068</v>
      </c>
    </row>
    <row r="599" spans="1:6" x14ac:dyDescent="0.25">
      <c r="A599" s="11">
        <v>426</v>
      </c>
      <c r="B599" s="42" t="s">
        <v>1503</v>
      </c>
      <c r="C599" s="11" t="s">
        <v>6</v>
      </c>
      <c r="D599" s="11" t="s">
        <v>6</v>
      </c>
      <c r="E599" s="104" t="s">
        <v>46</v>
      </c>
      <c r="F599" s="127">
        <v>46075</v>
      </c>
    </row>
    <row r="600" spans="1:6" x14ac:dyDescent="0.25">
      <c r="A600" s="11">
        <v>427</v>
      </c>
      <c r="B600" s="42" t="s">
        <v>1506</v>
      </c>
      <c r="C600" s="11" t="s">
        <v>6</v>
      </c>
      <c r="D600" s="11" t="s">
        <v>6</v>
      </c>
      <c r="E600" s="104" t="s">
        <v>46</v>
      </c>
      <c r="F600" s="127">
        <v>46075</v>
      </c>
    </row>
    <row r="601" spans="1:6" x14ac:dyDescent="0.25">
      <c r="A601" s="11">
        <v>428</v>
      </c>
      <c r="B601" s="42" t="s">
        <v>1518</v>
      </c>
      <c r="C601" s="11" t="s">
        <v>6</v>
      </c>
      <c r="D601" s="11" t="s">
        <v>6</v>
      </c>
      <c r="E601" s="104" t="s">
        <v>46</v>
      </c>
      <c r="F601" s="127">
        <v>46075</v>
      </c>
    </row>
    <row r="602" spans="1:6" x14ac:dyDescent="0.25">
      <c r="A602" s="11">
        <v>429</v>
      </c>
      <c r="B602" s="42" t="s">
        <v>1520</v>
      </c>
      <c r="C602" s="11" t="s">
        <v>6</v>
      </c>
      <c r="D602" s="11" t="s">
        <v>6</v>
      </c>
      <c r="E602" s="104" t="s">
        <v>46</v>
      </c>
      <c r="F602" s="127">
        <v>46075</v>
      </c>
    </row>
    <row r="603" spans="1:6" x14ac:dyDescent="0.25">
      <c r="A603" s="11">
        <v>430</v>
      </c>
      <c r="B603" s="8" t="s">
        <v>87</v>
      </c>
      <c r="C603" s="11" t="s">
        <v>6</v>
      </c>
      <c r="D603" s="11" t="s">
        <v>6</v>
      </c>
      <c r="E603" s="104" t="s">
        <v>46</v>
      </c>
      <c r="F603" s="127">
        <v>46095</v>
      </c>
    </row>
    <row r="604" spans="1:6" x14ac:dyDescent="0.25">
      <c r="A604" s="11">
        <v>431</v>
      </c>
      <c r="B604" s="8" t="s">
        <v>113</v>
      </c>
      <c r="C604" s="11" t="s">
        <v>6</v>
      </c>
      <c r="D604" s="11" t="s">
        <v>6</v>
      </c>
      <c r="E604" s="104" t="s">
        <v>41</v>
      </c>
      <c r="F604" s="127">
        <v>46090</v>
      </c>
    </row>
    <row r="605" spans="1:6" x14ac:dyDescent="0.25">
      <c r="A605" s="11">
        <v>432</v>
      </c>
      <c r="B605" s="8" t="s">
        <v>439</v>
      </c>
      <c r="C605" s="11" t="s">
        <v>6</v>
      </c>
      <c r="D605" s="11" t="s">
        <v>6</v>
      </c>
      <c r="E605" s="104" t="s">
        <v>154</v>
      </c>
      <c r="F605" s="127">
        <v>46082</v>
      </c>
    </row>
    <row r="606" spans="1:6" x14ac:dyDescent="0.25">
      <c r="A606" s="11">
        <v>433</v>
      </c>
      <c r="B606" s="8" t="s">
        <v>329</v>
      </c>
      <c r="C606" s="11" t="s">
        <v>6</v>
      </c>
      <c r="D606" s="11" t="s">
        <v>6</v>
      </c>
      <c r="E606" s="103" t="s">
        <v>40</v>
      </c>
      <c r="F606" s="127">
        <v>46095</v>
      </c>
    </row>
    <row r="607" spans="1:6" x14ac:dyDescent="0.25">
      <c r="A607" s="11">
        <v>434</v>
      </c>
      <c r="B607" s="8" t="s">
        <v>1565</v>
      </c>
      <c r="C607" s="11" t="s">
        <v>6</v>
      </c>
      <c r="D607" s="11" t="s">
        <v>6</v>
      </c>
      <c r="E607" s="103" t="s">
        <v>46</v>
      </c>
      <c r="F607" s="127">
        <v>46090</v>
      </c>
    </row>
    <row r="608" spans="1:6" x14ac:dyDescent="0.25">
      <c r="A608" s="11">
        <v>435</v>
      </c>
      <c r="B608" s="8" t="s">
        <v>1586</v>
      </c>
      <c r="C608" s="11" t="s">
        <v>6</v>
      </c>
      <c r="D608" s="11" t="s">
        <v>6</v>
      </c>
      <c r="E608" s="103"/>
      <c r="F608" s="127">
        <v>46095</v>
      </c>
    </row>
    <row r="609" spans="1:6" x14ac:dyDescent="0.25">
      <c r="A609" s="11">
        <v>436</v>
      </c>
      <c r="B609" s="21" t="s">
        <v>325</v>
      </c>
      <c r="C609" s="11" t="s">
        <v>6</v>
      </c>
      <c r="D609" s="11" t="s">
        <v>6</v>
      </c>
      <c r="E609" s="101" t="s">
        <v>40</v>
      </c>
      <c r="F609" s="127">
        <v>46082</v>
      </c>
    </row>
    <row r="610" spans="1:6" x14ac:dyDescent="0.25">
      <c r="A610" s="11">
        <v>437</v>
      </c>
      <c r="B610" s="42" t="s">
        <v>1147</v>
      </c>
      <c r="C610" s="11" t="s">
        <v>6</v>
      </c>
      <c r="D610" s="11" t="s">
        <v>6</v>
      </c>
      <c r="E610" s="101" t="s">
        <v>46</v>
      </c>
      <c r="F610" s="127">
        <v>46095</v>
      </c>
    </row>
    <row r="611" spans="1:6" x14ac:dyDescent="0.25">
      <c r="A611" s="11">
        <v>438</v>
      </c>
      <c r="B611" s="21" t="s">
        <v>1369</v>
      </c>
      <c r="C611" s="11" t="s">
        <v>6</v>
      </c>
      <c r="D611" s="11" t="s">
        <v>6</v>
      </c>
      <c r="E611" s="104" t="s">
        <v>46</v>
      </c>
      <c r="F611" s="127">
        <v>46095</v>
      </c>
    </row>
    <row r="612" spans="1:6" x14ac:dyDescent="0.25">
      <c r="A612" s="11">
        <v>439</v>
      </c>
      <c r="B612" s="42" t="s">
        <v>1367</v>
      </c>
      <c r="C612" s="11" t="s">
        <v>6</v>
      </c>
      <c r="D612" s="11" t="s">
        <v>6</v>
      </c>
      <c r="E612" s="101" t="s">
        <v>359</v>
      </c>
      <c r="F612" s="127">
        <v>46082</v>
      </c>
    </row>
    <row r="613" spans="1:6" x14ac:dyDescent="0.25">
      <c r="A613" s="11">
        <v>440</v>
      </c>
      <c r="B613" s="42" t="s">
        <v>901</v>
      </c>
      <c r="C613" s="11" t="s">
        <v>6</v>
      </c>
      <c r="D613" s="11" t="s">
        <v>6</v>
      </c>
      <c r="E613" s="101" t="s">
        <v>46</v>
      </c>
      <c r="F613" s="127">
        <v>46082</v>
      </c>
    </row>
    <row r="614" spans="1:6" x14ac:dyDescent="0.25">
      <c r="A614" s="11">
        <v>441</v>
      </c>
      <c r="B614" s="42" t="s">
        <v>1276</v>
      </c>
      <c r="C614" s="11" t="s">
        <v>6</v>
      </c>
      <c r="D614" s="11" t="s">
        <v>6</v>
      </c>
      <c r="E614" s="101" t="s">
        <v>46</v>
      </c>
      <c r="F614" s="127">
        <v>46082</v>
      </c>
    </row>
    <row r="615" spans="1:6" x14ac:dyDescent="0.25">
      <c r="A615" s="11">
        <v>442</v>
      </c>
      <c r="B615" s="42" t="s">
        <v>1268</v>
      </c>
      <c r="C615" s="11" t="s">
        <v>6</v>
      </c>
      <c r="D615" s="11" t="s">
        <v>6</v>
      </c>
      <c r="E615" s="101" t="s">
        <v>46</v>
      </c>
      <c r="F615" s="127">
        <v>46082</v>
      </c>
    </row>
    <row r="616" spans="1:6" ht="15.75" x14ac:dyDescent="0.25">
      <c r="A616" s="11">
        <v>443</v>
      </c>
      <c r="B616" s="42" t="s">
        <v>1516</v>
      </c>
      <c r="C616" s="11" t="s">
        <v>6</v>
      </c>
      <c r="D616" s="11" t="s">
        <v>6</v>
      </c>
      <c r="E616" s="102" t="s">
        <v>46</v>
      </c>
      <c r="F616" s="127">
        <v>46095</v>
      </c>
    </row>
    <row r="617" spans="1:6" x14ac:dyDescent="0.25">
      <c r="A617" s="11">
        <v>444</v>
      </c>
      <c r="B617" s="42" t="s">
        <v>1517</v>
      </c>
      <c r="C617" s="11" t="s">
        <v>6</v>
      </c>
      <c r="D617" s="11" t="s">
        <v>6</v>
      </c>
      <c r="E617" s="101" t="s">
        <v>46</v>
      </c>
      <c r="F617" s="127">
        <v>46090</v>
      </c>
    </row>
    <row r="618" spans="1:6" x14ac:dyDescent="0.25">
      <c r="A618" s="11">
        <v>445</v>
      </c>
      <c r="B618" s="8" t="s">
        <v>811</v>
      </c>
      <c r="C618" s="11" t="s">
        <v>6</v>
      </c>
      <c r="D618" s="11" t="s">
        <v>6</v>
      </c>
      <c r="E618" s="104" t="s">
        <v>43</v>
      </c>
      <c r="F618" s="127">
        <v>46095</v>
      </c>
    </row>
    <row r="619" spans="1:6" x14ac:dyDescent="0.25">
      <c r="A619" s="11">
        <v>446</v>
      </c>
      <c r="B619" s="8" t="s">
        <v>810</v>
      </c>
      <c r="C619" s="11" t="s">
        <v>6</v>
      </c>
      <c r="D619" s="11" t="s">
        <v>6</v>
      </c>
      <c r="E619" s="104" t="s">
        <v>43</v>
      </c>
      <c r="F619" s="127">
        <v>46095</v>
      </c>
    </row>
    <row r="620" spans="1:6" x14ac:dyDescent="0.25">
      <c r="A620" s="11">
        <v>447</v>
      </c>
      <c r="B620" s="42" t="s">
        <v>616</v>
      </c>
      <c r="C620" s="11" t="s">
        <v>6</v>
      </c>
      <c r="D620" s="11" t="s">
        <v>6</v>
      </c>
      <c r="E620" s="101" t="s">
        <v>46</v>
      </c>
      <c r="F620" s="127">
        <v>46082</v>
      </c>
    </row>
    <row r="621" spans="1:6" x14ac:dyDescent="0.25">
      <c r="A621" s="11">
        <v>448</v>
      </c>
      <c r="B621" s="42" t="s">
        <v>1519</v>
      </c>
      <c r="C621" s="11" t="s">
        <v>6</v>
      </c>
      <c r="D621" s="11" t="s">
        <v>6</v>
      </c>
      <c r="E621" s="104" t="s">
        <v>46</v>
      </c>
      <c r="F621" s="127">
        <v>46095</v>
      </c>
    </row>
    <row r="622" spans="1:6" x14ac:dyDescent="0.25">
      <c r="A622" s="11">
        <v>449</v>
      </c>
      <c r="B622" s="42" t="s">
        <v>1505</v>
      </c>
      <c r="C622" s="11" t="s">
        <v>6</v>
      </c>
      <c r="D622" s="11" t="s">
        <v>6</v>
      </c>
      <c r="E622" s="104" t="s">
        <v>46</v>
      </c>
      <c r="F622" s="127">
        <v>46095</v>
      </c>
    </row>
    <row r="623" spans="1:6" x14ac:dyDescent="0.25">
      <c r="A623" s="11">
        <v>450</v>
      </c>
      <c r="B623" s="42" t="s">
        <v>1531</v>
      </c>
      <c r="C623" s="11" t="s">
        <v>6</v>
      </c>
      <c r="D623" s="11" t="s">
        <v>6</v>
      </c>
      <c r="E623" s="104" t="s">
        <v>46</v>
      </c>
      <c r="F623" s="127">
        <v>46082</v>
      </c>
    </row>
    <row r="624" spans="1:6" x14ac:dyDescent="0.25">
      <c r="A624" s="11">
        <v>451</v>
      </c>
      <c r="B624" s="42" t="s">
        <v>1532</v>
      </c>
      <c r="C624" s="11" t="s">
        <v>6</v>
      </c>
      <c r="D624" s="11" t="s">
        <v>6</v>
      </c>
      <c r="E624" s="104" t="s">
        <v>46</v>
      </c>
      <c r="F624" s="127">
        <v>46082</v>
      </c>
    </row>
    <row r="625" spans="1:6" x14ac:dyDescent="0.25">
      <c r="A625" s="11">
        <v>452</v>
      </c>
      <c r="B625" s="42" t="s">
        <v>1572</v>
      </c>
      <c r="C625" s="11" t="s">
        <v>6</v>
      </c>
      <c r="D625" s="11" t="s">
        <v>6</v>
      </c>
      <c r="E625" s="104" t="s">
        <v>46</v>
      </c>
      <c r="F625" s="127">
        <v>46095</v>
      </c>
    </row>
    <row r="626" spans="1:6" x14ac:dyDescent="0.25">
      <c r="A626" s="11">
        <v>453</v>
      </c>
      <c r="B626" s="42" t="s">
        <v>1573</v>
      </c>
      <c r="C626" s="11" t="s">
        <v>6</v>
      </c>
      <c r="D626" s="11" t="s">
        <v>6</v>
      </c>
      <c r="E626" s="104" t="s">
        <v>46</v>
      </c>
      <c r="F626" s="127">
        <v>46095</v>
      </c>
    </row>
    <row r="627" spans="1:6" x14ac:dyDescent="0.25">
      <c r="A627" s="11">
        <v>454</v>
      </c>
      <c r="B627" s="42" t="s">
        <v>94</v>
      </c>
      <c r="C627" s="11" t="s">
        <v>6</v>
      </c>
      <c r="D627" s="11" t="s">
        <v>6</v>
      </c>
      <c r="E627" s="104" t="s">
        <v>46</v>
      </c>
      <c r="F627" s="127">
        <v>46095</v>
      </c>
    </row>
    <row r="628" spans="1:6" x14ac:dyDescent="0.25">
      <c r="A628" s="11">
        <v>455</v>
      </c>
      <c r="B628" s="42" t="s">
        <v>1578</v>
      </c>
      <c r="C628" s="11" t="s">
        <v>6</v>
      </c>
      <c r="D628" s="11" t="s">
        <v>6</v>
      </c>
      <c r="E628" s="104" t="s">
        <v>46</v>
      </c>
      <c r="F628" s="127">
        <v>46095</v>
      </c>
    </row>
    <row r="629" spans="1:6" x14ac:dyDescent="0.25">
      <c r="A629" s="11">
        <v>456</v>
      </c>
      <c r="B629" s="42" t="s">
        <v>1581</v>
      </c>
      <c r="C629" s="11" t="s">
        <v>6</v>
      </c>
      <c r="D629" s="11" t="s">
        <v>6</v>
      </c>
      <c r="E629" s="104" t="s">
        <v>46</v>
      </c>
      <c r="F629" s="127">
        <v>46095</v>
      </c>
    </row>
    <row r="630" spans="1:6" x14ac:dyDescent="0.25">
      <c r="A630" s="11">
        <v>457</v>
      </c>
      <c r="B630" s="42" t="s">
        <v>1583</v>
      </c>
      <c r="C630" s="11" t="s">
        <v>6</v>
      </c>
      <c r="D630" s="11" t="s">
        <v>6</v>
      </c>
      <c r="E630" s="104" t="s">
        <v>46</v>
      </c>
      <c r="F630" s="127">
        <v>46095</v>
      </c>
    </row>
    <row r="631" spans="1:6" x14ac:dyDescent="0.25">
      <c r="A631" s="11">
        <v>458</v>
      </c>
      <c r="B631" s="8" t="s">
        <v>1779</v>
      </c>
      <c r="C631" s="11" t="s">
        <v>6</v>
      </c>
      <c r="D631" s="11" t="s">
        <v>6</v>
      </c>
      <c r="E631" s="17" t="s">
        <v>46</v>
      </c>
      <c r="F631" s="143">
        <v>46166</v>
      </c>
    </row>
    <row r="632" spans="1:6" x14ac:dyDescent="0.25">
      <c r="A632" s="11">
        <v>459</v>
      </c>
      <c r="B632" s="8" t="s">
        <v>1781</v>
      </c>
      <c r="C632" s="11" t="s">
        <v>6</v>
      </c>
      <c r="D632" s="11" t="s">
        <v>6</v>
      </c>
      <c r="E632" s="16" t="s">
        <v>46</v>
      </c>
      <c r="F632" s="143">
        <v>46166</v>
      </c>
    </row>
    <row r="633" spans="1:6" x14ac:dyDescent="0.25">
      <c r="A633" s="11">
        <v>460</v>
      </c>
      <c r="B633" s="42" t="s">
        <v>1929</v>
      </c>
      <c r="C633" s="11" t="s">
        <v>6</v>
      </c>
      <c r="D633" s="11" t="s">
        <v>6</v>
      </c>
      <c r="E633" s="24" t="s">
        <v>46</v>
      </c>
      <c r="F633" s="143">
        <v>46166</v>
      </c>
    </row>
    <row r="634" spans="1:6" x14ac:dyDescent="0.25">
      <c r="A634" s="11">
        <v>461</v>
      </c>
      <c r="B634" s="8" t="s">
        <v>1930</v>
      </c>
      <c r="C634" s="11" t="s">
        <v>6</v>
      </c>
      <c r="D634" s="11" t="s">
        <v>6</v>
      </c>
      <c r="E634" s="17" t="s">
        <v>46</v>
      </c>
      <c r="F634" s="143">
        <v>46166</v>
      </c>
    </row>
    <row r="635" spans="1:6" x14ac:dyDescent="0.25">
      <c r="A635" s="11">
        <v>462</v>
      </c>
      <c r="B635" s="8" t="s">
        <v>1245</v>
      </c>
      <c r="C635" s="11" t="s">
        <v>6</v>
      </c>
      <c r="D635" s="11" t="s">
        <v>6</v>
      </c>
      <c r="E635" s="16" t="s">
        <v>46</v>
      </c>
      <c r="F635" s="143">
        <v>46166</v>
      </c>
    </row>
    <row r="636" spans="1:6" x14ac:dyDescent="0.25">
      <c r="A636" s="11">
        <v>463</v>
      </c>
      <c r="B636" s="42" t="s">
        <v>1758</v>
      </c>
      <c r="C636" s="11" t="s">
        <v>6</v>
      </c>
      <c r="D636" s="11" t="s">
        <v>6</v>
      </c>
      <c r="E636" s="16" t="s">
        <v>46</v>
      </c>
      <c r="F636" s="143">
        <v>46166</v>
      </c>
    </row>
    <row r="637" spans="1:6" x14ac:dyDescent="0.25">
      <c r="A637" s="11">
        <v>464</v>
      </c>
      <c r="B637" s="42" t="s">
        <v>1765</v>
      </c>
      <c r="C637" s="11" t="s">
        <v>6</v>
      </c>
      <c r="D637" s="11" t="s">
        <v>6</v>
      </c>
      <c r="E637" s="16" t="s">
        <v>46</v>
      </c>
      <c r="F637" s="143">
        <v>46166</v>
      </c>
    </row>
    <row r="638" spans="1:6" x14ac:dyDescent="0.25">
      <c r="A638" s="11">
        <v>465</v>
      </c>
      <c r="B638" s="8" t="s">
        <v>553</v>
      </c>
      <c r="C638" s="11" t="s">
        <v>6</v>
      </c>
      <c r="D638" s="11" t="s">
        <v>6</v>
      </c>
      <c r="E638" s="24" t="s">
        <v>46</v>
      </c>
      <c r="F638" s="143">
        <v>46166</v>
      </c>
    </row>
    <row r="639" spans="1:6" x14ac:dyDescent="0.25">
      <c r="A639" s="11">
        <v>466</v>
      </c>
      <c r="B639" s="42" t="s">
        <v>1530</v>
      </c>
      <c r="C639" s="11" t="s">
        <v>6</v>
      </c>
      <c r="D639" s="11" t="s">
        <v>6</v>
      </c>
      <c r="E639" s="16" t="s">
        <v>46</v>
      </c>
      <c r="F639" s="143">
        <v>46166</v>
      </c>
    </row>
    <row r="640" spans="1:6" x14ac:dyDescent="0.25">
      <c r="A640" s="11">
        <v>467</v>
      </c>
      <c r="B640" s="42" t="s">
        <v>1662</v>
      </c>
      <c r="C640" s="11" t="s">
        <v>6</v>
      </c>
      <c r="D640" s="11" t="s">
        <v>6</v>
      </c>
      <c r="E640" s="16" t="s">
        <v>46</v>
      </c>
      <c r="F640" s="143">
        <v>46166</v>
      </c>
    </row>
    <row r="641" spans="1:10" x14ac:dyDescent="0.25">
      <c r="A641" s="11">
        <v>468</v>
      </c>
      <c r="B641" s="42" t="s">
        <v>1649</v>
      </c>
      <c r="C641" s="11" t="s">
        <v>6</v>
      </c>
      <c r="D641" s="11" t="s">
        <v>6</v>
      </c>
      <c r="E641" s="16" t="s">
        <v>46</v>
      </c>
      <c r="F641" s="143">
        <v>46166</v>
      </c>
    </row>
    <row r="642" spans="1:10" x14ac:dyDescent="0.25">
      <c r="A642" s="11">
        <v>469</v>
      </c>
      <c r="B642" s="42" t="s">
        <v>1780</v>
      </c>
      <c r="C642" s="11" t="s">
        <v>6</v>
      </c>
      <c r="D642" s="11" t="s">
        <v>6</v>
      </c>
      <c r="E642" s="24" t="s">
        <v>46</v>
      </c>
      <c r="F642" s="143">
        <v>46166</v>
      </c>
    </row>
    <row r="643" spans="1:10" ht="15" customHeight="1" x14ac:dyDescent="0.25">
      <c r="A643" s="11">
        <v>470</v>
      </c>
      <c r="B643" s="8" t="s">
        <v>68</v>
      </c>
      <c r="C643" s="11" t="s">
        <v>6</v>
      </c>
      <c r="D643" s="11" t="s">
        <v>6</v>
      </c>
      <c r="E643" s="16" t="s">
        <v>359</v>
      </c>
      <c r="F643" s="144">
        <v>46173</v>
      </c>
      <c r="I643" s="138"/>
      <c r="J643" s="138"/>
    </row>
    <row r="644" spans="1:10" ht="15" customHeight="1" x14ac:dyDescent="0.25">
      <c r="A644" s="11">
        <v>471</v>
      </c>
      <c r="B644" s="8" t="s">
        <v>85</v>
      </c>
      <c r="C644" s="11" t="s">
        <v>6</v>
      </c>
      <c r="D644" s="11" t="s">
        <v>6</v>
      </c>
      <c r="E644" s="16" t="s">
        <v>270</v>
      </c>
      <c r="F644" s="144">
        <v>46173</v>
      </c>
      <c r="I644" s="138"/>
      <c r="J644" s="138"/>
    </row>
    <row r="645" spans="1:10" ht="15" customHeight="1" x14ac:dyDescent="0.25">
      <c r="A645" s="11">
        <v>472</v>
      </c>
      <c r="B645" s="8" t="s">
        <v>196</v>
      </c>
      <c r="C645" s="11" t="s">
        <v>6</v>
      </c>
      <c r="D645" s="11" t="s">
        <v>6</v>
      </c>
      <c r="E645" s="16" t="s">
        <v>46</v>
      </c>
      <c r="F645" s="144">
        <v>46173</v>
      </c>
      <c r="I645" s="138"/>
      <c r="J645" s="138"/>
    </row>
    <row r="646" spans="1:10" ht="15" customHeight="1" x14ac:dyDescent="0.25">
      <c r="A646" s="11">
        <v>473</v>
      </c>
      <c r="B646" s="8" t="s">
        <v>357</v>
      </c>
      <c r="C646" s="11" t="s">
        <v>6</v>
      </c>
      <c r="D646" s="11" t="s">
        <v>6</v>
      </c>
      <c r="E646" s="16" t="s">
        <v>46</v>
      </c>
      <c r="F646" s="144">
        <v>46173</v>
      </c>
      <c r="I646" s="138"/>
      <c r="J646" s="138"/>
    </row>
    <row r="647" spans="1:10" ht="15" customHeight="1" x14ac:dyDescent="0.25">
      <c r="A647" s="11">
        <v>474</v>
      </c>
      <c r="B647" s="8" t="s">
        <v>102</v>
      </c>
      <c r="C647" s="11" t="s">
        <v>6</v>
      </c>
      <c r="D647" s="11" t="s">
        <v>6</v>
      </c>
      <c r="E647" s="16" t="s">
        <v>46</v>
      </c>
      <c r="F647" s="144">
        <v>46173</v>
      </c>
      <c r="I647" s="138"/>
      <c r="J647" s="138"/>
    </row>
    <row r="648" spans="1:10" ht="15" customHeight="1" x14ac:dyDescent="0.25">
      <c r="A648" s="11">
        <v>475</v>
      </c>
      <c r="B648" s="8" t="s">
        <v>1802</v>
      </c>
      <c r="C648" s="11" t="s">
        <v>6</v>
      </c>
      <c r="D648" s="11" t="s">
        <v>6</v>
      </c>
      <c r="E648" s="16" t="s">
        <v>46</v>
      </c>
      <c r="F648" s="144">
        <v>46173</v>
      </c>
      <c r="I648" s="138"/>
      <c r="J648" s="138"/>
    </row>
    <row r="649" spans="1:10" ht="15" customHeight="1" x14ac:dyDescent="0.25">
      <c r="A649" s="11">
        <v>476</v>
      </c>
      <c r="B649" s="8" t="s">
        <v>1730</v>
      </c>
      <c r="C649" s="11" t="s">
        <v>6</v>
      </c>
      <c r="D649" s="11" t="s">
        <v>6</v>
      </c>
      <c r="E649" s="16" t="s">
        <v>46</v>
      </c>
      <c r="F649" s="144">
        <v>46173</v>
      </c>
      <c r="I649" s="138"/>
      <c r="J649" s="138"/>
    </row>
    <row r="650" spans="1:10" ht="15" customHeight="1" x14ac:dyDescent="0.25">
      <c r="A650" s="11">
        <v>477</v>
      </c>
      <c r="B650" s="8" t="s">
        <v>274</v>
      </c>
      <c r="C650" s="11" t="s">
        <v>6</v>
      </c>
      <c r="D650" s="11" t="s">
        <v>6</v>
      </c>
      <c r="E650" s="33" t="s">
        <v>46</v>
      </c>
      <c r="F650" s="144">
        <v>46173</v>
      </c>
      <c r="I650" s="138"/>
      <c r="J650" s="138"/>
    </row>
    <row r="651" spans="1:10" ht="15" customHeight="1" x14ac:dyDescent="0.25">
      <c r="A651" s="11">
        <v>478</v>
      </c>
      <c r="B651" s="59" t="s">
        <v>1800</v>
      </c>
      <c r="C651" s="11" t="s">
        <v>6</v>
      </c>
      <c r="D651" s="11" t="s">
        <v>6</v>
      </c>
      <c r="E651" s="24" t="s">
        <v>46</v>
      </c>
      <c r="F651" s="144">
        <v>46173</v>
      </c>
      <c r="I651" s="138"/>
      <c r="J651" s="138"/>
    </row>
    <row r="652" spans="1:10" ht="15" customHeight="1" x14ac:dyDescent="0.25">
      <c r="A652" s="11">
        <v>479</v>
      </c>
      <c r="B652" s="59" t="s">
        <v>849</v>
      </c>
      <c r="C652" s="11" t="s">
        <v>6</v>
      </c>
      <c r="D652" s="11" t="s">
        <v>6</v>
      </c>
      <c r="E652" s="24" t="s">
        <v>46</v>
      </c>
      <c r="F652" s="144">
        <v>46173</v>
      </c>
      <c r="I652" s="138"/>
      <c r="J652" s="138"/>
    </row>
    <row r="653" spans="1:10" ht="15" customHeight="1" x14ac:dyDescent="0.25">
      <c r="A653" s="11">
        <v>480</v>
      </c>
      <c r="B653" s="42" t="s">
        <v>518</v>
      </c>
      <c r="C653" s="11" t="s">
        <v>6</v>
      </c>
      <c r="D653" s="11" t="s">
        <v>6</v>
      </c>
      <c r="E653" s="46" t="s">
        <v>46</v>
      </c>
      <c r="F653" s="144">
        <v>46173</v>
      </c>
      <c r="I653" s="138"/>
      <c r="J653" s="138"/>
    </row>
    <row r="654" spans="1:10" ht="15" customHeight="1" x14ac:dyDescent="0.25">
      <c r="A654" s="11">
        <v>481</v>
      </c>
      <c r="B654" s="42" t="s">
        <v>1587</v>
      </c>
      <c r="C654" s="11" t="s">
        <v>6</v>
      </c>
      <c r="D654" s="11" t="s">
        <v>6</v>
      </c>
      <c r="E654" s="24" t="s">
        <v>154</v>
      </c>
      <c r="F654" s="144">
        <v>46173</v>
      </c>
      <c r="I654" s="138"/>
      <c r="J654" s="138"/>
    </row>
    <row r="655" spans="1:10" ht="15" customHeight="1" x14ac:dyDescent="0.25">
      <c r="A655" s="11">
        <v>482</v>
      </c>
      <c r="B655" s="42" t="s">
        <v>1421</v>
      </c>
      <c r="C655" s="11" t="s">
        <v>6</v>
      </c>
      <c r="D655" s="11" t="s">
        <v>6</v>
      </c>
      <c r="E655" s="24" t="s">
        <v>154</v>
      </c>
      <c r="F655" s="144">
        <v>46173</v>
      </c>
      <c r="I655" s="138"/>
      <c r="J655" s="138"/>
    </row>
    <row r="656" spans="1:10" ht="15" customHeight="1" x14ac:dyDescent="0.25">
      <c r="A656" s="11">
        <v>483</v>
      </c>
      <c r="B656" s="42" t="s">
        <v>1701</v>
      </c>
      <c r="C656" s="11" t="s">
        <v>6</v>
      </c>
      <c r="D656" s="11" t="s">
        <v>6</v>
      </c>
      <c r="E656" s="16" t="s">
        <v>46</v>
      </c>
      <c r="F656" s="144">
        <v>46173</v>
      </c>
      <c r="I656" s="138"/>
      <c r="J656" s="138"/>
    </row>
    <row r="657" spans="1:10" ht="15" customHeight="1" x14ac:dyDescent="0.25">
      <c r="A657" s="11">
        <v>484</v>
      </c>
      <c r="B657" s="42" t="s">
        <v>1666</v>
      </c>
      <c r="C657" s="11" t="s">
        <v>6</v>
      </c>
      <c r="D657" s="11" t="s">
        <v>6</v>
      </c>
      <c r="E657" s="16" t="s">
        <v>46</v>
      </c>
      <c r="F657" s="144">
        <v>46173</v>
      </c>
      <c r="I657" s="138"/>
      <c r="J657" s="138"/>
    </row>
    <row r="658" spans="1:10" ht="15" customHeight="1" x14ac:dyDescent="0.25">
      <c r="A658" s="11">
        <v>485</v>
      </c>
      <c r="B658" s="42" t="s">
        <v>544</v>
      </c>
      <c r="C658" s="11" t="s">
        <v>6</v>
      </c>
      <c r="D658" s="11" t="s">
        <v>6</v>
      </c>
      <c r="E658" s="24" t="s">
        <v>46</v>
      </c>
      <c r="F658" s="144">
        <v>46173</v>
      </c>
      <c r="I658" s="138"/>
      <c r="J658" s="138"/>
    </row>
    <row r="659" spans="1:10" ht="15" customHeight="1" x14ac:dyDescent="0.25">
      <c r="A659" s="11">
        <v>486</v>
      </c>
      <c r="B659" s="42" t="s">
        <v>1738</v>
      </c>
      <c r="C659" s="11" t="s">
        <v>6</v>
      </c>
      <c r="D659" s="11" t="s">
        <v>6</v>
      </c>
      <c r="E659" s="16" t="s">
        <v>46</v>
      </c>
      <c r="F659" s="144">
        <v>46173</v>
      </c>
      <c r="I659" s="138"/>
      <c r="J659" s="138"/>
    </row>
    <row r="660" spans="1:10" ht="15" customHeight="1" x14ac:dyDescent="0.25">
      <c r="A660" s="11">
        <v>487</v>
      </c>
      <c r="B660" s="42" t="s">
        <v>1700</v>
      </c>
      <c r="C660" s="11" t="s">
        <v>6</v>
      </c>
      <c r="D660" s="11" t="s">
        <v>6</v>
      </c>
      <c r="E660" s="16" t="s">
        <v>46</v>
      </c>
      <c r="F660" s="144">
        <v>46173</v>
      </c>
      <c r="I660" s="138"/>
      <c r="J660" s="138"/>
    </row>
    <row r="661" spans="1:10" ht="15" customHeight="1" x14ac:dyDescent="0.25">
      <c r="A661" s="11">
        <v>488</v>
      </c>
      <c r="B661" s="42" t="s">
        <v>1762</v>
      </c>
      <c r="C661" s="11" t="s">
        <v>6</v>
      </c>
      <c r="D661" s="11" t="s">
        <v>6</v>
      </c>
      <c r="E661" s="16" t="s">
        <v>46</v>
      </c>
      <c r="F661" s="144">
        <v>46173</v>
      </c>
      <c r="I661" s="138"/>
      <c r="J661" s="138"/>
    </row>
    <row r="662" spans="1:10" ht="15" customHeight="1" x14ac:dyDescent="0.25">
      <c r="A662" s="11">
        <v>489</v>
      </c>
      <c r="B662" s="42" t="s">
        <v>1797</v>
      </c>
      <c r="C662" s="11" t="s">
        <v>6</v>
      </c>
      <c r="D662" s="11" t="s">
        <v>6</v>
      </c>
      <c r="E662" s="16" t="s">
        <v>46</v>
      </c>
      <c r="F662" s="144">
        <v>46173</v>
      </c>
      <c r="I662" s="138"/>
      <c r="J662" s="138"/>
    </row>
    <row r="663" spans="1:10" ht="15" customHeight="1" x14ac:dyDescent="0.25">
      <c r="A663" s="11">
        <v>490</v>
      </c>
      <c r="B663" s="42" t="s">
        <v>1798</v>
      </c>
      <c r="C663" s="11" t="s">
        <v>6</v>
      </c>
      <c r="D663" s="11" t="s">
        <v>6</v>
      </c>
      <c r="E663" s="16" t="s">
        <v>46</v>
      </c>
      <c r="F663" s="144">
        <v>46173</v>
      </c>
      <c r="I663" s="138"/>
      <c r="J663" s="138"/>
    </row>
    <row r="664" spans="1:10" ht="15" customHeight="1" x14ac:dyDescent="0.25">
      <c r="A664" s="11">
        <v>491</v>
      </c>
      <c r="B664" s="42" t="s">
        <v>1799</v>
      </c>
      <c r="C664" s="11" t="s">
        <v>6</v>
      </c>
      <c r="D664" s="11" t="s">
        <v>6</v>
      </c>
      <c r="E664" s="16" t="s">
        <v>46</v>
      </c>
      <c r="F664" s="144">
        <v>46173</v>
      </c>
      <c r="I664" s="138"/>
      <c r="J664" s="138"/>
    </row>
    <row r="665" spans="1:10" x14ac:dyDescent="0.25">
      <c r="A665" s="11">
        <v>492</v>
      </c>
      <c r="B665" s="8" t="s">
        <v>628</v>
      </c>
      <c r="C665" s="11" t="s">
        <v>6</v>
      </c>
      <c r="D665" s="11" t="s">
        <v>6</v>
      </c>
      <c r="E665" s="104" t="s">
        <v>46</v>
      </c>
      <c r="F665" s="127">
        <v>46110</v>
      </c>
    </row>
    <row r="666" spans="1:10" x14ac:dyDescent="0.25">
      <c r="A666" s="11">
        <v>493</v>
      </c>
      <c r="B666" s="42" t="s">
        <v>1579</v>
      </c>
      <c r="C666" s="11" t="s">
        <v>6</v>
      </c>
      <c r="D666" s="11" t="s">
        <v>6</v>
      </c>
      <c r="E666" s="101" t="s">
        <v>46</v>
      </c>
      <c r="F666" s="127">
        <v>46104</v>
      </c>
    </row>
    <row r="667" spans="1:10" x14ac:dyDescent="0.25">
      <c r="A667" s="11">
        <v>494</v>
      </c>
      <c r="B667" s="42" t="s">
        <v>1640</v>
      </c>
      <c r="C667" s="11" t="s">
        <v>6</v>
      </c>
      <c r="D667" s="11" t="s">
        <v>6</v>
      </c>
      <c r="E667" s="101" t="s">
        <v>46</v>
      </c>
      <c r="F667" s="127">
        <v>46104</v>
      </c>
    </row>
    <row r="668" spans="1:10" x14ac:dyDescent="0.25">
      <c r="A668" s="11">
        <v>495</v>
      </c>
      <c r="B668" s="42" t="s">
        <v>1385</v>
      </c>
      <c r="C668" s="11" t="s">
        <v>6</v>
      </c>
      <c r="D668" s="11" t="s">
        <v>6</v>
      </c>
      <c r="E668" s="101" t="s">
        <v>46</v>
      </c>
      <c r="F668" s="127">
        <v>46110</v>
      </c>
    </row>
    <row r="669" spans="1:10" x14ac:dyDescent="0.25">
      <c r="A669" s="11">
        <v>496</v>
      </c>
      <c r="B669" s="42" t="s">
        <v>1409</v>
      </c>
      <c r="C669" s="11" t="s">
        <v>6</v>
      </c>
      <c r="D669" s="11" t="s">
        <v>6</v>
      </c>
      <c r="E669" s="101" t="s">
        <v>154</v>
      </c>
      <c r="F669" s="127">
        <v>46110</v>
      </c>
    </row>
    <row r="670" spans="1:10" x14ac:dyDescent="0.25">
      <c r="A670" s="11">
        <v>497</v>
      </c>
      <c r="B670" s="42" t="s">
        <v>1580</v>
      </c>
      <c r="C670" s="11" t="s">
        <v>6</v>
      </c>
      <c r="D670" s="11" t="s">
        <v>6</v>
      </c>
      <c r="E670" s="104" t="s">
        <v>46</v>
      </c>
      <c r="F670" s="127">
        <v>46110</v>
      </c>
    </row>
    <row r="671" spans="1:10" x14ac:dyDescent="0.25">
      <c r="A671" s="11">
        <v>498</v>
      </c>
      <c r="B671" s="42" t="s">
        <v>1507</v>
      </c>
      <c r="C671" s="11" t="s">
        <v>6</v>
      </c>
      <c r="D671" s="11" t="s">
        <v>6</v>
      </c>
      <c r="E671" s="104" t="s">
        <v>46</v>
      </c>
      <c r="F671" s="127">
        <v>46104</v>
      </c>
    </row>
    <row r="672" spans="1:10" x14ac:dyDescent="0.25">
      <c r="A672" s="11">
        <v>499</v>
      </c>
      <c r="B672" s="42" t="s">
        <v>1653</v>
      </c>
      <c r="C672" s="11" t="s">
        <v>6</v>
      </c>
      <c r="D672" s="11" t="s">
        <v>6</v>
      </c>
      <c r="E672" s="104" t="s">
        <v>46</v>
      </c>
      <c r="F672" s="127">
        <v>46110</v>
      </c>
    </row>
    <row r="673" spans="1:6" x14ac:dyDescent="0.25">
      <c r="A673" s="11">
        <v>500</v>
      </c>
      <c r="B673" s="42" t="s">
        <v>1627</v>
      </c>
      <c r="C673" s="11" t="s">
        <v>6</v>
      </c>
      <c r="D673" s="11" t="s">
        <v>6</v>
      </c>
      <c r="E673" s="104" t="s">
        <v>46</v>
      </c>
      <c r="F673" s="127">
        <v>46110</v>
      </c>
    </row>
    <row r="674" spans="1:6" x14ac:dyDescent="0.25">
      <c r="A674" s="11">
        <v>501</v>
      </c>
      <c r="B674" s="42" t="s">
        <v>1626</v>
      </c>
      <c r="C674" s="11" t="s">
        <v>6</v>
      </c>
      <c r="D674" s="11" t="s">
        <v>6</v>
      </c>
      <c r="E674" s="104" t="s">
        <v>46</v>
      </c>
      <c r="F674" s="127">
        <v>46104</v>
      </c>
    </row>
    <row r="675" spans="1:6" x14ac:dyDescent="0.25">
      <c r="A675" s="11">
        <v>502</v>
      </c>
      <c r="B675" s="42" t="s">
        <v>1638</v>
      </c>
      <c r="C675" s="11" t="s">
        <v>6</v>
      </c>
      <c r="D675" s="11" t="s">
        <v>6</v>
      </c>
      <c r="E675" s="104" t="s">
        <v>46</v>
      </c>
      <c r="F675" s="127">
        <v>46104</v>
      </c>
    </row>
    <row r="676" spans="1:6" x14ac:dyDescent="0.25">
      <c r="A676" s="11">
        <v>503</v>
      </c>
      <c r="B676" s="42" t="s">
        <v>1639</v>
      </c>
      <c r="C676" s="11" t="s">
        <v>6</v>
      </c>
      <c r="D676" s="11" t="s">
        <v>6</v>
      </c>
      <c r="E676" s="104" t="s">
        <v>46</v>
      </c>
      <c r="F676" s="127">
        <v>46104</v>
      </c>
    </row>
    <row r="677" spans="1:6" x14ac:dyDescent="0.25">
      <c r="A677" s="11">
        <v>504</v>
      </c>
      <c r="B677" s="42" t="s">
        <v>1652</v>
      </c>
      <c r="C677" s="11" t="s">
        <v>6</v>
      </c>
      <c r="D677" s="11" t="s">
        <v>6</v>
      </c>
      <c r="E677" s="104" t="s">
        <v>46</v>
      </c>
      <c r="F677" s="127">
        <v>46110</v>
      </c>
    </row>
    <row r="678" spans="1:6" x14ac:dyDescent="0.25">
      <c r="A678" s="11">
        <v>505</v>
      </c>
      <c r="B678" s="42" t="s">
        <v>1661</v>
      </c>
      <c r="C678" s="11" t="s">
        <v>6</v>
      </c>
      <c r="D678" s="11" t="s">
        <v>6</v>
      </c>
      <c r="E678" s="104" t="s">
        <v>46</v>
      </c>
      <c r="F678" s="127">
        <v>46110</v>
      </c>
    </row>
    <row r="679" spans="1:6" x14ac:dyDescent="0.25">
      <c r="A679" s="11">
        <v>506</v>
      </c>
      <c r="B679" s="42" t="s">
        <v>1663</v>
      </c>
      <c r="C679" s="11" t="s">
        <v>6</v>
      </c>
      <c r="D679" s="11" t="s">
        <v>6</v>
      </c>
      <c r="E679" s="104" t="s">
        <v>46</v>
      </c>
      <c r="F679" s="127">
        <v>46110</v>
      </c>
    </row>
    <row r="680" spans="1:6" x14ac:dyDescent="0.25">
      <c r="A680" s="11">
        <v>507</v>
      </c>
      <c r="B680" s="42" t="s">
        <v>1664</v>
      </c>
      <c r="C680" s="11" t="s">
        <v>6</v>
      </c>
      <c r="D680" s="11" t="s">
        <v>6</v>
      </c>
      <c r="E680" s="104" t="s">
        <v>46</v>
      </c>
      <c r="F680" s="127">
        <v>46110</v>
      </c>
    </row>
    <row r="681" spans="1:6" x14ac:dyDescent="0.25">
      <c r="A681" s="11">
        <v>508</v>
      </c>
      <c r="B681" s="8" t="s">
        <v>409</v>
      </c>
      <c r="C681" s="11" t="s">
        <v>6</v>
      </c>
      <c r="D681" s="11" t="s">
        <v>6</v>
      </c>
      <c r="E681" s="104" t="s">
        <v>40</v>
      </c>
      <c r="F681" s="127">
        <v>46131</v>
      </c>
    </row>
    <row r="682" spans="1:6" ht="14.25" customHeight="1" x14ac:dyDescent="0.25">
      <c r="A682" s="11">
        <v>509</v>
      </c>
      <c r="B682" s="8" t="s">
        <v>1698</v>
      </c>
      <c r="C682" s="11" t="s">
        <v>6</v>
      </c>
      <c r="D682" s="11" t="s">
        <v>6</v>
      </c>
      <c r="E682" s="104" t="s">
        <v>46</v>
      </c>
      <c r="F682" s="127">
        <v>46131</v>
      </c>
    </row>
    <row r="683" spans="1:6" x14ac:dyDescent="0.25">
      <c r="A683" s="11">
        <v>510</v>
      </c>
      <c r="B683" s="8" t="s">
        <v>1568</v>
      </c>
      <c r="C683" s="11" t="s">
        <v>6</v>
      </c>
      <c r="D683" s="11" t="s">
        <v>6</v>
      </c>
      <c r="E683" s="104" t="s">
        <v>46</v>
      </c>
      <c r="F683" s="127">
        <v>46131</v>
      </c>
    </row>
    <row r="684" spans="1:6" x14ac:dyDescent="0.25">
      <c r="A684" s="11">
        <v>511</v>
      </c>
      <c r="B684" s="8" t="s">
        <v>140</v>
      </c>
      <c r="C684" s="11" t="s">
        <v>6</v>
      </c>
      <c r="D684" s="11" t="s">
        <v>6</v>
      </c>
      <c r="E684" s="103" t="s">
        <v>42</v>
      </c>
      <c r="F684" s="127">
        <v>46131</v>
      </c>
    </row>
    <row r="685" spans="1:6" x14ac:dyDescent="0.25">
      <c r="A685" s="11">
        <v>512</v>
      </c>
      <c r="B685" s="42" t="s">
        <v>510</v>
      </c>
      <c r="C685" s="11" t="s">
        <v>6</v>
      </c>
      <c r="D685" s="11" t="s">
        <v>6</v>
      </c>
      <c r="E685" s="101" t="s">
        <v>46</v>
      </c>
      <c r="F685" s="127">
        <v>46131</v>
      </c>
    </row>
    <row r="686" spans="1:6" x14ac:dyDescent="0.25">
      <c r="A686" s="11">
        <v>513</v>
      </c>
      <c r="B686" s="8" t="s">
        <v>149</v>
      </c>
      <c r="C686" s="11" t="s">
        <v>6</v>
      </c>
      <c r="D686" s="11" t="s">
        <v>6</v>
      </c>
      <c r="E686" s="104" t="s">
        <v>359</v>
      </c>
      <c r="F686" s="127">
        <v>46131</v>
      </c>
    </row>
    <row r="687" spans="1:6" x14ac:dyDescent="0.25">
      <c r="A687" s="11">
        <v>514</v>
      </c>
      <c r="B687" s="42" t="s">
        <v>323</v>
      </c>
      <c r="C687" s="11" t="s">
        <v>6</v>
      </c>
      <c r="D687" s="11" t="s">
        <v>6</v>
      </c>
      <c r="E687" s="101" t="s">
        <v>46</v>
      </c>
      <c r="F687" s="127">
        <v>46115</v>
      </c>
    </row>
    <row r="688" spans="1:6" x14ac:dyDescent="0.25">
      <c r="A688" s="11">
        <v>515</v>
      </c>
      <c r="B688" s="42" t="s">
        <v>439</v>
      </c>
      <c r="C688" s="11" t="s">
        <v>6</v>
      </c>
      <c r="D688" s="11" t="s">
        <v>6</v>
      </c>
      <c r="E688" s="101" t="s">
        <v>46</v>
      </c>
      <c r="F688" s="127">
        <v>46115</v>
      </c>
    </row>
    <row r="689" spans="1:6" x14ac:dyDescent="0.25">
      <c r="A689" s="11">
        <v>516</v>
      </c>
      <c r="B689" s="42" t="s">
        <v>1303</v>
      </c>
      <c r="C689" s="11" t="s">
        <v>6</v>
      </c>
      <c r="D689" s="11" t="s">
        <v>6</v>
      </c>
      <c r="E689" s="101" t="s">
        <v>46</v>
      </c>
      <c r="F689" s="127">
        <v>46131</v>
      </c>
    </row>
    <row r="690" spans="1:6" x14ac:dyDescent="0.25">
      <c r="A690" s="11">
        <v>517</v>
      </c>
      <c r="B690" s="42" t="s">
        <v>1709</v>
      </c>
      <c r="C690" s="11" t="s">
        <v>6</v>
      </c>
      <c r="D690" s="11" t="s">
        <v>6</v>
      </c>
      <c r="E690" s="104" t="s">
        <v>46</v>
      </c>
      <c r="F690" s="127">
        <v>46131</v>
      </c>
    </row>
    <row r="691" spans="1:6" x14ac:dyDescent="0.25">
      <c r="A691" s="11">
        <v>518</v>
      </c>
      <c r="B691" s="42" t="s">
        <v>1708</v>
      </c>
      <c r="C691" s="11" t="s">
        <v>6</v>
      </c>
      <c r="D691" s="11" t="s">
        <v>6</v>
      </c>
      <c r="E691" s="104"/>
      <c r="F691" s="127">
        <v>46131</v>
      </c>
    </row>
    <row r="692" spans="1:6" x14ac:dyDescent="0.25">
      <c r="A692" s="11">
        <v>519</v>
      </c>
      <c r="B692" s="42" t="s">
        <v>372</v>
      </c>
      <c r="C692" s="11" t="s">
        <v>6</v>
      </c>
      <c r="D692" s="11" t="s">
        <v>6</v>
      </c>
      <c r="E692" s="104" t="s">
        <v>46</v>
      </c>
      <c r="F692" s="127">
        <v>46115</v>
      </c>
    </row>
    <row r="693" spans="1:6" x14ac:dyDescent="0.25">
      <c r="A693" s="11">
        <v>520</v>
      </c>
      <c r="B693" s="42" t="s">
        <v>1677</v>
      </c>
      <c r="C693" s="11" t="s">
        <v>6</v>
      </c>
      <c r="D693" s="11" t="s">
        <v>6</v>
      </c>
      <c r="E693" s="104" t="s">
        <v>46</v>
      </c>
      <c r="F693" s="127">
        <v>46131</v>
      </c>
    </row>
    <row r="694" spans="1:6" x14ac:dyDescent="0.25">
      <c r="A694" s="11">
        <v>521</v>
      </c>
      <c r="B694" s="42" t="s">
        <v>1644</v>
      </c>
      <c r="C694" s="11" t="s">
        <v>6</v>
      </c>
      <c r="D694" s="11" t="s">
        <v>6</v>
      </c>
      <c r="E694" s="104" t="s">
        <v>46</v>
      </c>
      <c r="F694" s="127">
        <v>46131</v>
      </c>
    </row>
    <row r="695" spans="1:6" x14ac:dyDescent="0.25">
      <c r="A695" s="11">
        <v>522</v>
      </c>
      <c r="B695" s="42" t="s">
        <v>1679</v>
      </c>
      <c r="C695" s="11" t="s">
        <v>6</v>
      </c>
      <c r="D695" s="11" t="s">
        <v>6</v>
      </c>
      <c r="E695" s="104" t="s">
        <v>46</v>
      </c>
      <c r="F695" s="127">
        <v>46131</v>
      </c>
    </row>
    <row r="696" spans="1:6" x14ac:dyDescent="0.25">
      <c r="A696" s="11">
        <v>523</v>
      </c>
      <c r="B696" s="42" t="s">
        <v>1650</v>
      </c>
      <c r="C696" s="11" t="s">
        <v>6</v>
      </c>
      <c r="D696" s="11" t="s">
        <v>6</v>
      </c>
      <c r="E696" s="104" t="s">
        <v>46</v>
      </c>
      <c r="F696" s="127">
        <v>46131</v>
      </c>
    </row>
    <row r="697" spans="1:6" x14ac:dyDescent="0.25">
      <c r="A697" s="11">
        <v>524</v>
      </c>
      <c r="B697" s="42" t="s">
        <v>69</v>
      </c>
      <c r="C697" s="11" t="s">
        <v>6</v>
      </c>
      <c r="D697" s="11" t="s">
        <v>6</v>
      </c>
      <c r="E697" s="104" t="s">
        <v>46</v>
      </c>
      <c r="F697" s="127">
        <v>46131</v>
      </c>
    </row>
    <row r="698" spans="1:6" x14ac:dyDescent="0.25">
      <c r="A698" s="11">
        <v>525</v>
      </c>
      <c r="B698" s="42" t="s">
        <v>1654</v>
      </c>
      <c r="C698" s="11" t="s">
        <v>6</v>
      </c>
      <c r="D698" s="11" t="s">
        <v>6</v>
      </c>
      <c r="E698" s="104" t="s">
        <v>46</v>
      </c>
      <c r="F698" s="127">
        <v>46131</v>
      </c>
    </row>
    <row r="699" spans="1:6" x14ac:dyDescent="0.25">
      <c r="A699" s="11">
        <v>526</v>
      </c>
      <c r="B699" s="42" t="s">
        <v>1680</v>
      </c>
      <c r="C699" s="11" t="s">
        <v>6</v>
      </c>
      <c r="D699" s="11" t="s">
        <v>6</v>
      </c>
      <c r="E699" s="104" t="s">
        <v>46</v>
      </c>
      <c r="F699" s="127">
        <v>46131</v>
      </c>
    </row>
    <row r="700" spans="1:6" x14ac:dyDescent="0.25">
      <c r="A700" s="11">
        <v>527</v>
      </c>
      <c r="B700" s="42" t="s">
        <v>1678</v>
      </c>
      <c r="C700" s="11" t="s">
        <v>6</v>
      </c>
      <c r="D700" s="11" t="s">
        <v>6</v>
      </c>
      <c r="E700" s="104" t="s">
        <v>46</v>
      </c>
      <c r="F700" s="127">
        <v>46159</v>
      </c>
    </row>
    <row r="701" spans="1:6" x14ac:dyDescent="0.25">
      <c r="A701" s="11">
        <v>528</v>
      </c>
      <c r="B701" s="42" t="s">
        <v>1690</v>
      </c>
      <c r="C701" s="11" t="s">
        <v>6</v>
      </c>
      <c r="D701" s="11" t="s">
        <v>6</v>
      </c>
      <c r="E701" s="104" t="s">
        <v>46</v>
      </c>
      <c r="F701" s="127">
        <v>46131</v>
      </c>
    </row>
    <row r="702" spans="1:6" x14ac:dyDescent="0.25">
      <c r="A702" s="11">
        <v>529</v>
      </c>
      <c r="B702" s="42" t="s">
        <v>1691</v>
      </c>
      <c r="C702" s="11" t="s">
        <v>6</v>
      </c>
      <c r="D702" s="11" t="s">
        <v>6</v>
      </c>
      <c r="E702" s="104" t="s">
        <v>46</v>
      </c>
      <c r="F702" s="127">
        <v>46131</v>
      </c>
    </row>
    <row r="703" spans="1:6" x14ac:dyDescent="0.25">
      <c r="A703" s="11">
        <v>530</v>
      </c>
      <c r="B703" s="42" t="s">
        <v>1699</v>
      </c>
      <c r="C703" s="11" t="s">
        <v>6</v>
      </c>
      <c r="D703" s="11" t="s">
        <v>6</v>
      </c>
      <c r="E703" s="104" t="s">
        <v>46</v>
      </c>
      <c r="F703" s="127">
        <v>46131</v>
      </c>
    </row>
    <row r="704" spans="1:6" x14ac:dyDescent="0.25">
      <c r="A704" s="11">
        <v>531</v>
      </c>
      <c r="B704" s="42" t="s">
        <v>1702</v>
      </c>
      <c r="C704" s="11" t="s">
        <v>6</v>
      </c>
      <c r="D704" s="11" t="s">
        <v>6</v>
      </c>
      <c r="E704" s="104" t="s">
        <v>46</v>
      </c>
      <c r="F704" s="127">
        <v>46131</v>
      </c>
    </row>
    <row r="705" spans="1:6" x14ac:dyDescent="0.25">
      <c r="A705" s="11">
        <v>532</v>
      </c>
      <c r="B705" s="42" t="s">
        <v>607</v>
      </c>
      <c r="C705" s="11" t="s">
        <v>6</v>
      </c>
      <c r="D705" s="11" t="s">
        <v>6</v>
      </c>
      <c r="E705" s="104" t="s">
        <v>46</v>
      </c>
      <c r="F705" s="127">
        <v>46115</v>
      </c>
    </row>
    <row r="706" spans="1:6" x14ac:dyDescent="0.25">
      <c r="A706" s="11">
        <v>533</v>
      </c>
      <c r="B706" s="42" t="s">
        <v>1769</v>
      </c>
      <c r="C706" s="11" t="s">
        <v>6</v>
      </c>
      <c r="D706" s="11" t="s">
        <v>6</v>
      </c>
      <c r="E706" s="104" t="s">
        <v>46</v>
      </c>
      <c r="F706" s="127">
        <v>46131</v>
      </c>
    </row>
    <row r="707" spans="1:6" x14ac:dyDescent="0.25">
      <c r="A707" s="11">
        <v>534</v>
      </c>
      <c r="B707" s="42" t="s">
        <v>1698</v>
      </c>
      <c r="C707" s="11" t="s">
        <v>6</v>
      </c>
      <c r="D707" s="11" t="s">
        <v>6</v>
      </c>
      <c r="E707" s="104" t="s">
        <v>46</v>
      </c>
      <c r="F707" s="127">
        <v>46115</v>
      </c>
    </row>
    <row r="708" spans="1:6" x14ac:dyDescent="0.25">
      <c r="A708" s="11">
        <v>535</v>
      </c>
      <c r="B708" s="42" t="s">
        <v>1733</v>
      </c>
      <c r="C708" s="11" t="s">
        <v>6</v>
      </c>
      <c r="D708" s="11" t="s">
        <v>6</v>
      </c>
      <c r="E708" s="104" t="s">
        <v>46</v>
      </c>
      <c r="F708" s="127">
        <v>46115</v>
      </c>
    </row>
    <row r="709" spans="1:6" x14ac:dyDescent="0.25">
      <c r="A709" s="11">
        <v>536</v>
      </c>
      <c r="B709" s="42" t="s">
        <v>1734</v>
      </c>
      <c r="C709" s="11" t="s">
        <v>6</v>
      </c>
      <c r="D709" s="11" t="s">
        <v>6</v>
      </c>
      <c r="E709" s="104" t="s">
        <v>46</v>
      </c>
      <c r="F709" s="127">
        <v>46115</v>
      </c>
    </row>
    <row r="710" spans="1:6" x14ac:dyDescent="0.25">
      <c r="A710" s="11">
        <v>537</v>
      </c>
      <c r="B710" s="42" t="s">
        <v>82</v>
      </c>
      <c r="C710" s="11" t="s">
        <v>6</v>
      </c>
      <c r="D710" s="11" t="s">
        <v>6</v>
      </c>
      <c r="E710" s="104" t="s">
        <v>46</v>
      </c>
      <c r="F710" s="127">
        <v>46115</v>
      </c>
    </row>
    <row r="712" spans="1:6" x14ac:dyDescent="0.25">
      <c r="A712" s="123" t="s">
        <v>1397</v>
      </c>
    </row>
    <row r="713" spans="1:6" x14ac:dyDescent="0.25">
      <c r="A713" s="11">
        <v>1</v>
      </c>
      <c r="B713" s="21" t="s">
        <v>1731</v>
      </c>
      <c r="C713" s="23" t="s">
        <v>6</v>
      </c>
      <c r="D713" s="23" t="s">
        <v>6</v>
      </c>
      <c r="E713" s="104" t="s">
        <v>46</v>
      </c>
      <c r="F713" s="127">
        <v>46145</v>
      </c>
    </row>
    <row r="714" spans="1:6" x14ac:dyDescent="0.25">
      <c r="A714" s="11">
        <v>2</v>
      </c>
      <c r="B714" s="21" t="s">
        <v>1230</v>
      </c>
      <c r="C714" s="23" t="s">
        <v>6</v>
      </c>
      <c r="D714" s="23" t="s">
        <v>6</v>
      </c>
      <c r="E714" s="107" t="s">
        <v>46</v>
      </c>
      <c r="F714" s="128">
        <v>46152</v>
      </c>
    </row>
    <row r="715" spans="1:6" x14ac:dyDescent="0.25">
      <c r="A715" s="11">
        <v>3</v>
      </c>
      <c r="B715" s="8" t="s">
        <v>132</v>
      </c>
      <c r="C715" s="23" t="s">
        <v>6</v>
      </c>
      <c r="D715" s="23" t="s">
        <v>6</v>
      </c>
      <c r="E715" s="103" t="s">
        <v>44</v>
      </c>
      <c r="F715" s="128">
        <v>46152</v>
      </c>
    </row>
    <row r="716" spans="1:6" x14ac:dyDescent="0.25">
      <c r="A716" s="11">
        <v>4</v>
      </c>
      <c r="B716" s="21" t="s">
        <v>904</v>
      </c>
      <c r="C716" s="23" t="s">
        <v>6</v>
      </c>
      <c r="D716" s="23" t="s">
        <v>6</v>
      </c>
      <c r="E716" s="18" t="s">
        <v>46</v>
      </c>
      <c r="F716" s="144">
        <v>46166</v>
      </c>
    </row>
    <row r="717" spans="1:6" x14ac:dyDescent="0.25">
      <c r="A717" s="11">
        <v>5</v>
      </c>
      <c r="B717" s="21" t="s">
        <v>1775</v>
      </c>
      <c r="C717" s="23" t="s">
        <v>6</v>
      </c>
      <c r="D717" s="23" t="s">
        <v>6</v>
      </c>
      <c r="E717" s="16" t="s">
        <v>46</v>
      </c>
      <c r="F717" s="144">
        <v>46166</v>
      </c>
    </row>
    <row r="718" spans="1:6" x14ac:dyDescent="0.25">
      <c r="A718" s="11">
        <v>6</v>
      </c>
      <c r="B718" s="42" t="s">
        <v>337</v>
      </c>
      <c r="C718" s="23" t="s">
        <v>6</v>
      </c>
      <c r="D718" s="23" t="s">
        <v>6</v>
      </c>
      <c r="E718" s="24" t="s">
        <v>46</v>
      </c>
      <c r="F718" s="145">
        <v>46173</v>
      </c>
    </row>
    <row r="719" spans="1:6" x14ac:dyDescent="0.25">
      <c r="A719" s="11">
        <v>7</v>
      </c>
      <c r="B719" s="8" t="s">
        <v>1804</v>
      </c>
      <c r="C719" s="23" t="s">
        <v>6</v>
      </c>
      <c r="D719" s="23" t="s">
        <v>6</v>
      </c>
      <c r="E719" s="17" t="s">
        <v>46</v>
      </c>
      <c r="F719" s="145">
        <v>46173</v>
      </c>
    </row>
    <row r="720" spans="1:6" x14ac:dyDescent="0.25">
      <c r="A720" s="11">
        <v>8</v>
      </c>
      <c r="B720" s="8" t="s">
        <v>1546</v>
      </c>
      <c r="C720" s="23" t="s">
        <v>6</v>
      </c>
      <c r="D720" s="23" t="s">
        <v>6</v>
      </c>
      <c r="E720" s="17" t="s">
        <v>46</v>
      </c>
      <c r="F720" s="145">
        <v>46173</v>
      </c>
    </row>
    <row r="721" spans="1:6" x14ac:dyDescent="0.25">
      <c r="A721" s="11">
        <v>9</v>
      </c>
      <c r="B721" s="8" t="s">
        <v>1795</v>
      </c>
      <c r="C721" s="23" t="s">
        <v>6</v>
      </c>
      <c r="D721" s="23" t="s">
        <v>6</v>
      </c>
      <c r="E721" s="16" t="s">
        <v>46</v>
      </c>
      <c r="F721" s="145">
        <v>46173</v>
      </c>
    </row>
    <row r="722" spans="1:6" x14ac:dyDescent="0.25">
      <c r="A722" s="11">
        <v>10</v>
      </c>
      <c r="B722" s="21" t="s">
        <v>1629</v>
      </c>
      <c r="C722" s="23" t="s">
        <v>6</v>
      </c>
      <c r="D722" s="23" t="s">
        <v>6</v>
      </c>
      <c r="E722" s="107" t="s">
        <v>46</v>
      </c>
      <c r="F722" s="128">
        <v>46152</v>
      </c>
    </row>
    <row r="723" spans="1:6" x14ac:dyDescent="0.25">
      <c r="A723" s="11">
        <v>11</v>
      </c>
      <c r="B723" s="8" t="s">
        <v>1467</v>
      </c>
      <c r="C723" s="23" t="s">
        <v>6</v>
      </c>
      <c r="D723" s="23" t="s">
        <v>6</v>
      </c>
      <c r="E723" s="104" t="s">
        <v>46</v>
      </c>
      <c r="F723" s="127">
        <v>46159</v>
      </c>
    </row>
    <row r="724" spans="1:6" x14ac:dyDescent="0.25">
      <c r="A724" s="11">
        <v>12</v>
      </c>
      <c r="B724" s="42" t="s">
        <v>1753</v>
      </c>
      <c r="C724" s="23" t="s">
        <v>6</v>
      </c>
      <c r="D724" s="23" t="s">
        <v>6</v>
      </c>
      <c r="E724" s="101" t="s">
        <v>46</v>
      </c>
      <c r="F724" s="127">
        <v>46159</v>
      </c>
    </row>
    <row r="725" spans="1:6" x14ac:dyDescent="0.25">
      <c r="A725" s="11">
        <v>13</v>
      </c>
      <c r="B725" s="8" t="s">
        <v>1771</v>
      </c>
      <c r="C725" s="23" t="s">
        <v>6</v>
      </c>
      <c r="D725" s="23" t="s">
        <v>6</v>
      </c>
      <c r="E725" s="104" t="s">
        <v>46</v>
      </c>
      <c r="F725" s="127">
        <v>46159</v>
      </c>
    </row>
    <row r="726" spans="1:6" x14ac:dyDescent="0.25">
      <c r="A726" s="11">
        <v>14</v>
      </c>
      <c r="B726" s="8" t="s">
        <v>1772</v>
      </c>
      <c r="C726" s="23" t="s">
        <v>6</v>
      </c>
      <c r="D726" s="23" t="s">
        <v>6</v>
      </c>
      <c r="E726" s="104" t="s">
        <v>46</v>
      </c>
      <c r="F726" s="127">
        <v>46159</v>
      </c>
    </row>
    <row r="727" spans="1:6" x14ac:dyDescent="0.25">
      <c r="A727" s="11">
        <v>15</v>
      </c>
      <c r="B727" s="8" t="s">
        <v>1773</v>
      </c>
      <c r="C727" s="23" t="s">
        <v>6</v>
      </c>
      <c r="D727" s="23" t="s">
        <v>6</v>
      </c>
      <c r="E727" s="104" t="s">
        <v>46</v>
      </c>
      <c r="F727" s="127">
        <v>46159</v>
      </c>
    </row>
    <row r="728" spans="1:6" x14ac:dyDescent="0.25">
      <c r="A728" s="11">
        <v>16</v>
      </c>
      <c r="B728" s="8" t="s">
        <v>1774</v>
      </c>
      <c r="C728" s="23" t="s">
        <v>6</v>
      </c>
      <c r="D728" s="23" t="s">
        <v>6</v>
      </c>
      <c r="E728" s="104" t="s">
        <v>46</v>
      </c>
      <c r="F728" s="127">
        <v>46159</v>
      </c>
    </row>
    <row r="729" spans="1:6" x14ac:dyDescent="0.25">
      <c r="A729" s="11">
        <v>17</v>
      </c>
      <c r="B729" s="8" t="s">
        <v>1742</v>
      </c>
      <c r="C729" s="23" t="s">
        <v>6</v>
      </c>
      <c r="D729" s="23" t="s">
        <v>6</v>
      </c>
      <c r="E729" s="104"/>
      <c r="F729" s="128">
        <v>46152</v>
      </c>
    </row>
    <row r="730" spans="1:6" x14ac:dyDescent="0.25">
      <c r="A730" s="11">
        <v>18</v>
      </c>
      <c r="B730" s="8" t="s">
        <v>163</v>
      </c>
      <c r="C730" s="23" t="s">
        <v>6</v>
      </c>
      <c r="D730" s="23" t="s">
        <v>6</v>
      </c>
      <c r="E730" s="104" t="s">
        <v>41</v>
      </c>
      <c r="F730" s="127">
        <v>46159</v>
      </c>
    </row>
    <row r="731" spans="1:6" x14ac:dyDescent="0.25">
      <c r="A731" s="11">
        <v>19</v>
      </c>
      <c r="B731" s="105" t="s">
        <v>436</v>
      </c>
      <c r="C731" s="98" t="s">
        <v>6</v>
      </c>
      <c r="D731" s="98" t="s">
        <v>6</v>
      </c>
      <c r="E731" s="106" t="s">
        <v>46</v>
      </c>
      <c r="F731" s="127" t="s">
        <v>472</v>
      </c>
    </row>
    <row r="732" spans="1:6" x14ac:dyDescent="0.25">
      <c r="A732" s="11">
        <v>20</v>
      </c>
      <c r="B732" s="21" t="s">
        <v>437</v>
      </c>
      <c r="C732" s="23" t="s">
        <v>6</v>
      </c>
      <c r="D732" s="23" t="s">
        <v>6</v>
      </c>
      <c r="E732" s="101" t="s">
        <v>46</v>
      </c>
      <c r="F732" s="127" t="s">
        <v>472</v>
      </c>
    </row>
    <row r="733" spans="1:6" x14ac:dyDescent="0.25">
      <c r="A733" s="11">
        <v>21</v>
      </c>
      <c r="B733" s="21" t="s">
        <v>448</v>
      </c>
      <c r="C733" s="23" t="s">
        <v>6</v>
      </c>
      <c r="D733" s="23" t="s">
        <v>6</v>
      </c>
      <c r="E733" s="101" t="s">
        <v>46</v>
      </c>
      <c r="F733" s="127" t="s">
        <v>472</v>
      </c>
    </row>
    <row r="734" spans="1:6" x14ac:dyDescent="0.25">
      <c r="A734" s="11">
        <v>22</v>
      </c>
      <c r="B734" s="21" t="s">
        <v>410</v>
      </c>
      <c r="C734" s="23" t="s">
        <v>6</v>
      </c>
      <c r="D734" s="23" t="s">
        <v>6</v>
      </c>
      <c r="E734" s="101" t="s">
        <v>154</v>
      </c>
      <c r="F734" s="127">
        <v>45837</v>
      </c>
    </row>
    <row r="735" spans="1:6" x14ac:dyDescent="0.25">
      <c r="A735" s="11">
        <v>23</v>
      </c>
      <c r="B735" s="21" t="s">
        <v>287</v>
      </c>
      <c r="C735" s="23" t="s">
        <v>6</v>
      </c>
      <c r="D735" s="23" t="s">
        <v>6</v>
      </c>
      <c r="E735" s="103" t="s">
        <v>44</v>
      </c>
      <c r="F735" s="127" t="s">
        <v>472</v>
      </c>
    </row>
    <row r="736" spans="1:6" x14ac:dyDescent="0.25">
      <c r="A736" s="11">
        <v>24</v>
      </c>
      <c r="B736" s="8" t="s">
        <v>399</v>
      </c>
      <c r="C736" s="23" t="s">
        <v>6</v>
      </c>
      <c r="D736" s="23" t="s">
        <v>6</v>
      </c>
      <c r="E736" s="104" t="s">
        <v>46</v>
      </c>
      <c r="F736" s="127">
        <v>45845</v>
      </c>
    </row>
    <row r="737" spans="1:6" x14ac:dyDescent="0.25">
      <c r="A737" s="11">
        <v>25</v>
      </c>
      <c r="B737" s="21" t="s">
        <v>503</v>
      </c>
      <c r="C737" s="23" t="s">
        <v>6</v>
      </c>
      <c r="D737" s="23" t="s">
        <v>6</v>
      </c>
      <c r="E737" s="103" t="s">
        <v>46</v>
      </c>
      <c r="F737" s="127">
        <v>45845</v>
      </c>
    </row>
    <row r="738" spans="1:6" x14ac:dyDescent="0.25">
      <c r="A738" s="11">
        <v>26</v>
      </c>
      <c r="B738" s="21" t="s">
        <v>453</v>
      </c>
      <c r="C738" s="23" t="s">
        <v>6</v>
      </c>
      <c r="D738" s="23" t="s">
        <v>6</v>
      </c>
      <c r="E738" s="101" t="s">
        <v>46</v>
      </c>
      <c r="F738" s="127">
        <v>45845</v>
      </c>
    </row>
    <row r="739" spans="1:6" x14ac:dyDescent="0.25">
      <c r="A739" s="11">
        <v>27</v>
      </c>
      <c r="B739" s="21" t="s">
        <v>493</v>
      </c>
      <c r="C739" s="23" t="s">
        <v>6</v>
      </c>
      <c r="D739" s="23" t="s">
        <v>6</v>
      </c>
      <c r="E739" s="101" t="s">
        <v>46</v>
      </c>
      <c r="F739" s="127">
        <v>45845</v>
      </c>
    </row>
    <row r="740" spans="1:6" x14ac:dyDescent="0.25">
      <c r="A740" s="11">
        <v>28</v>
      </c>
      <c r="B740" s="21" t="s">
        <v>499</v>
      </c>
      <c r="C740" s="23" t="s">
        <v>6</v>
      </c>
      <c r="D740" s="23" t="s">
        <v>6</v>
      </c>
      <c r="E740" s="101" t="s">
        <v>46</v>
      </c>
      <c r="F740" s="127">
        <v>45845</v>
      </c>
    </row>
    <row r="741" spans="1:6" x14ac:dyDescent="0.25">
      <c r="A741" s="11">
        <v>29</v>
      </c>
      <c r="B741" s="21" t="s">
        <v>504</v>
      </c>
      <c r="C741" s="23" t="s">
        <v>6</v>
      </c>
      <c r="D741" s="23" t="s">
        <v>6</v>
      </c>
      <c r="E741" s="101" t="s">
        <v>154</v>
      </c>
      <c r="F741" s="127">
        <v>45845</v>
      </c>
    </row>
    <row r="742" spans="1:6" x14ac:dyDescent="0.25">
      <c r="A742" s="11">
        <v>30</v>
      </c>
      <c r="B742" s="21" t="s">
        <v>505</v>
      </c>
      <c r="C742" s="23" t="s">
        <v>6</v>
      </c>
      <c r="D742" s="23" t="s">
        <v>6</v>
      </c>
      <c r="E742" s="101" t="s">
        <v>46</v>
      </c>
      <c r="F742" s="127">
        <v>45845</v>
      </c>
    </row>
    <row r="743" spans="1:6" x14ac:dyDescent="0.25">
      <c r="A743" s="11">
        <v>31</v>
      </c>
      <c r="B743" s="8" t="s">
        <v>562</v>
      </c>
      <c r="C743" s="23" t="s">
        <v>6</v>
      </c>
      <c r="D743" s="23" t="s">
        <v>6</v>
      </c>
      <c r="E743" s="104" t="s">
        <v>46</v>
      </c>
      <c r="F743" s="127">
        <v>45859</v>
      </c>
    </row>
    <row r="744" spans="1:6" x14ac:dyDescent="0.25">
      <c r="A744" s="11">
        <v>32</v>
      </c>
      <c r="B744" s="8" t="s">
        <v>563</v>
      </c>
      <c r="C744" s="23" t="s">
        <v>6</v>
      </c>
      <c r="D744" s="23" t="s">
        <v>6</v>
      </c>
      <c r="E744" s="104" t="s">
        <v>46</v>
      </c>
      <c r="F744" s="127">
        <v>45859</v>
      </c>
    </row>
    <row r="745" spans="1:6" x14ac:dyDescent="0.25">
      <c r="A745" s="11">
        <v>33</v>
      </c>
      <c r="B745" s="8" t="s">
        <v>551</v>
      </c>
      <c r="C745" s="23" t="s">
        <v>6</v>
      </c>
      <c r="D745" s="23" t="s">
        <v>6</v>
      </c>
      <c r="E745" s="104" t="s">
        <v>43</v>
      </c>
      <c r="F745" s="127">
        <v>45866</v>
      </c>
    </row>
    <row r="746" spans="1:6" x14ac:dyDescent="0.25">
      <c r="A746" s="11">
        <v>34</v>
      </c>
      <c r="B746" s="8" t="s">
        <v>552</v>
      </c>
      <c r="C746" s="23" t="s">
        <v>6</v>
      </c>
      <c r="D746" s="23" t="s">
        <v>6</v>
      </c>
      <c r="E746" s="104" t="s">
        <v>43</v>
      </c>
      <c r="F746" s="127">
        <v>45866</v>
      </c>
    </row>
    <row r="747" spans="1:6" x14ac:dyDescent="0.25">
      <c r="A747" s="11">
        <v>35</v>
      </c>
      <c r="B747" s="21" t="s">
        <v>164</v>
      </c>
      <c r="C747" s="23" t="s">
        <v>6</v>
      </c>
      <c r="D747" s="23" t="s">
        <v>6</v>
      </c>
      <c r="E747" s="103" t="s">
        <v>44</v>
      </c>
      <c r="F747" s="127">
        <v>45859</v>
      </c>
    </row>
    <row r="748" spans="1:6" x14ac:dyDescent="0.25">
      <c r="A748" s="11">
        <v>36</v>
      </c>
      <c r="B748" s="21" t="s">
        <v>564</v>
      </c>
      <c r="C748" s="23" t="s">
        <v>6</v>
      </c>
      <c r="D748" s="23" t="s">
        <v>6</v>
      </c>
      <c r="E748" s="101" t="s">
        <v>46</v>
      </c>
      <c r="F748" s="127">
        <v>45859</v>
      </c>
    </row>
    <row r="749" spans="1:6" x14ac:dyDescent="0.25">
      <c r="A749" s="11">
        <v>37</v>
      </c>
      <c r="B749" s="21" t="s">
        <v>502</v>
      </c>
      <c r="C749" s="23" t="s">
        <v>6</v>
      </c>
      <c r="D749" s="23" t="s">
        <v>6</v>
      </c>
      <c r="E749" s="101" t="s">
        <v>46</v>
      </c>
      <c r="F749" s="127">
        <v>45859</v>
      </c>
    </row>
    <row r="750" spans="1:6" ht="15.75" x14ac:dyDescent="0.25">
      <c r="A750" s="11">
        <v>38</v>
      </c>
      <c r="B750" s="21" t="s">
        <v>534</v>
      </c>
      <c r="C750" s="23" t="s">
        <v>6</v>
      </c>
      <c r="D750" s="23" t="s">
        <v>6</v>
      </c>
      <c r="E750" s="100" t="s">
        <v>43</v>
      </c>
      <c r="F750" s="127">
        <v>45859</v>
      </c>
    </row>
    <row r="751" spans="1:6" ht="15.75" x14ac:dyDescent="0.25">
      <c r="A751" s="11">
        <v>39</v>
      </c>
      <c r="B751" s="21" t="s">
        <v>535</v>
      </c>
      <c r="C751" s="23" t="s">
        <v>6</v>
      </c>
      <c r="D751" s="23" t="s">
        <v>6</v>
      </c>
      <c r="E751" s="100" t="s">
        <v>43</v>
      </c>
      <c r="F751" s="127">
        <v>45859</v>
      </c>
    </row>
    <row r="752" spans="1:6" x14ac:dyDescent="0.25">
      <c r="A752" s="11">
        <v>40</v>
      </c>
      <c r="B752" s="21" t="s">
        <v>346</v>
      </c>
      <c r="C752" s="23" t="s">
        <v>6</v>
      </c>
      <c r="D752" s="23" t="s">
        <v>6</v>
      </c>
      <c r="E752" s="101" t="s">
        <v>40</v>
      </c>
      <c r="F752" s="127">
        <v>45866</v>
      </c>
    </row>
    <row r="753" spans="1:6" x14ac:dyDescent="0.25">
      <c r="A753" s="11">
        <v>41</v>
      </c>
      <c r="B753" s="21" t="s">
        <v>577</v>
      </c>
      <c r="C753" s="23" t="s">
        <v>6</v>
      </c>
      <c r="D753" s="23" t="s">
        <v>6</v>
      </c>
      <c r="E753" s="101" t="s">
        <v>46</v>
      </c>
      <c r="F753" s="127">
        <v>45866</v>
      </c>
    </row>
    <row r="754" spans="1:6" x14ac:dyDescent="0.25">
      <c r="A754" s="11">
        <v>42</v>
      </c>
      <c r="B754" s="21" t="s">
        <v>578</v>
      </c>
      <c r="C754" s="23" t="s">
        <v>6</v>
      </c>
      <c r="D754" s="23" t="s">
        <v>6</v>
      </c>
      <c r="E754" s="101" t="s">
        <v>46</v>
      </c>
      <c r="F754" s="127">
        <v>45866</v>
      </c>
    </row>
    <row r="755" spans="1:6" x14ac:dyDescent="0.25">
      <c r="A755" s="11">
        <v>43</v>
      </c>
      <c r="B755" s="21" t="s">
        <v>579</v>
      </c>
      <c r="C755" s="23" t="s">
        <v>6</v>
      </c>
      <c r="D755" s="23" t="s">
        <v>6</v>
      </c>
      <c r="E755" s="101" t="s">
        <v>46</v>
      </c>
      <c r="F755" s="127">
        <v>45866</v>
      </c>
    </row>
    <row r="756" spans="1:6" x14ac:dyDescent="0.25">
      <c r="A756" s="11">
        <v>44</v>
      </c>
      <c r="B756" s="21" t="s">
        <v>580</v>
      </c>
      <c r="C756" s="23" t="s">
        <v>6</v>
      </c>
      <c r="D756" s="23" t="s">
        <v>6</v>
      </c>
      <c r="E756" s="101" t="s">
        <v>46</v>
      </c>
      <c r="F756" s="127">
        <v>45866</v>
      </c>
    </row>
    <row r="757" spans="1:6" x14ac:dyDescent="0.25">
      <c r="A757" s="11">
        <v>45</v>
      </c>
      <c r="B757" s="21" t="s">
        <v>585</v>
      </c>
      <c r="C757" s="23" t="s">
        <v>6</v>
      </c>
      <c r="D757" s="23" t="s">
        <v>6</v>
      </c>
      <c r="E757" s="101" t="s">
        <v>154</v>
      </c>
      <c r="F757" s="127">
        <v>45866</v>
      </c>
    </row>
    <row r="758" spans="1:6" x14ac:dyDescent="0.25">
      <c r="A758" s="11">
        <v>46</v>
      </c>
      <c r="B758" s="21" t="s">
        <v>586</v>
      </c>
      <c r="C758" s="23" t="s">
        <v>6</v>
      </c>
      <c r="D758" s="23" t="s">
        <v>6</v>
      </c>
      <c r="E758" s="101" t="s">
        <v>154</v>
      </c>
      <c r="F758" s="127">
        <v>45866</v>
      </c>
    </row>
    <row r="759" spans="1:6" x14ac:dyDescent="0.25">
      <c r="A759" s="11">
        <v>47</v>
      </c>
      <c r="B759" s="21" t="s">
        <v>603</v>
      </c>
      <c r="C759" s="23" t="s">
        <v>6</v>
      </c>
      <c r="D759" s="23" t="s">
        <v>6</v>
      </c>
      <c r="E759" s="101" t="s">
        <v>46</v>
      </c>
      <c r="F759" s="127">
        <v>45866</v>
      </c>
    </row>
    <row r="760" spans="1:6" x14ac:dyDescent="0.25">
      <c r="A760" s="11">
        <v>48</v>
      </c>
      <c r="B760" s="8" t="s">
        <v>373</v>
      </c>
      <c r="C760" s="23" t="s">
        <v>6</v>
      </c>
      <c r="D760" s="23" t="s">
        <v>6</v>
      </c>
      <c r="E760" s="104" t="s">
        <v>40</v>
      </c>
      <c r="F760" s="128">
        <v>45886</v>
      </c>
    </row>
    <row r="761" spans="1:6" x14ac:dyDescent="0.25">
      <c r="A761" s="11">
        <v>49</v>
      </c>
      <c r="B761" s="8" t="s">
        <v>667</v>
      </c>
      <c r="C761" s="23" t="s">
        <v>6</v>
      </c>
      <c r="D761" s="23" t="s">
        <v>6</v>
      </c>
      <c r="E761" s="104" t="s">
        <v>46</v>
      </c>
      <c r="F761" s="128">
        <v>45886</v>
      </c>
    </row>
    <row r="762" spans="1:6" x14ac:dyDescent="0.25">
      <c r="A762" s="11">
        <v>50</v>
      </c>
      <c r="B762" s="8" t="s">
        <v>182</v>
      </c>
      <c r="C762" s="23" t="s">
        <v>6</v>
      </c>
      <c r="D762" s="23" t="s">
        <v>6</v>
      </c>
      <c r="E762" s="103" t="s">
        <v>46</v>
      </c>
      <c r="F762" s="128">
        <v>45886</v>
      </c>
    </row>
    <row r="763" spans="1:6" x14ac:dyDescent="0.25">
      <c r="A763" s="11">
        <v>51</v>
      </c>
      <c r="B763" s="8" t="s">
        <v>191</v>
      </c>
      <c r="C763" s="23" t="s">
        <v>6</v>
      </c>
      <c r="D763" s="23" t="s">
        <v>6</v>
      </c>
      <c r="E763" s="103" t="s">
        <v>46</v>
      </c>
      <c r="F763" s="128">
        <v>45886</v>
      </c>
    </row>
    <row r="764" spans="1:6" x14ac:dyDescent="0.25">
      <c r="A764" s="11">
        <v>52</v>
      </c>
      <c r="B764" s="21" t="s">
        <v>332</v>
      </c>
      <c r="C764" s="23" t="s">
        <v>6</v>
      </c>
      <c r="D764" s="23" t="s">
        <v>6</v>
      </c>
      <c r="E764" s="103" t="s">
        <v>44</v>
      </c>
      <c r="F764" s="128">
        <v>45886</v>
      </c>
    </row>
    <row r="765" spans="1:6" x14ac:dyDescent="0.25">
      <c r="A765" s="11">
        <v>53</v>
      </c>
      <c r="B765" s="21" t="s">
        <v>340</v>
      </c>
      <c r="C765" s="23" t="s">
        <v>6</v>
      </c>
      <c r="D765" s="23" t="s">
        <v>6</v>
      </c>
      <c r="E765" s="103" t="s">
        <v>44</v>
      </c>
      <c r="F765" s="128">
        <v>45886</v>
      </c>
    </row>
    <row r="766" spans="1:6" x14ac:dyDescent="0.25">
      <c r="A766" s="11">
        <v>54</v>
      </c>
      <c r="B766" s="21" t="s">
        <v>407</v>
      </c>
      <c r="C766" s="23" t="s">
        <v>6</v>
      </c>
      <c r="D766" s="23" t="s">
        <v>6</v>
      </c>
      <c r="E766" s="103" t="s">
        <v>44</v>
      </c>
      <c r="F766" s="128">
        <v>45886</v>
      </c>
    </row>
    <row r="767" spans="1:6" x14ac:dyDescent="0.25">
      <c r="A767" s="11">
        <v>55</v>
      </c>
      <c r="B767" s="21" t="s">
        <v>500</v>
      </c>
      <c r="C767" s="23" t="s">
        <v>6</v>
      </c>
      <c r="D767" s="23" t="s">
        <v>6</v>
      </c>
      <c r="E767" s="101" t="s">
        <v>46</v>
      </c>
      <c r="F767" s="127">
        <v>45886</v>
      </c>
    </row>
    <row r="768" spans="1:6" x14ac:dyDescent="0.25">
      <c r="A768" s="11">
        <v>56</v>
      </c>
      <c r="B768" s="21" t="s">
        <v>496</v>
      </c>
      <c r="C768" s="23" t="s">
        <v>6</v>
      </c>
      <c r="D768" s="23" t="s">
        <v>6</v>
      </c>
      <c r="E768" s="101" t="s">
        <v>46</v>
      </c>
      <c r="F768" s="127">
        <v>45886</v>
      </c>
    </row>
    <row r="769" spans="1:6" x14ac:dyDescent="0.25">
      <c r="A769" s="11">
        <v>57</v>
      </c>
      <c r="B769" s="21" t="s">
        <v>668</v>
      </c>
      <c r="C769" s="23" t="s">
        <v>6</v>
      </c>
      <c r="D769" s="23" t="s">
        <v>6</v>
      </c>
      <c r="E769" s="101" t="s">
        <v>46</v>
      </c>
      <c r="F769" s="127">
        <v>45886</v>
      </c>
    </row>
    <row r="770" spans="1:6" x14ac:dyDescent="0.25">
      <c r="A770" s="11">
        <v>58</v>
      </c>
      <c r="B770" s="21" t="s">
        <v>506</v>
      </c>
      <c r="C770" s="23" t="s">
        <v>6</v>
      </c>
      <c r="D770" s="23" t="s">
        <v>6</v>
      </c>
      <c r="E770" s="101" t="s">
        <v>154</v>
      </c>
      <c r="F770" s="127">
        <v>45886</v>
      </c>
    </row>
    <row r="771" spans="1:6" x14ac:dyDescent="0.25">
      <c r="A771" s="11">
        <v>59</v>
      </c>
      <c r="B771" s="21" t="s">
        <v>590</v>
      </c>
      <c r="C771" s="23" t="s">
        <v>6</v>
      </c>
      <c r="D771" s="23" t="s">
        <v>6</v>
      </c>
      <c r="E771" s="101" t="s">
        <v>46</v>
      </c>
      <c r="F771" s="127">
        <v>45886</v>
      </c>
    </row>
    <row r="772" spans="1:6" x14ac:dyDescent="0.25">
      <c r="A772" s="11">
        <v>60</v>
      </c>
      <c r="B772" s="21" t="s">
        <v>591</v>
      </c>
      <c r="C772" s="23" t="s">
        <v>6</v>
      </c>
      <c r="D772" s="23" t="s">
        <v>6</v>
      </c>
      <c r="E772" s="101" t="s">
        <v>46</v>
      </c>
      <c r="F772" s="127">
        <v>45886</v>
      </c>
    </row>
    <row r="773" spans="1:6" x14ac:dyDescent="0.25">
      <c r="A773" s="11">
        <v>61</v>
      </c>
      <c r="B773" s="21" t="s">
        <v>642</v>
      </c>
      <c r="C773" s="23" t="s">
        <v>6</v>
      </c>
      <c r="D773" s="23" t="s">
        <v>6</v>
      </c>
      <c r="E773" s="101" t="s">
        <v>46</v>
      </c>
      <c r="F773" s="127">
        <v>45886</v>
      </c>
    </row>
    <row r="774" spans="1:6" x14ac:dyDescent="0.25">
      <c r="A774" s="11">
        <v>62</v>
      </c>
      <c r="B774" s="21" t="s">
        <v>637</v>
      </c>
      <c r="C774" s="23" t="s">
        <v>6</v>
      </c>
      <c r="D774" s="23" t="s">
        <v>6</v>
      </c>
      <c r="E774" s="101" t="s">
        <v>46</v>
      </c>
      <c r="F774" s="127">
        <v>45886</v>
      </c>
    </row>
    <row r="775" spans="1:6" x14ac:dyDescent="0.25">
      <c r="A775" s="11">
        <v>63</v>
      </c>
      <c r="B775" s="21" t="s">
        <v>638</v>
      </c>
      <c r="C775" s="23" t="s">
        <v>6</v>
      </c>
      <c r="D775" s="23" t="s">
        <v>6</v>
      </c>
      <c r="E775" s="101" t="s">
        <v>154</v>
      </c>
      <c r="F775" s="127">
        <v>45886</v>
      </c>
    </row>
    <row r="776" spans="1:6" x14ac:dyDescent="0.25">
      <c r="A776" s="11">
        <v>64</v>
      </c>
      <c r="B776" s="21" t="s">
        <v>639</v>
      </c>
      <c r="C776" s="23" t="s">
        <v>6</v>
      </c>
      <c r="D776" s="23" t="s">
        <v>6</v>
      </c>
      <c r="E776" s="101" t="s">
        <v>46</v>
      </c>
      <c r="F776" s="127">
        <v>45886</v>
      </c>
    </row>
    <row r="777" spans="1:6" x14ac:dyDescent="0.25">
      <c r="A777" s="11">
        <v>65</v>
      </c>
      <c r="B777" s="21" t="s">
        <v>669</v>
      </c>
      <c r="C777" s="23" t="s">
        <v>6</v>
      </c>
      <c r="D777" s="23" t="s">
        <v>6</v>
      </c>
      <c r="E777" s="101" t="s">
        <v>46</v>
      </c>
      <c r="F777" s="127">
        <v>45886</v>
      </c>
    </row>
    <row r="778" spans="1:6" x14ac:dyDescent="0.25">
      <c r="A778" s="11">
        <v>66</v>
      </c>
      <c r="B778" s="21" t="s">
        <v>671</v>
      </c>
      <c r="C778" s="23" t="s">
        <v>6</v>
      </c>
      <c r="D778" s="23" t="s">
        <v>6</v>
      </c>
      <c r="E778" s="101" t="s">
        <v>154</v>
      </c>
      <c r="F778" s="127">
        <v>45886</v>
      </c>
    </row>
    <row r="779" spans="1:6" x14ac:dyDescent="0.25">
      <c r="A779" s="11">
        <v>67</v>
      </c>
      <c r="B779" s="21" t="s">
        <v>672</v>
      </c>
      <c r="C779" s="23" t="s">
        <v>6</v>
      </c>
      <c r="D779" s="23" t="s">
        <v>6</v>
      </c>
      <c r="E779" s="101" t="s">
        <v>154</v>
      </c>
      <c r="F779" s="127">
        <v>45886</v>
      </c>
    </row>
    <row r="780" spans="1:6" x14ac:dyDescent="0.25">
      <c r="A780" s="11">
        <v>68</v>
      </c>
      <c r="B780" s="21" t="s">
        <v>703</v>
      </c>
      <c r="C780" s="23" t="s">
        <v>6</v>
      </c>
      <c r="D780" s="23" t="s">
        <v>6</v>
      </c>
      <c r="E780" s="103" t="s">
        <v>154</v>
      </c>
      <c r="F780" s="127">
        <v>45886</v>
      </c>
    </row>
    <row r="781" spans="1:6" x14ac:dyDescent="0.25">
      <c r="A781" s="11">
        <v>69</v>
      </c>
      <c r="B781" s="21" t="s">
        <v>692</v>
      </c>
      <c r="C781" s="23" t="s">
        <v>6</v>
      </c>
      <c r="D781" s="23" t="s">
        <v>6</v>
      </c>
      <c r="E781" s="101" t="s">
        <v>46</v>
      </c>
      <c r="F781" s="127">
        <v>45886</v>
      </c>
    </row>
    <row r="782" spans="1:6" x14ac:dyDescent="0.25">
      <c r="A782" s="11">
        <v>70</v>
      </c>
      <c r="B782" s="21" t="s">
        <v>705</v>
      </c>
      <c r="C782" s="23" t="s">
        <v>6</v>
      </c>
      <c r="D782" s="23" t="s">
        <v>6</v>
      </c>
      <c r="E782" s="101" t="s">
        <v>46</v>
      </c>
      <c r="F782" s="127">
        <v>45886</v>
      </c>
    </row>
    <row r="783" spans="1:6" x14ac:dyDescent="0.25">
      <c r="A783" s="11">
        <v>71</v>
      </c>
      <c r="B783" s="8" t="s">
        <v>800</v>
      </c>
      <c r="C783" s="23" t="s">
        <v>6</v>
      </c>
      <c r="D783" s="23" t="s">
        <v>6</v>
      </c>
      <c r="E783" s="104" t="s">
        <v>46</v>
      </c>
      <c r="F783" s="127">
        <v>45907</v>
      </c>
    </row>
    <row r="784" spans="1:6" x14ac:dyDescent="0.25">
      <c r="A784" s="11">
        <v>72</v>
      </c>
      <c r="B784" s="8" t="s">
        <v>759</v>
      </c>
      <c r="C784" s="23" t="s">
        <v>6</v>
      </c>
      <c r="D784" s="23" t="s">
        <v>6</v>
      </c>
      <c r="E784" s="104" t="s">
        <v>46</v>
      </c>
      <c r="F784" s="127">
        <v>45907</v>
      </c>
    </row>
    <row r="785" spans="1:6" x14ac:dyDescent="0.25">
      <c r="A785" s="11">
        <v>73</v>
      </c>
      <c r="B785" s="42" t="s">
        <v>557</v>
      </c>
      <c r="C785" s="23" t="s">
        <v>6</v>
      </c>
      <c r="D785" s="23" t="s">
        <v>6</v>
      </c>
      <c r="E785" s="101" t="s">
        <v>46</v>
      </c>
      <c r="F785" s="127">
        <v>45907</v>
      </c>
    </row>
    <row r="786" spans="1:6" x14ac:dyDescent="0.25">
      <c r="A786" s="11">
        <v>74</v>
      </c>
      <c r="B786" s="60" t="s">
        <v>747</v>
      </c>
      <c r="C786" s="23" t="s">
        <v>6</v>
      </c>
      <c r="D786" s="23" t="s">
        <v>6</v>
      </c>
      <c r="E786" s="107" t="s">
        <v>46</v>
      </c>
      <c r="F786" s="127">
        <v>45900</v>
      </c>
    </row>
    <row r="787" spans="1:6" x14ac:dyDescent="0.25">
      <c r="A787" s="11">
        <v>75</v>
      </c>
      <c r="B787" s="60" t="s">
        <v>773</v>
      </c>
      <c r="C787" s="23" t="s">
        <v>6</v>
      </c>
      <c r="D787" s="23" t="s">
        <v>6</v>
      </c>
      <c r="E787" s="107" t="s">
        <v>46</v>
      </c>
      <c r="F787" s="127">
        <v>45907</v>
      </c>
    </row>
    <row r="788" spans="1:6" x14ac:dyDescent="0.25">
      <c r="A788" s="11">
        <v>76</v>
      </c>
      <c r="B788" s="60" t="s">
        <v>774</v>
      </c>
      <c r="C788" s="23" t="s">
        <v>6</v>
      </c>
      <c r="D788" s="23" t="s">
        <v>6</v>
      </c>
      <c r="E788" s="107" t="s">
        <v>46</v>
      </c>
      <c r="F788" s="127">
        <v>45907</v>
      </c>
    </row>
    <row r="789" spans="1:6" x14ac:dyDescent="0.25">
      <c r="A789" s="11">
        <v>77</v>
      </c>
      <c r="B789" s="60" t="s">
        <v>776</v>
      </c>
      <c r="C789" s="23" t="s">
        <v>6</v>
      </c>
      <c r="D789" s="23" t="s">
        <v>6</v>
      </c>
      <c r="E789" s="107" t="s">
        <v>46</v>
      </c>
      <c r="F789" s="127">
        <v>45907</v>
      </c>
    </row>
    <row r="790" spans="1:6" x14ac:dyDescent="0.25">
      <c r="A790" s="11">
        <v>78</v>
      </c>
      <c r="B790" s="60" t="s">
        <v>777</v>
      </c>
      <c r="C790" s="23" t="s">
        <v>6</v>
      </c>
      <c r="D790" s="23" t="s">
        <v>6</v>
      </c>
      <c r="E790" s="107" t="s">
        <v>46</v>
      </c>
      <c r="F790" s="127">
        <v>45907</v>
      </c>
    </row>
    <row r="791" spans="1:6" x14ac:dyDescent="0.25">
      <c r="A791" s="11">
        <v>79</v>
      </c>
      <c r="B791" s="60" t="s">
        <v>778</v>
      </c>
      <c r="C791" s="23" t="s">
        <v>6</v>
      </c>
      <c r="D791" s="23" t="s">
        <v>6</v>
      </c>
      <c r="E791" s="107" t="s">
        <v>154</v>
      </c>
      <c r="F791" s="127">
        <v>45907</v>
      </c>
    </row>
    <row r="792" spans="1:6" x14ac:dyDescent="0.25">
      <c r="A792" s="11">
        <v>80</v>
      </c>
      <c r="B792" s="60" t="s">
        <v>779</v>
      </c>
      <c r="C792" s="23" t="s">
        <v>6</v>
      </c>
      <c r="D792" s="23" t="s">
        <v>6</v>
      </c>
      <c r="E792" s="107" t="s">
        <v>154</v>
      </c>
      <c r="F792" s="127">
        <v>45907</v>
      </c>
    </row>
    <row r="793" spans="1:6" x14ac:dyDescent="0.25">
      <c r="A793" s="11">
        <v>81</v>
      </c>
      <c r="B793" s="60" t="s">
        <v>760</v>
      </c>
      <c r="C793" s="23" t="s">
        <v>6</v>
      </c>
      <c r="D793" s="23" t="s">
        <v>6</v>
      </c>
      <c r="E793" s="107" t="s">
        <v>46</v>
      </c>
      <c r="F793" s="127">
        <v>45900</v>
      </c>
    </row>
    <row r="794" spans="1:6" x14ac:dyDescent="0.25">
      <c r="A794" s="11">
        <v>82</v>
      </c>
      <c r="B794" s="21" t="s">
        <v>792</v>
      </c>
      <c r="C794" s="23" t="s">
        <v>6</v>
      </c>
      <c r="D794" s="23" t="s">
        <v>6</v>
      </c>
      <c r="E794" s="107" t="s">
        <v>46</v>
      </c>
      <c r="F794" s="127">
        <v>45907</v>
      </c>
    </row>
    <row r="795" spans="1:6" x14ac:dyDescent="0.25">
      <c r="A795" s="11">
        <v>83</v>
      </c>
      <c r="B795" s="21" t="s">
        <v>791</v>
      </c>
      <c r="C795" s="23" t="s">
        <v>6</v>
      </c>
      <c r="D795" s="23" t="s">
        <v>6</v>
      </c>
      <c r="E795" s="107" t="s">
        <v>46</v>
      </c>
      <c r="F795" s="127">
        <v>45907</v>
      </c>
    </row>
    <row r="796" spans="1:6" x14ac:dyDescent="0.25">
      <c r="A796" s="11">
        <v>84</v>
      </c>
      <c r="B796" s="21" t="s">
        <v>798</v>
      </c>
      <c r="C796" s="23" t="s">
        <v>6</v>
      </c>
      <c r="D796" s="23" t="s">
        <v>6</v>
      </c>
      <c r="E796" s="107" t="s">
        <v>46</v>
      </c>
      <c r="F796" s="127">
        <v>45907</v>
      </c>
    </row>
    <row r="797" spans="1:6" x14ac:dyDescent="0.25">
      <c r="A797" s="11">
        <v>85</v>
      </c>
      <c r="B797" s="21" t="s">
        <v>801</v>
      </c>
      <c r="C797" s="23" t="s">
        <v>6</v>
      </c>
      <c r="D797" s="23" t="s">
        <v>6</v>
      </c>
      <c r="E797" s="107" t="s">
        <v>46</v>
      </c>
      <c r="F797" s="127">
        <v>45907</v>
      </c>
    </row>
    <row r="798" spans="1:6" x14ac:dyDescent="0.25">
      <c r="A798" s="11">
        <v>86</v>
      </c>
      <c r="B798" s="21" t="s">
        <v>400</v>
      </c>
      <c r="C798" s="23" t="s">
        <v>6</v>
      </c>
      <c r="D798" s="23" t="s">
        <v>6</v>
      </c>
      <c r="E798" s="104" t="s">
        <v>46</v>
      </c>
      <c r="F798" s="127">
        <v>45914</v>
      </c>
    </row>
    <row r="799" spans="1:6" x14ac:dyDescent="0.25">
      <c r="A799" s="11">
        <v>87</v>
      </c>
      <c r="B799" s="8" t="s">
        <v>207</v>
      </c>
      <c r="C799" s="23" t="s">
        <v>6</v>
      </c>
      <c r="D799" s="23" t="s">
        <v>6</v>
      </c>
      <c r="E799" s="103" t="s">
        <v>46</v>
      </c>
      <c r="F799" s="127">
        <v>45914</v>
      </c>
    </row>
    <row r="800" spans="1:6" x14ac:dyDescent="0.25">
      <c r="A800" s="11">
        <v>88</v>
      </c>
      <c r="B800" s="8" t="s">
        <v>316</v>
      </c>
      <c r="C800" s="23" t="s">
        <v>6</v>
      </c>
      <c r="D800" s="23" t="s">
        <v>6</v>
      </c>
      <c r="E800" s="103" t="s">
        <v>46</v>
      </c>
      <c r="F800" s="127">
        <v>45914</v>
      </c>
    </row>
    <row r="801" spans="1:6" x14ac:dyDescent="0.25">
      <c r="A801" s="11">
        <v>89</v>
      </c>
      <c r="B801" s="8" t="s">
        <v>655</v>
      </c>
      <c r="C801" s="23" t="s">
        <v>6</v>
      </c>
      <c r="D801" s="23" t="s">
        <v>6</v>
      </c>
      <c r="E801" s="103" t="s">
        <v>46</v>
      </c>
      <c r="F801" s="127">
        <v>45914</v>
      </c>
    </row>
    <row r="802" spans="1:6" x14ac:dyDescent="0.25">
      <c r="A802" s="11">
        <v>90</v>
      </c>
      <c r="B802" s="8" t="s">
        <v>818</v>
      </c>
      <c r="C802" s="23" t="s">
        <v>6</v>
      </c>
      <c r="D802" s="23" t="s">
        <v>6</v>
      </c>
      <c r="E802" s="103" t="s">
        <v>45</v>
      </c>
      <c r="F802" s="127">
        <v>45914</v>
      </c>
    </row>
    <row r="803" spans="1:6" x14ac:dyDescent="0.25">
      <c r="A803" s="11">
        <v>91</v>
      </c>
      <c r="B803" s="21" t="s">
        <v>693</v>
      </c>
      <c r="C803" s="23" t="s">
        <v>6</v>
      </c>
      <c r="D803" s="23" t="s">
        <v>6</v>
      </c>
      <c r="E803" s="101" t="s">
        <v>46</v>
      </c>
      <c r="F803" s="127">
        <v>45914</v>
      </c>
    </row>
    <row r="804" spans="1:6" x14ac:dyDescent="0.25">
      <c r="A804" s="11">
        <v>92</v>
      </c>
      <c r="B804" s="21" t="s">
        <v>720</v>
      </c>
      <c r="C804" s="23" t="s">
        <v>6</v>
      </c>
      <c r="D804" s="23" t="s">
        <v>6</v>
      </c>
      <c r="E804" s="101" t="s">
        <v>46</v>
      </c>
      <c r="F804" s="127">
        <v>45914</v>
      </c>
    </row>
    <row r="805" spans="1:6" x14ac:dyDescent="0.25">
      <c r="A805" s="11">
        <v>93</v>
      </c>
      <c r="B805" s="60" t="s">
        <v>780</v>
      </c>
      <c r="C805" s="23" t="s">
        <v>6</v>
      </c>
      <c r="D805" s="23" t="s">
        <v>6</v>
      </c>
      <c r="E805" s="107" t="s">
        <v>154</v>
      </c>
      <c r="F805" s="127">
        <v>45914</v>
      </c>
    </row>
    <row r="806" spans="1:6" x14ac:dyDescent="0.25">
      <c r="A806" s="11">
        <v>94</v>
      </c>
      <c r="B806" s="21" t="s">
        <v>793</v>
      </c>
      <c r="C806" s="23" t="s">
        <v>6</v>
      </c>
      <c r="D806" s="23" t="s">
        <v>6</v>
      </c>
      <c r="E806" s="107" t="s">
        <v>46</v>
      </c>
      <c r="F806" s="127">
        <v>45914</v>
      </c>
    </row>
    <row r="807" spans="1:6" x14ac:dyDescent="0.25">
      <c r="A807" s="11">
        <v>95</v>
      </c>
      <c r="B807" s="21" t="s">
        <v>813</v>
      </c>
      <c r="C807" s="23" t="s">
        <v>6</v>
      </c>
      <c r="D807" s="23" t="s">
        <v>6</v>
      </c>
      <c r="E807" s="107" t="s">
        <v>46</v>
      </c>
      <c r="F807" s="127">
        <v>45914</v>
      </c>
    </row>
    <row r="808" spans="1:6" x14ac:dyDescent="0.25">
      <c r="A808" s="11">
        <v>96</v>
      </c>
      <c r="B808" s="21" t="s">
        <v>817</v>
      </c>
      <c r="C808" s="23" t="s">
        <v>6</v>
      </c>
      <c r="D808" s="23" t="s">
        <v>6</v>
      </c>
      <c r="E808" s="107" t="s">
        <v>46</v>
      </c>
      <c r="F808" s="127">
        <v>45914</v>
      </c>
    </row>
    <row r="809" spans="1:6" x14ac:dyDescent="0.25">
      <c r="A809" s="11">
        <v>97</v>
      </c>
      <c r="B809" s="21" t="s">
        <v>828</v>
      </c>
      <c r="C809" s="23" t="s">
        <v>6</v>
      </c>
      <c r="D809" s="23" t="s">
        <v>6</v>
      </c>
      <c r="E809" s="107" t="s">
        <v>46</v>
      </c>
      <c r="F809" s="127">
        <v>45914</v>
      </c>
    </row>
    <row r="810" spans="1:6" x14ac:dyDescent="0.25">
      <c r="A810" s="11">
        <v>98</v>
      </c>
      <c r="B810" s="21" t="s">
        <v>829</v>
      </c>
      <c r="C810" s="23" t="s">
        <v>6</v>
      </c>
      <c r="D810" s="23" t="s">
        <v>6</v>
      </c>
      <c r="E810" s="107" t="s">
        <v>46</v>
      </c>
      <c r="F810" s="127">
        <v>45914</v>
      </c>
    </row>
    <row r="811" spans="1:6" x14ac:dyDescent="0.25">
      <c r="A811" s="11">
        <v>99</v>
      </c>
      <c r="B811" s="8" t="s">
        <v>452</v>
      </c>
      <c r="C811" s="23" t="s">
        <v>6</v>
      </c>
      <c r="D811" s="23" t="s">
        <v>6</v>
      </c>
      <c r="E811" s="104" t="s">
        <v>46</v>
      </c>
      <c r="F811" s="127">
        <v>45929</v>
      </c>
    </row>
    <row r="812" spans="1:6" x14ac:dyDescent="0.25">
      <c r="A812" s="11">
        <v>100</v>
      </c>
      <c r="B812" s="8" t="s">
        <v>305</v>
      </c>
      <c r="C812" s="23" t="s">
        <v>6</v>
      </c>
      <c r="D812" s="23" t="s">
        <v>6</v>
      </c>
      <c r="E812" s="104" t="s">
        <v>46</v>
      </c>
      <c r="F812" s="127">
        <v>45922</v>
      </c>
    </row>
    <row r="813" spans="1:6" x14ac:dyDescent="0.25">
      <c r="A813" s="11">
        <v>101</v>
      </c>
      <c r="B813" s="8" t="s">
        <v>698</v>
      </c>
      <c r="C813" s="23" t="s">
        <v>6</v>
      </c>
      <c r="D813" s="23" t="s">
        <v>6</v>
      </c>
      <c r="E813" s="104" t="s">
        <v>46</v>
      </c>
      <c r="F813" s="127">
        <v>45922</v>
      </c>
    </row>
    <row r="814" spans="1:6" x14ac:dyDescent="0.25">
      <c r="A814" s="11">
        <v>102</v>
      </c>
      <c r="B814" s="8" t="s">
        <v>869</v>
      </c>
      <c r="C814" s="23" t="s">
        <v>6</v>
      </c>
      <c r="D814" s="23" t="s">
        <v>6</v>
      </c>
      <c r="E814" s="104" t="s">
        <v>154</v>
      </c>
      <c r="F814" s="127">
        <v>45922</v>
      </c>
    </row>
    <row r="815" spans="1:6" x14ac:dyDescent="0.25">
      <c r="A815" s="11">
        <v>103</v>
      </c>
      <c r="B815" s="8" t="s">
        <v>761</v>
      </c>
      <c r="C815" s="23" t="s">
        <v>6</v>
      </c>
      <c r="D815" s="23" t="s">
        <v>6</v>
      </c>
      <c r="E815" s="103" t="s">
        <v>46</v>
      </c>
      <c r="F815" s="127">
        <v>45907</v>
      </c>
    </row>
    <row r="816" spans="1:6" x14ac:dyDescent="0.25">
      <c r="A816" s="11">
        <v>104</v>
      </c>
      <c r="B816" s="8" t="s">
        <v>834</v>
      </c>
      <c r="C816" s="23" t="s">
        <v>6</v>
      </c>
      <c r="D816" s="23" t="s">
        <v>6</v>
      </c>
      <c r="E816" s="104" t="s">
        <v>154</v>
      </c>
      <c r="F816" s="127">
        <v>45929</v>
      </c>
    </row>
    <row r="817" spans="1:6" x14ac:dyDescent="0.25">
      <c r="A817" s="11">
        <v>105</v>
      </c>
      <c r="B817" s="8" t="s">
        <v>835</v>
      </c>
      <c r="C817" s="23" t="s">
        <v>6</v>
      </c>
      <c r="D817" s="23" t="s">
        <v>6</v>
      </c>
      <c r="E817" s="104" t="s">
        <v>154</v>
      </c>
      <c r="F817" s="127">
        <v>45929</v>
      </c>
    </row>
    <row r="818" spans="1:6" x14ac:dyDescent="0.25">
      <c r="A818" s="11">
        <v>106</v>
      </c>
      <c r="B818" s="8" t="s">
        <v>836</v>
      </c>
      <c r="C818" s="23" t="s">
        <v>6</v>
      </c>
      <c r="D818" s="23" t="s">
        <v>6</v>
      </c>
      <c r="E818" s="104" t="s">
        <v>45</v>
      </c>
      <c r="F818" s="127">
        <v>45922</v>
      </c>
    </row>
    <row r="819" spans="1:6" x14ac:dyDescent="0.25">
      <c r="A819" s="11">
        <v>107</v>
      </c>
      <c r="B819" s="21" t="s">
        <v>867</v>
      </c>
      <c r="C819" s="23" t="s">
        <v>6</v>
      </c>
      <c r="D819" s="23" t="s">
        <v>6</v>
      </c>
      <c r="E819" s="103" t="s">
        <v>359</v>
      </c>
      <c r="F819" s="127">
        <v>45922</v>
      </c>
    </row>
    <row r="820" spans="1:6" x14ac:dyDescent="0.25">
      <c r="A820" s="11">
        <v>108</v>
      </c>
      <c r="B820" s="21" t="s">
        <v>601</v>
      </c>
      <c r="C820" s="23" t="s">
        <v>6</v>
      </c>
      <c r="D820" s="23" t="s">
        <v>6</v>
      </c>
      <c r="E820" s="101" t="s">
        <v>46</v>
      </c>
      <c r="F820" s="127">
        <v>45929</v>
      </c>
    </row>
    <row r="821" spans="1:6" x14ac:dyDescent="0.25">
      <c r="A821" s="11">
        <v>109</v>
      </c>
      <c r="B821" s="21" t="s">
        <v>704</v>
      </c>
      <c r="C821" s="23" t="s">
        <v>6</v>
      </c>
      <c r="D821" s="23" t="s">
        <v>6</v>
      </c>
      <c r="E821" s="103" t="s">
        <v>154</v>
      </c>
      <c r="F821" s="127">
        <v>45922</v>
      </c>
    </row>
    <row r="822" spans="1:6" x14ac:dyDescent="0.25">
      <c r="A822" s="11">
        <v>110</v>
      </c>
      <c r="B822" s="60" t="s">
        <v>841</v>
      </c>
      <c r="C822" s="23" t="s">
        <v>6</v>
      </c>
      <c r="D822" s="23" t="s">
        <v>6</v>
      </c>
      <c r="E822" s="107" t="s">
        <v>46</v>
      </c>
      <c r="F822" s="127">
        <v>45922</v>
      </c>
    </row>
    <row r="823" spans="1:6" x14ac:dyDescent="0.25">
      <c r="A823" s="11">
        <v>111</v>
      </c>
      <c r="B823" s="60" t="s">
        <v>842</v>
      </c>
      <c r="C823" s="23" t="s">
        <v>6</v>
      </c>
      <c r="D823" s="23" t="s">
        <v>6</v>
      </c>
      <c r="E823" s="107" t="s">
        <v>46</v>
      </c>
      <c r="F823" s="127">
        <v>45922</v>
      </c>
    </row>
    <row r="824" spans="1:6" x14ac:dyDescent="0.25">
      <c r="A824" s="11">
        <v>112</v>
      </c>
      <c r="B824" s="60" t="s">
        <v>842</v>
      </c>
      <c r="C824" s="23" t="s">
        <v>6</v>
      </c>
      <c r="D824" s="23" t="s">
        <v>6</v>
      </c>
      <c r="E824" s="107" t="s">
        <v>46</v>
      </c>
      <c r="F824" s="127">
        <v>45922</v>
      </c>
    </row>
    <row r="825" spans="1:6" x14ac:dyDescent="0.25">
      <c r="A825" s="11">
        <v>113</v>
      </c>
      <c r="B825" s="60" t="s">
        <v>854</v>
      </c>
      <c r="C825" s="23" t="s">
        <v>6</v>
      </c>
      <c r="D825" s="23" t="s">
        <v>6</v>
      </c>
      <c r="E825" s="107" t="s">
        <v>46</v>
      </c>
      <c r="F825" s="127">
        <v>45949</v>
      </c>
    </row>
    <row r="826" spans="1:6" x14ac:dyDescent="0.25">
      <c r="A826" s="11">
        <v>114</v>
      </c>
      <c r="B826" s="60" t="s">
        <v>853</v>
      </c>
      <c r="C826" s="23" t="s">
        <v>6</v>
      </c>
      <c r="D826" s="23" t="s">
        <v>6</v>
      </c>
      <c r="E826" s="107" t="s">
        <v>46</v>
      </c>
      <c r="F826" s="127">
        <v>45922</v>
      </c>
    </row>
    <row r="827" spans="1:6" x14ac:dyDescent="0.25">
      <c r="A827" s="11">
        <v>115</v>
      </c>
      <c r="B827" s="60" t="s">
        <v>842</v>
      </c>
      <c r="C827" s="23" t="s">
        <v>6</v>
      </c>
      <c r="D827" s="23" t="s">
        <v>6</v>
      </c>
      <c r="E827" s="107" t="s">
        <v>46</v>
      </c>
      <c r="F827" s="127">
        <v>45922</v>
      </c>
    </row>
    <row r="828" spans="1:6" x14ac:dyDescent="0.25">
      <c r="A828" s="11">
        <v>116</v>
      </c>
      <c r="B828" s="21" t="s">
        <v>902</v>
      </c>
      <c r="C828" s="23" t="s">
        <v>6</v>
      </c>
      <c r="D828" s="23" t="s">
        <v>6</v>
      </c>
      <c r="E828" s="107" t="s">
        <v>46</v>
      </c>
      <c r="F828" s="127">
        <v>45929</v>
      </c>
    </row>
    <row r="829" spans="1:6" x14ac:dyDescent="0.25">
      <c r="A829" s="11">
        <v>117</v>
      </c>
      <c r="B829" s="21" t="s">
        <v>905</v>
      </c>
      <c r="C829" s="23" t="s">
        <v>6</v>
      </c>
      <c r="D829" s="23" t="s">
        <v>6</v>
      </c>
      <c r="E829" s="107" t="s">
        <v>46</v>
      </c>
      <c r="F829" s="127">
        <v>45929</v>
      </c>
    </row>
    <row r="830" spans="1:6" x14ac:dyDescent="0.25">
      <c r="A830" s="11">
        <v>118</v>
      </c>
      <c r="B830" s="21" t="s">
        <v>919</v>
      </c>
      <c r="C830" s="23" t="s">
        <v>6</v>
      </c>
      <c r="D830" s="23" t="s">
        <v>6</v>
      </c>
      <c r="E830" s="107" t="s">
        <v>46</v>
      </c>
      <c r="F830" s="127">
        <v>45929</v>
      </c>
    </row>
    <row r="831" spans="1:6" x14ac:dyDescent="0.25">
      <c r="A831" s="11">
        <v>119</v>
      </c>
      <c r="B831" s="21" t="s">
        <v>917</v>
      </c>
      <c r="C831" s="23" t="s">
        <v>6</v>
      </c>
      <c r="D831" s="23" t="s">
        <v>6</v>
      </c>
      <c r="E831" s="107" t="s">
        <v>46</v>
      </c>
      <c r="F831" s="127">
        <v>45929</v>
      </c>
    </row>
    <row r="832" spans="1:6" x14ac:dyDescent="0.25">
      <c r="A832" s="11">
        <v>120</v>
      </c>
      <c r="B832" s="21" t="s">
        <v>918</v>
      </c>
      <c r="C832" s="23" t="s">
        <v>6</v>
      </c>
      <c r="D832" s="23" t="s">
        <v>6</v>
      </c>
      <c r="E832" s="107" t="s">
        <v>46</v>
      </c>
      <c r="F832" s="127">
        <v>45929</v>
      </c>
    </row>
    <row r="833" spans="1:6" x14ac:dyDescent="0.25">
      <c r="A833" s="11">
        <v>121</v>
      </c>
      <c r="B833" s="21" t="s">
        <v>903</v>
      </c>
      <c r="C833" s="23" t="s">
        <v>6</v>
      </c>
      <c r="D833" s="23" t="s">
        <v>6</v>
      </c>
      <c r="E833" s="107" t="s">
        <v>46</v>
      </c>
      <c r="F833" s="127">
        <v>45929</v>
      </c>
    </row>
    <row r="834" spans="1:6" x14ac:dyDescent="0.25">
      <c r="A834" s="11">
        <v>122</v>
      </c>
      <c r="B834" s="21" t="s">
        <v>922</v>
      </c>
      <c r="C834" s="23" t="s">
        <v>6</v>
      </c>
      <c r="D834" s="23" t="s">
        <v>6</v>
      </c>
      <c r="E834" s="107" t="s">
        <v>46</v>
      </c>
      <c r="F834" s="127">
        <v>45929</v>
      </c>
    </row>
    <row r="835" spans="1:6" x14ac:dyDescent="0.25">
      <c r="A835" s="11">
        <v>123</v>
      </c>
      <c r="B835" s="21" t="s">
        <v>923</v>
      </c>
      <c r="C835" s="23" t="s">
        <v>6</v>
      </c>
      <c r="D835" s="23" t="s">
        <v>6</v>
      </c>
      <c r="E835" s="107" t="s">
        <v>46</v>
      </c>
      <c r="F835" s="127">
        <v>45929</v>
      </c>
    </row>
    <row r="836" spans="1:6" x14ac:dyDescent="0.25">
      <c r="A836" s="11">
        <v>124</v>
      </c>
      <c r="B836" s="21" t="s">
        <v>924</v>
      </c>
      <c r="C836" s="23" t="s">
        <v>6</v>
      </c>
      <c r="D836" s="23" t="s">
        <v>6</v>
      </c>
      <c r="E836" s="107" t="s">
        <v>46</v>
      </c>
      <c r="F836" s="127">
        <v>45929</v>
      </c>
    </row>
    <row r="837" spans="1:6" x14ac:dyDescent="0.25">
      <c r="A837" s="11">
        <v>125</v>
      </c>
      <c r="B837" s="21" t="s">
        <v>925</v>
      </c>
      <c r="C837" s="23" t="s">
        <v>6</v>
      </c>
      <c r="D837" s="23" t="s">
        <v>6</v>
      </c>
      <c r="E837" s="107" t="s">
        <v>46</v>
      </c>
      <c r="F837" s="127">
        <v>45929</v>
      </c>
    </row>
    <row r="838" spans="1:6" x14ac:dyDescent="0.25">
      <c r="A838" s="11">
        <v>126</v>
      </c>
      <c r="B838" s="21" t="s">
        <v>929</v>
      </c>
      <c r="C838" s="23" t="s">
        <v>6</v>
      </c>
      <c r="D838" s="23" t="s">
        <v>6</v>
      </c>
      <c r="E838" s="107" t="s">
        <v>46</v>
      </c>
      <c r="F838" s="127">
        <v>45929</v>
      </c>
    </row>
    <row r="839" spans="1:6" x14ac:dyDescent="0.25">
      <c r="A839" s="11">
        <v>127</v>
      </c>
      <c r="B839" s="21" t="s">
        <v>928</v>
      </c>
      <c r="C839" s="23" t="s">
        <v>6</v>
      </c>
      <c r="D839" s="23" t="s">
        <v>6</v>
      </c>
      <c r="E839" s="107" t="s">
        <v>46</v>
      </c>
      <c r="F839" s="127">
        <v>45929</v>
      </c>
    </row>
    <row r="840" spans="1:6" x14ac:dyDescent="0.25">
      <c r="A840" s="11">
        <v>128</v>
      </c>
      <c r="B840" s="21" t="s">
        <v>942</v>
      </c>
      <c r="C840" s="23" t="s">
        <v>6</v>
      </c>
      <c r="D840" s="23" t="s">
        <v>6</v>
      </c>
      <c r="E840" s="107" t="s">
        <v>46</v>
      </c>
      <c r="F840" s="127">
        <v>45929</v>
      </c>
    </row>
    <row r="841" spans="1:6" x14ac:dyDescent="0.25">
      <c r="A841" s="11">
        <v>129</v>
      </c>
      <c r="B841" s="21" t="s">
        <v>945</v>
      </c>
      <c r="C841" s="23" t="s">
        <v>6</v>
      </c>
      <c r="D841" s="23" t="s">
        <v>6</v>
      </c>
      <c r="E841" s="107" t="s">
        <v>46</v>
      </c>
      <c r="F841" s="127">
        <v>45929</v>
      </c>
    </row>
    <row r="842" spans="1:6" x14ac:dyDescent="0.25">
      <c r="A842" s="11">
        <v>130</v>
      </c>
      <c r="B842" s="21" t="s">
        <v>947</v>
      </c>
      <c r="C842" s="23" t="s">
        <v>6</v>
      </c>
      <c r="D842" s="23" t="s">
        <v>6</v>
      </c>
      <c r="E842" s="107" t="s">
        <v>46</v>
      </c>
      <c r="F842" s="127">
        <v>45929</v>
      </c>
    </row>
    <row r="843" spans="1:6" x14ac:dyDescent="0.25">
      <c r="A843" s="11">
        <v>131</v>
      </c>
      <c r="B843" s="21" t="s">
        <v>949</v>
      </c>
      <c r="C843" s="23" t="s">
        <v>6</v>
      </c>
      <c r="D843" s="23" t="s">
        <v>6</v>
      </c>
      <c r="E843" s="107" t="s">
        <v>46</v>
      </c>
      <c r="F843" s="127">
        <v>45929</v>
      </c>
    </row>
    <row r="844" spans="1:6" x14ac:dyDescent="0.25">
      <c r="A844" s="11">
        <v>132</v>
      </c>
      <c r="B844" s="21" t="s">
        <v>951</v>
      </c>
      <c r="C844" s="23" t="s">
        <v>6</v>
      </c>
      <c r="D844" s="23" t="s">
        <v>6</v>
      </c>
      <c r="E844" s="107" t="s">
        <v>46</v>
      </c>
      <c r="F844" s="127">
        <v>45929</v>
      </c>
    </row>
    <row r="845" spans="1:6" x14ac:dyDescent="0.25">
      <c r="A845" s="11">
        <v>133</v>
      </c>
      <c r="B845" s="8" t="s">
        <v>898</v>
      </c>
      <c r="C845" s="23" t="s">
        <v>6</v>
      </c>
      <c r="D845" s="23" t="s">
        <v>6</v>
      </c>
      <c r="E845" s="104" t="s">
        <v>46</v>
      </c>
      <c r="F845" s="128">
        <v>45935</v>
      </c>
    </row>
    <row r="846" spans="1:6" x14ac:dyDescent="0.25">
      <c r="A846" s="11">
        <v>134</v>
      </c>
      <c r="B846" s="8" t="s">
        <v>209</v>
      </c>
      <c r="C846" s="23" t="s">
        <v>6</v>
      </c>
      <c r="D846" s="23" t="s">
        <v>6</v>
      </c>
      <c r="E846" s="103" t="s">
        <v>40</v>
      </c>
      <c r="F846" s="128">
        <v>45935</v>
      </c>
    </row>
    <row r="847" spans="1:6" x14ac:dyDescent="0.25">
      <c r="A847" s="11">
        <v>135</v>
      </c>
      <c r="B847" s="8" t="s">
        <v>983</v>
      </c>
      <c r="C847" s="23" t="s">
        <v>6</v>
      </c>
      <c r="D847" s="23" t="s">
        <v>6</v>
      </c>
      <c r="E847" s="103" t="s">
        <v>46</v>
      </c>
      <c r="F847" s="128">
        <v>45935</v>
      </c>
    </row>
    <row r="848" spans="1:6" x14ac:dyDescent="0.25">
      <c r="A848" s="11">
        <v>136</v>
      </c>
      <c r="B848" s="8" t="s">
        <v>212</v>
      </c>
      <c r="C848" s="23" t="s">
        <v>6</v>
      </c>
      <c r="D848" s="23" t="s">
        <v>6</v>
      </c>
      <c r="E848" s="104" t="s">
        <v>43</v>
      </c>
      <c r="F848" s="128">
        <v>45935</v>
      </c>
    </row>
    <row r="849" spans="1:6" x14ac:dyDescent="0.25">
      <c r="A849" s="11">
        <v>137</v>
      </c>
      <c r="B849" s="21" t="s">
        <v>1002</v>
      </c>
      <c r="C849" s="23" t="s">
        <v>6</v>
      </c>
      <c r="D849" s="23" t="s">
        <v>6</v>
      </c>
      <c r="E849" s="101" t="s">
        <v>359</v>
      </c>
      <c r="F849" s="128">
        <v>45935</v>
      </c>
    </row>
    <row r="850" spans="1:6" x14ac:dyDescent="0.25">
      <c r="A850" s="11">
        <v>138</v>
      </c>
      <c r="B850" s="60" t="s">
        <v>749</v>
      </c>
      <c r="C850" s="23" t="s">
        <v>6</v>
      </c>
      <c r="D850" s="23" t="s">
        <v>6</v>
      </c>
      <c r="E850" s="107" t="s">
        <v>46</v>
      </c>
      <c r="F850" s="128">
        <v>45935</v>
      </c>
    </row>
    <row r="851" spans="1:6" x14ac:dyDescent="0.25">
      <c r="A851" s="11">
        <v>139</v>
      </c>
      <c r="B851" s="60" t="s">
        <v>868</v>
      </c>
      <c r="C851" s="23" t="s">
        <v>6</v>
      </c>
      <c r="D851" s="23" t="s">
        <v>6</v>
      </c>
      <c r="E851" s="107" t="s">
        <v>46</v>
      </c>
      <c r="F851" s="128">
        <v>45935</v>
      </c>
    </row>
    <row r="852" spans="1:6" x14ac:dyDescent="0.25">
      <c r="A852" s="11">
        <v>140</v>
      </c>
      <c r="B852" s="21" t="s">
        <v>984</v>
      </c>
      <c r="C852" s="23" t="s">
        <v>6</v>
      </c>
      <c r="D852" s="23" t="s">
        <v>6</v>
      </c>
      <c r="E852" s="107" t="s">
        <v>46</v>
      </c>
      <c r="F852" s="128">
        <v>45935</v>
      </c>
    </row>
    <row r="853" spans="1:6" x14ac:dyDescent="0.25">
      <c r="A853" s="11">
        <v>141</v>
      </c>
      <c r="B853" s="60" t="s">
        <v>926</v>
      </c>
      <c r="C853" s="23" t="s">
        <v>6</v>
      </c>
      <c r="D853" s="23" t="s">
        <v>6</v>
      </c>
      <c r="E853" s="107" t="s">
        <v>46</v>
      </c>
      <c r="F853" s="127">
        <v>45942</v>
      </c>
    </row>
    <row r="854" spans="1:6" x14ac:dyDescent="0.25">
      <c r="A854" s="11">
        <v>142</v>
      </c>
      <c r="B854" s="21" t="s">
        <v>1041</v>
      </c>
      <c r="C854" s="23" t="s">
        <v>6</v>
      </c>
      <c r="D854" s="23" t="s">
        <v>6</v>
      </c>
      <c r="E854" s="107" t="s">
        <v>359</v>
      </c>
      <c r="F854" s="127">
        <v>45942</v>
      </c>
    </row>
    <row r="855" spans="1:6" x14ac:dyDescent="0.25">
      <c r="A855" s="11">
        <v>143</v>
      </c>
      <c r="B855" s="21" t="s">
        <v>1022</v>
      </c>
      <c r="C855" s="23" t="s">
        <v>6</v>
      </c>
      <c r="D855" s="23" t="s">
        <v>6</v>
      </c>
      <c r="E855" s="107" t="s">
        <v>46</v>
      </c>
      <c r="F855" s="127">
        <v>45942</v>
      </c>
    </row>
    <row r="856" spans="1:6" x14ac:dyDescent="0.25">
      <c r="A856" s="11">
        <v>144</v>
      </c>
      <c r="B856" s="21" t="s">
        <v>1037</v>
      </c>
      <c r="C856" s="23" t="s">
        <v>6</v>
      </c>
      <c r="D856" s="23" t="s">
        <v>6</v>
      </c>
      <c r="E856" s="107" t="s">
        <v>46</v>
      </c>
      <c r="F856" s="127">
        <v>45942</v>
      </c>
    </row>
    <row r="857" spans="1:6" x14ac:dyDescent="0.25">
      <c r="A857" s="11">
        <v>145</v>
      </c>
      <c r="B857" s="21" t="s">
        <v>1038</v>
      </c>
      <c r="C857" s="23" t="s">
        <v>6</v>
      </c>
      <c r="D857" s="23" t="s">
        <v>6</v>
      </c>
      <c r="E857" s="107" t="s">
        <v>46</v>
      </c>
      <c r="F857" s="127">
        <v>45942</v>
      </c>
    </row>
    <row r="858" spans="1:6" x14ac:dyDescent="0.25">
      <c r="A858" s="11">
        <v>146</v>
      </c>
      <c r="B858" s="21" t="s">
        <v>1040</v>
      </c>
      <c r="C858" s="23" t="s">
        <v>6</v>
      </c>
      <c r="D858" s="23" t="s">
        <v>6</v>
      </c>
      <c r="E858" s="107" t="s">
        <v>46</v>
      </c>
      <c r="F858" s="127">
        <v>45942</v>
      </c>
    </row>
    <row r="859" spans="1:6" x14ac:dyDescent="0.25">
      <c r="A859" s="11">
        <v>147</v>
      </c>
      <c r="B859" s="21" t="s">
        <v>1042</v>
      </c>
      <c r="C859" s="23" t="s">
        <v>6</v>
      </c>
      <c r="D859" s="23" t="s">
        <v>6</v>
      </c>
      <c r="E859" s="107" t="s">
        <v>46</v>
      </c>
      <c r="F859" s="127">
        <v>45942</v>
      </c>
    </row>
    <row r="860" spans="1:6" x14ac:dyDescent="0.25">
      <c r="A860" s="11">
        <v>148</v>
      </c>
      <c r="B860" s="8" t="s">
        <v>581</v>
      </c>
      <c r="C860" s="23" t="s">
        <v>6</v>
      </c>
      <c r="D860" s="23" t="s">
        <v>6</v>
      </c>
      <c r="E860" s="103" t="s">
        <v>155</v>
      </c>
      <c r="F860" s="127">
        <v>45949</v>
      </c>
    </row>
    <row r="861" spans="1:6" x14ac:dyDescent="0.25">
      <c r="A861" s="11">
        <v>149</v>
      </c>
      <c r="B861" s="21" t="s">
        <v>797</v>
      </c>
      <c r="C861" s="23" t="s">
        <v>6</v>
      </c>
      <c r="D861" s="23" t="s">
        <v>6</v>
      </c>
      <c r="E861" s="107" t="s">
        <v>46</v>
      </c>
      <c r="F861" s="127">
        <v>45949</v>
      </c>
    </row>
    <row r="862" spans="1:6" x14ac:dyDescent="0.25">
      <c r="A862" s="11">
        <v>150</v>
      </c>
      <c r="B862" s="60" t="s">
        <v>866</v>
      </c>
      <c r="C862" s="23" t="s">
        <v>6</v>
      </c>
      <c r="D862" s="23" t="s">
        <v>6</v>
      </c>
      <c r="E862" s="107" t="s">
        <v>46</v>
      </c>
      <c r="F862" s="127">
        <v>45949</v>
      </c>
    </row>
    <row r="863" spans="1:6" x14ac:dyDescent="0.25">
      <c r="A863" s="11">
        <v>151</v>
      </c>
      <c r="B863" s="21" t="s">
        <v>948</v>
      </c>
      <c r="C863" s="23" t="s">
        <v>6</v>
      </c>
      <c r="D863" s="23" t="s">
        <v>6</v>
      </c>
      <c r="E863" s="107" t="s">
        <v>46</v>
      </c>
      <c r="F863" s="127">
        <v>45949</v>
      </c>
    </row>
    <row r="864" spans="1:6" x14ac:dyDescent="0.25">
      <c r="A864" s="11">
        <v>152</v>
      </c>
      <c r="B864" s="21" t="s">
        <v>1004</v>
      </c>
      <c r="C864" s="23" t="s">
        <v>6</v>
      </c>
      <c r="D864" s="23" t="s">
        <v>6</v>
      </c>
      <c r="E864" s="107" t="s">
        <v>359</v>
      </c>
      <c r="F864" s="127">
        <v>45949</v>
      </c>
    </row>
    <row r="865" spans="1:6" x14ac:dyDescent="0.25">
      <c r="A865" s="11">
        <v>153</v>
      </c>
      <c r="B865" s="21" t="s">
        <v>1055</v>
      </c>
      <c r="C865" s="23" t="s">
        <v>6</v>
      </c>
      <c r="D865" s="23" t="s">
        <v>6</v>
      </c>
      <c r="E865" s="103" t="s">
        <v>154</v>
      </c>
      <c r="F865" s="127">
        <v>45949</v>
      </c>
    </row>
    <row r="866" spans="1:6" x14ac:dyDescent="0.25">
      <c r="A866" s="11">
        <v>154</v>
      </c>
      <c r="B866" s="21" t="s">
        <v>1072</v>
      </c>
      <c r="C866" s="23" t="s">
        <v>6</v>
      </c>
      <c r="D866" s="23" t="s">
        <v>6</v>
      </c>
      <c r="E866" s="107" t="s">
        <v>46</v>
      </c>
      <c r="F866" s="127">
        <v>45949</v>
      </c>
    </row>
    <row r="867" spans="1:6" x14ac:dyDescent="0.25">
      <c r="A867" s="11">
        <v>155</v>
      </c>
      <c r="B867" s="21" t="s">
        <v>1008</v>
      </c>
      <c r="C867" s="23" t="s">
        <v>6</v>
      </c>
      <c r="D867" s="23" t="s">
        <v>6</v>
      </c>
      <c r="E867" s="107" t="s">
        <v>359</v>
      </c>
      <c r="F867" s="127">
        <v>45956</v>
      </c>
    </row>
    <row r="868" spans="1:6" x14ac:dyDescent="0.25">
      <c r="A868" s="11">
        <v>156</v>
      </c>
      <c r="B868" s="21" t="s">
        <v>1073</v>
      </c>
      <c r="C868" s="23" t="s">
        <v>6</v>
      </c>
      <c r="D868" s="23" t="s">
        <v>6</v>
      </c>
      <c r="E868" s="107" t="s">
        <v>46</v>
      </c>
      <c r="F868" s="127">
        <v>45956</v>
      </c>
    </row>
    <row r="869" spans="1:6" x14ac:dyDescent="0.25">
      <c r="A869" s="11">
        <v>157</v>
      </c>
      <c r="B869" s="21" t="s">
        <v>1083</v>
      </c>
      <c r="C869" s="23" t="s">
        <v>6</v>
      </c>
      <c r="D869" s="23" t="s">
        <v>6</v>
      </c>
      <c r="E869" s="107" t="s">
        <v>46</v>
      </c>
      <c r="F869" s="127">
        <v>45956</v>
      </c>
    </row>
    <row r="870" spans="1:6" x14ac:dyDescent="0.25">
      <c r="A870" s="11">
        <v>158</v>
      </c>
      <c r="B870" s="21" t="s">
        <v>1084</v>
      </c>
      <c r="C870" s="23" t="s">
        <v>6</v>
      </c>
      <c r="D870" s="23" t="s">
        <v>6</v>
      </c>
      <c r="E870" s="107" t="s">
        <v>46</v>
      </c>
      <c r="F870" s="127">
        <v>45956</v>
      </c>
    </row>
    <row r="871" spans="1:6" x14ac:dyDescent="0.25">
      <c r="A871" s="11">
        <v>159</v>
      </c>
      <c r="B871" s="21" t="s">
        <v>1085</v>
      </c>
      <c r="C871" s="23" t="s">
        <v>6</v>
      </c>
      <c r="D871" s="23" t="s">
        <v>6</v>
      </c>
      <c r="E871" s="107" t="s">
        <v>46</v>
      </c>
      <c r="F871" s="127">
        <v>45956</v>
      </c>
    </row>
    <row r="872" spans="1:6" x14ac:dyDescent="0.25">
      <c r="A872" s="11">
        <v>160</v>
      </c>
      <c r="B872" s="21" t="s">
        <v>1087</v>
      </c>
      <c r="C872" s="23" t="s">
        <v>6</v>
      </c>
      <c r="D872" s="23" t="s">
        <v>6</v>
      </c>
      <c r="E872" s="107" t="s">
        <v>46</v>
      </c>
      <c r="F872" s="127">
        <v>45956</v>
      </c>
    </row>
    <row r="873" spans="1:6" x14ac:dyDescent="0.25">
      <c r="A873" s="11">
        <v>161</v>
      </c>
      <c r="B873" s="21" t="s">
        <v>1086</v>
      </c>
      <c r="C873" s="23" t="s">
        <v>6</v>
      </c>
      <c r="D873" s="23" t="s">
        <v>6</v>
      </c>
      <c r="E873" s="107" t="s">
        <v>46</v>
      </c>
      <c r="F873" s="127">
        <v>45956</v>
      </c>
    </row>
    <row r="874" spans="1:6" x14ac:dyDescent="0.25">
      <c r="A874" s="11">
        <v>162</v>
      </c>
      <c r="B874" s="21" t="s">
        <v>1088</v>
      </c>
      <c r="C874" s="23" t="s">
        <v>6</v>
      </c>
      <c r="D874" s="23" t="s">
        <v>6</v>
      </c>
      <c r="E874" s="107" t="s">
        <v>46</v>
      </c>
      <c r="F874" s="127">
        <v>45956</v>
      </c>
    </row>
    <row r="875" spans="1:6" x14ac:dyDescent="0.25">
      <c r="A875" s="11">
        <v>163</v>
      </c>
      <c r="B875" s="21" t="s">
        <v>1090</v>
      </c>
      <c r="C875" s="23" t="s">
        <v>6</v>
      </c>
      <c r="D875" s="23" t="s">
        <v>6</v>
      </c>
      <c r="E875" s="107" t="s">
        <v>46</v>
      </c>
      <c r="F875" s="127">
        <v>45956</v>
      </c>
    </row>
    <row r="876" spans="1:6" x14ac:dyDescent="0.25">
      <c r="A876" s="11">
        <v>164</v>
      </c>
      <c r="B876" s="21" t="s">
        <v>1091</v>
      </c>
      <c r="C876" s="23" t="s">
        <v>6</v>
      </c>
      <c r="D876" s="23" t="s">
        <v>6</v>
      </c>
      <c r="E876" s="107" t="s">
        <v>46</v>
      </c>
      <c r="F876" s="127">
        <v>45956</v>
      </c>
    </row>
    <row r="877" spans="1:6" x14ac:dyDescent="0.25">
      <c r="A877" s="11">
        <v>165</v>
      </c>
      <c r="B877" s="21" t="s">
        <v>1109</v>
      </c>
      <c r="C877" s="23" t="s">
        <v>6</v>
      </c>
      <c r="D877" s="23" t="s">
        <v>6</v>
      </c>
      <c r="E877" s="107" t="s">
        <v>46</v>
      </c>
      <c r="F877" s="127">
        <v>45956</v>
      </c>
    </row>
    <row r="878" spans="1:6" x14ac:dyDescent="0.25">
      <c r="A878" s="11">
        <v>166</v>
      </c>
      <c r="B878" s="21" t="s">
        <v>1110</v>
      </c>
      <c r="C878" s="23" t="s">
        <v>6</v>
      </c>
      <c r="D878" s="23" t="s">
        <v>6</v>
      </c>
      <c r="E878" s="107" t="s">
        <v>46</v>
      </c>
      <c r="F878" s="127">
        <v>45956</v>
      </c>
    </row>
    <row r="879" spans="1:6" x14ac:dyDescent="0.25">
      <c r="A879" s="11">
        <v>167</v>
      </c>
      <c r="B879" s="21" t="s">
        <v>1112</v>
      </c>
      <c r="C879" s="23" t="s">
        <v>6</v>
      </c>
      <c r="D879" s="23" t="s">
        <v>6</v>
      </c>
      <c r="E879" s="107" t="s">
        <v>46</v>
      </c>
      <c r="F879" s="127">
        <v>45956</v>
      </c>
    </row>
    <row r="880" spans="1:6" x14ac:dyDescent="0.25">
      <c r="A880" s="11">
        <v>168</v>
      </c>
      <c r="B880" s="21" t="s">
        <v>1115</v>
      </c>
      <c r="C880" s="23" t="s">
        <v>6</v>
      </c>
      <c r="D880" s="23" t="s">
        <v>6</v>
      </c>
      <c r="E880" s="107" t="s">
        <v>46</v>
      </c>
      <c r="F880" s="127">
        <v>45956</v>
      </c>
    </row>
    <row r="881" spans="1:6" x14ac:dyDescent="0.25">
      <c r="A881" s="11">
        <v>169</v>
      </c>
      <c r="B881" s="8" t="s">
        <v>1131</v>
      </c>
      <c r="C881" s="23" t="s">
        <v>6</v>
      </c>
      <c r="D881" s="23" t="s">
        <v>6</v>
      </c>
      <c r="E881" s="104" t="s">
        <v>46</v>
      </c>
      <c r="F881" s="127">
        <v>45964</v>
      </c>
    </row>
    <row r="882" spans="1:6" x14ac:dyDescent="0.25">
      <c r="A882" s="11">
        <v>170</v>
      </c>
      <c r="B882" s="8" t="s">
        <v>1136</v>
      </c>
      <c r="C882" s="23" t="s">
        <v>6</v>
      </c>
      <c r="D882" s="23" t="s">
        <v>6</v>
      </c>
      <c r="E882" s="104" t="s">
        <v>359</v>
      </c>
      <c r="F882" s="127">
        <v>45964</v>
      </c>
    </row>
    <row r="883" spans="1:6" x14ac:dyDescent="0.25">
      <c r="A883" s="11">
        <v>171</v>
      </c>
      <c r="B883" s="8" t="s">
        <v>213</v>
      </c>
      <c r="C883" s="23" t="s">
        <v>6</v>
      </c>
      <c r="D883" s="23" t="s">
        <v>6</v>
      </c>
      <c r="E883" s="104" t="s">
        <v>43</v>
      </c>
      <c r="F883" s="127">
        <v>45964</v>
      </c>
    </row>
    <row r="884" spans="1:6" x14ac:dyDescent="0.25">
      <c r="A884" s="11">
        <v>172</v>
      </c>
      <c r="B884" s="21" t="s">
        <v>1023</v>
      </c>
      <c r="C884" s="23" t="s">
        <v>6</v>
      </c>
      <c r="D884" s="23" t="s">
        <v>6</v>
      </c>
      <c r="E884" s="107" t="s">
        <v>46</v>
      </c>
      <c r="F884" s="127">
        <v>45964</v>
      </c>
    </row>
    <row r="885" spans="1:6" x14ac:dyDescent="0.25">
      <c r="A885" s="11">
        <v>173</v>
      </c>
      <c r="B885" s="21" t="s">
        <v>1039</v>
      </c>
      <c r="C885" s="23" t="s">
        <v>6</v>
      </c>
      <c r="D885" s="23" t="s">
        <v>6</v>
      </c>
      <c r="E885" s="107" t="s">
        <v>46</v>
      </c>
      <c r="F885" s="127">
        <v>45964</v>
      </c>
    </row>
    <row r="886" spans="1:6" x14ac:dyDescent="0.25">
      <c r="A886" s="11">
        <v>174</v>
      </c>
      <c r="B886" s="21" t="s">
        <v>1054</v>
      </c>
      <c r="C886" s="23" t="s">
        <v>6</v>
      </c>
      <c r="D886" s="23" t="s">
        <v>6</v>
      </c>
      <c r="E886" s="103" t="s">
        <v>154</v>
      </c>
      <c r="F886" s="127">
        <v>45964</v>
      </c>
    </row>
    <row r="887" spans="1:6" x14ac:dyDescent="0.25">
      <c r="A887" s="11">
        <v>175</v>
      </c>
      <c r="B887" s="21" t="s">
        <v>1126</v>
      </c>
      <c r="C887" s="23" t="s">
        <v>6</v>
      </c>
      <c r="D887" s="23" t="s">
        <v>6</v>
      </c>
      <c r="E887" s="107" t="s">
        <v>46</v>
      </c>
      <c r="F887" s="127">
        <v>45964</v>
      </c>
    </row>
    <row r="888" spans="1:6" x14ac:dyDescent="0.25">
      <c r="A888" s="11">
        <v>176</v>
      </c>
      <c r="B888" s="8" t="s">
        <v>673</v>
      </c>
      <c r="C888" s="23" t="s">
        <v>6</v>
      </c>
      <c r="D888" s="23" t="s">
        <v>6</v>
      </c>
      <c r="E888" s="104" t="s">
        <v>46</v>
      </c>
      <c r="F888" s="127">
        <v>45970</v>
      </c>
    </row>
    <row r="889" spans="1:6" x14ac:dyDescent="0.25">
      <c r="A889" s="11">
        <v>177</v>
      </c>
      <c r="B889" s="8" t="s">
        <v>1155</v>
      </c>
      <c r="C889" s="23" t="s">
        <v>6</v>
      </c>
      <c r="D889" s="23" t="s">
        <v>6</v>
      </c>
      <c r="E889" s="104" t="s">
        <v>359</v>
      </c>
      <c r="F889" s="127">
        <v>45970</v>
      </c>
    </row>
    <row r="890" spans="1:6" x14ac:dyDescent="0.25">
      <c r="A890" s="11">
        <v>178</v>
      </c>
      <c r="B890" s="8" t="s">
        <v>210</v>
      </c>
      <c r="C890" s="23" t="s">
        <v>6</v>
      </c>
      <c r="D890" s="23" t="s">
        <v>6</v>
      </c>
      <c r="E890" s="104" t="s">
        <v>45</v>
      </c>
      <c r="F890" s="127">
        <v>45970</v>
      </c>
    </row>
    <row r="891" spans="1:6" x14ac:dyDescent="0.25">
      <c r="A891" s="11">
        <v>179</v>
      </c>
      <c r="B891" s="21" t="s">
        <v>670</v>
      </c>
      <c r="C891" s="23" t="s">
        <v>6</v>
      </c>
      <c r="D891" s="23" t="s">
        <v>6</v>
      </c>
      <c r="E891" s="101" t="s">
        <v>46</v>
      </c>
      <c r="F891" s="127">
        <v>45970</v>
      </c>
    </row>
    <row r="892" spans="1:6" x14ac:dyDescent="0.25">
      <c r="A892" s="11">
        <v>180</v>
      </c>
      <c r="B892" s="21" t="s">
        <v>702</v>
      </c>
      <c r="C892" s="23" t="s">
        <v>6</v>
      </c>
      <c r="D892" s="23" t="s">
        <v>6</v>
      </c>
      <c r="E892" s="101" t="s">
        <v>46</v>
      </c>
      <c r="F892" s="127">
        <v>45970</v>
      </c>
    </row>
    <row r="893" spans="1:6" x14ac:dyDescent="0.25">
      <c r="A893" s="11">
        <v>181</v>
      </c>
      <c r="B893" s="60" t="s">
        <v>775</v>
      </c>
      <c r="C893" s="23" t="s">
        <v>6</v>
      </c>
      <c r="D893" s="23" t="s">
        <v>6</v>
      </c>
      <c r="E893" s="107" t="s">
        <v>46</v>
      </c>
      <c r="F893" s="127">
        <v>45970</v>
      </c>
    </row>
    <row r="894" spans="1:6" x14ac:dyDescent="0.25">
      <c r="A894" s="11">
        <v>182</v>
      </c>
      <c r="B894" s="21" t="s">
        <v>1150</v>
      </c>
      <c r="C894" s="23" t="s">
        <v>6</v>
      </c>
      <c r="D894" s="23" t="s">
        <v>6</v>
      </c>
      <c r="E894" s="107" t="s">
        <v>46</v>
      </c>
      <c r="F894" s="127">
        <v>45970</v>
      </c>
    </row>
    <row r="895" spans="1:6" x14ac:dyDescent="0.25">
      <c r="A895" s="11">
        <v>183</v>
      </c>
      <c r="B895" s="21" t="s">
        <v>1157</v>
      </c>
      <c r="C895" s="23" t="s">
        <v>6</v>
      </c>
      <c r="D895" s="23" t="s">
        <v>6</v>
      </c>
      <c r="E895" s="107" t="s">
        <v>46</v>
      </c>
      <c r="F895" s="127">
        <v>45970</v>
      </c>
    </row>
    <row r="896" spans="1:6" x14ac:dyDescent="0.25">
      <c r="A896" s="11">
        <v>184</v>
      </c>
      <c r="B896" s="21" t="s">
        <v>1158</v>
      </c>
      <c r="C896" s="23" t="s">
        <v>6</v>
      </c>
      <c r="D896" s="23" t="s">
        <v>6</v>
      </c>
      <c r="E896" s="107" t="s">
        <v>46</v>
      </c>
      <c r="F896" s="127">
        <v>45970</v>
      </c>
    </row>
    <row r="897" spans="1:6" x14ac:dyDescent="0.25">
      <c r="A897" s="11">
        <v>185</v>
      </c>
      <c r="B897" s="21" t="s">
        <v>1073</v>
      </c>
      <c r="C897" s="23" t="s">
        <v>6</v>
      </c>
      <c r="D897" s="23" t="s">
        <v>6</v>
      </c>
      <c r="E897" s="107" t="s">
        <v>46</v>
      </c>
      <c r="F897" s="127">
        <v>45970</v>
      </c>
    </row>
    <row r="898" spans="1:6" x14ac:dyDescent="0.25">
      <c r="A898" s="11">
        <v>186</v>
      </c>
      <c r="B898" s="8" t="s">
        <v>1164</v>
      </c>
      <c r="C898" s="23" t="s">
        <v>6</v>
      </c>
      <c r="D898" s="23" t="s">
        <v>6</v>
      </c>
      <c r="E898" s="104" t="s">
        <v>46</v>
      </c>
      <c r="F898" s="127">
        <v>45977</v>
      </c>
    </row>
    <row r="899" spans="1:6" x14ac:dyDescent="0.25">
      <c r="A899" s="11">
        <v>187</v>
      </c>
      <c r="B899" s="8" t="s">
        <v>1166</v>
      </c>
      <c r="C899" s="23" t="s">
        <v>6</v>
      </c>
      <c r="D899" s="23" t="s">
        <v>6</v>
      </c>
      <c r="E899" s="104" t="s">
        <v>46</v>
      </c>
      <c r="F899" s="127">
        <v>45977</v>
      </c>
    </row>
    <row r="900" spans="1:6" x14ac:dyDescent="0.25">
      <c r="A900" s="11">
        <v>188</v>
      </c>
      <c r="B900" s="8" t="s">
        <v>1179</v>
      </c>
      <c r="C900" s="23" t="s">
        <v>6</v>
      </c>
      <c r="D900" s="23" t="s">
        <v>6</v>
      </c>
      <c r="E900" s="104" t="s">
        <v>46</v>
      </c>
      <c r="F900" s="127">
        <v>45984</v>
      </c>
    </row>
    <row r="901" spans="1:6" x14ac:dyDescent="0.25">
      <c r="A901" s="11">
        <v>189</v>
      </c>
      <c r="B901" s="8" t="s">
        <v>1134</v>
      </c>
      <c r="C901" s="23" t="s">
        <v>6</v>
      </c>
      <c r="D901" s="23" t="s">
        <v>6</v>
      </c>
      <c r="E901" s="104" t="s">
        <v>43</v>
      </c>
      <c r="F901" s="127">
        <v>45977</v>
      </c>
    </row>
    <row r="902" spans="1:6" x14ac:dyDescent="0.25">
      <c r="A902" s="11">
        <v>190</v>
      </c>
      <c r="B902" s="8" t="s">
        <v>197</v>
      </c>
      <c r="C902" s="23" t="s">
        <v>6</v>
      </c>
      <c r="D902" s="23" t="s">
        <v>6</v>
      </c>
      <c r="E902" s="103" t="s">
        <v>46</v>
      </c>
      <c r="F902" s="127">
        <v>45984</v>
      </c>
    </row>
    <row r="903" spans="1:6" x14ac:dyDescent="0.25">
      <c r="A903" s="11">
        <v>191</v>
      </c>
      <c r="B903" s="8" t="s">
        <v>1168</v>
      </c>
      <c r="C903" s="23" t="s">
        <v>6</v>
      </c>
      <c r="D903" s="23" t="s">
        <v>6</v>
      </c>
      <c r="E903" s="104" t="s">
        <v>46</v>
      </c>
      <c r="F903" s="127">
        <v>45984</v>
      </c>
    </row>
    <row r="904" spans="1:6" x14ac:dyDescent="0.25">
      <c r="A904" s="11">
        <v>192</v>
      </c>
      <c r="B904" s="60" t="s">
        <v>772</v>
      </c>
      <c r="C904" s="23" t="s">
        <v>6</v>
      </c>
      <c r="D904" s="23" t="s">
        <v>6</v>
      </c>
      <c r="E904" s="107" t="s">
        <v>46</v>
      </c>
      <c r="F904" s="127">
        <v>45984</v>
      </c>
    </row>
    <row r="905" spans="1:6" x14ac:dyDescent="0.25">
      <c r="A905" s="11">
        <v>193</v>
      </c>
      <c r="B905" s="21" t="s">
        <v>946</v>
      </c>
      <c r="C905" s="23" t="s">
        <v>6</v>
      </c>
      <c r="D905" s="23" t="s">
        <v>6</v>
      </c>
      <c r="E905" s="107" t="s">
        <v>46</v>
      </c>
      <c r="F905" s="127">
        <v>45977</v>
      </c>
    </row>
    <row r="906" spans="1:6" x14ac:dyDescent="0.25">
      <c r="A906" s="11">
        <v>194</v>
      </c>
      <c r="B906" s="21" t="s">
        <v>1003</v>
      </c>
      <c r="C906" s="23" t="s">
        <v>6</v>
      </c>
      <c r="D906" s="23" t="s">
        <v>6</v>
      </c>
      <c r="E906" s="107" t="s">
        <v>154</v>
      </c>
      <c r="F906" s="127">
        <v>45977</v>
      </c>
    </row>
    <row r="907" spans="1:6" x14ac:dyDescent="0.25">
      <c r="A907" s="11">
        <v>195</v>
      </c>
      <c r="B907" s="21" t="s">
        <v>1063</v>
      </c>
      <c r="C907" s="23" t="s">
        <v>6</v>
      </c>
      <c r="D907" s="23" t="s">
        <v>6</v>
      </c>
      <c r="E907" s="107" t="s">
        <v>46</v>
      </c>
      <c r="F907" s="127">
        <v>45977</v>
      </c>
    </row>
    <row r="908" spans="1:6" x14ac:dyDescent="0.25">
      <c r="A908" s="11">
        <v>196</v>
      </c>
      <c r="B908" s="21" t="s">
        <v>1114</v>
      </c>
      <c r="C908" s="23" t="s">
        <v>6</v>
      </c>
      <c r="D908" s="23" t="s">
        <v>6</v>
      </c>
      <c r="E908" s="107" t="s">
        <v>46</v>
      </c>
      <c r="F908" s="127">
        <v>45984</v>
      </c>
    </row>
    <row r="909" spans="1:6" x14ac:dyDescent="0.25">
      <c r="A909" s="11">
        <v>197</v>
      </c>
      <c r="B909" s="21" t="s">
        <v>1128</v>
      </c>
      <c r="C909" s="23" t="s">
        <v>6</v>
      </c>
      <c r="D909" s="23" t="s">
        <v>6</v>
      </c>
      <c r="E909" s="107" t="s">
        <v>46</v>
      </c>
      <c r="F909" s="127">
        <v>45977</v>
      </c>
    </row>
    <row r="910" spans="1:6" x14ac:dyDescent="0.25">
      <c r="A910" s="11">
        <v>198</v>
      </c>
      <c r="B910" s="21" t="s">
        <v>1178</v>
      </c>
      <c r="C910" s="23" t="s">
        <v>6</v>
      </c>
      <c r="D910" s="23" t="s">
        <v>6</v>
      </c>
      <c r="E910" s="107" t="s">
        <v>46</v>
      </c>
      <c r="F910" s="127">
        <v>45984</v>
      </c>
    </row>
    <row r="911" spans="1:6" x14ac:dyDescent="0.25">
      <c r="A911" s="11">
        <v>199</v>
      </c>
      <c r="B911" s="21" t="s">
        <v>1156</v>
      </c>
      <c r="C911" s="23" t="s">
        <v>6</v>
      </c>
      <c r="D911" s="23" t="s">
        <v>6</v>
      </c>
      <c r="E911" s="107" t="s">
        <v>46</v>
      </c>
      <c r="F911" s="127">
        <v>46005</v>
      </c>
    </row>
    <row r="912" spans="1:6" x14ac:dyDescent="0.25">
      <c r="A912" s="11">
        <v>200</v>
      </c>
      <c r="B912" s="21" t="s">
        <v>1167</v>
      </c>
      <c r="C912" s="23" t="s">
        <v>6</v>
      </c>
      <c r="D912" s="23" t="s">
        <v>6</v>
      </c>
      <c r="E912" s="107" t="s">
        <v>46</v>
      </c>
      <c r="F912" s="127">
        <v>45977</v>
      </c>
    </row>
    <row r="913" spans="1:6" x14ac:dyDescent="0.25">
      <c r="A913" s="11">
        <v>201</v>
      </c>
      <c r="B913" s="21" t="s">
        <v>1169</v>
      </c>
      <c r="C913" s="23" t="s">
        <v>6</v>
      </c>
      <c r="D913" s="23" t="s">
        <v>6</v>
      </c>
      <c r="E913" s="107" t="s">
        <v>46</v>
      </c>
      <c r="F913" s="127">
        <v>45977</v>
      </c>
    </row>
    <row r="914" spans="1:6" x14ac:dyDescent="0.25">
      <c r="A914" s="11">
        <v>202</v>
      </c>
      <c r="B914" s="21" t="s">
        <v>719</v>
      </c>
      <c r="C914" s="23" t="s">
        <v>6</v>
      </c>
      <c r="D914" s="23" t="s">
        <v>6</v>
      </c>
      <c r="E914" s="107" t="s">
        <v>46</v>
      </c>
      <c r="F914" s="127">
        <v>45977</v>
      </c>
    </row>
    <row r="915" spans="1:6" x14ac:dyDescent="0.25">
      <c r="A915" s="11">
        <v>203</v>
      </c>
      <c r="B915" s="21" t="s">
        <v>1197</v>
      </c>
      <c r="C915" s="23" t="s">
        <v>6</v>
      </c>
      <c r="D915" s="23" t="s">
        <v>6</v>
      </c>
      <c r="E915" s="107" t="s">
        <v>46</v>
      </c>
      <c r="F915" s="127">
        <v>45984</v>
      </c>
    </row>
    <row r="916" spans="1:6" x14ac:dyDescent="0.25">
      <c r="A916" s="11">
        <v>204</v>
      </c>
      <c r="B916" s="21" t="s">
        <v>1173</v>
      </c>
      <c r="C916" s="23" t="s">
        <v>6</v>
      </c>
      <c r="D916" s="23" t="s">
        <v>6</v>
      </c>
      <c r="E916" s="107" t="s">
        <v>46</v>
      </c>
      <c r="F916" s="127">
        <v>45984</v>
      </c>
    </row>
    <row r="917" spans="1:6" x14ac:dyDescent="0.25">
      <c r="A917" s="11">
        <v>205</v>
      </c>
      <c r="B917" s="21" t="s">
        <v>1175</v>
      </c>
      <c r="C917" s="23" t="s">
        <v>6</v>
      </c>
      <c r="D917" s="23" t="s">
        <v>6</v>
      </c>
      <c r="E917" s="107" t="s">
        <v>46</v>
      </c>
      <c r="F917" s="127">
        <v>45977</v>
      </c>
    </row>
    <row r="918" spans="1:6" x14ac:dyDescent="0.25">
      <c r="A918" s="11">
        <v>206</v>
      </c>
      <c r="B918" s="21" t="s">
        <v>1176</v>
      </c>
      <c r="C918" s="23" t="s">
        <v>6</v>
      </c>
      <c r="D918" s="23" t="s">
        <v>6</v>
      </c>
      <c r="E918" s="107" t="s">
        <v>46</v>
      </c>
      <c r="F918" s="127">
        <v>45977</v>
      </c>
    </row>
    <row r="919" spans="1:6" x14ac:dyDescent="0.25">
      <c r="A919" s="11">
        <v>207</v>
      </c>
      <c r="B919" s="21" t="s">
        <v>1180</v>
      </c>
      <c r="C919" s="23" t="s">
        <v>6</v>
      </c>
      <c r="D919" s="23" t="s">
        <v>6</v>
      </c>
      <c r="E919" s="107" t="s">
        <v>46</v>
      </c>
      <c r="F919" s="127">
        <v>45984</v>
      </c>
    </row>
    <row r="920" spans="1:6" x14ac:dyDescent="0.25">
      <c r="A920" s="11">
        <v>208</v>
      </c>
      <c r="B920" s="21" t="s">
        <v>1183</v>
      </c>
      <c r="C920" s="23" t="s">
        <v>6</v>
      </c>
      <c r="D920" s="23" t="s">
        <v>6</v>
      </c>
      <c r="E920" s="107" t="s">
        <v>46</v>
      </c>
      <c r="F920" s="127">
        <v>45984</v>
      </c>
    </row>
    <row r="921" spans="1:6" x14ac:dyDescent="0.25">
      <c r="A921" s="11">
        <v>209</v>
      </c>
      <c r="B921" s="21" t="s">
        <v>1184</v>
      </c>
      <c r="C921" s="23" t="s">
        <v>6</v>
      </c>
      <c r="D921" s="23" t="s">
        <v>6</v>
      </c>
      <c r="E921" s="107" t="s">
        <v>46</v>
      </c>
      <c r="F921" s="127">
        <v>45984</v>
      </c>
    </row>
    <row r="922" spans="1:6" x14ac:dyDescent="0.25">
      <c r="A922" s="11">
        <v>210</v>
      </c>
      <c r="B922" s="21" t="s">
        <v>1209</v>
      </c>
      <c r="C922" s="23" t="s">
        <v>6</v>
      </c>
      <c r="D922" s="23" t="s">
        <v>6</v>
      </c>
      <c r="E922" s="103" t="s">
        <v>154</v>
      </c>
      <c r="F922" s="127">
        <v>45984</v>
      </c>
    </row>
    <row r="923" spans="1:6" x14ac:dyDescent="0.25">
      <c r="A923" s="11">
        <v>211</v>
      </c>
      <c r="B923" s="21" t="s">
        <v>1210</v>
      </c>
      <c r="C923" s="23" t="s">
        <v>6</v>
      </c>
      <c r="D923" s="23" t="s">
        <v>6</v>
      </c>
      <c r="E923" s="103" t="s">
        <v>154</v>
      </c>
      <c r="F923" s="127">
        <v>45984</v>
      </c>
    </row>
    <row r="924" spans="1:6" x14ac:dyDescent="0.25">
      <c r="A924" s="11">
        <v>212</v>
      </c>
      <c r="B924" s="8" t="s">
        <v>350</v>
      </c>
      <c r="C924" s="23" t="s">
        <v>6</v>
      </c>
      <c r="D924" s="23" t="s">
        <v>6</v>
      </c>
      <c r="E924" s="104" t="s">
        <v>43</v>
      </c>
      <c r="F924" s="128">
        <v>45998</v>
      </c>
    </row>
    <row r="925" spans="1:6" x14ac:dyDescent="0.25">
      <c r="A925" s="11">
        <v>213</v>
      </c>
      <c r="B925" s="8" t="s">
        <v>1125</v>
      </c>
      <c r="C925" s="23" t="s">
        <v>6</v>
      </c>
      <c r="D925" s="23" t="s">
        <v>6</v>
      </c>
      <c r="E925" s="104" t="s">
        <v>46</v>
      </c>
      <c r="F925" s="128">
        <v>45998</v>
      </c>
    </row>
    <row r="926" spans="1:6" x14ac:dyDescent="0.25">
      <c r="A926" s="11">
        <v>214</v>
      </c>
      <c r="B926" s="8" t="s">
        <v>347</v>
      </c>
      <c r="C926" s="23" t="s">
        <v>6</v>
      </c>
      <c r="D926" s="23" t="s">
        <v>6</v>
      </c>
      <c r="E926" s="104" t="s">
        <v>46</v>
      </c>
      <c r="F926" s="127">
        <v>45992</v>
      </c>
    </row>
    <row r="927" spans="1:6" x14ac:dyDescent="0.25">
      <c r="A927" s="11">
        <v>215</v>
      </c>
      <c r="B927" s="8" t="s">
        <v>944</v>
      </c>
      <c r="C927" s="23" t="s">
        <v>6</v>
      </c>
      <c r="D927" s="23" t="s">
        <v>6</v>
      </c>
      <c r="E927" s="103" t="s">
        <v>46</v>
      </c>
      <c r="F927" s="127">
        <v>46005</v>
      </c>
    </row>
    <row r="928" spans="1:6" x14ac:dyDescent="0.25">
      <c r="A928" s="11">
        <v>216</v>
      </c>
      <c r="B928" s="8" t="s">
        <v>450</v>
      </c>
      <c r="C928" s="23" t="s">
        <v>6</v>
      </c>
      <c r="D928" s="23" t="s">
        <v>6</v>
      </c>
      <c r="E928" s="103" t="s">
        <v>154</v>
      </c>
      <c r="F928" s="127">
        <v>46005</v>
      </c>
    </row>
    <row r="929" spans="1:6" ht="15.75" x14ac:dyDescent="0.25">
      <c r="A929" s="11">
        <v>217</v>
      </c>
      <c r="B929" s="8" t="s">
        <v>271</v>
      </c>
      <c r="C929" s="23" t="s">
        <v>6</v>
      </c>
      <c r="D929" s="23" t="s">
        <v>6</v>
      </c>
      <c r="E929" s="100" t="s">
        <v>406</v>
      </c>
      <c r="F929" s="127">
        <v>45992</v>
      </c>
    </row>
    <row r="930" spans="1:6" x14ac:dyDescent="0.25">
      <c r="A930" s="11">
        <v>218</v>
      </c>
      <c r="B930" s="42" t="s">
        <v>950</v>
      </c>
      <c r="C930" s="23" t="s">
        <v>6</v>
      </c>
      <c r="D930" s="23" t="s">
        <v>6</v>
      </c>
      <c r="E930" s="101" t="s">
        <v>359</v>
      </c>
      <c r="F930" s="127">
        <v>45992</v>
      </c>
    </row>
    <row r="931" spans="1:6" x14ac:dyDescent="0.25">
      <c r="A931" s="11">
        <v>219</v>
      </c>
      <c r="B931" s="42" t="s">
        <v>568</v>
      </c>
      <c r="C931" s="23" t="s">
        <v>6</v>
      </c>
      <c r="D931" s="23" t="s">
        <v>6</v>
      </c>
      <c r="E931" s="101" t="s">
        <v>46</v>
      </c>
      <c r="F931" s="127">
        <v>46005</v>
      </c>
    </row>
    <row r="932" spans="1:6" x14ac:dyDescent="0.25">
      <c r="A932" s="11">
        <v>220</v>
      </c>
      <c r="B932" s="42" t="s">
        <v>661</v>
      </c>
      <c r="C932" s="23" t="s">
        <v>6</v>
      </c>
      <c r="D932" s="23" t="s">
        <v>6</v>
      </c>
      <c r="E932" s="101" t="s">
        <v>46</v>
      </c>
      <c r="F932" s="127">
        <v>45992</v>
      </c>
    </row>
    <row r="933" spans="1:6" x14ac:dyDescent="0.25">
      <c r="A933" s="11">
        <v>221</v>
      </c>
      <c r="B933" s="60" t="s">
        <v>1217</v>
      </c>
      <c r="C933" s="23" t="s">
        <v>6</v>
      </c>
      <c r="D933" s="23" t="s">
        <v>6</v>
      </c>
      <c r="E933" s="107" t="s">
        <v>46</v>
      </c>
      <c r="F933" s="127">
        <v>45992</v>
      </c>
    </row>
    <row r="934" spans="1:6" x14ac:dyDescent="0.25">
      <c r="A934" s="11">
        <v>222</v>
      </c>
      <c r="B934" s="60" t="s">
        <v>198</v>
      </c>
      <c r="C934" s="23" t="s">
        <v>6</v>
      </c>
      <c r="D934" s="23" t="s">
        <v>6</v>
      </c>
      <c r="E934" s="107" t="s">
        <v>46</v>
      </c>
      <c r="F934" s="127">
        <v>46005</v>
      </c>
    </row>
    <row r="935" spans="1:6" x14ac:dyDescent="0.25">
      <c r="A935" s="11">
        <v>223</v>
      </c>
      <c r="B935" s="60" t="s">
        <v>870</v>
      </c>
      <c r="C935" s="23" t="s">
        <v>6</v>
      </c>
      <c r="D935" s="23" t="s">
        <v>6</v>
      </c>
      <c r="E935" s="107" t="s">
        <v>46</v>
      </c>
      <c r="F935" s="127">
        <v>46005</v>
      </c>
    </row>
    <row r="936" spans="1:6" x14ac:dyDescent="0.25">
      <c r="A936" s="11">
        <v>224</v>
      </c>
      <c r="B936" s="21" t="s">
        <v>995</v>
      </c>
      <c r="C936" s="23" t="s">
        <v>6</v>
      </c>
      <c r="D936" s="23" t="s">
        <v>6</v>
      </c>
      <c r="E936" s="107" t="s">
        <v>154</v>
      </c>
      <c r="F936" s="128">
        <v>45998</v>
      </c>
    </row>
    <row r="937" spans="1:6" x14ac:dyDescent="0.25">
      <c r="A937" s="11">
        <v>225</v>
      </c>
      <c r="B937" s="21" t="s">
        <v>993</v>
      </c>
      <c r="C937" s="23" t="s">
        <v>6</v>
      </c>
      <c r="D937" s="23" t="s">
        <v>6</v>
      </c>
      <c r="E937" s="107" t="s">
        <v>46</v>
      </c>
      <c r="F937" s="127">
        <v>46005</v>
      </c>
    </row>
    <row r="938" spans="1:6" x14ac:dyDescent="0.25">
      <c r="A938" s="11">
        <v>226</v>
      </c>
      <c r="B938" s="21" t="s">
        <v>994</v>
      </c>
      <c r="C938" s="23" t="s">
        <v>6</v>
      </c>
      <c r="D938" s="23" t="s">
        <v>6</v>
      </c>
      <c r="E938" s="107" t="s">
        <v>46</v>
      </c>
      <c r="F938" s="128">
        <v>45998</v>
      </c>
    </row>
    <row r="939" spans="1:6" x14ac:dyDescent="0.25">
      <c r="A939" s="11">
        <v>227</v>
      </c>
      <c r="B939" s="21" t="s">
        <v>1259</v>
      </c>
      <c r="C939" s="23" t="s">
        <v>6</v>
      </c>
      <c r="D939" s="23" t="s">
        <v>6</v>
      </c>
      <c r="E939" s="107" t="s">
        <v>46</v>
      </c>
      <c r="F939" s="128">
        <v>45998</v>
      </c>
    </row>
    <row r="940" spans="1:6" x14ac:dyDescent="0.25">
      <c r="A940" s="11">
        <v>228</v>
      </c>
      <c r="B940" s="21" t="s">
        <v>1127</v>
      </c>
      <c r="C940" s="23" t="s">
        <v>6</v>
      </c>
      <c r="D940" s="23" t="s">
        <v>6</v>
      </c>
      <c r="E940" s="107" t="s">
        <v>46</v>
      </c>
      <c r="F940" s="127">
        <v>45992</v>
      </c>
    </row>
    <row r="941" spans="1:6" x14ac:dyDescent="0.25">
      <c r="A941" s="11">
        <v>229</v>
      </c>
      <c r="B941" s="21" t="s">
        <v>1174</v>
      </c>
      <c r="C941" s="23" t="s">
        <v>6</v>
      </c>
      <c r="D941" s="23" t="s">
        <v>6</v>
      </c>
      <c r="E941" s="107" t="s">
        <v>46</v>
      </c>
      <c r="F941" s="127">
        <v>46012</v>
      </c>
    </row>
    <row r="942" spans="1:6" x14ac:dyDescent="0.25">
      <c r="A942" s="11">
        <v>230</v>
      </c>
      <c r="B942" s="21" t="s">
        <v>1220</v>
      </c>
      <c r="C942" s="23" t="s">
        <v>6</v>
      </c>
      <c r="D942" s="23" t="s">
        <v>6</v>
      </c>
      <c r="E942" s="103" t="s">
        <v>154</v>
      </c>
      <c r="F942" s="127">
        <v>45992</v>
      </c>
    </row>
    <row r="943" spans="1:6" x14ac:dyDescent="0.25">
      <c r="A943" s="11">
        <v>231</v>
      </c>
      <c r="B943" s="21" t="s">
        <v>1223</v>
      </c>
      <c r="C943" s="23" t="s">
        <v>6</v>
      </c>
      <c r="D943" s="23" t="s">
        <v>6</v>
      </c>
      <c r="E943" s="107" t="s">
        <v>46</v>
      </c>
      <c r="F943" s="127">
        <v>45992</v>
      </c>
    </row>
    <row r="944" spans="1:6" x14ac:dyDescent="0.25">
      <c r="A944" s="11">
        <v>232</v>
      </c>
      <c r="B944" s="21" t="s">
        <v>1224</v>
      </c>
      <c r="C944" s="23" t="s">
        <v>6</v>
      </c>
      <c r="D944" s="23" t="s">
        <v>6</v>
      </c>
      <c r="E944" s="107" t="s">
        <v>46</v>
      </c>
      <c r="F944" s="127">
        <v>45992</v>
      </c>
    </row>
    <row r="945" spans="1:6" x14ac:dyDescent="0.25">
      <c r="A945" s="11">
        <v>233</v>
      </c>
      <c r="B945" s="21" t="s">
        <v>1226</v>
      </c>
      <c r="C945" s="23" t="s">
        <v>6</v>
      </c>
      <c r="D945" s="23" t="s">
        <v>6</v>
      </c>
      <c r="E945" s="107" t="s">
        <v>46</v>
      </c>
      <c r="F945" s="127">
        <v>45992</v>
      </c>
    </row>
    <row r="946" spans="1:6" x14ac:dyDescent="0.25">
      <c r="A946" s="11">
        <v>234</v>
      </c>
      <c r="B946" s="21" t="s">
        <v>1227</v>
      </c>
      <c r="C946" s="23" t="s">
        <v>6</v>
      </c>
      <c r="D946" s="23" t="s">
        <v>6</v>
      </c>
      <c r="E946" s="107" t="s">
        <v>46</v>
      </c>
      <c r="F946" s="127">
        <v>45992</v>
      </c>
    </row>
    <row r="947" spans="1:6" x14ac:dyDescent="0.25">
      <c r="A947" s="11">
        <v>235</v>
      </c>
      <c r="B947" s="21" t="s">
        <v>1228</v>
      </c>
      <c r="C947" s="23" t="s">
        <v>6</v>
      </c>
      <c r="D947" s="23" t="s">
        <v>6</v>
      </c>
      <c r="E947" s="107" t="s">
        <v>46</v>
      </c>
      <c r="F947" s="127">
        <v>46005</v>
      </c>
    </row>
    <row r="948" spans="1:6" x14ac:dyDescent="0.25">
      <c r="A948" s="11">
        <v>236</v>
      </c>
      <c r="B948" s="21" t="s">
        <v>1230</v>
      </c>
      <c r="C948" s="23" t="s">
        <v>6</v>
      </c>
      <c r="D948" s="23" t="s">
        <v>6</v>
      </c>
      <c r="E948" s="107" t="s">
        <v>46</v>
      </c>
      <c r="F948" s="127">
        <v>46012</v>
      </c>
    </row>
    <row r="949" spans="1:6" x14ac:dyDescent="0.25">
      <c r="A949" s="11">
        <v>237</v>
      </c>
      <c r="B949" s="21" t="s">
        <v>1253</v>
      </c>
      <c r="C949" s="23" t="s">
        <v>6</v>
      </c>
      <c r="D949" s="23" t="s">
        <v>6</v>
      </c>
      <c r="E949" s="107" t="s">
        <v>46</v>
      </c>
      <c r="F949" s="128">
        <v>45998</v>
      </c>
    </row>
    <row r="950" spans="1:6" x14ac:dyDescent="0.25">
      <c r="A950" s="11">
        <v>238</v>
      </c>
      <c r="B950" s="21" t="s">
        <v>1254</v>
      </c>
      <c r="C950" s="23" t="s">
        <v>6</v>
      </c>
      <c r="D950" s="23" t="s">
        <v>6</v>
      </c>
      <c r="E950" s="107" t="s">
        <v>46</v>
      </c>
      <c r="F950" s="128">
        <v>45998</v>
      </c>
    </row>
    <row r="951" spans="1:6" x14ac:dyDescent="0.25">
      <c r="A951" s="11">
        <v>239</v>
      </c>
      <c r="B951" s="21" t="s">
        <v>1255</v>
      </c>
      <c r="C951" s="23" t="s">
        <v>6</v>
      </c>
      <c r="D951" s="23" t="s">
        <v>6</v>
      </c>
      <c r="E951" s="107" t="s">
        <v>46</v>
      </c>
      <c r="F951" s="128">
        <v>45998</v>
      </c>
    </row>
    <row r="952" spans="1:6" x14ac:dyDescent="0.25">
      <c r="A952" s="11">
        <v>240</v>
      </c>
      <c r="B952" s="21" t="s">
        <v>1264</v>
      </c>
      <c r="C952" s="23" t="s">
        <v>6</v>
      </c>
      <c r="D952" s="23" t="s">
        <v>6</v>
      </c>
      <c r="E952" s="107" t="s">
        <v>46</v>
      </c>
      <c r="F952" s="128">
        <v>45998</v>
      </c>
    </row>
    <row r="953" spans="1:6" x14ac:dyDescent="0.25">
      <c r="A953" s="11">
        <v>241</v>
      </c>
      <c r="B953" s="21" t="s">
        <v>1289</v>
      </c>
      <c r="C953" s="23" t="s">
        <v>6</v>
      </c>
      <c r="D953" s="23" t="s">
        <v>6</v>
      </c>
      <c r="E953" s="107" t="s">
        <v>46</v>
      </c>
      <c r="F953" s="127">
        <v>46005</v>
      </c>
    </row>
    <row r="954" spans="1:6" x14ac:dyDescent="0.25">
      <c r="A954" s="11">
        <v>242</v>
      </c>
      <c r="B954" s="21" t="s">
        <v>1291</v>
      </c>
      <c r="C954" s="23" t="s">
        <v>6</v>
      </c>
      <c r="D954" s="23" t="s">
        <v>6</v>
      </c>
      <c r="E954" s="107" t="s">
        <v>46</v>
      </c>
      <c r="F954" s="127">
        <v>46005</v>
      </c>
    </row>
    <row r="955" spans="1:6" x14ac:dyDescent="0.25">
      <c r="A955" s="11">
        <v>243</v>
      </c>
      <c r="B955" s="21" t="s">
        <v>1292</v>
      </c>
      <c r="C955" s="23" t="s">
        <v>6</v>
      </c>
      <c r="D955" s="23" t="s">
        <v>6</v>
      </c>
      <c r="E955" s="107" t="s">
        <v>46</v>
      </c>
      <c r="F955" s="127">
        <v>46005</v>
      </c>
    </row>
    <row r="956" spans="1:6" x14ac:dyDescent="0.25">
      <c r="A956" s="11">
        <v>244</v>
      </c>
      <c r="B956" s="21" t="s">
        <v>1293</v>
      </c>
      <c r="C956" s="23" t="s">
        <v>6</v>
      </c>
      <c r="D956" s="23" t="s">
        <v>6</v>
      </c>
      <c r="E956" s="107" t="s">
        <v>46</v>
      </c>
      <c r="F956" s="127">
        <v>46012</v>
      </c>
    </row>
    <row r="957" spans="1:6" x14ac:dyDescent="0.25">
      <c r="A957" s="11">
        <v>245</v>
      </c>
      <c r="B957" s="21" t="s">
        <v>1309</v>
      </c>
      <c r="C957" s="23" t="s">
        <v>6</v>
      </c>
      <c r="D957" s="23" t="s">
        <v>6</v>
      </c>
      <c r="E957" s="107" t="s">
        <v>46</v>
      </c>
      <c r="F957" s="127">
        <v>46012</v>
      </c>
    </row>
    <row r="958" spans="1:6" x14ac:dyDescent="0.25">
      <c r="A958" s="11">
        <v>246</v>
      </c>
      <c r="B958" s="21" t="s">
        <v>1310</v>
      </c>
      <c r="C958" s="23" t="s">
        <v>6</v>
      </c>
      <c r="D958" s="23" t="s">
        <v>6</v>
      </c>
      <c r="E958" s="107" t="s">
        <v>46</v>
      </c>
      <c r="F958" s="127">
        <v>46012</v>
      </c>
    </row>
    <row r="959" spans="1:6" x14ac:dyDescent="0.25">
      <c r="A959" s="11">
        <v>247</v>
      </c>
      <c r="B959" s="52" t="s">
        <v>432</v>
      </c>
      <c r="C959" s="23" t="s">
        <v>6</v>
      </c>
      <c r="D959" s="23" t="s">
        <v>6</v>
      </c>
      <c r="E959" s="101" t="s">
        <v>46</v>
      </c>
      <c r="F959" s="127">
        <v>46023</v>
      </c>
    </row>
    <row r="960" spans="1:6" x14ac:dyDescent="0.25">
      <c r="A960" s="11">
        <v>248</v>
      </c>
      <c r="B960" s="21" t="s">
        <v>654</v>
      </c>
      <c r="C960" s="23" t="s">
        <v>6</v>
      </c>
      <c r="D960" s="23" t="s">
        <v>6</v>
      </c>
      <c r="E960" s="101" t="s">
        <v>154</v>
      </c>
      <c r="F960" s="128">
        <v>45998</v>
      </c>
    </row>
    <row r="961" spans="1:6" x14ac:dyDescent="0.25">
      <c r="A961" s="11">
        <v>249</v>
      </c>
      <c r="B961" s="8" t="s">
        <v>1351</v>
      </c>
      <c r="C961" s="23" t="s">
        <v>6</v>
      </c>
      <c r="D961" s="23" t="s">
        <v>6</v>
      </c>
      <c r="E961" s="104" t="s">
        <v>46</v>
      </c>
      <c r="F961" s="127">
        <v>46023</v>
      </c>
    </row>
    <row r="962" spans="1:6" x14ac:dyDescent="0.25">
      <c r="A962" s="11">
        <v>250</v>
      </c>
      <c r="B962" s="42" t="s">
        <v>1704</v>
      </c>
      <c r="C962" s="23" t="s">
        <v>6</v>
      </c>
      <c r="D962" s="23" t="s">
        <v>6</v>
      </c>
      <c r="E962" s="101" t="s">
        <v>46</v>
      </c>
      <c r="F962" s="128">
        <v>46131</v>
      </c>
    </row>
    <row r="963" spans="1:6" x14ac:dyDescent="0.25">
      <c r="A963" s="11">
        <v>251</v>
      </c>
      <c r="B963" s="8" t="s">
        <v>1352</v>
      </c>
      <c r="C963" s="23" t="s">
        <v>6</v>
      </c>
      <c r="D963" s="23" t="s">
        <v>6</v>
      </c>
      <c r="E963" s="103" t="s">
        <v>46</v>
      </c>
      <c r="F963" s="127">
        <v>46023</v>
      </c>
    </row>
    <row r="964" spans="1:6" x14ac:dyDescent="0.25">
      <c r="A964" s="11">
        <v>252</v>
      </c>
      <c r="B964" s="8" t="s">
        <v>211</v>
      </c>
      <c r="C964" s="23" t="s">
        <v>6</v>
      </c>
      <c r="D964" s="23" t="s">
        <v>6</v>
      </c>
      <c r="E964" s="103" t="s">
        <v>44</v>
      </c>
      <c r="F964" s="127">
        <v>46023</v>
      </c>
    </row>
    <row r="965" spans="1:6" x14ac:dyDescent="0.25">
      <c r="A965" s="11">
        <v>253</v>
      </c>
      <c r="B965" s="8" t="s">
        <v>1282</v>
      </c>
      <c r="C965" s="23" t="s">
        <v>6</v>
      </c>
      <c r="D965" s="23" t="s">
        <v>6</v>
      </c>
      <c r="E965" s="103" t="s">
        <v>46</v>
      </c>
      <c r="F965" s="127">
        <v>46023</v>
      </c>
    </row>
    <row r="966" spans="1:6" x14ac:dyDescent="0.25">
      <c r="A966" s="11">
        <v>254</v>
      </c>
      <c r="B966" s="8" t="s">
        <v>268</v>
      </c>
      <c r="C966" s="23" t="s">
        <v>6</v>
      </c>
      <c r="D966" s="23" t="s">
        <v>6</v>
      </c>
      <c r="E966" s="104" t="s">
        <v>155</v>
      </c>
      <c r="F966" s="127">
        <v>46023</v>
      </c>
    </row>
    <row r="967" spans="1:6" ht="15.75" x14ac:dyDescent="0.25">
      <c r="A967" s="11">
        <v>255</v>
      </c>
      <c r="B967" s="8" t="s">
        <v>279</v>
      </c>
      <c r="C967" s="23" t="s">
        <v>6</v>
      </c>
      <c r="D967" s="23" t="s">
        <v>6</v>
      </c>
      <c r="E967" s="100" t="s">
        <v>41</v>
      </c>
      <c r="F967" s="127">
        <v>46023</v>
      </c>
    </row>
    <row r="968" spans="1:6" x14ac:dyDescent="0.25">
      <c r="A968" s="11">
        <v>256</v>
      </c>
      <c r="B968" s="60" t="s">
        <v>855</v>
      </c>
      <c r="C968" s="23" t="s">
        <v>6</v>
      </c>
      <c r="D968" s="23" t="s">
        <v>6</v>
      </c>
      <c r="E968" s="107" t="s">
        <v>154</v>
      </c>
      <c r="F968" s="127">
        <v>46023</v>
      </c>
    </row>
    <row r="969" spans="1:6" x14ac:dyDescent="0.25">
      <c r="A969" s="11">
        <v>257</v>
      </c>
      <c r="B969" s="21" t="s">
        <v>1356</v>
      </c>
      <c r="C969" s="23" t="s">
        <v>6</v>
      </c>
      <c r="D969" s="23" t="s">
        <v>6</v>
      </c>
      <c r="E969" s="107" t="s">
        <v>46</v>
      </c>
      <c r="F969" s="127">
        <v>46040</v>
      </c>
    </row>
    <row r="970" spans="1:6" x14ac:dyDescent="0.25">
      <c r="A970" s="11">
        <v>258</v>
      </c>
      <c r="B970" s="8" t="s">
        <v>1328</v>
      </c>
      <c r="C970" s="23" t="s">
        <v>6</v>
      </c>
      <c r="D970" s="23" t="s">
        <v>6</v>
      </c>
      <c r="E970" s="104" t="s">
        <v>46</v>
      </c>
      <c r="F970" s="127">
        <v>46023</v>
      </c>
    </row>
    <row r="971" spans="1:6" x14ac:dyDescent="0.25">
      <c r="A971" s="11">
        <v>259</v>
      </c>
      <c r="B971" s="21" t="s">
        <v>1341</v>
      </c>
      <c r="C971" s="23" t="s">
        <v>6</v>
      </c>
      <c r="D971" s="23" t="s">
        <v>6</v>
      </c>
      <c r="E971" s="107" t="s">
        <v>46</v>
      </c>
      <c r="F971" s="127">
        <v>46023</v>
      </c>
    </row>
    <row r="972" spans="1:6" x14ac:dyDescent="0.25">
      <c r="A972" s="11">
        <v>260</v>
      </c>
      <c r="B972" s="21" t="s">
        <v>1370</v>
      </c>
      <c r="C972" s="23" t="s">
        <v>6</v>
      </c>
      <c r="D972" s="23" t="s">
        <v>6</v>
      </c>
      <c r="E972" s="107" t="s">
        <v>46</v>
      </c>
      <c r="F972" s="127">
        <v>46040</v>
      </c>
    </row>
    <row r="973" spans="1:6" x14ac:dyDescent="0.25">
      <c r="A973" s="11">
        <v>261</v>
      </c>
      <c r="B973" s="21" t="s">
        <v>1219</v>
      </c>
      <c r="C973" s="23" t="s">
        <v>6</v>
      </c>
      <c r="D973" s="23" t="s">
        <v>6</v>
      </c>
      <c r="E973" s="103" t="s">
        <v>154</v>
      </c>
      <c r="F973" s="127">
        <v>46023</v>
      </c>
    </row>
    <row r="974" spans="1:6" x14ac:dyDescent="0.25">
      <c r="A974" s="11">
        <v>262</v>
      </c>
      <c r="B974" s="21" t="s">
        <v>1281</v>
      </c>
      <c r="C974" s="23" t="s">
        <v>6</v>
      </c>
      <c r="D974" s="23" t="s">
        <v>6</v>
      </c>
      <c r="E974" s="107" t="s">
        <v>46</v>
      </c>
      <c r="F974" s="127">
        <v>46023</v>
      </c>
    </row>
    <row r="975" spans="1:6" x14ac:dyDescent="0.25">
      <c r="A975" s="11">
        <v>263</v>
      </c>
      <c r="B975" s="21" t="s">
        <v>1329</v>
      </c>
      <c r="C975" s="23" t="s">
        <v>6</v>
      </c>
      <c r="D975" s="23" t="s">
        <v>6</v>
      </c>
      <c r="E975" s="107" t="s">
        <v>46</v>
      </c>
      <c r="F975" s="127">
        <v>46023</v>
      </c>
    </row>
    <row r="976" spans="1:6" x14ac:dyDescent="0.25">
      <c r="A976" s="11">
        <v>264</v>
      </c>
      <c r="B976" s="8" t="s">
        <v>1485</v>
      </c>
      <c r="C976" s="23" t="s">
        <v>6</v>
      </c>
      <c r="D976" s="23" t="s">
        <v>6</v>
      </c>
      <c r="E976" s="104" t="s">
        <v>359</v>
      </c>
      <c r="F976" s="128">
        <v>46131</v>
      </c>
    </row>
    <row r="977" spans="1:6" x14ac:dyDescent="0.25">
      <c r="A977" s="11">
        <v>265</v>
      </c>
      <c r="B977" s="21" t="s">
        <v>1354</v>
      </c>
      <c r="C977" s="23" t="s">
        <v>6</v>
      </c>
      <c r="D977" s="23" t="s">
        <v>6</v>
      </c>
      <c r="E977" s="107" t="s">
        <v>46</v>
      </c>
      <c r="F977" s="127">
        <v>46023</v>
      </c>
    </row>
    <row r="978" spans="1:6" x14ac:dyDescent="0.25">
      <c r="A978" s="11">
        <v>266</v>
      </c>
      <c r="B978" s="21" t="s">
        <v>200</v>
      </c>
      <c r="C978" s="23" t="s">
        <v>6</v>
      </c>
      <c r="D978" s="23" t="s">
        <v>6</v>
      </c>
      <c r="E978" s="107" t="s">
        <v>46</v>
      </c>
      <c r="F978" s="127">
        <v>46023</v>
      </c>
    </row>
    <row r="979" spans="1:6" x14ac:dyDescent="0.25">
      <c r="A979" s="11">
        <v>267</v>
      </c>
      <c r="B979" s="21" t="s">
        <v>1355</v>
      </c>
      <c r="C979" s="23" t="s">
        <v>6</v>
      </c>
      <c r="D979" s="23" t="s">
        <v>6</v>
      </c>
      <c r="E979" s="107" t="s">
        <v>46</v>
      </c>
      <c r="F979" s="127">
        <v>46023</v>
      </c>
    </row>
    <row r="980" spans="1:6" ht="15.75" x14ac:dyDescent="0.25">
      <c r="A980" s="11">
        <v>268</v>
      </c>
      <c r="B980" s="8" t="s">
        <v>1432</v>
      </c>
      <c r="C980" s="23" t="s">
        <v>6</v>
      </c>
      <c r="D980" s="23" t="s">
        <v>6</v>
      </c>
      <c r="E980" s="100" t="s">
        <v>46</v>
      </c>
      <c r="F980" s="127">
        <v>46055</v>
      </c>
    </row>
    <row r="981" spans="1:6" x14ac:dyDescent="0.25">
      <c r="A981" s="11">
        <v>269</v>
      </c>
      <c r="B981" s="21" t="s">
        <v>1288</v>
      </c>
      <c r="C981" s="23" t="s">
        <v>6</v>
      </c>
      <c r="D981" s="23" t="s">
        <v>6</v>
      </c>
      <c r="E981" s="107" t="s">
        <v>46</v>
      </c>
      <c r="F981" s="127">
        <v>46055</v>
      </c>
    </row>
    <row r="982" spans="1:6" ht="15.75" x14ac:dyDescent="0.25">
      <c r="A982" s="11">
        <v>270</v>
      </c>
      <c r="B982" s="8" t="s">
        <v>1323</v>
      </c>
      <c r="C982" s="23" t="s">
        <v>6</v>
      </c>
      <c r="D982" s="23" t="s">
        <v>6</v>
      </c>
      <c r="E982" s="100" t="s">
        <v>46</v>
      </c>
      <c r="F982" s="127">
        <v>46046</v>
      </c>
    </row>
    <row r="983" spans="1:6" x14ac:dyDescent="0.25">
      <c r="A983" s="11">
        <v>271</v>
      </c>
      <c r="B983" s="21" t="s">
        <v>604</v>
      </c>
      <c r="C983" s="23" t="s">
        <v>6</v>
      </c>
      <c r="D983" s="23" t="s">
        <v>6</v>
      </c>
      <c r="E983" s="101" t="s">
        <v>154</v>
      </c>
      <c r="F983" s="127">
        <v>46061</v>
      </c>
    </row>
    <row r="984" spans="1:6" x14ac:dyDescent="0.25">
      <c r="A984" s="11">
        <v>272</v>
      </c>
      <c r="B984" s="8" t="s">
        <v>1325</v>
      </c>
      <c r="C984" s="23" t="s">
        <v>6</v>
      </c>
      <c r="D984" s="23" t="s">
        <v>6</v>
      </c>
      <c r="E984" s="104"/>
      <c r="F984" s="127">
        <v>46061</v>
      </c>
    </row>
    <row r="985" spans="1:6" x14ac:dyDescent="0.25">
      <c r="A985" s="11">
        <v>273</v>
      </c>
      <c r="B985" s="21" t="s">
        <v>602</v>
      </c>
      <c r="C985" s="23" t="s">
        <v>6</v>
      </c>
      <c r="D985" s="23" t="s">
        <v>6</v>
      </c>
      <c r="E985" s="101" t="s">
        <v>46</v>
      </c>
      <c r="F985" s="127">
        <v>46061</v>
      </c>
    </row>
    <row r="986" spans="1:6" x14ac:dyDescent="0.25">
      <c r="A986" s="11">
        <v>274</v>
      </c>
      <c r="B986" s="8" t="s">
        <v>373</v>
      </c>
      <c r="C986" s="23" t="s">
        <v>6</v>
      </c>
      <c r="D986" s="23" t="s">
        <v>6</v>
      </c>
      <c r="E986" s="104"/>
      <c r="F986" s="127">
        <v>46061</v>
      </c>
    </row>
    <row r="987" spans="1:6" x14ac:dyDescent="0.25">
      <c r="A987" s="11">
        <v>275</v>
      </c>
      <c r="B987" s="8" t="s">
        <v>498</v>
      </c>
      <c r="C987" s="23" t="s">
        <v>6</v>
      </c>
      <c r="D987" s="23" t="s">
        <v>6</v>
      </c>
      <c r="E987" s="104" t="s">
        <v>46</v>
      </c>
      <c r="F987" s="127">
        <v>46061</v>
      </c>
    </row>
    <row r="988" spans="1:6" x14ac:dyDescent="0.25">
      <c r="A988" s="11">
        <v>276</v>
      </c>
      <c r="B988" s="52" t="s">
        <v>1060</v>
      </c>
      <c r="C988" s="23" t="s">
        <v>6</v>
      </c>
      <c r="D988" s="23" t="s">
        <v>6</v>
      </c>
      <c r="E988" s="101" t="s">
        <v>46</v>
      </c>
      <c r="F988" s="127">
        <v>46061</v>
      </c>
    </row>
    <row r="989" spans="1:6" x14ac:dyDescent="0.25">
      <c r="A989" s="11">
        <v>277</v>
      </c>
      <c r="B989" s="8" t="s">
        <v>1430</v>
      </c>
      <c r="C989" s="23" t="s">
        <v>6</v>
      </c>
      <c r="D989" s="23" t="s">
        <v>6</v>
      </c>
      <c r="E989" s="103" t="s">
        <v>46</v>
      </c>
      <c r="F989" s="127">
        <v>46055</v>
      </c>
    </row>
    <row r="990" spans="1:6" x14ac:dyDescent="0.25">
      <c r="A990" s="11">
        <v>278</v>
      </c>
      <c r="B990" s="8" t="s">
        <v>1431</v>
      </c>
      <c r="C990" s="23" t="s">
        <v>6</v>
      </c>
      <c r="D990" s="23" t="s">
        <v>6</v>
      </c>
      <c r="E990" s="104" t="s">
        <v>46</v>
      </c>
      <c r="F990" s="127">
        <v>46055</v>
      </c>
    </row>
    <row r="991" spans="1:6" x14ac:dyDescent="0.25">
      <c r="A991" s="11">
        <v>279</v>
      </c>
      <c r="B991" s="21" t="s">
        <v>1045</v>
      </c>
      <c r="C991" s="23" t="s">
        <v>6</v>
      </c>
      <c r="D991" s="23" t="s">
        <v>6</v>
      </c>
      <c r="E991" s="107" t="s">
        <v>46</v>
      </c>
      <c r="F991" s="127">
        <v>46055</v>
      </c>
    </row>
    <row r="992" spans="1:6" x14ac:dyDescent="0.25">
      <c r="A992" s="11">
        <v>280</v>
      </c>
      <c r="B992" s="8" t="s">
        <v>1353</v>
      </c>
      <c r="C992" s="23" t="s">
        <v>6</v>
      </c>
      <c r="D992" s="23" t="s">
        <v>6</v>
      </c>
      <c r="E992" s="103" t="s">
        <v>46</v>
      </c>
      <c r="F992" s="127">
        <v>46046</v>
      </c>
    </row>
    <row r="993" spans="1:6" x14ac:dyDescent="0.25">
      <c r="A993" s="11">
        <v>281</v>
      </c>
      <c r="B993" s="8" t="s">
        <v>1433</v>
      </c>
      <c r="C993" s="23" t="s">
        <v>6</v>
      </c>
      <c r="D993" s="23" t="s">
        <v>6</v>
      </c>
      <c r="E993" s="103" t="s">
        <v>46</v>
      </c>
      <c r="F993" s="127">
        <v>46055</v>
      </c>
    </row>
    <row r="994" spans="1:6" x14ac:dyDescent="0.25">
      <c r="A994" s="11">
        <v>282</v>
      </c>
      <c r="B994" s="21" t="s">
        <v>1435</v>
      </c>
      <c r="C994" s="23" t="s">
        <v>6</v>
      </c>
      <c r="D994" s="23" t="s">
        <v>6</v>
      </c>
      <c r="E994" s="107" t="s">
        <v>46</v>
      </c>
      <c r="F994" s="127">
        <v>46055</v>
      </c>
    </row>
    <row r="995" spans="1:6" x14ac:dyDescent="0.25">
      <c r="A995" s="11">
        <v>283</v>
      </c>
      <c r="B995" s="21" t="s">
        <v>288</v>
      </c>
      <c r="C995" s="23" t="s">
        <v>6</v>
      </c>
      <c r="D995" s="23" t="s">
        <v>6</v>
      </c>
      <c r="E995" s="107" t="s">
        <v>46</v>
      </c>
      <c r="F995" s="127">
        <v>46046</v>
      </c>
    </row>
    <row r="996" spans="1:6" x14ac:dyDescent="0.25">
      <c r="A996" s="11">
        <v>284</v>
      </c>
      <c r="B996" s="21" t="s">
        <v>1375</v>
      </c>
      <c r="C996" s="23" t="s">
        <v>6</v>
      </c>
      <c r="D996" s="23" t="s">
        <v>6</v>
      </c>
      <c r="E996" s="107" t="s">
        <v>46</v>
      </c>
      <c r="F996" s="127">
        <v>46046</v>
      </c>
    </row>
    <row r="997" spans="1:6" x14ac:dyDescent="0.25">
      <c r="A997" s="11">
        <v>285</v>
      </c>
      <c r="B997" s="21" t="s">
        <v>183</v>
      </c>
      <c r="C997" s="23" t="s">
        <v>6</v>
      </c>
      <c r="D997" s="23" t="s">
        <v>6</v>
      </c>
      <c r="E997" s="107" t="s">
        <v>46</v>
      </c>
      <c r="F997" s="127">
        <v>46046</v>
      </c>
    </row>
    <row r="998" spans="1:6" x14ac:dyDescent="0.25">
      <c r="A998" s="11">
        <v>286</v>
      </c>
      <c r="B998" s="21" t="s">
        <v>1404</v>
      </c>
      <c r="C998" s="23" t="s">
        <v>6</v>
      </c>
      <c r="D998" s="23" t="s">
        <v>6</v>
      </c>
      <c r="E998" s="107" t="s">
        <v>46</v>
      </c>
      <c r="F998" s="127">
        <v>46055</v>
      </c>
    </row>
    <row r="999" spans="1:6" x14ac:dyDescent="0.25">
      <c r="A999" s="11">
        <v>287</v>
      </c>
      <c r="B999" s="21" t="s">
        <v>497</v>
      </c>
      <c r="C999" s="23" t="s">
        <v>6</v>
      </c>
      <c r="D999" s="23" t="s">
        <v>6</v>
      </c>
      <c r="E999" s="101" t="s">
        <v>46</v>
      </c>
      <c r="F999" s="127">
        <v>46055</v>
      </c>
    </row>
    <row r="1000" spans="1:6" x14ac:dyDescent="0.25">
      <c r="A1000" s="11">
        <v>288</v>
      </c>
      <c r="B1000" s="21" t="s">
        <v>1418</v>
      </c>
      <c r="C1000" s="23" t="s">
        <v>6</v>
      </c>
      <c r="D1000" s="23" t="s">
        <v>6</v>
      </c>
      <c r="E1000" s="107" t="s">
        <v>46</v>
      </c>
      <c r="F1000" s="127">
        <v>46055</v>
      </c>
    </row>
    <row r="1001" spans="1:6" x14ac:dyDescent="0.25">
      <c r="A1001" s="11">
        <v>289</v>
      </c>
      <c r="B1001" s="21" t="s">
        <v>1419</v>
      </c>
      <c r="C1001" s="23" t="s">
        <v>6</v>
      </c>
      <c r="D1001" s="23" t="s">
        <v>6</v>
      </c>
      <c r="E1001" s="107" t="s">
        <v>46</v>
      </c>
      <c r="F1001" s="127">
        <v>46055</v>
      </c>
    </row>
    <row r="1002" spans="1:6" x14ac:dyDescent="0.25">
      <c r="A1002" s="11">
        <v>290</v>
      </c>
      <c r="B1002" s="21" t="s">
        <v>1449</v>
      </c>
      <c r="C1002" s="23" t="s">
        <v>6</v>
      </c>
      <c r="D1002" s="23" t="s">
        <v>6</v>
      </c>
      <c r="E1002" s="107" t="s">
        <v>46</v>
      </c>
      <c r="F1002" s="127">
        <v>46061</v>
      </c>
    </row>
    <row r="1003" spans="1:6" x14ac:dyDescent="0.25">
      <c r="A1003" s="11">
        <v>291</v>
      </c>
      <c r="B1003" s="21" t="s">
        <v>411</v>
      </c>
      <c r="C1003" s="23" t="s">
        <v>6</v>
      </c>
      <c r="D1003" s="23" t="s">
        <v>6</v>
      </c>
      <c r="E1003" s="107" t="s">
        <v>46</v>
      </c>
      <c r="F1003" s="127">
        <v>46089</v>
      </c>
    </row>
    <row r="1004" spans="1:6" x14ac:dyDescent="0.25">
      <c r="A1004" s="11">
        <v>292</v>
      </c>
      <c r="B1004" s="21" t="s">
        <v>1451</v>
      </c>
      <c r="C1004" s="23" t="s">
        <v>6</v>
      </c>
      <c r="D1004" s="23" t="s">
        <v>6</v>
      </c>
      <c r="E1004" s="107" t="s">
        <v>46</v>
      </c>
      <c r="F1004" s="127">
        <v>46061</v>
      </c>
    </row>
    <row r="1005" spans="1:6" x14ac:dyDescent="0.25">
      <c r="A1005" s="11">
        <v>293</v>
      </c>
      <c r="B1005" s="21" t="s">
        <v>1452</v>
      </c>
      <c r="C1005" s="23" t="s">
        <v>6</v>
      </c>
      <c r="D1005" s="23" t="s">
        <v>6</v>
      </c>
      <c r="E1005" s="107" t="s">
        <v>46</v>
      </c>
      <c r="F1005" s="127">
        <v>46061</v>
      </c>
    </row>
    <row r="1006" spans="1:6" x14ac:dyDescent="0.25">
      <c r="A1006" s="11">
        <v>294</v>
      </c>
      <c r="B1006" s="21" t="s">
        <v>1468</v>
      </c>
      <c r="C1006" s="23" t="s">
        <v>6</v>
      </c>
      <c r="D1006" s="23" t="s">
        <v>6</v>
      </c>
      <c r="E1006" s="107" t="s">
        <v>46</v>
      </c>
      <c r="F1006" s="127">
        <v>46061</v>
      </c>
    </row>
    <row r="1007" spans="1:6" x14ac:dyDescent="0.25">
      <c r="A1007" s="11">
        <v>295</v>
      </c>
      <c r="B1007" s="21" t="s">
        <v>1469</v>
      </c>
      <c r="C1007" s="23" t="s">
        <v>6</v>
      </c>
      <c r="D1007" s="23" t="s">
        <v>6</v>
      </c>
      <c r="E1007" s="107" t="s">
        <v>46</v>
      </c>
      <c r="F1007" s="127">
        <v>46061</v>
      </c>
    </row>
    <row r="1008" spans="1:6" x14ac:dyDescent="0.25">
      <c r="A1008" s="11">
        <v>296</v>
      </c>
      <c r="B1008" s="60" t="s">
        <v>943</v>
      </c>
      <c r="C1008" s="23" t="s">
        <v>6</v>
      </c>
      <c r="D1008" s="23" t="s">
        <v>6</v>
      </c>
      <c r="E1008" s="107" t="s">
        <v>46</v>
      </c>
      <c r="F1008" s="127">
        <v>46061</v>
      </c>
    </row>
    <row r="1009" spans="1:6" x14ac:dyDescent="0.25">
      <c r="A1009" s="11">
        <v>297</v>
      </c>
      <c r="B1009" s="21" t="s">
        <v>1159</v>
      </c>
      <c r="C1009" s="23" t="s">
        <v>6</v>
      </c>
      <c r="D1009" s="23" t="s">
        <v>6</v>
      </c>
      <c r="E1009" s="107" t="s">
        <v>46</v>
      </c>
      <c r="F1009" s="127">
        <v>46061</v>
      </c>
    </row>
    <row r="1010" spans="1:6" x14ac:dyDescent="0.25">
      <c r="A1010" s="11">
        <v>298</v>
      </c>
      <c r="B1010" s="21" t="s">
        <v>1618</v>
      </c>
      <c r="C1010" s="23" t="s">
        <v>6</v>
      </c>
      <c r="D1010" s="23" t="s">
        <v>6</v>
      </c>
      <c r="E1010" s="107" t="s">
        <v>46</v>
      </c>
      <c r="F1010" s="127">
        <v>46061</v>
      </c>
    </row>
    <row r="1011" spans="1:6" x14ac:dyDescent="0.25">
      <c r="A1011" s="11">
        <v>299</v>
      </c>
      <c r="B1011" s="21" t="s">
        <v>1648</v>
      </c>
      <c r="C1011" s="23" t="s">
        <v>6</v>
      </c>
      <c r="D1011" s="23" t="s">
        <v>6</v>
      </c>
      <c r="E1011" s="107" t="s">
        <v>46</v>
      </c>
      <c r="F1011" s="127">
        <v>46061</v>
      </c>
    </row>
    <row r="1012" spans="1:6" x14ac:dyDescent="0.25">
      <c r="A1012" s="11">
        <v>300</v>
      </c>
      <c r="B1012" s="21" t="s">
        <v>1225</v>
      </c>
      <c r="C1012" s="23" t="s">
        <v>6</v>
      </c>
      <c r="D1012" s="23" t="s">
        <v>6</v>
      </c>
      <c r="E1012" s="107" t="s">
        <v>46</v>
      </c>
      <c r="F1012" s="128">
        <v>46068</v>
      </c>
    </row>
    <row r="1013" spans="1:6" x14ac:dyDescent="0.25">
      <c r="A1013" s="11">
        <v>301</v>
      </c>
      <c r="B1013" s="42" t="s">
        <v>432</v>
      </c>
      <c r="C1013" s="23" t="s">
        <v>6</v>
      </c>
      <c r="D1013" s="23" t="s">
        <v>6</v>
      </c>
      <c r="E1013" s="101" t="s">
        <v>46</v>
      </c>
      <c r="F1013" s="127">
        <v>46095</v>
      </c>
    </row>
    <row r="1014" spans="1:6" x14ac:dyDescent="0.25">
      <c r="A1014" s="11">
        <v>302</v>
      </c>
      <c r="B1014" s="21" t="s">
        <v>492</v>
      </c>
      <c r="C1014" s="23" t="s">
        <v>6</v>
      </c>
      <c r="D1014" s="23" t="s">
        <v>6</v>
      </c>
      <c r="E1014" s="101" t="s">
        <v>46</v>
      </c>
      <c r="F1014" s="127">
        <v>46082</v>
      </c>
    </row>
    <row r="1015" spans="1:6" x14ac:dyDescent="0.25">
      <c r="A1015" s="11">
        <v>303</v>
      </c>
      <c r="B1015" s="21" t="s">
        <v>932</v>
      </c>
      <c r="C1015" s="23" t="s">
        <v>6</v>
      </c>
      <c r="D1015" s="23" t="s">
        <v>6</v>
      </c>
      <c r="E1015" s="103" t="s">
        <v>154</v>
      </c>
      <c r="F1015" s="127">
        <v>46089</v>
      </c>
    </row>
    <row r="1016" spans="1:6" ht="15.75" x14ac:dyDescent="0.25">
      <c r="A1016" s="11">
        <v>304</v>
      </c>
      <c r="B1016" s="42" t="s">
        <v>1008</v>
      </c>
      <c r="C1016" s="23" t="s">
        <v>6</v>
      </c>
      <c r="D1016" s="23" t="s">
        <v>6</v>
      </c>
      <c r="E1016" s="102" t="s">
        <v>46</v>
      </c>
      <c r="F1016" s="128">
        <v>46068</v>
      </c>
    </row>
    <row r="1017" spans="1:6" ht="15.75" x14ac:dyDescent="0.25">
      <c r="A1017" s="11">
        <v>305</v>
      </c>
      <c r="B1017" s="42" t="s">
        <v>1078</v>
      </c>
      <c r="C1017" s="23" t="s">
        <v>6</v>
      </c>
      <c r="D1017" s="23" t="s">
        <v>6</v>
      </c>
      <c r="E1017" s="102" t="s">
        <v>46</v>
      </c>
      <c r="F1017" s="127">
        <v>46089</v>
      </c>
    </row>
    <row r="1018" spans="1:6" x14ac:dyDescent="0.25">
      <c r="A1018" s="11">
        <v>306</v>
      </c>
      <c r="B1018" s="8" t="s">
        <v>1434</v>
      </c>
      <c r="C1018" s="23" t="s">
        <v>6</v>
      </c>
      <c r="D1018" s="23" t="s">
        <v>6</v>
      </c>
      <c r="E1018" s="104" t="s">
        <v>270</v>
      </c>
      <c r="F1018" s="127">
        <v>46075</v>
      </c>
    </row>
    <row r="1019" spans="1:6" x14ac:dyDescent="0.25">
      <c r="A1019" s="11">
        <v>307</v>
      </c>
      <c r="B1019" s="21" t="s">
        <v>1290</v>
      </c>
      <c r="C1019" s="23" t="s">
        <v>6</v>
      </c>
      <c r="D1019" s="23" t="s">
        <v>6</v>
      </c>
      <c r="E1019" s="107" t="s">
        <v>46</v>
      </c>
      <c r="F1019" s="128">
        <v>46068</v>
      </c>
    </row>
    <row r="1020" spans="1:6" x14ac:dyDescent="0.25">
      <c r="A1020" s="11">
        <v>308</v>
      </c>
      <c r="B1020" s="8" t="s">
        <v>1486</v>
      </c>
      <c r="C1020" s="23" t="s">
        <v>6</v>
      </c>
      <c r="D1020" s="23" t="s">
        <v>6</v>
      </c>
      <c r="E1020" s="103" t="s">
        <v>46</v>
      </c>
      <c r="F1020" s="128">
        <v>46068</v>
      </c>
    </row>
    <row r="1021" spans="1:6" x14ac:dyDescent="0.25">
      <c r="A1021" s="11">
        <v>309</v>
      </c>
      <c r="B1021" s="8" t="s">
        <v>199</v>
      </c>
      <c r="C1021" s="23" t="s">
        <v>6</v>
      </c>
      <c r="D1021" s="23" t="s">
        <v>6</v>
      </c>
      <c r="E1021" s="103" t="s">
        <v>46</v>
      </c>
      <c r="F1021" s="127">
        <v>46089</v>
      </c>
    </row>
    <row r="1022" spans="1:6" x14ac:dyDescent="0.25">
      <c r="A1022" s="11">
        <v>310</v>
      </c>
      <c r="B1022" s="8" t="s">
        <v>1529</v>
      </c>
      <c r="C1022" s="23" t="s">
        <v>6</v>
      </c>
      <c r="D1022" s="23" t="s">
        <v>6</v>
      </c>
      <c r="E1022" s="103" t="s">
        <v>154</v>
      </c>
      <c r="F1022" s="127">
        <v>46082</v>
      </c>
    </row>
    <row r="1023" spans="1:6" x14ac:dyDescent="0.25">
      <c r="A1023" s="11">
        <v>311</v>
      </c>
      <c r="B1023" s="8" t="s">
        <v>1543</v>
      </c>
      <c r="C1023" s="23" t="s">
        <v>6</v>
      </c>
      <c r="D1023" s="23" t="s">
        <v>6</v>
      </c>
      <c r="E1023" s="103" t="s">
        <v>46</v>
      </c>
      <c r="F1023" s="127">
        <v>46082</v>
      </c>
    </row>
    <row r="1024" spans="1:6" x14ac:dyDescent="0.25">
      <c r="A1024" s="11">
        <v>312</v>
      </c>
      <c r="B1024" s="8" t="s">
        <v>1544</v>
      </c>
      <c r="C1024" s="23" t="s">
        <v>6</v>
      </c>
      <c r="D1024" s="23" t="s">
        <v>6</v>
      </c>
      <c r="E1024" s="103" t="s">
        <v>46</v>
      </c>
      <c r="F1024" s="127">
        <v>46082</v>
      </c>
    </row>
    <row r="1025" spans="1:6" x14ac:dyDescent="0.25">
      <c r="A1025" s="11">
        <v>313</v>
      </c>
      <c r="B1025" s="8" t="s">
        <v>799</v>
      </c>
      <c r="C1025" s="23" t="s">
        <v>6</v>
      </c>
      <c r="D1025" s="23" t="s">
        <v>6</v>
      </c>
      <c r="E1025" s="103" t="s">
        <v>46</v>
      </c>
      <c r="F1025" s="127">
        <v>46082</v>
      </c>
    </row>
    <row r="1026" spans="1:6" x14ac:dyDescent="0.25">
      <c r="A1026" s="11">
        <v>314</v>
      </c>
      <c r="B1026" s="8" t="s">
        <v>1450</v>
      </c>
      <c r="C1026" s="23" t="s">
        <v>6</v>
      </c>
      <c r="D1026" s="23" t="s">
        <v>6</v>
      </c>
      <c r="E1026" s="103" t="s">
        <v>46</v>
      </c>
      <c r="F1026" s="128">
        <v>46068</v>
      </c>
    </row>
    <row r="1027" spans="1:6" x14ac:dyDescent="0.25">
      <c r="A1027" s="11">
        <v>315</v>
      </c>
      <c r="B1027" s="60" t="s">
        <v>1488</v>
      </c>
      <c r="C1027" s="23" t="s">
        <v>6</v>
      </c>
      <c r="D1027" s="23" t="s">
        <v>6</v>
      </c>
      <c r="E1027" s="107" t="s">
        <v>154</v>
      </c>
      <c r="F1027" s="128">
        <v>46068</v>
      </c>
    </row>
    <row r="1028" spans="1:6" x14ac:dyDescent="0.25">
      <c r="A1028" s="11">
        <v>316</v>
      </c>
      <c r="B1028" s="21" t="s">
        <v>903</v>
      </c>
      <c r="C1028" s="23" t="s">
        <v>6</v>
      </c>
      <c r="D1028" s="23" t="s">
        <v>6</v>
      </c>
      <c r="E1028" s="107" t="s">
        <v>46</v>
      </c>
      <c r="F1028" s="127">
        <v>46075</v>
      </c>
    </row>
    <row r="1029" spans="1:6" x14ac:dyDescent="0.25">
      <c r="A1029" s="11">
        <v>317</v>
      </c>
      <c r="B1029" s="8" t="s">
        <v>1541</v>
      </c>
      <c r="C1029" s="23" t="s">
        <v>6</v>
      </c>
      <c r="D1029" s="23" t="s">
        <v>6</v>
      </c>
      <c r="E1029" s="104" t="s">
        <v>46</v>
      </c>
      <c r="F1029" s="127">
        <v>46082</v>
      </c>
    </row>
    <row r="1030" spans="1:6" x14ac:dyDescent="0.25">
      <c r="A1030" s="11">
        <v>318</v>
      </c>
      <c r="B1030" s="8" t="s">
        <v>1523</v>
      </c>
      <c r="C1030" s="23" t="s">
        <v>6</v>
      </c>
      <c r="D1030" s="23" t="s">
        <v>6</v>
      </c>
      <c r="E1030" s="104" t="s">
        <v>46</v>
      </c>
      <c r="F1030" s="127">
        <v>46075</v>
      </c>
    </row>
    <row r="1031" spans="1:6" x14ac:dyDescent="0.25">
      <c r="A1031" s="11">
        <v>319</v>
      </c>
      <c r="B1031" s="8" t="s">
        <v>1487</v>
      </c>
      <c r="C1031" s="23" t="s">
        <v>6</v>
      </c>
      <c r="D1031" s="23" t="s">
        <v>6</v>
      </c>
      <c r="E1031" s="104" t="s">
        <v>46</v>
      </c>
      <c r="F1031" s="128">
        <v>46068</v>
      </c>
    </row>
    <row r="1032" spans="1:6" x14ac:dyDescent="0.25">
      <c r="A1032" s="11">
        <v>320</v>
      </c>
      <c r="B1032" s="21" t="s">
        <v>1229</v>
      </c>
      <c r="C1032" s="23" t="s">
        <v>6</v>
      </c>
      <c r="D1032" s="23" t="s">
        <v>6</v>
      </c>
      <c r="E1032" s="107" t="s">
        <v>359</v>
      </c>
      <c r="F1032" s="127">
        <v>46075</v>
      </c>
    </row>
    <row r="1033" spans="1:6" x14ac:dyDescent="0.25">
      <c r="A1033" s="11">
        <v>321</v>
      </c>
      <c r="B1033" s="21" t="s">
        <v>1116</v>
      </c>
      <c r="C1033" s="23" t="s">
        <v>6</v>
      </c>
      <c r="D1033" s="23" t="s">
        <v>6</v>
      </c>
      <c r="E1033" s="107" t="s">
        <v>46</v>
      </c>
      <c r="F1033" s="127">
        <v>46075</v>
      </c>
    </row>
    <row r="1034" spans="1:6" x14ac:dyDescent="0.25">
      <c r="A1034" s="11">
        <v>322</v>
      </c>
      <c r="B1034" s="21" t="s">
        <v>1479</v>
      </c>
      <c r="C1034" s="23" t="s">
        <v>6</v>
      </c>
      <c r="D1034" s="23" t="s">
        <v>6</v>
      </c>
      <c r="E1034" s="107" t="s">
        <v>1480</v>
      </c>
      <c r="F1034" s="128">
        <v>46068</v>
      </c>
    </row>
    <row r="1035" spans="1:6" x14ac:dyDescent="0.25">
      <c r="A1035" s="11">
        <v>323</v>
      </c>
      <c r="B1035" s="21" t="s">
        <v>412</v>
      </c>
      <c r="C1035" s="23" t="s">
        <v>6</v>
      </c>
      <c r="D1035" s="23" t="s">
        <v>6</v>
      </c>
      <c r="E1035" s="107" t="s">
        <v>46</v>
      </c>
      <c r="F1035" s="127">
        <v>46089</v>
      </c>
    </row>
    <row r="1036" spans="1:6" x14ac:dyDescent="0.25">
      <c r="A1036" s="11">
        <v>324</v>
      </c>
      <c r="B1036" s="21" t="s">
        <v>1539</v>
      </c>
      <c r="C1036" s="23" t="s">
        <v>6</v>
      </c>
      <c r="D1036" s="23" t="s">
        <v>6</v>
      </c>
      <c r="E1036" s="107" t="s">
        <v>46</v>
      </c>
      <c r="F1036" s="127">
        <v>46104</v>
      </c>
    </row>
    <row r="1037" spans="1:6" x14ac:dyDescent="0.25">
      <c r="A1037" s="11">
        <v>325</v>
      </c>
      <c r="B1037" s="21" t="s">
        <v>1470</v>
      </c>
      <c r="C1037" s="23" t="s">
        <v>6</v>
      </c>
      <c r="D1037" s="23" t="s">
        <v>6</v>
      </c>
      <c r="E1037" s="107" t="s">
        <v>46</v>
      </c>
      <c r="F1037" s="128">
        <v>46068</v>
      </c>
    </row>
    <row r="1038" spans="1:6" x14ac:dyDescent="0.25">
      <c r="A1038" s="11">
        <v>326</v>
      </c>
      <c r="B1038" s="21" t="s">
        <v>1522</v>
      </c>
      <c r="C1038" s="23" t="s">
        <v>6</v>
      </c>
      <c r="D1038" s="23" t="s">
        <v>6</v>
      </c>
      <c r="E1038" s="107" t="s">
        <v>46</v>
      </c>
      <c r="F1038" s="127">
        <v>46082</v>
      </c>
    </row>
    <row r="1039" spans="1:6" x14ac:dyDescent="0.25">
      <c r="A1039" s="11">
        <v>327</v>
      </c>
      <c r="B1039" s="21" t="s">
        <v>1540</v>
      </c>
      <c r="C1039" s="23" t="s">
        <v>6</v>
      </c>
      <c r="D1039" s="23" t="s">
        <v>6</v>
      </c>
      <c r="E1039" s="107" t="s">
        <v>46</v>
      </c>
      <c r="F1039" s="127">
        <v>46082</v>
      </c>
    </row>
    <row r="1040" spans="1:6" x14ac:dyDescent="0.25">
      <c r="A1040" s="11">
        <v>328</v>
      </c>
      <c r="B1040" s="21" t="s">
        <v>1521</v>
      </c>
      <c r="C1040" s="23" t="s">
        <v>6</v>
      </c>
      <c r="D1040" s="23" t="s">
        <v>6</v>
      </c>
      <c r="E1040" s="107" t="s">
        <v>46</v>
      </c>
      <c r="F1040" s="127">
        <v>46089</v>
      </c>
    </row>
    <row r="1041" spans="1:6" x14ac:dyDescent="0.25">
      <c r="A1041" s="11">
        <v>329</v>
      </c>
      <c r="B1041" s="21" t="s">
        <v>1574</v>
      </c>
      <c r="C1041" s="23" t="s">
        <v>6</v>
      </c>
      <c r="D1041" s="23" t="s">
        <v>6</v>
      </c>
      <c r="E1041" s="107" t="s">
        <v>46</v>
      </c>
      <c r="F1041" s="127">
        <v>46095</v>
      </c>
    </row>
    <row r="1042" spans="1:6" x14ac:dyDescent="0.25">
      <c r="A1042" s="11">
        <v>330</v>
      </c>
      <c r="B1042" s="21" t="s">
        <v>1575</v>
      </c>
      <c r="C1042" s="23" t="s">
        <v>6</v>
      </c>
      <c r="D1042" s="23" t="s">
        <v>6</v>
      </c>
      <c r="E1042" s="107" t="s">
        <v>46</v>
      </c>
      <c r="F1042" s="127">
        <v>46095</v>
      </c>
    </row>
    <row r="1043" spans="1:6" x14ac:dyDescent="0.25">
      <c r="A1043" s="11">
        <v>331</v>
      </c>
      <c r="B1043" s="21" t="s">
        <v>1576</v>
      </c>
      <c r="C1043" s="23" t="s">
        <v>6</v>
      </c>
      <c r="D1043" s="23" t="s">
        <v>6</v>
      </c>
      <c r="E1043" s="107" t="s">
        <v>46</v>
      </c>
      <c r="F1043" s="127">
        <v>46095</v>
      </c>
    </row>
    <row r="1044" spans="1:6" x14ac:dyDescent="0.25">
      <c r="A1044" s="11">
        <v>332</v>
      </c>
      <c r="B1044" s="8" t="s">
        <v>165</v>
      </c>
      <c r="C1044" s="23" t="s">
        <v>6</v>
      </c>
      <c r="D1044" s="23" t="s">
        <v>6</v>
      </c>
      <c r="E1044" s="104" t="s">
        <v>41</v>
      </c>
      <c r="F1044" s="127">
        <v>46138</v>
      </c>
    </row>
    <row r="1045" spans="1:6" x14ac:dyDescent="0.25">
      <c r="A1045" s="11">
        <v>333</v>
      </c>
      <c r="B1045" s="8" t="s">
        <v>1668</v>
      </c>
      <c r="C1045" s="23" t="s">
        <v>6</v>
      </c>
      <c r="D1045" s="23" t="s">
        <v>6</v>
      </c>
      <c r="E1045" s="103" t="s">
        <v>46</v>
      </c>
      <c r="F1045" s="128">
        <v>46131</v>
      </c>
    </row>
    <row r="1046" spans="1:6" x14ac:dyDescent="0.25">
      <c r="A1046" s="11">
        <v>334</v>
      </c>
      <c r="B1046" s="8" t="s">
        <v>1669</v>
      </c>
      <c r="C1046" s="23" t="s">
        <v>6</v>
      </c>
      <c r="D1046" s="23" t="s">
        <v>6</v>
      </c>
      <c r="E1046" s="103" t="s">
        <v>46</v>
      </c>
      <c r="F1046" s="128">
        <v>46131</v>
      </c>
    </row>
    <row r="1047" spans="1:6" x14ac:dyDescent="0.25">
      <c r="A1047" s="11">
        <v>335</v>
      </c>
      <c r="B1047" s="21" t="s">
        <v>719</v>
      </c>
      <c r="C1047" s="23" t="s">
        <v>6</v>
      </c>
      <c r="D1047" s="23" t="s">
        <v>6</v>
      </c>
      <c r="E1047" s="101" t="s">
        <v>46</v>
      </c>
      <c r="F1047" s="127">
        <v>46104</v>
      </c>
    </row>
    <row r="1048" spans="1:6" x14ac:dyDescent="0.25">
      <c r="A1048" s="11">
        <v>336</v>
      </c>
      <c r="B1048" s="21" t="s">
        <v>1674</v>
      </c>
      <c r="C1048" s="23" t="s">
        <v>6</v>
      </c>
      <c r="D1048" s="23" t="s">
        <v>6</v>
      </c>
      <c r="E1048" s="107" t="s">
        <v>46</v>
      </c>
      <c r="F1048" s="128">
        <v>46131</v>
      </c>
    </row>
    <row r="1049" spans="1:6" x14ac:dyDescent="0.25">
      <c r="A1049" s="11">
        <v>337</v>
      </c>
      <c r="B1049" s="21" t="s">
        <v>1616</v>
      </c>
      <c r="C1049" s="23" t="s">
        <v>6</v>
      </c>
      <c r="D1049" s="23" t="s">
        <v>6</v>
      </c>
      <c r="E1049" s="107" t="s">
        <v>46</v>
      </c>
      <c r="F1049" s="127">
        <v>46138</v>
      </c>
    </row>
    <row r="1050" spans="1:6" x14ac:dyDescent="0.25">
      <c r="A1050" s="11">
        <v>338</v>
      </c>
      <c r="B1050" s="21" t="s">
        <v>1617</v>
      </c>
      <c r="C1050" s="23" t="s">
        <v>6</v>
      </c>
      <c r="D1050" s="23" t="s">
        <v>6</v>
      </c>
      <c r="E1050" s="107" t="s">
        <v>46</v>
      </c>
      <c r="F1050" s="127">
        <v>46138</v>
      </c>
    </row>
    <row r="1051" spans="1:6" x14ac:dyDescent="0.25">
      <c r="A1051" s="11">
        <v>339</v>
      </c>
      <c r="B1051" s="21" t="s">
        <v>1703</v>
      </c>
      <c r="C1051" s="23" t="s">
        <v>6</v>
      </c>
      <c r="D1051" s="23" t="s">
        <v>6</v>
      </c>
      <c r="E1051" s="107" t="s">
        <v>46</v>
      </c>
      <c r="F1051" s="127">
        <v>46138</v>
      </c>
    </row>
    <row r="1052" spans="1:6" x14ac:dyDescent="0.25">
      <c r="A1052" s="11">
        <v>340</v>
      </c>
      <c r="B1052" s="21" t="s">
        <v>1619</v>
      </c>
      <c r="C1052" s="23" t="s">
        <v>6</v>
      </c>
      <c r="D1052" s="23" t="s">
        <v>6</v>
      </c>
      <c r="E1052" s="107" t="s">
        <v>46</v>
      </c>
      <c r="F1052" s="127">
        <v>46104</v>
      </c>
    </row>
    <row r="1053" spans="1:6" x14ac:dyDescent="0.25">
      <c r="A1053" s="11">
        <v>341</v>
      </c>
      <c r="B1053" s="21" t="s">
        <v>1688</v>
      </c>
      <c r="C1053" s="23" t="s">
        <v>6</v>
      </c>
      <c r="D1053" s="23" t="s">
        <v>6</v>
      </c>
      <c r="E1053" s="107" t="s">
        <v>46</v>
      </c>
      <c r="F1053" s="128">
        <v>46131</v>
      </c>
    </row>
    <row r="1054" spans="1:6" x14ac:dyDescent="0.25">
      <c r="A1054" s="11">
        <v>342</v>
      </c>
      <c r="B1054" s="21" t="s">
        <v>1710</v>
      </c>
      <c r="C1054" s="23" t="s">
        <v>6</v>
      </c>
      <c r="D1054" s="23" t="s">
        <v>6</v>
      </c>
      <c r="E1054" s="107" t="s">
        <v>46</v>
      </c>
      <c r="F1054" s="128">
        <v>46131</v>
      </c>
    </row>
    <row r="1055" spans="1:6" x14ac:dyDescent="0.25">
      <c r="A1055" s="11">
        <v>343</v>
      </c>
      <c r="B1055" s="21" t="s">
        <v>1711</v>
      </c>
      <c r="C1055" s="23" t="s">
        <v>6</v>
      </c>
      <c r="D1055" s="23" t="s">
        <v>6</v>
      </c>
      <c r="E1055" s="107" t="s">
        <v>46</v>
      </c>
      <c r="F1055" s="128">
        <v>46131</v>
      </c>
    </row>
    <row r="1057" spans="1:6" x14ac:dyDescent="0.25">
      <c r="A1057" s="123" t="s">
        <v>1970</v>
      </c>
    </row>
    <row r="1058" spans="1:6" x14ac:dyDescent="0.25">
      <c r="A1058" s="11">
        <v>1</v>
      </c>
      <c r="B1058" s="8" t="s">
        <v>254</v>
      </c>
      <c r="C1058" s="23" t="s">
        <v>6</v>
      </c>
      <c r="D1058" s="23" t="s">
        <v>6</v>
      </c>
      <c r="E1058" s="104" t="s">
        <v>40</v>
      </c>
      <c r="F1058" s="127">
        <v>46145</v>
      </c>
    </row>
    <row r="1059" spans="1:6" ht="15.75" x14ac:dyDescent="0.25">
      <c r="A1059" s="11">
        <v>2</v>
      </c>
      <c r="B1059" s="42" t="s">
        <v>1339</v>
      </c>
      <c r="C1059" s="23" t="s">
        <v>6</v>
      </c>
      <c r="D1059" s="23" t="s">
        <v>6</v>
      </c>
      <c r="E1059" s="102" t="s">
        <v>46</v>
      </c>
      <c r="F1059" s="127">
        <v>46145</v>
      </c>
    </row>
    <row r="1060" spans="1:6" x14ac:dyDescent="0.25">
      <c r="A1060" s="11">
        <v>3</v>
      </c>
      <c r="B1060" s="42" t="s">
        <v>1437</v>
      </c>
      <c r="C1060" s="23" t="s">
        <v>6</v>
      </c>
      <c r="D1060" s="23" t="s">
        <v>6</v>
      </c>
      <c r="E1060" s="101" t="s">
        <v>46</v>
      </c>
      <c r="F1060" s="127">
        <v>46152</v>
      </c>
    </row>
    <row r="1061" spans="1:6" ht="15.75" x14ac:dyDescent="0.25">
      <c r="A1061" s="11">
        <v>4</v>
      </c>
      <c r="B1061" s="59" t="s">
        <v>931</v>
      </c>
      <c r="C1061" s="23" t="s">
        <v>6</v>
      </c>
      <c r="D1061" s="23" t="s">
        <v>6</v>
      </c>
      <c r="E1061" s="102" t="s">
        <v>46</v>
      </c>
      <c r="F1061" s="127">
        <v>46152</v>
      </c>
    </row>
    <row r="1062" spans="1:6" ht="15.75" x14ac:dyDescent="0.25">
      <c r="A1062" s="11">
        <v>5</v>
      </c>
      <c r="B1062" s="42" t="s">
        <v>935</v>
      </c>
      <c r="C1062" s="23" t="s">
        <v>6</v>
      </c>
      <c r="D1062" s="23" t="s">
        <v>6</v>
      </c>
      <c r="E1062" s="102" t="s">
        <v>46</v>
      </c>
      <c r="F1062" s="127">
        <v>46152</v>
      </c>
    </row>
    <row r="1063" spans="1:6" x14ac:dyDescent="0.25">
      <c r="A1063" s="11">
        <v>6</v>
      </c>
      <c r="B1063" s="42" t="s">
        <v>1336</v>
      </c>
      <c r="C1063" s="23" t="s">
        <v>6</v>
      </c>
      <c r="D1063" s="23" t="s">
        <v>6</v>
      </c>
      <c r="E1063" s="101" t="s">
        <v>46</v>
      </c>
      <c r="F1063" s="127">
        <v>46152</v>
      </c>
    </row>
    <row r="1064" spans="1:6" x14ac:dyDescent="0.25">
      <c r="A1064" s="11">
        <v>7</v>
      </c>
      <c r="B1064" s="42" t="s">
        <v>1722</v>
      </c>
      <c r="C1064" s="23" t="s">
        <v>6</v>
      </c>
      <c r="D1064" s="23" t="s">
        <v>6</v>
      </c>
      <c r="E1064" s="104" t="s">
        <v>46</v>
      </c>
      <c r="F1064" s="127">
        <v>46152</v>
      </c>
    </row>
    <row r="1065" spans="1:6" x14ac:dyDescent="0.25">
      <c r="A1065" s="11">
        <v>8</v>
      </c>
      <c r="B1065" s="42" t="s">
        <v>1740</v>
      </c>
      <c r="C1065" s="23" t="s">
        <v>6</v>
      </c>
      <c r="D1065" s="23" t="s">
        <v>6</v>
      </c>
      <c r="E1065" s="104" t="s">
        <v>46</v>
      </c>
      <c r="F1065" s="127">
        <v>46152</v>
      </c>
    </row>
    <row r="1066" spans="1:6" x14ac:dyDescent="0.25">
      <c r="A1066" s="11">
        <v>9</v>
      </c>
      <c r="B1066" s="8" t="s">
        <v>1656</v>
      </c>
      <c r="C1066" s="23" t="s">
        <v>6</v>
      </c>
      <c r="D1066" s="23" t="s">
        <v>6</v>
      </c>
      <c r="E1066" s="104" t="s">
        <v>46</v>
      </c>
      <c r="F1066" s="127">
        <v>46159</v>
      </c>
    </row>
    <row r="1067" spans="1:6" ht="15.75" x14ac:dyDescent="0.25">
      <c r="A1067" s="11">
        <v>10</v>
      </c>
      <c r="B1067" s="42" t="s">
        <v>1338</v>
      </c>
      <c r="C1067" s="23" t="s">
        <v>6</v>
      </c>
      <c r="D1067" s="23" t="s">
        <v>6</v>
      </c>
      <c r="E1067" s="102" t="s">
        <v>46</v>
      </c>
      <c r="F1067" s="127">
        <v>46159</v>
      </c>
    </row>
    <row r="1068" spans="1:6" x14ac:dyDescent="0.25">
      <c r="A1068" s="11">
        <v>11</v>
      </c>
      <c r="B1068" s="8" t="s">
        <v>1379</v>
      </c>
      <c r="C1068" s="23" t="s">
        <v>6</v>
      </c>
      <c r="D1068" s="23" t="s">
        <v>6</v>
      </c>
      <c r="E1068" s="104" t="s">
        <v>46</v>
      </c>
      <c r="F1068" s="127">
        <v>46159</v>
      </c>
    </row>
    <row r="1069" spans="1:6" ht="15.75" x14ac:dyDescent="0.25">
      <c r="A1069" s="11">
        <v>12</v>
      </c>
      <c r="B1069" s="42" t="s">
        <v>1009</v>
      </c>
      <c r="C1069" s="23" t="s">
        <v>6</v>
      </c>
      <c r="D1069" s="23" t="s">
        <v>6</v>
      </c>
      <c r="E1069" s="102" t="s">
        <v>46</v>
      </c>
      <c r="F1069" s="127">
        <v>46159</v>
      </c>
    </row>
    <row r="1070" spans="1:6" x14ac:dyDescent="0.25">
      <c r="A1070" s="11">
        <v>13</v>
      </c>
      <c r="B1070" s="42" t="s">
        <v>660</v>
      </c>
      <c r="C1070" s="23" t="s">
        <v>6</v>
      </c>
      <c r="D1070" s="23" t="s">
        <v>6</v>
      </c>
      <c r="E1070" s="101" t="s">
        <v>46</v>
      </c>
      <c r="F1070" s="127">
        <v>46159</v>
      </c>
    </row>
    <row r="1071" spans="1:6" x14ac:dyDescent="0.25">
      <c r="A1071" s="11">
        <v>14</v>
      </c>
      <c r="B1071" s="42" t="s">
        <v>1685</v>
      </c>
      <c r="C1071" s="23" t="s">
        <v>6</v>
      </c>
      <c r="D1071" s="23" t="s">
        <v>6</v>
      </c>
      <c r="E1071" s="101" t="s">
        <v>359</v>
      </c>
      <c r="F1071" s="127">
        <v>46159</v>
      </c>
    </row>
    <row r="1072" spans="1:6" x14ac:dyDescent="0.25">
      <c r="A1072" s="11">
        <v>15</v>
      </c>
      <c r="B1072" s="42" t="s">
        <v>1750</v>
      </c>
      <c r="C1072" s="23" t="s">
        <v>6</v>
      </c>
      <c r="D1072" s="23" t="s">
        <v>6</v>
      </c>
      <c r="E1072" s="104" t="s">
        <v>46</v>
      </c>
      <c r="F1072" s="127">
        <v>46159</v>
      </c>
    </row>
    <row r="1073" spans="1:6" x14ac:dyDescent="0.25">
      <c r="A1073" s="11">
        <v>16</v>
      </c>
      <c r="B1073" s="42" t="s">
        <v>1766</v>
      </c>
      <c r="C1073" s="23" t="s">
        <v>6</v>
      </c>
      <c r="D1073" s="23" t="s">
        <v>6</v>
      </c>
      <c r="E1073" s="104" t="s">
        <v>46</v>
      </c>
      <c r="F1073" s="127">
        <v>46159</v>
      </c>
    </row>
    <row r="1074" spans="1:6" x14ac:dyDescent="0.25">
      <c r="A1074" s="11">
        <v>17</v>
      </c>
      <c r="B1074" s="42" t="s">
        <v>1768</v>
      </c>
      <c r="C1074" s="23" t="s">
        <v>6</v>
      </c>
      <c r="D1074" s="23" t="s">
        <v>6</v>
      </c>
      <c r="E1074" s="104" t="s">
        <v>46</v>
      </c>
      <c r="F1074" s="127">
        <v>46159</v>
      </c>
    </row>
    <row r="1075" spans="1:6" ht="15.75" x14ac:dyDescent="0.25">
      <c r="A1075" s="11">
        <v>18</v>
      </c>
      <c r="B1075" s="97" t="s">
        <v>435</v>
      </c>
      <c r="C1075" s="98" t="s">
        <v>6</v>
      </c>
      <c r="D1075" s="98" t="s">
        <v>6</v>
      </c>
      <c r="E1075" s="99" t="s">
        <v>46</v>
      </c>
      <c r="F1075" s="127">
        <v>45837</v>
      </c>
    </row>
    <row r="1076" spans="1:6" ht="15.75" x14ac:dyDescent="0.25">
      <c r="A1076" s="11">
        <v>19</v>
      </c>
      <c r="B1076" s="21" t="s">
        <v>362</v>
      </c>
      <c r="C1076" s="23" t="s">
        <v>6</v>
      </c>
      <c r="D1076" s="23" t="s">
        <v>6</v>
      </c>
      <c r="E1076" s="100" t="s">
        <v>40</v>
      </c>
      <c r="F1076" s="127">
        <v>45837</v>
      </c>
    </row>
    <row r="1077" spans="1:6" x14ac:dyDescent="0.25">
      <c r="A1077" s="11">
        <v>20</v>
      </c>
      <c r="B1077" s="21" t="s">
        <v>343</v>
      </c>
      <c r="C1077" s="23" t="s">
        <v>6</v>
      </c>
      <c r="D1077" s="23" t="s">
        <v>6</v>
      </c>
      <c r="E1077" s="101" t="s">
        <v>44</v>
      </c>
      <c r="F1077" s="127">
        <v>45837</v>
      </c>
    </row>
    <row r="1078" spans="1:6" ht="15.75" x14ac:dyDescent="0.25">
      <c r="A1078" s="11">
        <v>21</v>
      </c>
      <c r="B1078" s="42" t="s">
        <v>485</v>
      </c>
      <c r="C1078" s="23" t="s">
        <v>6</v>
      </c>
      <c r="D1078" s="23" t="s">
        <v>6</v>
      </c>
      <c r="E1078" s="102" t="s">
        <v>46</v>
      </c>
      <c r="F1078" s="127">
        <v>45845</v>
      </c>
    </row>
    <row r="1079" spans="1:6" ht="15.75" x14ac:dyDescent="0.25">
      <c r="A1079" s="11">
        <v>22</v>
      </c>
      <c r="B1079" s="42" t="s">
        <v>488</v>
      </c>
      <c r="C1079" s="23" t="s">
        <v>6</v>
      </c>
      <c r="D1079" s="23" t="s">
        <v>6</v>
      </c>
      <c r="E1079" s="102" t="s">
        <v>46</v>
      </c>
      <c r="F1079" s="127">
        <v>45845</v>
      </c>
    </row>
    <row r="1080" spans="1:6" ht="15.75" x14ac:dyDescent="0.25">
      <c r="A1080" s="11">
        <v>23</v>
      </c>
      <c r="B1080" s="42" t="s">
        <v>490</v>
      </c>
      <c r="C1080" s="23" t="s">
        <v>6</v>
      </c>
      <c r="D1080" s="23" t="s">
        <v>6</v>
      </c>
      <c r="E1080" s="102" t="s">
        <v>46</v>
      </c>
      <c r="F1080" s="127">
        <v>45845</v>
      </c>
    </row>
    <row r="1081" spans="1:6" x14ac:dyDescent="0.25">
      <c r="A1081" s="11">
        <v>24</v>
      </c>
      <c r="B1081" s="42" t="s">
        <v>521</v>
      </c>
      <c r="C1081" s="23" t="s">
        <v>6</v>
      </c>
      <c r="D1081" s="23" t="s">
        <v>6</v>
      </c>
      <c r="E1081" s="103" t="s">
        <v>155</v>
      </c>
      <c r="F1081" s="127">
        <v>45845</v>
      </c>
    </row>
    <row r="1082" spans="1:6" x14ac:dyDescent="0.25">
      <c r="A1082" s="11">
        <v>25</v>
      </c>
      <c r="B1082" s="8" t="s">
        <v>244</v>
      </c>
      <c r="C1082" s="23" t="s">
        <v>6</v>
      </c>
      <c r="D1082" s="23" t="s">
        <v>6</v>
      </c>
      <c r="E1082" s="104" t="s">
        <v>44</v>
      </c>
      <c r="F1082" s="127">
        <v>45866</v>
      </c>
    </row>
    <row r="1083" spans="1:6" x14ac:dyDescent="0.25">
      <c r="A1083" s="11">
        <v>26</v>
      </c>
      <c r="B1083" s="21" t="s">
        <v>335</v>
      </c>
      <c r="C1083" s="23" t="s">
        <v>6</v>
      </c>
      <c r="D1083" s="23" t="s">
        <v>6</v>
      </c>
      <c r="E1083" s="101" t="s">
        <v>44</v>
      </c>
      <c r="F1083" s="127">
        <v>45859</v>
      </c>
    </row>
    <row r="1084" spans="1:6" ht="15.75" x14ac:dyDescent="0.25">
      <c r="A1084" s="11">
        <v>27</v>
      </c>
      <c r="B1084" s="42" t="s">
        <v>414</v>
      </c>
      <c r="C1084" s="23" t="s">
        <v>6</v>
      </c>
      <c r="D1084" s="23" t="s">
        <v>6</v>
      </c>
      <c r="E1084" s="102" t="s">
        <v>46</v>
      </c>
      <c r="F1084" s="127">
        <v>45859</v>
      </c>
    </row>
    <row r="1085" spans="1:6" ht="15.75" x14ac:dyDescent="0.25">
      <c r="A1085" s="11">
        <v>28</v>
      </c>
      <c r="B1085" s="42" t="s">
        <v>486</v>
      </c>
      <c r="C1085" s="23" t="s">
        <v>6</v>
      </c>
      <c r="D1085" s="23" t="s">
        <v>6</v>
      </c>
      <c r="E1085" s="102" t="s">
        <v>46</v>
      </c>
      <c r="F1085" s="127">
        <v>45859</v>
      </c>
    </row>
    <row r="1086" spans="1:6" x14ac:dyDescent="0.25">
      <c r="A1086" s="11">
        <v>29</v>
      </c>
      <c r="B1086" s="42" t="s">
        <v>522</v>
      </c>
      <c r="C1086" s="23" t="s">
        <v>6</v>
      </c>
      <c r="D1086" s="23" t="s">
        <v>6</v>
      </c>
      <c r="E1086" s="103" t="s">
        <v>155</v>
      </c>
      <c r="F1086" s="127">
        <v>45859</v>
      </c>
    </row>
    <row r="1087" spans="1:6" ht="15.75" x14ac:dyDescent="0.25">
      <c r="A1087" s="11">
        <v>30</v>
      </c>
      <c r="B1087" s="42" t="s">
        <v>622</v>
      </c>
      <c r="C1087" s="23" t="s">
        <v>6</v>
      </c>
      <c r="D1087" s="23" t="s">
        <v>6</v>
      </c>
      <c r="E1087" s="102" t="s">
        <v>46</v>
      </c>
      <c r="F1087" s="127">
        <v>45866</v>
      </c>
    </row>
    <row r="1088" spans="1:6" x14ac:dyDescent="0.25">
      <c r="A1088" s="11">
        <v>31</v>
      </c>
      <c r="B1088" s="42" t="s">
        <v>402</v>
      </c>
      <c r="C1088" s="23" t="s">
        <v>6</v>
      </c>
      <c r="D1088" s="23" t="s">
        <v>6</v>
      </c>
      <c r="E1088" s="101" t="s">
        <v>46</v>
      </c>
      <c r="F1088" s="127">
        <v>45866</v>
      </c>
    </row>
    <row r="1089" spans="1:6" x14ac:dyDescent="0.25">
      <c r="A1089" s="11">
        <v>32</v>
      </c>
      <c r="B1089" s="8" t="s">
        <v>598</v>
      </c>
      <c r="C1089" s="23" t="s">
        <v>6</v>
      </c>
      <c r="D1089" s="23" t="s">
        <v>6</v>
      </c>
      <c r="E1089" s="104" t="s">
        <v>576</v>
      </c>
      <c r="F1089" s="127">
        <v>45866</v>
      </c>
    </row>
    <row r="1090" spans="1:6" x14ac:dyDescent="0.25">
      <c r="A1090" s="11">
        <v>33</v>
      </c>
      <c r="B1090" s="42" t="s">
        <v>525</v>
      </c>
      <c r="C1090" s="23" t="s">
        <v>6</v>
      </c>
      <c r="D1090" s="23" t="s">
        <v>6</v>
      </c>
      <c r="E1090" s="103" t="s">
        <v>155</v>
      </c>
      <c r="F1090" s="127">
        <v>45859</v>
      </c>
    </row>
    <row r="1091" spans="1:6" ht="15.75" x14ac:dyDescent="0.25">
      <c r="A1091" s="11">
        <v>34</v>
      </c>
      <c r="B1091" s="42" t="s">
        <v>537</v>
      </c>
      <c r="C1091" s="23" t="s">
        <v>6</v>
      </c>
      <c r="D1091" s="23" t="s">
        <v>6</v>
      </c>
      <c r="E1091" s="102" t="s">
        <v>46</v>
      </c>
      <c r="F1091" s="127">
        <v>45859</v>
      </c>
    </row>
    <row r="1092" spans="1:6" ht="15.75" x14ac:dyDescent="0.25">
      <c r="A1092" s="11">
        <v>35</v>
      </c>
      <c r="B1092" s="42" t="s">
        <v>571</v>
      </c>
      <c r="C1092" s="23" t="s">
        <v>6</v>
      </c>
      <c r="D1092" s="23" t="s">
        <v>6</v>
      </c>
      <c r="E1092" s="102" t="s">
        <v>46</v>
      </c>
      <c r="F1092" s="127">
        <v>45866</v>
      </c>
    </row>
    <row r="1093" spans="1:6" ht="15.75" x14ac:dyDescent="0.25">
      <c r="A1093" s="11">
        <v>36</v>
      </c>
      <c r="B1093" s="42" t="s">
        <v>1005</v>
      </c>
      <c r="C1093" s="23" t="s">
        <v>6</v>
      </c>
      <c r="D1093" s="23" t="s">
        <v>6</v>
      </c>
      <c r="E1093" s="102" t="s">
        <v>46</v>
      </c>
      <c r="F1093" s="127">
        <v>46023</v>
      </c>
    </row>
    <row r="1094" spans="1:6" x14ac:dyDescent="0.25">
      <c r="A1094" s="11">
        <v>37</v>
      </c>
      <c r="B1094" s="8" t="s">
        <v>39</v>
      </c>
      <c r="C1094" s="23" t="s">
        <v>6</v>
      </c>
      <c r="D1094" s="23" t="s">
        <v>6</v>
      </c>
      <c r="E1094" s="103" t="s">
        <v>359</v>
      </c>
      <c r="F1094" s="127">
        <v>45886</v>
      </c>
    </row>
    <row r="1095" spans="1:6" x14ac:dyDescent="0.25">
      <c r="A1095" s="11">
        <v>38</v>
      </c>
      <c r="B1095" s="42" t="s">
        <v>482</v>
      </c>
      <c r="C1095" s="23" t="s">
        <v>6</v>
      </c>
      <c r="D1095" s="23" t="s">
        <v>6</v>
      </c>
      <c r="E1095" s="101" t="s">
        <v>40</v>
      </c>
      <c r="F1095" s="127">
        <v>45886</v>
      </c>
    </row>
    <row r="1096" spans="1:6" x14ac:dyDescent="0.25">
      <c r="A1096" s="11">
        <v>39</v>
      </c>
      <c r="B1096" s="42" t="s">
        <v>320</v>
      </c>
      <c r="C1096" s="23" t="s">
        <v>6</v>
      </c>
      <c r="D1096" s="23" t="s">
        <v>6</v>
      </c>
      <c r="E1096" s="104" t="s">
        <v>40</v>
      </c>
      <c r="F1096" s="127">
        <v>45886</v>
      </c>
    </row>
    <row r="1097" spans="1:6" ht="15.75" x14ac:dyDescent="0.25">
      <c r="A1097" s="11">
        <v>40</v>
      </c>
      <c r="B1097" s="42" t="s">
        <v>573</v>
      </c>
      <c r="C1097" s="23" t="s">
        <v>6</v>
      </c>
      <c r="D1097" s="23" t="s">
        <v>6</v>
      </c>
      <c r="E1097" s="102" t="s">
        <v>46</v>
      </c>
      <c r="F1097" s="127">
        <v>45886</v>
      </c>
    </row>
    <row r="1098" spans="1:6" ht="15.75" x14ac:dyDescent="0.25">
      <c r="A1098" s="11">
        <v>41</v>
      </c>
      <c r="B1098" s="42" t="s">
        <v>574</v>
      </c>
      <c r="C1098" s="23" t="s">
        <v>6</v>
      </c>
      <c r="D1098" s="23" t="s">
        <v>6</v>
      </c>
      <c r="E1098" s="102" t="s">
        <v>46</v>
      </c>
      <c r="F1098" s="127">
        <v>45886</v>
      </c>
    </row>
    <row r="1099" spans="1:6" ht="15.75" x14ac:dyDescent="0.25">
      <c r="A1099" s="11">
        <v>42</v>
      </c>
      <c r="B1099" s="42" t="s">
        <v>641</v>
      </c>
      <c r="C1099" s="23" t="s">
        <v>6</v>
      </c>
      <c r="D1099" s="23" t="s">
        <v>6</v>
      </c>
      <c r="E1099" s="102" t="s">
        <v>46</v>
      </c>
      <c r="F1099" s="127">
        <v>45886</v>
      </c>
    </row>
    <row r="1100" spans="1:6" ht="15.75" x14ac:dyDescent="0.25">
      <c r="A1100" s="11">
        <v>43</v>
      </c>
      <c r="B1100" s="42" t="s">
        <v>647</v>
      </c>
      <c r="C1100" s="23" t="s">
        <v>6</v>
      </c>
      <c r="D1100" s="23" t="s">
        <v>6</v>
      </c>
      <c r="E1100" s="102" t="s">
        <v>46</v>
      </c>
      <c r="F1100" s="127">
        <v>45886</v>
      </c>
    </row>
    <row r="1101" spans="1:6" ht="15.75" x14ac:dyDescent="0.25">
      <c r="A1101" s="11">
        <v>44</v>
      </c>
      <c r="B1101" s="42" t="s">
        <v>645</v>
      </c>
      <c r="C1101" s="23" t="s">
        <v>6</v>
      </c>
      <c r="D1101" s="23" t="s">
        <v>6</v>
      </c>
      <c r="E1101" s="102" t="s">
        <v>46</v>
      </c>
      <c r="F1101" s="127">
        <v>45886</v>
      </c>
    </row>
    <row r="1102" spans="1:6" ht="15.75" x14ac:dyDescent="0.25">
      <c r="A1102" s="11">
        <v>45</v>
      </c>
      <c r="B1102" s="42" t="s">
        <v>665</v>
      </c>
      <c r="C1102" s="23" t="s">
        <v>6</v>
      </c>
      <c r="D1102" s="23" t="s">
        <v>6</v>
      </c>
      <c r="E1102" s="102" t="s">
        <v>46</v>
      </c>
      <c r="F1102" s="127">
        <v>45886</v>
      </c>
    </row>
    <row r="1103" spans="1:6" ht="15.75" x14ac:dyDescent="0.25">
      <c r="A1103" s="11">
        <v>46</v>
      </c>
      <c r="B1103" s="42" t="s">
        <v>666</v>
      </c>
      <c r="C1103" s="23" t="s">
        <v>6</v>
      </c>
      <c r="D1103" s="23" t="s">
        <v>6</v>
      </c>
      <c r="E1103" s="102" t="s">
        <v>46</v>
      </c>
      <c r="F1103" s="127">
        <v>45886</v>
      </c>
    </row>
    <row r="1104" spans="1:6" ht="15.75" x14ac:dyDescent="0.25">
      <c r="A1104" s="11">
        <v>47</v>
      </c>
      <c r="B1104" s="42" t="s">
        <v>680</v>
      </c>
      <c r="C1104" s="23" t="s">
        <v>6</v>
      </c>
      <c r="D1104" s="23" t="s">
        <v>6</v>
      </c>
      <c r="E1104" s="102" t="s">
        <v>46</v>
      </c>
      <c r="F1104" s="127">
        <v>45886</v>
      </c>
    </row>
    <row r="1105" spans="1:6" ht="15.75" x14ac:dyDescent="0.25">
      <c r="A1105" s="11">
        <v>48</v>
      </c>
      <c r="B1105" s="42" t="s">
        <v>681</v>
      </c>
      <c r="C1105" s="23" t="s">
        <v>6</v>
      </c>
      <c r="D1105" s="23" t="s">
        <v>6</v>
      </c>
      <c r="E1105" s="102" t="s">
        <v>46</v>
      </c>
      <c r="F1105" s="127">
        <v>45886</v>
      </c>
    </row>
    <row r="1106" spans="1:6" ht="15.75" x14ac:dyDescent="0.25">
      <c r="A1106" s="11">
        <v>49</v>
      </c>
      <c r="B1106" s="42" t="s">
        <v>683</v>
      </c>
      <c r="C1106" s="23" t="s">
        <v>6</v>
      </c>
      <c r="D1106" s="23" t="s">
        <v>6</v>
      </c>
      <c r="E1106" s="102" t="s">
        <v>46</v>
      </c>
      <c r="F1106" s="127">
        <v>45886</v>
      </c>
    </row>
    <row r="1107" spans="1:6" ht="15.75" x14ac:dyDescent="0.25">
      <c r="A1107" s="11">
        <v>50</v>
      </c>
      <c r="B1107" s="42" t="s">
        <v>709</v>
      </c>
      <c r="C1107" s="23" t="s">
        <v>6</v>
      </c>
      <c r="D1107" s="23" t="s">
        <v>6</v>
      </c>
      <c r="E1107" s="102" t="s">
        <v>154</v>
      </c>
      <c r="F1107" s="127">
        <v>45886</v>
      </c>
    </row>
    <row r="1108" spans="1:6" x14ac:dyDescent="0.25">
      <c r="A1108" s="11">
        <v>51</v>
      </c>
      <c r="B1108" s="21" t="s">
        <v>401</v>
      </c>
      <c r="C1108" s="23" t="s">
        <v>6</v>
      </c>
      <c r="D1108" s="23" t="s">
        <v>6</v>
      </c>
      <c r="E1108" s="103" t="s">
        <v>44</v>
      </c>
      <c r="F1108" s="127">
        <v>45894</v>
      </c>
    </row>
    <row r="1109" spans="1:6" x14ac:dyDescent="0.25">
      <c r="A1109" s="11">
        <v>52</v>
      </c>
      <c r="B1109" s="21" t="s">
        <v>701</v>
      </c>
      <c r="C1109" s="23" t="s">
        <v>6</v>
      </c>
      <c r="D1109" s="23" t="s">
        <v>6</v>
      </c>
      <c r="E1109" s="101" t="s">
        <v>46</v>
      </c>
      <c r="F1109" s="127">
        <v>45894</v>
      </c>
    </row>
    <row r="1110" spans="1:6" x14ac:dyDescent="0.25">
      <c r="A1110" s="11">
        <v>53</v>
      </c>
      <c r="B1110" s="21" t="s">
        <v>730</v>
      </c>
      <c r="C1110" s="23" t="s">
        <v>6</v>
      </c>
      <c r="D1110" s="23" t="s">
        <v>6</v>
      </c>
      <c r="E1110" s="101" t="s">
        <v>46</v>
      </c>
      <c r="F1110" s="127">
        <v>45894</v>
      </c>
    </row>
    <row r="1111" spans="1:6" x14ac:dyDescent="0.25">
      <c r="A1111" s="11">
        <v>54</v>
      </c>
      <c r="B1111" s="21" t="s">
        <v>732</v>
      </c>
      <c r="C1111" s="23" t="s">
        <v>6</v>
      </c>
      <c r="D1111" s="23" t="s">
        <v>6</v>
      </c>
      <c r="E1111" s="101" t="s">
        <v>46</v>
      </c>
      <c r="F1111" s="127">
        <v>45894</v>
      </c>
    </row>
    <row r="1112" spans="1:6" x14ac:dyDescent="0.25">
      <c r="A1112" s="11">
        <v>55</v>
      </c>
      <c r="B1112" s="21" t="s">
        <v>734</v>
      </c>
      <c r="C1112" s="23" t="s">
        <v>6</v>
      </c>
      <c r="D1112" s="23" t="s">
        <v>6</v>
      </c>
      <c r="E1112" s="101" t="s">
        <v>46</v>
      </c>
      <c r="F1112" s="127">
        <v>45894</v>
      </c>
    </row>
    <row r="1113" spans="1:6" ht="15.75" x14ac:dyDescent="0.25">
      <c r="A1113" s="11">
        <v>56</v>
      </c>
      <c r="B1113" s="42" t="s">
        <v>684</v>
      </c>
      <c r="C1113" s="23" t="s">
        <v>6</v>
      </c>
      <c r="D1113" s="23" t="s">
        <v>6</v>
      </c>
      <c r="E1113" s="102" t="s">
        <v>46</v>
      </c>
      <c r="F1113" s="127">
        <v>45900</v>
      </c>
    </row>
    <row r="1114" spans="1:6" ht="15.75" x14ac:dyDescent="0.25">
      <c r="A1114" s="11">
        <v>57</v>
      </c>
      <c r="B1114" s="42" t="s">
        <v>717</v>
      </c>
      <c r="C1114" s="23" t="s">
        <v>6</v>
      </c>
      <c r="D1114" s="23" t="s">
        <v>6</v>
      </c>
      <c r="E1114" s="102" t="s">
        <v>46</v>
      </c>
      <c r="F1114" s="127">
        <v>45894</v>
      </c>
    </row>
    <row r="1115" spans="1:6" ht="15.75" x14ac:dyDescent="0.25">
      <c r="A1115" s="11">
        <v>58</v>
      </c>
      <c r="B1115" s="59" t="s">
        <v>744</v>
      </c>
      <c r="C1115" s="23" t="s">
        <v>6</v>
      </c>
      <c r="D1115" s="23" t="s">
        <v>6</v>
      </c>
      <c r="E1115" s="102" t="s">
        <v>46</v>
      </c>
      <c r="F1115" s="127">
        <v>45900</v>
      </c>
    </row>
    <row r="1116" spans="1:6" ht="15.75" x14ac:dyDescent="0.25">
      <c r="A1116" s="11">
        <v>59</v>
      </c>
      <c r="B1116" s="59" t="s">
        <v>745</v>
      </c>
      <c r="C1116" s="23" t="s">
        <v>6</v>
      </c>
      <c r="D1116" s="23" t="s">
        <v>6</v>
      </c>
      <c r="E1116" s="102" t="s">
        <v>46</v>
      </c>
      <c r="F1116" s="127">
        <v>45900</v>
      </c>
    </row>
    <row r="1117" spans="1:6" x14ac:dyDescent="0.25">
      <c r="A1117" s="11">
        <v>60</v>
      </c>
      <c r="B1117" s="8" t="s">
        <v>826</v>
      </c>
      <c r="C1117" s="23" t="s">
        <v>6</v>
      </c>
      <c r="D1117" s="23" t="s">
        <v>6</v>
      </c>
      <c r="E1117" s="104" t="s">
        <v>41</v>
      </c>
      <c r="F1117" s="127">
        <v>45914</v>
      </c>
    </row>
    <row r="1118" spans="1:6" ht="15.75" x14ac:dyDescent="0.25">
      <c r="A1118" s="11">
        <v>61</v>
      </c>
      <c r="B1118" s="42" t="s">
        <v>315</v>
      </c>
      <c r="C1118" s="23" t="s">
        <v>6</v>
      </c>
      <c r="D1118" s="23" t="s">
        <v>6</v>
      </c>
      <c r="E1118" s="102" t="s">
        <v>46</v>
      </c>
      <c r="F1118" s="127">
        <v>45914</v>
      </c>
    </row>
    <row r="1119" spans="1:6" ht="15.75" x14ac:dyDescent="0.25">
      <c r="A1119" s="11">
        <v>62</v>
      </c>
      <c r="B1119" s="42" t="s">
        <v>646</v>
      </c>
      <c r="C1119" s="23" t="s">
        <v>6</v>
      </c>
      <c r="D1119" s="23" t="s">
        <v>6</v>
      </c>
      <c r="E1119" s="102" t="s">
        <v>46</v>
      </c>
      <c r="F1119" s="127">
        <v>45914</v>
      </c>
    </row>
    <row r="1120" spans="1:6" ht="15.75" x14ac:dyDescent="0.25">
      <c r="A1120" s="11">
        <v>63</v>
      </c>
      <c r="B1120" s="42" t="s">
        <v>718</v>
      </c>
      <c r="C1120" s="23" t="s">
        <v>6</v>
      </c>
      <c r="D1120" s="23" t="s">
        <v>6</v>
      </c>
      <c r="E1120" s="102" t="s">
        <v>46</v>
      </c>
      <c r="F1120" s="127">
        <v>45914</v>
      </c>
    </row>
    <row r="1121" spans="1:6" ht="15.75" x14ac:dyDescent="0.25">
      <c r="A1121" s="11">
        <v>64</v>
      </c>
      <c r="B1121" s="42" t="s">
        <v>762</v>
      </c>
      <c r="C1121" s="23" t="s">
        <v>6</v>
      </c>
      <c r="D1121" s="23" t="s">
        <v>6</v>
      </c>
      <c r="E1121" s="102" t="s">
        <v>46</v>
      </c>
      <c r="F1121" s="127">
        <v>45914</v>
      </c>
    </row>
    <row r="1122" spans="1:6" ht="15.75" x14ac:dyDescent="0.25">
      <c r="A1122" s="11">
        <v>65</v>
      </c>
      <c r="B1122" s="42" t="s">
        <v>763</v>
      </c>
      <c r="C1122" s="23" t="s">
        <v>6</v>
      </c>
      <c r="D1122" s="23" t="s">
        <v>6</v>
      </c>
      <c r="E1122" s="102" t="s">
        <v>46</v>
      </c>
      <c r="F1122" s="127">
        <v>45914</v>
      </c>
    </row>
    <row r="1123" spans="1:6" ht="15.75" x14ac:dyDescent="0.25">
      <c r="A1123" s="11">
        <v>66</v>
      </c>
      <c r="B1123" s="42" t="s">
        <v>764</v>
      </c>
      <c r="C1123" s="23" t="s">
        <v>6</v>
      </c>
      <c r="D1123" s="23" t="s">
        <v>6</v>
      </c>
      <c r="E1123" s="102" t="s">
        <v>46</v>
      </c>
      <c r="F1123" s="127">
        <v>45914</v>
      </c>
    </row>
    <row r="1124" spans="1:6" ht="15.75" x14ac:dyDescent="0.25">
      <c r="A1124" s="11">
        <v>67</v>
      </c>
      <c r="B1124" s="42" t="s">
        <v>313</v>
      </c>
      <c r="C1124" s="23" t="s">
        <v>6</v>
      </c>
      <c r="D1124" s="23" t="s">
        <v>6</v>
      </c>
      <c r="E1124" s="102" t="s">
        <v>46</v>
      </c>
      <c r="F1124" s="127">
        <v>45914</v>
      </c>
    </row>
    <row r="1125" spans="1:6" ht="15.75" x14ac:dyDescent="0.25">
      <c r="A1125" s="11">
        <v>68</v>
      </c>
      <c r="B1125" s="42" t="s">
        <v>769</v>
      </c>
      <c r="C1125" s="23" t="s">
        <v>6</v>
      </c>
      <c r="D1125" s="23" t="s">
        <v>6</v>
      </c>
      <c r="E1125" s="102" t="s">
        <v>46</v>
      </c>
      <c r="F1125" s="127">
        <v>45914</v>
      </c>
    </row>
    <row r="1126" spans="1:6" x14ac:dyDescent="0.25">
      <c r="A1126" s="11">
        <v>69</v>
      </c>
      <c r="B1126" s="8" t="s">
        <v>883</v>
      </c>
      <c r="C1126" s="23" t="s">
        <v>6</v>
      </c>
      <c r="D1126" s="23" t="s">
        <v>6</v>
      </c>
      <c r="E1126" s="104" t="s">
        <v>46</v>
      </c>
      <c r="F1126" s="127">
        <v>45929</v>
      </c>
    </row>
    <row r="1127" spans="1:6" ht="15.75" x14ac:dyDescent="0.25">
      <c r="A1127" s="11">
        <v>70</v>
      </c>
      <c r="B1127" s="8" t="s">
        <v>413</v>
      </c>
      <c r="C1127" s="23" t="s">
        <v>6</v>
      </c>
      <c r="D1127" s="23" t="s">
        <v>6</v>
      </c>
      <c r="E1127" s="100" t="s">
        <v>154</v>
      </c>
      <c r="F1127" s="127">
        <v>45922</v>
      </c>
    </row>
    <row r="1128" spans="1:6" x14ac:dyDescent="0.25">
      <c r="A1128" s="11">
        <v>71</v>
      </c>
      <c r="B1128" s="8" t="s">
        <v>896</v>
      </c>
      <c r="C1128" s="23" t="s">
        <v>6</v>
      </c>
      <c r="D1128" s="23" t="s">
        <v>6</v>
      </c>
      <c r="E1128" s="104" t="s">
        <v>154</v>
      </c>
      <c r="F1128" s="127">
        <v>45929</v>
      </c>
    </row>
    <row r="1129" spans="1:6" ht="15.75" x14ac:dyDescent="0.25">
      <c r="A1129" s="11">
        <v>72</v>
      </c>
      <c r="B1129" s="42" t="s">
        <v>884</v>
      </c>
      <c r="C1129" s="23" t="s">
        <v>6</v>
      </c>
      <c r="D1129" s="23" t="s">
        <v>6</v>
      </c>
      <c r="E1129" s="102" t="s">
        <v>46</v>
      </c>
      <c r="F1129" s="127">
        <v>45929</v>
      </c>
    </row>
    <row r="1130" spans="1:6" ht="15.75" x14ac:dyDescent="0.25">
      <c r="A1130" s="11">
        <v>73</v>
      </c>
      <c r="B1130" s="42" t="s">
        <v>713</v>
      </c>
      <c r="C1130" s="23" t="s">
        <v>6</v>
      </c>
      <c r="D1130" s="23" t="s">
        <v>6</v>
      </c>
      <c r="E1130" s="102" t="s">
        <v>46</v>
      </c>
      <c r="F1130" s="127">
        <v>45929</v>
      </c>
    </row>
    <row r="1131" spans="1:6" ht="15.75" x14ac:dyDescent="0.25">
      <c r="A1131" s="11">
        <v>74</v>
      </c>
      <c r="B1131" s="59" t="s">
        <v>742</v>
      </c>
      <c r="C1131" s="23" t="s">
        <v>6</v>
      </c>
      <c r="D1131" s="23" t="s">
        <v>6</v>
      </c>
      <c r="E1131" s="102" t="s">
        <v>46</v>
      </c>
      <c r="F1131" s="127">
        <v>45922</v>
      </c>
    </row>
    <row r="1132" spans="1:6" ht="15.75" x14ac:dyDescent="0.25">
      <c r="A1132" s="11">
        <v>75</v>
      </c>
      <c r="B1132" s="59" t="s">
        <v>741</v>
      </c>
      <c r="C1132" s="23" t="s">
        <v>6</v>
      </c>
      <c r="D1132" s="23" t="s">
        <v>6</v>
      </c>
      <c r="E1132" s="102" t="s">
        <v>46</v>
      </c>
      <c r="F1132" s="127">
        <v>45922</v>
      </c>
    </row>
    <row r="1133" spans="1:6" ht="15.75" x14ac:dyDescent="0.25">
      <c r="A1133" s="11">
        <v>76</v>
      </c>
      <c r="B1133" s="59" t="s">
        <v>838</v>
      </c>
      <c r="C1133" s="23" t="s">
        <v>6</v>
      </c>
      <c r="D1133" s="23" t="s">
        <v>6</v>
      </c>
      <c r="E1133" s="102" t="s">
        <v>46</v>
      </c>
      <c r="F1133" s="127">
        <v>45929</v>
      </c>
    </row>
    <row r="1134" spans="1:6" ht="15.75" x14ac:dyDescent="0.25">
      <c r="A1134" s="11">
        <v>77</v>
      </c>
      <c r="B1134" s="59" t="s">
        <v>839</v>
      </c>
      <c r="C1134" s="23" t="s">
        <v>6</v>
      </c>
      <c r="D1134" s="23" t="s">
        <v>6</v>
      </c>
      <c r="E1134" s="102" t="s">
        <v>46</v>
      </c>
      <c r="F1134" s="127">
        <v>45929</v>
      </c>
    </row>
    <row r="1135" spans="1:6" ht="15.75" x14ac:dyDescent="0.25">
      <c r="A1135" s="11">
        <v>78</v>
      </c>
      <c r="B1135" s="59" t="s">
        <v>840</v>
      </c>
      <c r="C1135" s="23" t="s">
        <v>6</v>
      </c>
      <c r="D1135" s="23" t="s">
        <v>6</v>
      </c>
      <c r="E1135" s="102" t="s">
        <v>46</v>
      </c>
      <c r="F1135" s="127">
        <v>45922</v>
      </c>
    </row>
    <row r="1136" spans="1:6" ht="15.75" x14ac:dyDescent="0.25">
      <c r="A1136" s="11">
        <v>79</v>
      </c>
      <c r="B1136" s="59" t="s">
        <v>524</v>
      </c>
      <c r="C1136" s="23" t="s">
        <v>6</v>
      </c>
      <c r="D1136" s="23" t="s">
        <v>6</v>
      </c>
      <c r="E1136" s="102" t="s">
        <v>46</v>
      </c>
      <c r="F1136" s="127">
        <v>45929</v>
      </c>
    </row>
    <row r="1137" spans="1:6" ht="15.75" x14ac:dyDescent="0.25">
      <c r="A1137" s="11">
        <v>80</v>
      </c>
      <c r="B1137" s="59" t="s">
        <v>864</v>
      </c>
      <c r="C1137" s="23" t="s">
        <v>6</v>
      </c>
      <c r="D1137" s="23" t="s">
        <v>6</v>
      </c>
      <c r="E1137" s="102" t="s">
        <v>46</v>
      </c>
      <c r="F1137" s="127">
        <v>45922</v>
      </c>
    </row>
    <row r="1138" spans="1:6" ht="15.75" x14ac:dyDescent="0.25">
      <c r="A1138" s="11">
        <v>81</v>
      </c>
      <c r="B1138" s="42" t="s">
        <v>873</v>
      </c>
      <c r="C1138" s="23" t="s">
        <v>6</v>
      </c>
      <c r="D1138" s="23" t="s">
        <v>6</v>
      </c>
      <c r="E1138" s="102" t="s">
        <v>46</v>
      </c>
      <c r="F1138" s="127">
        <v>45929</v>
      </c>
    </row>
    <row r="1139" spans="1:6" ht="15.75" x14ac:dyDescent="0.25">
      <c r="A1139" s="11">
        <v>82</v>
      </c>
      <c r="B1139" s="42" t="s">
        <v>872</v>
      </c>
      <c r="C1139" s="23" t="s">
        <v>6</v>
      </c>
      <c r="D1139" s="23" t="s">
        <v>6</v>
      </c>
      <c r="E1139" s="102" t="s">
        <v>46</v>
      </c>
      <c r="F1139" s="127">
        <v>45929</v>
      </c>
    </row>
    <row r="1140" spans="1:6" x14ac:dyDescent="0.25">
      <c r="A1140" s="11">
        <v>83</v>
      </c>
      <c r="B1140" s="42" t="s">
        <v>874</v>
      </c>
      <c r="C1140" s="23" t="s">
        <v>6</v>
      </c>
      <c r="D1140" s="23" t="s">
        <v>6</v>
      </c>
      <c r="E1140" s="104" t="s">
        <v>43</v>
      </c>
      <c r="F1140" s="127">
        <v>45929</v>
      </c>
    </row>
    <row r="1141" spans="1:6" x14ac:dyDescent="0.25">
      <c r="A1141" s="11">
        <v>84</v>
      </c>
      <c r="B1141" s="42" t="s">
        <v>876</v>
      </c>
      <c r="C1141" s="23" t="s">
        <v>6</v>
      </c>
      <c r="D1141" s="23" t="s">
        <v>6</v>
      </c>
      <c r="E1141" s="104" t="s">
        <v>43</v>
      </c>
      <c r="F1141" s="127">
        <v>45929</v>
      </c>
    </row>
    <row r="1142" spans="1:6" ht="15.75" x14ac:dyDescent="0.25">
      <c r="A1142" s="11">
        <v>85</v>
      </c>
      <c r="B1142" s="42" t="s">
        <v>885</v>
      </c>
      <c r="C1142" s="23" t="s">
        <v>6</v>
      </c>
      <c r="D1142" s="23" t="s">
        <v>6</v>
      </c>
      <c r="E1142" s="102" t="s">
        <v>46</v>
      </c>
      <c r="F1142" s="127">
        <v>45929</v>
      </c>
    </row>
    <row r="1143" spans="1:6" ht="15.75" x14ac:dyDescent="0.25">
      <c r="A1143" s="11">
        <v>86</v>
      </c>
      <c r="B1143" s="42" t="s">
        <v>886</v>
      </c>
      <c r="C1143" s="23" t="s">
        <v>6</v>
      </c>
      <c r="D1143" s="23" t="s">
        <v>6</v>
      </c>
      <c r="E1143" s="102" t="s">
        <v>46</v>
      </c>
      <c r="F1143" s="127">
        <v>45929</v>
      </c>
    </row>
    <row r="1144" spans="1:6" ht="15.75" x14ac:dyDescent="0.25">
      <c r="A1144" s="11">
        <v>87</v>
      </c>
      <c r="B1144" s="42" t="s">
        <v>887</v>
      </c>
      <c r="C1144" s="23" t="s">
        <v>6</v>
      </c>
      <c r="D1144" s="23" t="s">
        <v>6</v>
      </c>
      <c r="E1144" s="102" t="s">
        <v>46</v>
      </c>
      <c r="F1144" s="127">
        <v>45929</v>
      </c>
    </row>
    <row r="1145" spans="1:6" ht="15.75" x14ac:dyDescent="0.25">
      <c r="A1145" s="11">
        <v>88</v>
      </c>
      <c r="B1145" s="42" t="s">
        <v>888</v>
      </c>
      <c r="C1145" s="23" t="s">
        <v>6</v>
      </c>
      <c r="D1145" s="23" t="s">
        <v>6</v>
      </c>
      <c r="E1145" s="102" t="s">
        <v>46</v>
      </c>
      <c r="F1145" s="127">
        <v>45929</v>
      </c>
    </row>
    <row r="1146" spans="1:6" ht="15.75" x14ac:dyDescent="0.25">
      <c r="A1146" s="11">
        <v>89</v>
      </c>
      <c r="B1146" s="42" t="s">
        <v>889</v>
      </c>
      <c r="C1146" s="23" t="s">
        <v>6</v>
      </c>
      <c r="D1146" s="23" t="s">
        <v>6</v>
      </c>
      <c r="E1146" s="102" t="s">
        <v>46</v>
      </c>
      <c r="F1146" s="127">
        <v>45929</v>
      </c>
    </row>
    <row r="1147" spans="1:6" ht="15.75" x14ac:dyDescent="0.25">
      <c r="A1147" s="11">
        <v>90</v>
      </c>
      <c r="B1147" s="42" t="s">
        <v>890</v>
      </c>
      <c r="C1147" s="23" t="s">
        <v>6</v>
      </c>
      <c r="D1147" s="23" t="s">
        <v>6</v>
      </c>
      <c r="E1147" s="102" t="s">
        <v>46</v>
      </c>
      <c r="F1147" s="127">
        <v>45929</v>
      </c>
    </row>
    <row r="1148" spans="1:6" ht="15.75" x14ac:dyDescent="0.25">
      <c r="A1148" s="11">
        <v>91</v>
      </c>
      <c r="B1148" s="42" t="s">
        <v>891</v>
      </c>
      <c r="C1148" s="23" t="s">
        <v>6</v>
      </c>
      <c r="D1148" s="23" t="s">
        <v>6</v>
      </c>
      <c r="E1148" s="102" t="s">
        <v>46</v>
      </c>
      <c r="F1148" s="127">
        <v>45929</v>
      </c>
    </row>
    <row r="1149" spans="1:6" ht="15.75" x14ac:dyDescent="0.25">
      <c r="A1149" s="11">
        <v>92</v>
      </c>
      <c r="B1149" s="42" t="s">
        <v>893</v>
      </c>
      <c r="C1149" s="23" t="s">
        <v>6</v>
      </c>
      <c r="D1149" s="23" t="s">
        <v>6</v>
      </c>
      <c r="E1149" s="102" t="s">
        <v>46</v>
      </c>
      <c r="F1149" s="127">
        <v>45929</v>
      </c>
    </row>
    <row r="1150" spans="1:6" ht="15.75" x14ac:dyDescent="0.25">
      <c r="A1150" s="11">
        <v>93</v>
      </c>
      <c r="B1150" s="42" t="s">
        <v>894</v>
      </c>
      <c r="C1150" s="23" t="s">
        <v>6</v>
      </c>
      <c r="D1150" s="23" t="s">
        <v>6</v>
      </c>
      <c r="E1150" s="102" t="s">
        <v>46</v>
      </c>
      <c r="F1150" s="127">
        <v>45929</v>
      </c>
    </row>
    <row r="1151" spans="1:6" ht="15.75" x14ac:dyDescent="0.25">
      <c r="A1151" s="11">
        <v>94</v>
      </c>
      <c r="B1151" s="42" t="s">
        <v>895</v>
      </c>
      <c r="C1151" s="23" t="s">
        <v>6</v>
      </c>
      <c r="D1151" s="23" t="s">
        <v>6</v>
      </c>
      <c r="E1151" s="102" t="s">
        <v>46</v>
      </c>
      <c r="F1151" s="127">
        <v>45929</v>
      </c>
    </row>
    <row r="1152" spans="1:6" ht="15.75" x14ac:dyDescent="0.25">
      <c r="A1152" s="11">
        <v>95</v>
      </c>
      <c r="B1152" s="42" t="s">
        <v>933</v>
      </c>
      <c r="C1152" s="23" t="s">
        <v>6</v>
      </c>
      <c r="D1152" s="23" t="s">
        <v>6</v>
      </c>
      <c r="E1152" s="102" t="s">
        <v>46</v>
      </c>
      <c r="F1152" s="127">
        <v>45929</v>
      </c>
    </row>
    <row r="1153" spans="1:6" x14ac:dyDescent="0.25">
      <c r="A1153" s="11">
        <v>96</v>
      </c>
      <c r="B1153" s="42" t="s">
        <v>936</v>
      </c>
      <c r="C1153" s="23" t="s">
        <v>6</v>
      </c>
      <c r="D1153" s="23" t="s">
        <v>6</v>
      </c>
      <c r="E1153" s="104" t="s">
        <v>43</v>
      </c>
      <c r="F1153" s="127">
        <v>45929</v>
      </c>
    </row>
    <row r="1154" spans="1:6" x14ac:dyDescent="0.25">
      <c r="A1154" s="11">
        <v>97</v>
      </c>
      <c r="B1154" s="42" t="s">
        <v>937</v>
      </c>
      <c r="C1154" s="23" t="s">
        <v>6</v>
      </c>
      <c r="D1154" s="23" t="s">
        <v>6</v>
      </c>
      <c r="E1154" s="104" t="s">
        <v>43</v>
      </c>
      <c r="F1154" s="127">
        <v>45929</v>
      </c>
    </row>
    <row r="1155" spans="1:6" x14ac:dyDescent="0.25">
      <c r="A1155" s="11">
        <v>98</v>
      </c>
      <c r="B1155" s="8" t="s">
        <v>241</v>
      </c>
      <c r="C1155" s="23" t="s">
        <v>6</v>
      </c>
      <c r="D1155" s="23" t="s">
        <v>6</v>
      </c>
      <c r="E1155" s="104" t="s">
        <v>40</v>
      </c>
      <c r="F1155" s="127">
        <v>45935</v>
      </c>
    </row>
    <row r="1156" spans="1:6" ht="15.75" x14ac:dyDescent="0.25">
      <c r="A1156" s="11">
        <v>99</v>
      </c>
      <c r="B1156" s="42" t="s">
        <v>714</v>
      </c>
      <c r="C1156" s="23" t="s">
        <v>6</v>
      </c>
      <c r="D1156" s="23" t="s">
        <v>6</v>
      </c>
      <c r="E1156" s="102" t="s">
        <v>46</v>
      </c>
      <c r="F1156" s="127">
        <v>45935</v>
      </c>
    </row>
    <row r="1157" spans="1:6" ht="15.75" x14ac:dyDescent="0.25">
      <c r="A1157" s="11">
        <v>100</v>
      </c>
      <c r="B1157" s="42" t="s">
        <v>981</v>
      </c>
      <c r="C1157" s="23" t="s">
        <v>6</v>
      </c>
      <c r="D1157" s="23" t="s">
        <v>6</v>
      </c>
      <c r="E1157" s="102" t="s">
        <v>46</v>
      </c>
      <c r="F1157" s="127">
        <v>45935</v>
      </c>
    </row>
    <row r="1158" spans="1:6" x14ac:dyDescent="0.25">
      <c r="A1158" s="11">
        <v>101</v>
      </c>
      <c r="B1158" s="42" t="s">
        <v>871</v>
      </c>
      <c r="C1158" s="23" t="s">
        <v>6</v>
      </c>
      <c r="D1158" s="23" t="s">
        <v>6</v>
      </c>
      <c r="E1158" s="104" t="s">
        <v>43</v>
      </c>
      <c r="F1158" s="127">
        <v>45935</v>
      </c>
    </row>
    <row r="1159" spans="1:6" ht="15.75" x14ac:dyDescent="0.25">
      <c r="A1159" s="11">
        <v>102</v>
      </c>
      <c r="B1159" s="42" t="s">
        <v>892</v>
      </c>
      <c r="C1159" s="23" t="s">
        <v>6</v>
      </c>
      <c r="D1159" s="23" t="s">
        <v>6</v>
      </c>
      <c r="E1159" s="102" t="s">
        <v>46</v>
      </c>
      <c r="F1159" s="127">
        <v>45935</v>
      </c>
    </row>
    <row r="1160" spans="1:6" ht="15.75" x14ac:dyDescent="0.25">
      <c r="A1160" s="11">
        <v>103</v>
      </c>
      <c r="B1160" s="42" t="s">
        <v>977</v>
      </c>
      <c r="C1160" s="23" t="s">
        <v>6</v>
      </c>
      <c r="D1160" s="23" t="s">
        <v>6</v>
      </c>
      <c r="E1160" s="102" t="s">
        <v>46</v>
      </c>
      <c r="F1160" s="127">
        <v>45935</v>
      </c>
    </row>
    <row r="1161" spans="1:6" x14ac:dyDescent="0.25">
      <c r="A1161" s="11">
        <v>104</v>
      </c>
      <c r="B1161" s="8" t="s">
        <v>1032</v>
      </c>
      <c r="C1161" s="23" t="s">
        <v>6</v>
      </c>
      <c r="D1161" s="23" t="s">
        <v>6</v>
      </c>
      <c r="E1161" s="104" t="s">
        <v>46</v>
      </c>
      <c r="F1161" s="127">
        <v>45942</v>
      </c>
    </row>
    <row r="1162" spans="1:6" x14ac:dyDescent="0.25">
      <c r="A1162" s="11">
        <v>105</v>
      </c>
      <c r="B1162" s="21" t="s">
        <v>495</v>
      </c>
      <c r="C1162" s="23" t="s">
        <v>6</v>
      </c>
      <c r="D1162" s="23" t="s">
        <v>6</v>
      </c>
      <c r="E1162" s="101" t="s">
        <v>46</v>
      </c>
      <c r="F1162" s="127">
        <v>45942</v>
      </c>
    </row>
    <row r="1163" spans="1:6" ht="15.75" x14ac:dyDescent="0.25">
      <c r="A1163" s="11">
        <v>106</v>
      </c>
      <c r="B1163" s="42" t="s">
        <v>976</v>
      </c>
      <c r="C1163" s="23" t="s">
        <v>6</v>
      </c>
      <c r="D1163" s="23" t="s">
        <v>6</v>
      </c>
      <c r="E1163" s="102" t="s">
        <v>46</v>
      </c>
      <c r="F1163" s="127">
        <v>45942</v>
      </c>
    </row>
    <row r="1164" spans="1:6" ht="15.75" x14ac:dyDescent="0.25">
      <c r="A1164" s="11">
        <v>107</v>
      </c>
      <c r="B1164" s="42" t="s">
        <v>1011</v>
      </c>
      <c r="C1164" s="23" t="s">
        <v>6</v>
      </c>
      <c r="D1164" s="23" t="s">
        <v>6</v>
      </c>
      <c r="E1164" s="102" t="s">
        <v>46</v>
      </c>
      <c r="F1164" s="127">
        <v>45942</v>
      </c>
    </row>
    <row r="1165" spans="1:6" ht="15.75" x14ac:dyDescent="0.25">
      <c r="A1165" s="11">
        <v>108</v>
      </c>
      <c r="B1165" s="42" t="s">
        <v>1012</v>
      </c>
      <c r="C1165" s="23" t="s">
        <v>6</v>
      </c>
      <c r="D1165" s="23" t="s">
        <v>6</v>
      </c>
      <c r="E1165" s="102" t="s">
        <v>46</v>
      </c>
      <c r="F1165" s="127">
        <v>45942</v>
      </c>
    </row>
    <row r="1166" spans="1:6" ht="15.75" x14ac:dyDescent="0.25">
      <c r="A1166" s="11">
        <v>109</v>
      </c>
      <c r="B1166" s="42" t="s">
        <v>1014</v>
      </c>
      <c r="C1166" s="23" t="s">
        <v>6</v>
      </c>
      <c r="D1166" s="23" t="s">
        <v>6</v>
      </c>
      <c r="E1166" s="102" t="s">
        <v>46</v>
      </c>
      <c r="F1166" s="127">
        <v>45942</v>
      </c>
    </row>
    <row r="1167" spans="1:6" ht="15.75" x14ac:dyDescent="0.25">
      <c r="A1167" s="11">
        <v>110</v>
      </c>
      <c r="B1167" s="42" t="s">
        <v>1015</v>
      </c>
      <c r="C1167" s="23" t="s">
        <v>6</v>
      </c>
      <c r="D1167" s="23" t="s">
        <v>6</v>
      </c>
      <c r="E1167" s="102" t="s">
        <v>46</v>
      </c>
      <c r="F1167" s="127">
        <v>45942</v>
      </c>
    </row>
    <row r="1168" spans="1:6" ht="15.75" x14ac:dyDescent="0.25">
      <c r="A1168" s="11">
        <v>111</v>
      </c>
      <c r="B1168" s="42" t="s">
        <v>1033</v>
      </c>
      <c r="C1168" s="23" t="s">
        <v>6</v>
      </c>
      <c r="D1168" s="23" t="s">
        <v>6</v>
      </c>
      <c r="E1168" s="102" t="s">
        <v>46</v>
      </c>
      <c r="F1168" s="127">
        <v>45942</v>
      </c>
    </row>
    <row r="1169" spans="1:6" ht="15.75" x14ac:dyDescent="0.25">
      <c r="A1169" s="11">
        <v>112</v>
      </c>
      <c r="B1169" s="42" t="s">
        <v>1034</v>
      </c>
      <c r="C1169" s="23" t="s">
        <v>6</v>
      </c>
      <c r="D1169" s="23" t="s">
        <v>6</v>
      </c>
      <c r="E1169" s="102" t="s">
        <v>46</v>
      </c>
      <c r="F1169" s="127">
        <v>45942</v>
      </c>
    </row>
    <row r="1170" spans="1:6" x14ac:dyDescent="0.25">
      <c r="A1170" s="11">
        <v>113</v>
      </c>
      <c r="B1170" s="8" t="s">
        <v>233</v>
      </c>
      <c r="C1170" s="23" t="s">
        <v>6</v>
      </c>
      <c r="D1170" s="23" t="s">
        <v>6</v>
      </c>
      <c r="E1170" s="104" t="s">
        <v>40</v>
      </c>
      <c r="F1170" s="127">
        <v>45949</v>
      </c>
    </row>
    <row r="1171" spans="1:6" ht="15.75" x14ac:dyDescent="0.25">
      <c r="A1171" s="11">
        <v>114</v>
      </c>
      <c r="B1171" s="42" t="s">
        <v>1062</v>
      </c>
      <c r="C1171" s="23" t="s">
        <v>6</v>
      </c>
      <c r="D1171" s="23" t="s">
        <v>6</v>
      </c>
      <c r="E1171" s="102" t="s">
        <v>46</v>
      </c>
      <c r="F1171" s="127">
        <v>45949</v>
      </c>
    </row>
    <row r="1172" spans="1:6" x14ac:dyDescent="0.25">
      <c r="A1172" s="11">
        <v>115</v>
      </c>
      <c r="B1172" s="8" t="s">
        <v>746</v>
      </c>
      <c r="C1172" s="23" t="s">
        <v>6</v>
      </c>
      <c r="D1172" s="23" t="s">
        <v>6</v>
      </c>
      <c r="E1172" s="104" t="s">
        <v>46</v>
      </c>
      <c r="F1172" s="127">
        <v>45956</v>
      </c>
    </row>
    <row r="1173" spans="1:6" ht="15.75" x14ac:dyDescent="0.25">
      <c r="A1173" s="11">
        <v>116</v>
      </c>
      <c r="B1173" s="42" t="s">
        <v>245</v>
      </c>
      <c r="C1173" s="23" t="s">
        <v>6</v>
      </c>
      <c r="D1173" s="23" t="s">
        <v>6</v>
      </c>
      <c r="E1173" s="102" t="s">
        <v>46</v>
      </c>
      <c r="F1173" s="127">
        <v>45956</v>
      </c>
    </row>
    <row r="1174" spans="1:6" ht="15.75" x14ac:dyDescent="0.25">
      <c r="A1174" s="11">
        <v>117</v>
      </c>
      <c r="B1174" s="59" t="s">
        <v>743</v>
      </c>
      <c r="C1174" s="23" t="s">
        <v>6</v>
      </c>
      <c r="D1174" s="23" t="s">
        <v>6</v>
      </c>
      <c r="E1174" s="102" t="s">
        <v>46</v>
      </c>
      <c r="F1174" s="127">
        <v>45956</v>
      </c>
    </row>
    <row r="1175" spans="1:6" ht="15.75" x14ac:dyDescent="0.25">
      <c r="A1175" s="11">
        <v>118</v>
      </c>
      <c r="B1175" s="59" t="s">
        <v>837</v>
      </c>
      <c r="C1175" s="23" t="s">
        <v>6</v>
      </c>
      <c r="D1175" s="23" t="s">
        <v>6</v>
      </c>
      <c r="E1175" s="102" t="s">
        <v>46</v>
      </c>
      <c r="F1175" s="127">
        <v>45956</v>
      </c>
    </row>
    <row r="1176" spans="1:6" ht="15.75" x14ac:dyDescent="0.25">
      <c r="A1176" s="11">
        <v>119</v>
      </c>
      <c r="B1176" s="42" t="s">
        <v>1097</v>
      </c>
      <c r="C1176" s="23" t="s">
        <v>6</v>
      </c>
      <c r="D1176" s="23" t="s">
        <v>6</v>
      </c>
      <c r="E1176" s="102" t="s">
        <v>359</v>
      </c>
      <c r="F1176" s="127">
        <v>45956</v>
      </c>
    </row>
    <row r="1177" spans="1:6" ht="15.75" x14ac:dyDescent="0.25">
      <c r="A1177" s="11">
        <v>120</v>
      </c>
      <c r="B1177" s="42" t="s">
        <v>491</v>
      </c>
      <c r="C1177" s="23" t="s">
        <v>6</v>
      </c>
      <c r="D1177" s="23" t="s">
        <v>6</v>
      </c>
      <c r="E1177" s="102" t="s">
        <v>46</v>
      </c>
      <c r="F1177" s="127">
        <v>45956</v>
      </c>
    </row>
    <row r="1178" spans="1:6" ht="15.75" x14ac:dyDescent="0.25">
      <c r="A1178" s="11">
        <v>121</v>
      </c>
      <c r="B1178" s="42" t="s">
        <v>934</v>
      </c>
      <c r="C1178" s="23" t="s">
        <v>6</v>
      </c>
      <c r="D1178" s="23" t="s">
        <v>6</v>
      </c>
      <c r="E1178" s="102" t="s">
        <v>46</v>
      </c>
      <c r="F1178" s="127">
        <v>45956</v>
      </c>
    </row>
    <row r="1179" spans="1:6" ht="15.75" x14ac:dyDescent="0.25">
      <c r="A1179" s="11">
        <v>122</v>
      </c>
      <c r="B1179" s="42" t="s">
        <v>975</v>
      </c>
      <c r="C1179" s="23" t="s">
        <v>6</v>
      </c>
      <c r="D1179" s="23" t="s">
        <v>6</v>
      </c>
      <c r="E1179" s="102" t="s">
        <v>46</v>
      </c>
      <c r="F1179" s="127">
        <v>45956</v>
      </c>
    </row>
    <row r="1180" spans="1:6" ht="15.75" x14ac:dyDescent="0.25">
      <c r="A1180" s="11">
        <v>123</v>
      </c>
      <c r="B1180" s="42" t="s">
        <v>1096</v>
      </c>
      <c r="C1180" s="23" t="s">
        <v>6</v>
      </c>
      <c r="D1180" s="23" t="s">
        <v>6</v>
      </c>
      <c r="E1180" s="102" t="s">
        <v>359</v>
      </c>
      <c r="F1180" s="127">
        <v>45956</v>
      </c>
    </row>
    <row r="1181" spans="1:6" x14ac:dyDescent="0.25">
      <c r="A1181" s="11">
        <v>124</v>
      </c>
      <c r="B1181" s="8" t="s">
        <v>234</v>
      </c>
      <c r="C1181" s="23" t="s">
        <v>6</v>
      </c>
      <c r="D1181" s="23" t="s">
        <v>6</v>
      </c>
      <c r="E1181" s="104" t="s">
        <v>40</v>
      </c>
      <c r="F1181" s="127">
        <v>45964</v>
      </c>
    </row>
    <row r="1182" spans="1:6" x14ac:dyDescent="0.25">
      <c r="A1182" s="11">
        <v>125</v>
      </c>
      <c r="B1182" s="8" t="s">
        <v>1043</v>
      </c>
      <c r="C1182" s="23" t="s">
        <v>6</v>
      </c>
      <c r="D1182" s="23" t="s">
        <v>6</v>
      </c>
      <c r="E1182" s="104" t="s">
        <v>46</v>
      </c>
      <c r="F1182" s="127">
        <v>45964</v>
      </c>
    </row>
    <row r="1183" spans="1:6" ht="15.75" x14ac:dyDescent="0.25">
      <c r="A1183" s="11">
        <v>126</v>
      </c>
      <c r="B1183" s="42" t="s">
        <v>712</v>
      </c>
      <c r="C1183" s="23" t="s">
        <v>6</v>
      </c>
      <c r="D1183" s="23" t="s">
        <v>6</v>
      </c>
      <c r="E1183" s="102" t="s">
        <v>46</v>
      </c>
      <c r="F1183" s="127">
        <v>45964</v>
      </c>
    </row>
    <row r="1184" spans="1:6" ht="15.75" x14ac:dyDescent="0.25">
      <c r="A1184" s="11">
        <v>127</v>
      </c>
      <c r="B1184" s="42" t="s">
        <v>1095</v>
      </c>
      <c r="C1184" s="23" t="s">
        <v>6</v>
      </c>
      <c r="D1184" s="23" t="s">
        <v>6</v>
      </c>
      <c r="E1184" s="102" t="s">
        <v>154</v>
      </c>
      <c r="F1184" s="127">
        <v>45964</v>
      </c>
    </row>
    <row r="1185" spans="1:6" ht="15.75" x14ac:dyDescent="0.25">
      <c r="A1185" s="11">
        <v>128</v>
      </c>
      <c r="B1185" s="42" t="s">
        <v>1121</v>
      </c>
      <c r="C1185" s="23" t="s">
        <v>6</v>
      </c>
      <c r="D1185" s="23" t="s">
        <v>6</v>
      </c>
      <c r="E1185" s="102" t="s">
        <v>46</v>
      </c>
      <c r="F1185" s="127">
        <v>45964</v>
      </c>
    </row>
    <row r="1186" spans="1:6" ht="15.75" x14ac:dyDescent="0.25">
      <c r="A1186" s="11">
        <v>129</v>
      </c>
      <c r="B1186" s="42" t="s">
        <v>1120</v>
      </c>
      <c r="C1186" s="23" t="s">
        <v>6</v>
      </c>
      <c r="D1186" s="23" t="s">
        <v>6</v>
      </c>
      <c r="E1186" s="102" t="s">
        <v>154</v>
      </c>
      <c r="F1186" s="127">
        <v>45964</v>
      </c>
    </row>
    <row r="1187" spans="1:6" ht="15.75" x14ac:dyDescent="0.25">
      <c r="A1187" s="11">
        <v>130</v>
      </c>
      <c r="B1187" s="42" t="s">
        <v>1119</v>
      </c>
      <c r="C1187" s="23" t="s">
        <v>6</v>
      </c>
      <c r="D1187" s="23" t="s">
        <v>6</v>
      </c>
      <c r="E1187" s="102" t="s">
        <v>154</v>
      </c>
      <c r="F1187" s="127">
        <v>45964</v>
      </c>
    </row>
    <row r="1188" spans="1:6" ht="15.75" x14ac:dyDescent="0.25">
      <c r="A1188" s="11">
        <v>131</v>
      </c>
      <c r="B1188" s="42" t="s">
        <v>1132</v>
      </c>
      <c r="C1188" s="23" t="s">
        <v>6</v>
      </c>
      <c r="D1188" s="23" t="s">
        <v>6</v>
      </c>
      <c r="E1188" s="102" t="s">
        <v>46</v>
      </c>
      <c r="F1188" s="127">
        <v>45964</v>
      </c>
    </row>
    <row r="1189" spans="1:6" ht="15.75" x14ac:dyDescent="0.25">
      <c r="A1189" s="11">
        <v>132</v>
      </c>
      <c r="B1189" s="42" t="s">
        <v>996</v>
      </c>
      <c r="C1189" s="23" t="s">
        <v>6</v>
      </c>
      <c r="D1189" s="23" t="s">
        <v>6</v>
      </c>
      <c r="E1189" s="102" t="s">
        <v>46</v>
      </c>
      <c r="F1189" s="127">
        <v>45970</v>
      </c>
    </row>
    <row r="1190" spans="1:6" ht="15.75" x14ac:dyDescent="0.25">
      <c r="A1190" s="11">
        <v>133</v>
      </c>
      <c r="B1190" s="42" t="s">
        <v>1016</v>
      </c>
      <c r="C1190" s="23" t="s">
        <v>6</v>
      </c>
      <c r="D1190" s="23" t="s">
        <v>6</v>
      </c>
      <c r="E1190" s="102" t="s">
        <v>46</v>
      </c>
      <c r="F1190" s="127">
        <v>45970</v>
      </c>
    </row>
    <row r="1191" spans="1:6" ht="15.75" x14ac:dyDescent="0.25">
      <c r="A1191" s="11">
        <v>134</v>
      </c>
      <c r="B1191" s="42" t="s">
        <v>1076</v>
      </c>
      <c r="C1191" s="23" t="s">
        <v>6</v>
      </c>
      <c r="D1191" s="23" t="s">
        <v>6</v>
      </c>
      <c r="E1191" s="102" t="s">
        <v>154</v>
      </c>
      <c r="F1191" s="127">
        <v>45970</v>
      </c>
    </row>
    <row r="1192" spans="1:6" ht="15.75" x14ac:dyDescent="0.25">
      <c r="A1192" s="11">
        <v>135</v>
      </c>
      <c r="B1192" s="42" t="s">
        <v>1139</v>
      </c>
      <c r="C1192" s="23" t="s">
        <v>6</v>
      </c>
      <c r="D1192" s="23" t="s">
        <v>6</v>
      </c>
      <c r="E1192" s="102" t="s">
        <v>46</v>
      </c>
      <c r="F1192" s="127">
        <v>45970</v>
      </c>
    </row>
    <row r="1193" spans="1:6" ht="15.75" x14ac:dyDescent="0.25">
      <c r="A1193" s="11">
        <v>136</v>
      </c>
      <c r="B1193" s="42" t="s">
        <v>1138</v>
      </c>
      <c r="C1193" s="23" t="s">
        <v>6</v>
      </c>
      <c r="D1193" s="23" t="s">
        <v>6</v>
      </c>
      <c r="E1193" s="102" t="s">
        <v>46</v>
      </c>
      <c r="F1193" s="127">
        <v>45970</v>
      </c>
    </row>
    <row r="1194" spans="1:6" ht="15.75" x14ac:dyDescent="0.25">
      <c r="A1194" s="11">
        <v>137</v>
      </c>
      <c r="B1194" s="42" t="s">
        <v>1140</v>
      </c>
      <c r="C1194" s="23" t="s">
        <v>6</v>
      </c>
      <c r="D1194" s="23" t="s">
        <v>6</v>
      </c>
      <c r="E1194" s="102" t="s">
        <v>46</v>
      </c>
      <c r="F1194" s="127">
        <v>45970</v>
      </c>
    </row>
    <row r="1195" spans="1:6" ht="15.75" x14ac:dyDescent="0.25">
      <c r="A1195" s="11">
        <v>138</v>
      </c>
      <c r="B1195" s="42" t="s">
        <v>1153</v>
      </c>
      <c r="C1195" s="23" t="s">
        <v>6</v>
      </c>
      <c r="D1195" s="23" t="s">
        <v>6</v>
      </c>
      <c r="E1195" s="102" t="s">
        <v>46</v>
      </c>
      <c r="F1195" s="127">
        <v>45970</v>
      </c>
    </row>
    <row r="1196" spans="1:6" x14ac:dyDescent="0.25">
      <c r="A1196" s="11">
        <v>139</v>
      </c>
      <c r="B1196" s="8" t="s">
        <v>243</v>
      </c>
      <c r="C1196" s="23" t="s">
        <v>6</v>
      </c>
      <c r="D1196" s="23" t="s">
        <v>6</v>
      </c>
      <c r="E1196" s="104" t="s">
        <v>406</v>
      </c>
      <c r="F1196" s="127">
        <v>45977</v>
      </c>
    </row>
    <row r="1197" spans="1:6" x14ac:dyDescent="0.25">
      <c r="A1197" s="11">
        <v>140</v>
      </c>
      <c r="B1197" s="8" t="s">
        <v>1199</v>
      </c>
      <c r="C1197" s="23" t="s">
        <v>6</v>
      </c>
      <c r="D1197" s="23" t="s">
        <v>6</v>
      </c>
      <c r="E1197" s="104" t="s">
        <v>359</v>
      </c>
      <c r="F1197" s="127">
        <v>45984</v>
      </c>
    </row>
    <row r="1198" spans="1:6" x14ac:dyDescent="0.25">
      <c r="A1198" s="11">
        <v>141</v>
      </c>
      <c r="B1198" s="42" t="s">
        <v>526</v>
      </c>
      <c r="C1198" s="23" t="s">
        <v>6</v>
      </c>
      <c r="D1198" s="23" t="s">
        <v>6</v>
      </c>
      <c r="E1198" s="104" t="s">
        <v>40</v>
      </c>
      <c r="F1198" s="127">
        <v>45977</v>
      </c>
    </row>
    <row r="1199" spans="1:6" ht="15.75" x14ac:dyDescent="0.25">
      <c r="A1199" s="11">
        <v>142</v>
      </c>
      <c r="B1199" s="42" t="s">
        <v>1010</v>
      </c>
      <c r="C1199" s="23" t="s">
        <v>6</v>
      </c>
      <c r="D1199" s="23" t="s">
        <v>6</v>
      </c>
      <c r="E1199" s="102" t="s">
        <v>46</v>
      </c>
      <c r="F1199" s="127">
        <v>45977</v>
      </c>
    </row>
    <row r="1200" spans="1:6" ht="15.75" x14ac:dyDescent="0.25">
      <c r="A1200" s="11">
        <v>143</v>
      </c>
      <c r="B1200" s="42" t="s">
        <v>1152</v>
      </c>
      <c r="C1200" s="23" t="s">
        <v>6</v>
      </c>
      <c r="D1200" s="23" t="s">
        <v>6</v>
      </c>
      <c r="E1200" s="102" t="s">
        <v>46</v>
      </c>
      <c r="F1200" s="127">
        <v>45984</v>
      </c>
    </row>
    <row r="1201" spans="1:6" ht="15.75" x14ac:dyDescent="0.25">
      <c r="A1201" s="11">
        <v>144</v>
      </c>
      <c r="B1201" s="42" t="s">
        <v>1170</v>
      </c>
      <c r="C1201" s="23" t="s">
        <v>6</v>
      </c>
      <c r="D1201" s="23" t="s">
        <v>6</v>
      </c>
      <c r="E1201" s="102" t="s">
        <v>46</v>
      </c>
      <c r="F1201" s="127">
        <v>45977</v>
      </c>
    </row>
    <row r="1202" spans="1:6" x14ac:dyDescent="0.25">
      <c r="A1202" s="11">
        <v>145</v>
      </c>
      <c r="B1202" s="8" t="s">
        <v>808</v>
      </c>
      <c r="C1202" s="23" t="s">
        <v>6</v>
      </c>
      <c r="D1202" s="23" t="s">
        <v>6</v>
      </c>
      <c r="E1202" s="104" t="s">
        <v>40</v>
      </c>
      <c r="F1202" s="127">
        <v>46075</v>
      </c>
    </row>
    <row r="1203" spans="1:6" ht="15.75" x14ac:dyDescent="0.25">
      <c r="A1203" s="11">
        <v>146</v>
      </c>
      <c r="B1203" s="42" t="s">
        <v>1177</v>
      </c>
      <c r="C1203" s="23" t="s">
        <v>6</v>
      </c>
      <c r="D1203" s="23" t="s">
        <v>6</v>
      </c>
      <c r="E1203" s="102" t="s">
        <v>46</v>
      </c>
      <c r="F1203" s="127">
        <v>45984</v>
      </c>
    </row>
    <row r="1204" spans="1:6" ht="15.75" x14ac:dyDescent="0.25">
      <c r="A1204" s="11">
        <v>147</v>
      </c>
      <c r="B1204" s="42" t="s">
        <v>1198</v>
      </c>
      <c r="C1204" s="23" t="s">
        <v>6</v>
      </c>
      <c r="D1204" s="23" t="s">
        <v>6</v>
      </c>
      <c r="E1204" s="102" t="s">
        <v>46</v>
      </c>
      <c r="F1204" s="127">
        <v>45984</v>
      </c>
    </row>
    <row r="1205" spans="1:6" ht="15.75" x14ac:dyDescent="0.25">
      <c r="A1205" s="11">
        <v>148</v>
      </c>
      <c r="B1205" s="42" t="s">
        <v>1200</v>
      </c>
      <c r="C1205" s="23" t="s">
        <v>6</v>
      </c>
      <c r="D1205" s="23" t="s">
        <v>6</v>
      </c>
      <c r="E1205" s="102" t="s">
        <v>46</v>
      </c>
      <c r="F1205" s="127">
        <v>45984</v>
      </c>
    </row>
    <row r="1206" spans="1:6" ht="15.75" x14ac:dyDescent="0.25">
      <c r="A1206" s="11">
        <v>149</v>
      </c>
      <c r="B1206" s="42" t="s">
        <v>1202</v>
      </c>
      <c r="C1206" s="23" t="s">
        <v>6</v>
      </c>
      <c r="D1206" s="23" t="s">
        <v>6</v>
      </c>
      <c r="E1206" s="102" t="s">
        <v>46</v>
      </c>
      <c r="F1206" s="127">
        <v>45984</v>
      </c>
    </row>
    <row r="1207" spans="1:6" x14ac:dyDescent="0.25">
      <c r="A1207" s="11">
        <v>150</v>
      </c>
      <c r="B1207" s="8" t="s">
        <v>1249</v>
      </c>
      <c r="C1207" s="23" t="s">
        <v>6</v>
      </c>
      <c r="D1207" s="23" t="s">
        <v>6</v>
      </c>
      <c r="E1207" s="104" t="s">
        <v>46</v>
      </c>
      <c r="F1207" s="127">
        <v>45998</v>
      </c>
    </row>
    <row r="1208" spans="1:6" x14ac:dyDescent="0.25">
      <c r="A1208" s="11">
        <v>151</v>
      </c>
      <c r="B1208" s="8" t="s">
        <v>405</v>
      </c>
      <c r="C1208" s="23" t="s">
        <v>6</v>
      </c>
      <c r="D1208" s="23" t="s">
        <v>6</v>
      </c>
      <c r="E1208" s="104" t="s">
        <v>153</v>
      </c>
      <c r="F1208" s="127">
        <v>46012</v>
      </c>
    </row>
    <row r="1209" spans="1:6" x14ac:dyDescent="0.25">
      <c r="A1209" s="11">
        <v>152</v>
      </c>
      <c r="B1209" s="8" t="s">
        <v>715</v>
      </c>
      <c r="C1209" s="23" t="s">
        <v>6</v>
      </c>
      <c r="D1209" s="23" t="s">
        <v>6</v>
      </c>
      <c r="E1209" s="104" t="s">
        <v>576</v>
      </c>
      <c r="F1209" s="127">
        <v>45998</v>
      </c>
    </row>
    <row r="1210" spans="1:6" x14ac:dyDescent="0.25">
      <c r="A1210" s="11">
        <v>153</v>
      </c>
      <c r="B1210" s="8" t="s">
        <v>1300</v>
      </c>
      <c r="C1210" s="23" t="s">
        <v>6</v>
      </c>
      <c r="D1210" s="23" t="s">
        <v>6</v>
      </c>
      <c r="E1210" s="104" t="s">
        <v>46</v>
      </c>
      <c r="F1210" s="127">
        <v>46012</v>
      </c>
    </row>
    <row r="1211" spans="1:6" ht="15.75" x14ac:dyDescent="0.25">
      <c r="A1211" s="11">
        <v>154</v>
      </c>
      <c r="B1211" s="54" t="s">
        <v>1211</v>
      </c>
      <c r="C1211" s="23" t="s">
        <v>6</v>
      </c>
      <c r="D1211" s="23" t="s">
        <v>6</v>
      </c>
      <c r="E1211" s="100" t="s">
        <v>154</v>
      </c>
      <c r="F1211" s="127">
        <v>45992</v>
      </c>
    </row>
    <row r="1212" spans="1:6" ht="15.75" x14ac:dyDescent="0.25">
      <c r="A1212" s="11">
        <v>155</v>
      </c>
      <c r="B1212" s="42" t="s">
        <v>1360</v>
      </c>
      <c r="C1212" s="23" t="s">
        <v>6</v>
      </c>
      <c r="D1212" s="23" t="s">
        <v>6</v>
      </c>
      <c r="E1212" s="102" t="s">
        <v>154</v>
      </c>
      <c r="F1212" s="127">
        <v>46040</v>
      </c>
    </row>
    <row r="1213" spans="1:6" ht="15.75" x14ac:dyDescent="0.25">
      <c r="A1213" s="11">
        <v>156</v>
      </c>
      <c r="B1213" s="42" t="s">
        <v>978</v>
      </c>
      <c r="C1213" s="23" t="s">
        <v>6</v>
      </c>
      <c r="D1213" s="23" t="s">
        <v>6</v>
      </c>
      <c r="E1213" s="102" t="s">
        <v>46</v>
      </c>
      <c r="F1213" s="127">
        <v>46005</v>
      </c>
    </row>
    <row r="1214" spans="1:6" ht="15.75" x14ac:dyDescent="0.25">
      <c r="A1214" s="11">
        <v>157</v>
      </c>
      <c r="B1214" s="42" t="s">
        <v>1299</v>
      </c>
      <c r="C1214" s="23" t="s">
        <v>6</v>
      </c>
      <c r="D1214" s="23" t="s">
        <v>6</v>
      </c>
      <c r="E1214" s="102" t="s">
        <v>46</v>
      </c>
      <c r="F1214" s="127">
        <v>46012</v>
      </c>
    </row>
    <row r="1215" spans="1:6" ht="15.75" x14ac:dyDescent="0.25">
      <c r="A1215" s="11">
        <v>158</v>
      </c>
      <c r="B1215" s="42" t="s">
        <v>1359</v>
      </c>
      <c r="C1215" s="23" t="s">
        <v>6</v>
      </c>
      <c r="D1215" s="23" t="s">
        <v>6</v>
      </c>
      <c r="E1215" s="102" t="s">
        <v>154</v>
      </c>
      <c r="F1215" s="127">
        <v>46040</v>
      </c>
    </row>
    <row r="1216" spans="1:6" x14ac:dyDescent="0.25">
      <c r="A1216" s="11">
        <v>159</v>
      </c>
      <c r="B1216" s="42" t="s">
        <v>1361</v>
      </c>
      <c r="C1216" s="23" t="s">
        <v>6</v>
      </c>
      <c r="D1216" s="23" t="s">
        <v>6</v>
      </c>
      <c r="E1216" s="101" t="s">
        <v>46</v>
      </c>
      <c r="F1216" s="127">
        <v>46040</v>
      </c>
    </row>
    <row r="1217" spans="1:6" x14ac:dyDescent="0.25">
      <c r="A1217" s="11">
        <v>160</v>
      </c>
      <c r="B1217" s="42" t="s">
        <v>1362</v>
      </c>
      <c r="C1217" s="23" t="s">
        <v>6</v>
      </c>
      <c r="D1217" s="23" t="s">
        <v>6</v>
      </c>
      <c r="E1217" s="101" t="s">
        <v>46</v>
      </c>
      <c r="F1217" s="127">
        <v>46040</v>
      </c>
    </row>
    <row r="1218" spans="1:6" ht="15.75" x14ac:dyDescent="0.25">
      <c r="A1218" s="11">
        <v>161</v>
      </c>
      <c r="B1218" s="42" t="s">
        <v>1035</v>
      </c>
      <c r="C1218" s="23" t="s">
        <v>6</v>
      </c>
      <c r="D1218" s="23" t="s">
        <v>6</v>
      </c>
      <c r="E1218" s="102" t="s">
        <v>359</v>
      </c>
      <c r="F1218" s="127">
        <v>45992</v>
      </c>
    </row>
    <row r="1219" spans="1:6" ht="15.75" x14ac:dyDescent="0.25">
      <c r="A1219" s="11">
        <v>162</v>
      </c>
      <c r="B1219" s="42" t="s">
        <v>1201</v>
      </c>
      <c r="C1219" s="23" t="s">
        <v>6</v>
      </c>
      <c r="D1219" s="23" t="s">
        <v>6</v>
      </c>
      <c r="E1219" s="102" t="s">
        <v>359</v>
      </c>
      <c r="F1219" s="127">
        <v>45992</v>
      </c>
    </row>
    <row r="1220" spans="1:6" ht="15.75" x14ac:dyDescent="0.25">
      <c r="A1220" s="11">
        <v>163</v>
      </c>
      <c r="B1220" s="42" t="s">
        <v>1141</v>
      </c>
      <c r="C1220" s="23" t="s">
        <v>6</v>
      </c>
      <c r="D1220" s="23" t="s">
        <v>6</v>
      </c>
      <c r="E1220" s="102" t="s">
        <v>46</v>
      </c>
      <c r="F1220" s="127">
        <v>45992</v>
      </c>
    </row>
    <row r="1221" spans="1:6" ht="15.75" x14ac:dyDescent="0.25">
      <c r="A1221" s="11">
        <v>164</v>
      </c>
      <c r="B1221" s="42" t="s">
        <v>1231</v>
      </c>
      <c r="C1221" s="23" t="s">
        <v>6</v>
      </c>
      <c r="D1221" s="23" t="s">
        <v>6</v>
      </c>
      <c r="E1221" s="102" t="s">
        <v>46</v>
      </c>
      <c r="F1221" s="127">
        <v>45992</v>
      </c>
    </row>
    <row r="1222" spans="1:6" ht="15.75" x14ac:dyDescent="0.25">
      <c r="A1222" s="11">
        <v>165</v>
      </c>
      <c r="B1222" s="42" t="s">
        <v>1232</v>
      </c>
      <c r="C1222" s="23" t="s">
        <v>6</v>
      </c>
      <c r="D1222" s="23" t="s">
        <v>6</v>
      </c>
      <c r="E1222" s="102" t="s">
        <v>46</v>
      </c>
      <c r="F1222" s="127">
        <v>45992</v>
      </c>
    </row>
    <row r="1223" spans="1:6" ht="15.75" x14ac:dyDescent="0.25">
      <c r="A1223" s="11">
        <v>166</v>
      </c>
      <c r="B1223" s="42" t="s">
        <v>1233</v>
      </c>
      <c r="C1223" s="23" t="s">
        <v>6</v>
      </c>
      <c r="D1223" s="23" t="s">
        <v>6</v>
      </c>
      <c r="E1223" s="102" t="s">
        <v>46</v>
      </c>
      <c r="F1223" s="127">
        <v>45992</v>
      </c>
    </row>
    <row r="1224" spans="1:6" ht="15.75" x14ac:dyDescent="0.25">
      <c r="A1224" s="11">
        <v>167</v>
      </c>
      <c r="B1224" s="42" t="s">
        <v>1236</v>
      </c>
      <c r="C1224" s="23" t="s">
        <v>6</v>
      </c>
      <c r="D1224" s="23" t="s">
        <v>6</v>
      </c>
      <c r="E1224" s="102" t="s">
        <v>46</v>
      </c>
      <c r="F1224" s="127">
        <v>45992</v>
      </c>
    </row>
    <row r="1225" spans="1:6" ht="15.75" x14ac:dyDescent="0.25">
      <c r="A1225" s="11">
        <v>168</v>
      </c>
      <c r="B1225" s="42" t="s">
        <v>1235</v>
      </c>
      <c r="C1225" s="23" t="s">
        <v>6</v>
      </c>
      <c r="D1225" s="23" t="s">
        <v>6</v>
      </c>
      <c r="E1225" s="102" t="s">
        <v>46</v>
      </c>
      <c r="F1225" s="127">
        <v>45992</v>
      </c>
    </row>
    <row r="1226" spans="1:6" ht="15.75" x14ac:dyDescent="0.25">
      <c r="A1226" s="11">
        <v>169</v>
      </c>
      <c r="B1226" s="42" t="s">
        <v>1234</v>
      </c>
      <c r="C1226" s="23" t="s">
        <v>6</v>
      </c>
      <c r="D1226" s="23" t="s">
        <v>6</v>
      </c>
      <c r="E1226" s="102" t="s">
        <v>46</v>
      </c>
      <c r="F1226" s="127">
        <v>45992</v>
      </c>
    </row>
    <row r="1227" spans="1:6" ht="15.75" x14ac:dyDescent="0.25">
      <c r="A1227" s="11">
        <v>170</v>
      </c>
      <c r="B1227" s="42" t="s">
        <v>1237</v>
      </c>
      <c r="C1227" s="23" t="s">
        <v>6</v>
      </c>
      <c r="D1227" s="23" t="s">
        <v>6</v>
      </c>
      <c r="E1227" s="102" t="s">
        <v>46</v>
      </c>
      <c r="F1227" s="127">
        <v>45992</v>
      </c>
    </row>
    <row r="1228" spans="1:6" ht="15.75" x14ac:dyDescent="0.25">
      <c r="A1228" s="11">
        <v>171</v>
      </c>
      <c r="B1228" s="42" t="s">
        <v>1238</v>
      </c>
      <c r="C1228" s="23" t="s">
        <v>6</v>
      </c>
      <c r="D1228" s="23" t="s">
        <v>6</v>
      </c>
      <c r="E1228" s="102" t="s">
        <v>46</v>
      </c>
      <c r="F1228" s="127">
        <v>45992</v>
      </c>
    </row>
    <row r="1229" spans="1:6" ht="15.75" x14ac:dyDescent="0.25">
      <c r="A1229" s="11">
        <v>172</v>
      </c>
      <c r="B1229" s="42" t="s">
        <v>1239</v>
      </c>
      <c r="C1229" s="23" t="s">
        <v>6</v>
      </c>
      <c r="D1229" s="23" t="s">
        <v>6</v>
      </c>
      <c r="E1229" s="102" t="s">
        <v>46</v>
      </c>
      <c r="F1229" s="127">
        <v>45992</v>
      </c>
    </row>
    <row r="1230" spans="1:6" ht="15.75" x14ac:dyDescent="0.25">
      <c r="A1230" s="11">
        <v>173</v>
      </c>
      <c r="B1230" s="42" t="s">
        <v>1240</v>
      </c>
      <c r="C1230" s="23" t="s">
        <v>6</v>
      </c>
      <c r="D1230" s="23" t="s">
        <v>6</v>
      </c>
      <c r="E1230" s="102" t="s">
        <v>46</v>
      </c>
      <c r="F1230" s="127">
        <v>45992</v>
      </c>
    </row>
    <row r="1231" spans="1:6" ht="15.75" x14ac:dyDescent="0.25">
      <c r="A1231" s="11">
        <v>174</v>
      </c>
      <c r="B1231" s="54" t="s">
        <v>278</v>
      </c>
      <c r="C1231" s="23" t="s">
        <v>6</v>
      </c>
      <c r="D1231" s="23" t="s">
        <v>6</v>
      </c>
      <c r="E1231" s="100" t="s">
        <v>41</v>
      </c>
      <c r="F1231" s="127">
        <v>46005</v>
      </c>
    </row>
    <row r="1232" spans="1:6" ht="15.75" x14ac:dyDescent="0.25">
      <c r="A1232" s="11">
        <v>175</v>
      </c>
      <c r="B1232" s="54" t="s">
        <v>723</v>
      </c>
      <c r="C1232" s="23" t="s">
        <v>6</v>
      </c>
      <c r="D1232" s="23" t="s">
        <v>6</v>
      </c>
      <c r="E1232" s="100" t="s">
        <v>46</v>
      </c>
      <c r="F1232" s="127">
        <v>46005</v>
      </c>
    </row>
    <row r="1233" spans="1:6" ht="15.75" x14ac:dyDescent="0.25">
      <c r="A1233" s="11">
        <v>176</v>
      </c>
      <c r="B1233" s="42" t="s">
        <v>1241</v>
      </c>
      <c r="C1233" s="23" t="s">
        <v>6</v>
      </c>
      <c r="D1233" s="23" t="s">
        <v>6</v>
      </c>
      <c r="E1233" s="102" t="s">
        <v>46</v>
      </c>
      <c r="F1233" s="127">
        <v>45992</v>
      </c>
    </row>
    <row r="1234" spans="1:6" ht="15.75" x14ac:dyDescent="0.25">
      <c r="A1234" s="11">
        <v>177</v>
      </c>
      <c r="B1234" s="42" t="s">
        <v>1242</v>
      </c>
      <c r="C1234" s="23" t="s">
        <v>6</v>
      </c>
      <c r="D1234" s="23" t="s">
        <v>6</v>
      </c>
      <c r="E1234" s="102" t="s">
        <v>46</v>
      </c>
      <c r="F1234" s="127">
        <v>45992</v>
      </c>
    </row>
    <row r="1235" spans="1:6" ht="15.75" x14ac:dyDescent="0.25">
      <c r="A1235" s="11">
        <v>178</v>
      </c>
      <c r="B1235" s="42" t="s">
        <v>1243</v>
      </c>
      <c r="C1235" s="23" t="s">
        <v>6</v>
      </c>
      <c r="D1235" s="23" t="s">
        <v>6</v>
      </c>
      <c r="E1235" s="102" t="s">
        <v>46</v>
      </c>
      <c r="F1235" s="127">
        <v>45992</v>
      </c>
    </row>
    <row r="1236" spans="1:6" ht="15.75" x14ac:dyDescent="0.25">
      <c r="A1236" s="11">
        <v>179</v>
      </c>
      <c r="B1236" s="42" t="s">
        <v>1260</v>
      </c>
      <c r="C1236" s="23" t="s">
        <v>6</v>
      </c>
      <c r="D1236" s="23" t="s">
        <v>6</v>
      </c>
      <c r="E1236" s="102" t="s">
        <v>46</v>
      </c>
      <c r="F1236" s="127">
        <v>45998</v>
      </c>
    </row>
    <row r="1237" spans="1:6" ht="15.75" x14ac:dyDescent="0.25">
      <c r="A1237" s="11">
        <v>180</v>
      </c>
      <c r="B1237" s="42" t="s">
        <v>1261</v>
      </c>
      <c r="C1237" s="23" t="s">
        <v>6</v>
      </c>
      <c r="D1237" s="23" t="s">
        <v>6</v>
      </c>
      <c r="E1237" s="102" t="s">
        <v>46</v>
      </c>
      <c r="F1237" s="127">
        <v>45998</v>
      </c>
    </row>
    <row r="1238" spans="1:6" x14ac:dyDescent="0.25">
      <c r="A1238" s="11">
        <v>181</v>
      </c>
      <c r="B1238" s="8" t="s">
        <v>1482</v>
      </c>
      <c r="C1238" s="23" t="s">
        <v>6</v>
      </c>
      <c r="D1238" s="23" t="s">
        <v>6</v>
      </c>
      <c r="E1238" s="104" t="s">
        <v>46</v>
      </c>
      <c r="F1238" s="127">
        <v>46068</v>
      </c>
    </row>
    <row r="1239" spans="1:6" ht="15.75" x14ac:dyDescent="0.25">
      <c r="A1239" s="11">
        <v>182</v>
      </c>
      <c r="B1239" s="42" t="s">
        <v>1271</v>
      </c>
      <c r="C1239" s="23" t="s">
        <v>6</v>
      </c>
      <c r="D1239" s="23" t="s">
        <v>6</v>
      </c>
      <c r="E1239" s="102" t="s">
        <v>46</v>
      </c>
      <c r="F1239" s="127">
        <v>46005</v>
      </c>
    </row>
    <row r="1240" spans="1:6" x14ac:dyDescent="0.25">
      <c r="A1240" s="11">
        <v>183</v>
      </c>
      <c r="B1240" s="42" t="s">
        <v>1372</v>
      </c>
      <c r="C1240" s="23" t="s">
        <v>6</v>
      </c>
      <c r="D1240" s="23" t="s">
        <v>6</v>
      </c>
      <c r="E1240" s="101" t="s">
        <v>46</v>
      </c>
      <c r="F1240" s="127">
        <v>46068</v>
      </c>
    </row>
    <row r="1241" spans="1:6" ht="15.75" x14ac:dyDescent="0.25">
      <c r="A1241" s="11">
        <v>184</v>
      </c>
      <c r="B1241" s="42" t="s">
        <v>1273</v>
      </c>
      <c r="C1241" s="23" t="s">
        <v>6</v>
      </c>
      <c r="D1241" s="23" t="s">
        <v>6</v>
      </c>
      <c r="E1241" s="102" t="s">
        <v>46</v>
      </c>
      <c r="F1241" s="127">
        <v>46005</v>
      </c>
    </row>
    <row r="1242" spans="1:6" ht="15.75" x14ac:dyDescent="0.25">
      <c r="A1242" s="11">
        <v>185</v>
      </c>
      <c r="B1242" s="42" t="s">
        <v>1285</v>
      </c>
      <c r="C1242" s="23" t="s">
        <v>6</v>
      </c>
      <c r="D1242" s="23" t="s">
        <v>6</v>
      </c>
      <c r="E1242" s="102" t="s">
        <v>46</v>
      </c>
      <c r="F1242" s="127">
        <v>46005</v>
      </c>
    </row>
    <row r="1243" spans="1:6" ht="15.75" x14ac:dyDescent="0.25">
      <c r="A1243" s="11">
        <v>186</v>
      </c>
      <c r="B1243" s="42" t="s">
        <v>1295</v>
      </c>
      <c r="C1243" s="23" t="s">
        <v>6</v>
      </c>
      <c r="D1243" s="23" t="s">
        <v>6</v>
      </c>
      <c r="E1243" s="102" t="s">
        <v>46</v>
      </c>
      <c r="F1243" s="127">
        <v>46012</v>
      </c>
    </row>
    <row r="1244" spans="1:6" x14ac:dyDescent="0.25">
      <c r="A1244" s="11">
        <v>187</v>
      </c>
      <c r="B1244" s="42" t="s">
        <v>1393</v>
      </c>
      <c r="C1244" s="23" t="s">
        <v>6</v>
      </c>
      <c r="D1244" s="23" t="s">
        <v>6</v>
      </c>
      <c r="E1244" s="101" t="s">
        <v>46</v>
      </c>
      <c r="F1244" s="127">
        <v>46068</v>
      </c>
    </row>
    <row r="1245" spans="1:6" x14ac:dyDescent="0.25">
      <c r="A1245" s="11">
        <v>188</v>
      </c>
      <c r="B1245" s="8" t="s">
        <v>1342</v>
      </c>
      <c r="C1245" s="23" t="s">
        <v>6</v>
      </c>
      <c r="D1245" s="23" t="s">
        <v>6</v>
      </c>
      <c r="E1245" s="104" t="s">
        <v>359</v>
      </c>
      <c r="F1245" s="127">
        <v>46023</v>
      </c>
    </row>
    <row r="1246" spans="1:6" x14ac:dyDescent="0.25">
      <c r="A1246" s="11">
        <v>189</v>
      </c>
      <c r="B1246" s="42" t="s">
        <v>1415</v>
      </c>
      <c r="C1246" s="23" t="s">
        <v>6</v>
      </c>
      <c r="D1246" s="23" t="s">
        <v>6</v>
      </c>
      <c r="E1246" s="101" t="s">
        <v>46</v>
      </c>
      <c r="F1246" s="127">
        <v>46075</v>
      </c>
    </row>
    <row r="1247" spans="1:6" x14ac:dyDescent="0.25">
      <c r="A1247" s="11">
        <v>190</v>
      </c>
      <c r="B1247" s="8" t="s">
        <v>545</v>
      </c>
      <c r="C1247" s="23" t="s">
        <v>6</v>
      </c>
      <c r="D1247" s="23" t="s">
        <v>6</v>
      </c>
      <c r="E1247" s="104" t="s">
        <v>46</v>
      </c>
      <c r="F1247" s="127">
        <v>46023</v>
      </c>
    </row>
    <row r="1248" spans="1:6" ht="15.75" x14ac:dyDescent="0.25">
      <c r="A1248" s="11">
        <v>191</v>
      </c>
      <c r="B1248" s="42" t="s">
        <v>1345</v>
      </c>
      <c r="C1248" s="23" t="s">
        <v>6</v>
      </c>
      <c r="D1248" s="23" t="s">
        <v>6</v>
      </c>
      <c r="E1248" s="102" t="s">
        <v>359</v>
      </c>
      <c r="F1248" s="127">
        <v>46040</v>
      </c>
    </row>
    <row r="1249" spans="1:6" x14ac:dyDescent="0.25">
      <c r="A1249" s="11">
        <v>192</v>
      </c>
      <c r="B1249" s="42" t="s">
        <v>1417</v>
      </c>
      <c r="C1249" s="23" t="s">
        <v>6</v>
      </c>
      <c r="D1249" s="23" t="s">
        <v>6</v>
      </c>
      <c r="E1249" s="101" t="s">
        <v>46</v>
      </c>
      <c r="F1249" s="127">
        <v>46075</v>
      </c>
    </row>
    <row r="1250" spans="1:6" ht="15.75" x14ac:dyDescent="0.25">
      <c r="A1250" s="11">
        <v>193</v>
      </c>
      <c r="B1250" s="42" t="s">
        <v>1137</v>
      </c>
      <c r="C1250" s="23" t="s">
        <v>6</v>
      </c>
      <c r="D1250" s="23" t="s">
        <v>6</v>
      </c>
      <c r="E1250" s="102" t="s">
        <v>359</v>
      </c>
      <c r="F1250" s="127">
        <v>46023</v>
      </c>
    </row>
    <row r="1251" spans="1:6" x14ac:dyDescent="0.25">
      <c r="A1251" s="11">
        <v>194</v>
      </c>
      <c r="B1251" s="42" t="s">
        <v>1358</v>
      </c>
      <c r="C1251" s="23" t="s">
        <v>6</v>
      </c>
      <c r="D1251" s="23" t="s">
        <v>6</v>
      </c>
      <c r="E1251" s="101" t="s">
        <v>46</v>
      </c>
      <c r="F1251" s="127">
        <v>46040</v>
      </c>
    </row>
    <row r="1252" spans="1:6" x14ac:dyDescent="0.25">
      <c r="A1252" s="11">
        <v>195</v>
      </c>
      <c r="B1252" s="42" t="s">
        <v>1425</v>
      </c>
      <c r="C1252" s="23" t="s">
        <v>6</v>
      </c>
      <c r="D1252" s="23" t="s">
        <v>6</v>
      </c>
      <c r="E1252" s="101" t="s">
        <v>46</v>
      </c>
      <c r="F1252" s="127">
        <v>46068</v>
      </c>
    </row>
    <row r="1253" spans="1:6" x14ac:dyDescent="0.25">
      <c r="A1253" s="11">
        <v>196</v>
      </c>
      <c r="B1253" s="42" t="s">
        <v>1455</v>
      </c>
      <c r="C1253" s="23" t="s">
        <v>6</v>
      </c>
      <c r="D1253" s="23" t="s">
        <v>6</v>
      </c>
      <c r="E1253" s="101" t="s">
        <v>46</v>
      </c>
      <c r="F1253" s="127">
        <v>46068</v>
      </c>
    </row>
    <row r="1254" spans="1:6" x14ac:dyDescent="0.25">
      <c r="A1254" s="11">
        <v>197</v>
      </c>
      <c r="B1254" s="42" t="s">
        <v>1491</v>
      </c>
      <c r="C1254" s="23" t="s">
        <v>6</v>
      </c>
      <c r="D1254" s="23" t="s">
        <v>6</v>
      </c>
      <c r="E1254" s="101" t="s">
        <v>46</v>
      </c>
      <c r="F1254" s="127">
        <v>46068</v>
      </c>
    </row>
    <row r="1255" spans="1:6" x14ac:dyDescent="0.25">
      <c r="A1255" s="11">
        <v>198</v>
      </c>
      <c r="B1255" s="8" t="s">
        <v>1344</v>
      </c>
      <c r="C1255" s="23" t="s">
        <v>6</v>
      </c>
      <c r="D1255" s="23" t="s">
        <v>6</v>
      </c>
      <c r="E1255" s="104" t="s">
        <v>359</v>
      </c>
      <c r="F1255" s="127">
        <v>46023</v>
      </c>
    </row>
    <row r="1256" spans="1:6" x14ac:dyDescent="0.25">
      <c r="A1256" s="11">
        <v>199</v>
      </c>
      <c r="B1256" s="42" t="s">
        <v>1495</v>
      </c>
      <c r="C1256" s="23" t="s">
        <v>6</v>
      </c>
      <c r="D1256" s="23" t="s">
        <v>6</v>
      </c>
      <c r="E1256" s="101" t="s">
        <v>46</v>
      </c>
      <c r="F1256" s="127">
        <v>46075</v>
      </c>
    </row>
    <row r="1257" spans="1:6" x14ac:dyDescent="0.25">
      <c r="A1257" s="11">
        <v>200</v>
      </c>
      <c r="B1257" s="42" t="s">
        <v>1496</v>
      </c>
      <c r="C1257" s="23" t="s">
        <v>6</v>
      </c>
      <c r="D1257" s="23" t="s">
        <v>6</v>
      </c>
      <c r="E1257" s="101" t="s">
        <v>46</v>
      </c>
      <c r="F1257" s="127">
        <v>46075</v>
      </c>
    </row>
    <row r="1258" spans="1:6" ht="15.75" x14ac:dyDescent="0.25">
      <c r="A1258" s="11">
        <v>201</v>
      </c>
      <c r="B1258" s="42" t="s">
        <v>1296</v>
      </c>
      <c r="C1258" s="23" t="s">
        <v>6</v>
      </c>
      <c r="D1258" s="23" t="s">
        <v>6</v>
      </c>
      <c r="E1258" s="102" t="s">
        <v>46</v>
      </c>
      <c r="F1258" s="127">
        <v>46023</v>
      </c>
    </row>
    <row r="1259" spans="1:6" ht="15.75" x14ac:dyDescent="0.25">
      <c r="A1259" s="11">
        <v>202</v>
      </c>
      <c r="B1259" s="42" t="s">
        <v>1337</v>
      </c>
      <c r="C1259" s="23" t="s">
        <v>6</v>
      </c>
      <c r="D1259" s="23" t="s">
        <v>6</v>
      </c>
      <c r="E1259" s="102" t="s">
        <v>46</v>
      </c>
      <c r="F1259" s="127">
        <v>46023</v>
      </c>
    </row>
    <row r="1260" spans="1:6" ht="15.75" x14ac:dyDescent="0.25">
      <c r="A1260" s="11">
        <v>203</v>
      </c>
      <c r="B1260" s="42" t="s">
        <v>1313</v>
      </c>
      <c r="C1260" s="23" t="s">
        <v>6</v>
      </c>
      <c r="D1260" s="23" t="s">
        <v>6</v>
      </c>
      <c r="E1260" s="102" t="s">
        <v>46</v>
      </c>
      <c r="F1260" s="127">
        <v>46023</v>
      </c>
    </row>
    <row r="1261" spans="1:6" ht="15.75" x14ac:dyDescent="0.25">
      <c r="A1261" s="11">
        <v>204</v>
      </c>
      <c r="B1261" s="42" t="s">
        <v>1314</v>
      </c>
      <c r="C1261" s="23" t="s">
        <v>6</v>
      </c>
      <c r="D1261" s="23" t="s">
        <v>6</v>
      </c>
      <c r="E1261" s="102" t="s">
        <v>46</v>
      </c>
      <c r="F1261" s="127">
        <v>46023</v>
      </c>
    </row>
    <row r="1262" spans="1:6" ht="15.75" x14ac:dyDescent="0.25">
      <c r="A1262" s="11">
        <v>205</v>
      </c>
      <c r="B1262" s="42" t="s">
        <v>1316</v>
      </c>
      <c r="C1262" s="23" t="s">
        <v>6</v>
      </c>
      <c r="D1262" s="23" t="s">
        <v>6</v>
      </c>
      <c r="E1262" s="102" t="s">
        <v>46</v>
      </c>
      <c r="F1262" s="127">
        <v>46023</v>
      </c>
    </row>
    <row r="1263" spans="1:6" ht="15.75" x14ac:dyDescent="0.25">
      <c r="A1263" s="11">
        <v>206</v>
      </c>
      <c r="B1263" s="42" t="s">
        <v>1315</v>
      </c>
      <c r="C1263" s="23" t="s">
        <v>6</v>
      </c>
      <c r="D1263" s="23" t="s">
        <v>6</v>
      </c>
      <c r="E1263" s="102" t="s">
        <v>46</v>
      </c>
      <c r="F1263" s="127">
        <v>46023</v>
      </c>
    </row>
    <row r="1264" spans="1:6" ht="15.75" x14ac:dyDescent="0.25">
      <c r="A1264" s="11">
        <v>207</v>
      </c>
      <c r="B1264" s="42" t="s">
        <v>1317</v>
      </c>
      <c r="C1264" s="23" t="s">
        <v>6</v>
      </c>
      <c r="D1264" s="23" t="s">
        <v>6</v>
      </c>
      <c r="E1264" s="102" t="s">
        <v>46</v>
      </c>
      <c r="F1264" s="127">
        <v>46023</v>
      </c>
    </row>
    <row r="1265" spans="1:6" ht="15.75" x14ac:dyDescent="0.25">
      <c r="A1265" s="11">
        <v>208</v>
      </c>
      <c r="B1265" s="42" t="s">
        <v>1320</v>
      </c>
      <c r="C1265" s="23" t="s">
        <v>6</v>
      </c>
      <c r="D1265" s="23" t="s">
        <v>6</v>
      </c>
      <c r="E1265" s="102" t="s">
        <v>46</v>
      </c>
      <c r="F1265" s="127">
        <v>46023</v>
      </c>
    </row>
    <row r="1266" spans="1:6" ht="15.75" x14ac:dyDescent="0.25">
      <c r="A1266" s="11">
        <v>209</v>
      </c>
      <c r="B1266" s="42" t="s">
        <v>1321</v>
      </c>
      <c r="C1266" s="23" t="s">
        <v>6</v>
      </c>
      <c r="D1266" s="23" t="s">
        <v>6</v>
      </c>
      <c r="E1266" s="102" t="s">
        <v>46</v>
      </c>
      <c r="F1266" s="127">
        <v>46023</v>
      </c>
    </row>
    <row r="1267" spans="1:6" ht="15.75" x14ac:dyDescent="0.25">
      <c r="A1267" s="11">
        <v>210</v>
      </c>
      <c r="B1267" s="42" t="s">
        <v>1340</v>
      </c>
      <c r="C1267" s="23" t="s">
        <v>6</v>
      </c>
      <c r="D1267" s="23" t="s">
        <v>6</v>
      </c>
      <c r="E1267" s="102" t="s">
        <v>46</v>
      </c>
      <c r="F1267" s="127">
        <v>46023</v>
      </c>
    </row>
    <row r="1268" spans="1:6" ht="15.75" x14ac:dyDescent="0.25">
      <c r="A1268" s="11">
        <v>211</v>
      </c>
      <c r="B1268" s="42" t="s">
        <v>1379</v>
      </c>
      <c r="C1268" s="23" t="s">
        <v>6</v>
      </c>
      <c r="D1268" s="23" t="s">
        <v>6</v>
      </c>
      <c r="E1268" s="102" t="s">
        <v>46</v>
      </c>
      <c r="F1268" s="127">
        <v>46046</v>
      </c>
    </row>
    <row r="1269" spans="1:6" ht="15.75" x14ac:dyDescent="0.25">
      <c r="A1269" s="11">
        <v>212</v>
      </c>
      <c r="B1269" s="42" t="s">
        <v>1336</v>
      </c>
      <c r="C1269" s="23" t="s">
        <v>6</v>
      </c>
      <c r="D1269" s="23" t="s">
        <v>6</v>
      </c>
      <c r="E1269" s="102" t="s">
        <v>46</v>
      </c>
      <c r="F1269" s="127">
        <v>46023</v>
      </c>
    </row>
    <row r="1270" spans="1:6" ht="15.75" x14ac:dyDescent="0.25">
      <c r="A1270" s="11">
        <v>213</v>
      </c>
      <c r="B1270" s="42" t="s">
        <v>284</v>
      </c>
      <c r="C1270" s="23" t="s">
        <v>6</v>
      </c>
      <c r="D1270" s="23" t="s">
        <v>6</v>
      </c>
      <c r="E1270" s="102" t="s">
        <v>46</v>
      </c>
      <c r="F1270" s="127">
        <v>46023</v>
      </c>
    </row>
    <row r="1271" spans="1:6" ht="15.75" x14ac:dyDescent="0.25">
      <c r="A1271" s="11">
        <v>214</v>
      </c>
      <c r="B1271" s="42" t="s">
        <v>1343</v>
      </c>
      <c r="C1271" s="23" t="s">
        <v>6</v>
      </c>
      <c r="D1271" s="23" t="s">
        <v>6</v>
      </c>
      <c r="E1271" s="102" t="s">
        <v>359</v>
      </c>
      <c r="F1271" s="127">
        <v>46023</v>
      </c>
    </row>
    <row r="1272" spans="1:6" ht="15.75" x14ac:dyDescent="0.25">
      <c r="A1272" s="11">
        <v>215</v>
      </c>
      <c r="B1272" s="42" t="s">
        <v>1275</v>
      </c>
      <c r="C1272" s="23" t="s">
        <v>6</v>
      </c>
      <c r="D1272" s="23" t="s">
        <v>6</v>
      </c>
      <c r="E1272" s="102" t="s">
        <v>46</v>
      </c>
      <c r="F1272" s="127">
        <v>46055</v>
      </c>
    </row>
    <row r="1273" spans="1:6" ht="15.75" x14ac:dyDescent="0.25">
      <c r="A1273" s="11">
        <v>216</v>
      </c>
      <c r="B1273" s="42" t="s">
        <v>1357</v>
      </c>
      <c r="C1273" s="23" t="s">
        <v>6</v>
      </c>
      <c r="D1273" s="23" t="s">
        <v>6</v>
      </c>
      <c r="E1273" s="102" t="s">
        <v>46</v>
      </c>
      <c r="F1273" s="127">
        <v>46061</v>
      </c>
    </row>
    <row r="1274" spans="1:6" ht="15.75" x14ac:dyDescent="0.25">
      <c r="A1274" s="11">
        <v>217</v>
      </c>
      <c r="B1274" s="42" t="s">
        <v>1013</v>
      </c>
      <c r="C1274" s="23" t="s">
        <v>6</v>
      </c>
      <c r="D1274" s="23" t="s">
        <v>6</v>
      </c>
      <c r="E1274" s="102" t="s">
        <v>46</v>
      </c>
      <c r="F1274" s="127">
        <v>46046</v>
      </c>
    </row>
    <row r="1275" spans="1:6" x14ac:dyDescent="0.25">
      <c r="A1275" s="11">
        <v>218</v>
      </c>
      <c r="B1275" s="19" t="s">
        <v>575</v>
      </c>
      <c r="C1275" s="23" t="s">
        <v>6</v>
      </c>
      <c r="D1275" s="23" t="s">
        <v>6</v>
      </c>
      <c r="E1275" s="16" t="s">
        <v>46</v>
      </c>
      <c r="F1275" s="144">
        <v>46166</v>
      </c>
    </row>
    <row r="1276" spans="1:6" x14ac:dyDescent="0.25">
      <c r="A1276" s="11">
        <v>219</v>
      </c>
      <c r="B1276" s="42" t="s">
        <v>1782</v>
      </c>
      <c r="C1276" s="23" t="s">
        <v>6</v>
      </c>
      <c r="D1276" s="23" t="s">
        <v>6</v>
      </c>
      <c r="E1276" s="24" t="s">
        <v>46</v>
      </c>
      <c r="F1276" s="144">
        <v>46166</v>
      </c>
    </row>
    <row r="1277" spans="1:6" x14ac:dyDescent="0.25">
      <c r="A1277" s="11">
        <v>220</v>
      </c>
      <c r="B1277" s="19" t="s">
        <v>1286</v>
      </c>
      <c r="C1277" s="23" t="s">
        <v>6</v>
      </c>
      <c r="D1277" s="23" t="s">
        <v>6</v>
      </c>
      <c r="E1277" s="16" t="s">
        <v>46</v>
      </c>
      <c r="F1277" s="144">
        <v>46173</v>
      </c>
    </row>
    <row r="1278" spans="1:6" x14ac:dyDescent="0.25">
      <c r="A1278" s="11">
        <v>221</v>
      </c>
      <c r="B1278" s="8" t="s">
        <v>1801</v>
      </c>
      <c r="C1278" s="23" t="s">
        <v>6</v>
      </c>
      <c r="D1278" s="23" t="s">
        <v>6</v>
      </c>
      <c r="E1278" s="16" t="s">
        <v>46</v>
      </c>
      <c r="F1278" s="144">
        <v>46173</v>
      </c>
    </row>
    <row r="1279" spans="1:6" x14ac:dyDescent="0.25">
      <c r="A1279" s="11">
        <v>222</v>
      </c>
      <c r="B1279" s="8" t="s">
        <v>246</v>
      </c>
      <c r="C1279" s="23" t="s">
        <v>6</v>
      </c>
      <c r="D1279" s="23" t="s">
        <v>6</v>
      </c>
      <c r="E1279" s="16" t="s">
        <v>46</v>
      </c>
      <c r="F1279" s="144">
        <v>46173</v>
      </c>
    </row>
    <row r="1280" spans="1:6" x14ac:dyDescent="0.25">
      <c r="A1280" s="11">
        <v>223</v>
      </c>
      <c r="B1280" s="42" t="s">
        <v>354</v>
      </c>
      <c r="C1280" s="23" t="s">
        <v>6</v>
      </c>
      <c r="D1280" s="23" t="s">
        <v>6</v>
      </c>
      <c r="E1280" s="24" t="s">
        <v>46</v>
      </c>
      <c r="F1280" s="144">
        <v>46173</v>
      </c>
    </row>
    <row r="1281" spans="1:6" x14ac:dyDescent="0.25">
      <c r="A1281" s="11">
        <v>224</v>
      </c>
      <c r="B1281" s="8" t="s">
        <v>1936</v>
      </c>
      <c r="C1281" s="23" t="s">
        <v>6</v>
      </c>
      <c r="D1281" s="23" t="s">
        <v>6</v>
      </c>
      <c r="E1281" s="16" t="s">
        <v>46</v>
      </c>
      <c r="F1281" s="144">
        <v>46173</v>
      </c>
    </row>
    <row r="1282" spans="1:6" ht="15.75" x14ac:dyDescent="0.25">
      <c r="A1282" s="11">
        <v>225</v>
      </c>
      <c r="B1282" s="42" t="s">
        <v>1283</v>
      </c>
      <c r="C1282" s="23" t="s">
        <v>6</v>
      </c>
      <c r="D1282" s="23" t="s">
        <v>6</v>
      </c>
      <c r="E1282" s="46" t="s">
        <v>46</v>
      </c>
      <c r="F1282" s="144">
        <v>46173</v>
      </c>
    </row>
    <row r="1283" spans="1:6" x14ac:dyDescent="0.25">
      <c r="A1283" s="11">
        <v>226</v>
      </c>
      <c r="B1283" s="42" t="s">
        <v>1937</v>
      </c>
      <c r="C1283" s="23" t="s">
        <v>6</v>
      </c>
      <c r="D1283" s="23" t="s">
        <v>6</v>
      </c>
      <c r="E1283" s="24" t="s">
        <v>154</v>
      </c>
      <c r="F1283" s="144">
        <v>46173</v>
      </c>
    </row>
    <row r="1284" spans="1:6" x14ac:dyDescent="0.25">
      <c r="A1284" s="11">
        <v>227</v>
      </c>
      <c r="B1284" s="8" t="s">
        <v>242</v>
      </c>
      <c r="C1284" s="23" t="s">
        <v>6</v>
      </c>
      <c r="D1284" s="23" t="s">
        <v>6</v>
      </c>
      <c r="E1284" s="17" t="s">
        <v>46</v>
      </c>
      <c r="F1284" s="144">
        <v>46173</v>
      </c>
    </row>
    <row r="1285" spans="1:6" x14ac:dyDescent="0.25">
      <c r="A1285" s="11">
        <v>228</v>
      </c>
      <c r="B1285" s="42" t="s">
        <v>538</v>
      </c>
      <c r="C1285" s="23" t="s">
        <v>6</v>
      </c>
      <c r="D1285" s="23" t="s">
        <v>6</v>
      </c>
      <c r="E1285" s="24" t="s">
        <v>46</v>
      </c>
      <c r="F1285" s="144">
        <v>46173</v>
      </c>
    </row>
    <row r="1286" spans="1:6" x14ac:dyDescent="0.25">
      <c r="A1286" s="11">
        <v>229</v>
      </c>
      <c r="B1286" s="42" t="s">
        <v>1537</v>
      </c>
      <c r="C1286" s="23" t="s">
        <v>6</v>
      </c>
      <c r="D1286" s="23" t="s">
        <v>6</v>
      </c>
      <c r="E1286" s="24" t="s">
        <v>46</v>
      </c>
      <c r="F1286" s="144">
        <v>46173</v>
      </c>
    </row>
    <row r="1287" spans="1:6" x14ac:dyDescent="0.25">
      <c r="A1287" s="11">
        <v>230</v>
      </c>
      <c r="B1287" s="42" t="s">
        <v>1728</v>
      </c>
      <c r="C1287" s="23" t="s">
        <v>6</v>
      </c>
      <c r="D1287" s="23" t="s">
        <v>6</v>
      </c>
      <c r="E1287" s="24" t="s">
        <v>46</v>
      </c>
      <c r="F1287" s="144">
        <v>46173</v>
      </c>
    </row>
    <row r="1288" spans="1:6" x14ac:dyDescent="0.25">
      <c r="A1288" s="11">
        <v>231</v>
      </c>
      <c r="B1288" s="42" t="s">
        <v>1729</v>
      </c>
      <c r="C1288" s="23" t="s">
        <v>6</v>
      </c>
      <c r="D1288" s="23" t="s">
        <v>6</v>
      </c>
      <c r="E1288" s="24" t="s">
        <v>46</v>
      </c>
      <c r="F1288" s="144">
        <v>46173</v>
      </c>
    </row>
    <row r="1289" spans="1:6" x14ac:dyDescent="0.25">
      <c r="A1289" s="11">
        <v>232</v>
      </c>
      <c r="B1289" s="42" t="s">
        <v>1721</v>
      </c>
      <c r="C1289" s="23" t="s">
        <v>6</v>
      </c>
      <c r="D1289" s="23" t="s">
        <v>6</v>
      </c>
      <c r="E1289" s="16" t="s">
        <v>46</v>
      </c>
      <c r="F1289" s="144">
        <v>46173</v>
      </c>
    </row>
    <row r="1290" spans="1:6" x14ac:dyDescent="0.25">
      <c r="A1290" s="11">
        <v>233</v>
      </c>
      <c r="B1290" s="42" t="s">
        <v>1785</v>
      </c>
      <c r="C1290" s="23" t="s">
        <v>6</v>
      </c>
      <c r="D1290" s="23" t="s">
        <v>6</v>
      </c>
      <c r="E1290" s="16" t="s">
        <v>46</v>
      </c>
      <c r="F1290" s="144">
        <v>46173</v>
      </c>
    </row>
    <row r="1291" spans="1:6" x14ac:dyDescent="0.25">
      <c r="A1291" s="11">
        <v>234</v>
      </c>
      <c r="B1291" s="42" t="s">
        <v>1788</v>
      </c>
      <c r="C1291" s="23" t="s">
        <v>6</v>
      </c>
      <c r="D1291" s="23" t="s">
        <v>6</v>
      </c>
      <c r="E1291" s="16" t="s">
        <v>46</v>
      </c>
      <c r="F1291" s="144">
        <v>46173</v>
      </c>
    </row>
    <row r="1292" spans="1:6" x14ac:dyDescent="0.25">
      <c r="A1292" s="11">
        <v>235</v>
      </c>
      <c r="B1292" s="8" t="s">
        <v>1456</v>
      </c>
      <c r="C1292" s="23" t="s">
        <v>6</v>
      </c>
      <c r="D1292" s="23" t="s">
        <v>6</v>
      </c>
      <c r="E1292" s="104" t="s">
        <v>359</v>
      </c>
      <c r="F1292" s="127">
        <v>46061</v>
      </c>
    </row>
    <row r="1293" spans="1:6" x14ac:dyDescent="0.25">
      <c r="A1293" s="11">
        <v>236</v>
      </c>
      <c r="B1293" s="8" t="s">
        <v>1458</v>
      </c>
      <c r="C1293" s="23" t="s">
        <v>6</v>
      </c>
      <c r="D1293" s="23" t="s">
        <v>6</v>
      </c>
      <c r="E1293" s="104" t="s">
        <v>359</v>
      </c>
      <c r="F1293" s="127">
        <v>46061</v>
      </c>
    </row>
    <row r="1294" spans="1:6" x14ac:dyDescent="0.25">
      <c r="A1294" s="11">
        <v>237</v>
      </c>
      <c r="B1294" s="8" t="s">
        <v>1457</v>
      </c>
      <c r="C1294" s="23" t="s">
        <v>6</v>
      </c>
      <c r="D1294" s="23" t="s">
        <v>6</v>
      </c>
      <c r="E1294" s="104" t="s">
        <v>359</v>
      </c>
      <c r="F1294" s="127">
        <v>46061</v>
      </c>
    </row>
    <row r="1295" spans="1:6" ht="15.75" x14ac:dyDescent="0.25">
      <c r="A1295" s="11">
        <v>238</v>
      </c>
      <c r="B1295" s="42" t="s">
        <v>1380</v>
      </c>
      <c r="C1295" s="23" t="s">
        <v>6</v>
      </c>
      <c r="D1295" s="23" t="s">
        <v>6</v>
      </c>
      <c r="E1295" s="102" t="s">
        <v>46</v>
      </c>
      <c r="F1295" s="127">
        <v>46046</v>
      </c>
    </row>
    <row r="1296" spans="1:6" ht="15.75" x14ac:dyDescent="0.25">
      <c r="A1296" s="11">
        <v>239</v>
      </c>
      <c r="B1296" s="42" t="s">
        <v>1294</v>
      </c>
      <c r="C1296" s="23" t="s">
        <v>6</v>
      </c>
      <c r="D1296" s="23" t="s">
        <v>6</v>
      </c>
      <c r="E1296" s="102" t="s">
        <v>46</v>
      </c>
      <c r="F1296" s="127">
        <v>46046</v>
      </c>
    </row>
    <row r="1297" spans="1:6" ht="15.75" x14ac:dyDescent="0.25">
      <c r="A1297" s="11">
        <v>240</v>
      </c>
      <c r="B1297" s="42" t="s">
        <v>1298</v>
      </c>
      <c r="C1297" s="23" t="s">
        <v>6</v>
      </c>
      <c r="D1297" s="23" t="s">
        <v>6</v>
      </c>
      <c r="E1297" s="102" t="s">
        <v>46</v>
      </c>
      <c r="F1297" s="127">
        <v>46046</v>
      </c>
    </row>
    <row r="1298" spans="1:6" ht="15.75" x14ac:dyDescent="0.25">
      <c r="A1298" s="11">
        <v>241</v>
      </c>
      <c r="B1298" s="8" t="s">
        <v>280</v>
      </c>
      <c r="C1298" s="23" t="s">
        <v>6</v>
      </c>
      <c r="D1298" s="23" t="s">
        <v>6</v>
      </c>
      <c r="E1298" s="100" t="s">
        <v>41</v>
      </c>
      <c r="F1298" s="127">
        <v>46046</v>
      </c>
    </row>
    <row r="1299" spans="1:6" x14ac:dyDescent="0.25">
      <c r="A1299" s="11">
        <v>242</v>
      </c>
      <c r="B1299" s="42" t="s">
        <v>1394</v>
      </c>
      <c r="C1299" s="23" t="s">
        <v>6</v>
      </c>
      <c r="D1299" s="23" t="s">
        <v>6</v>
      </c>
      <c r="E1299" s="101" t="s">
        <v>46</v>
      </c>
      <c r="F1299" s="127">
        <v>46055</v>
      </c>
    </row>
    <row r="1300" spans="1:6" x14ac:dyDescent="0.25">
      <c r="A1300" s="11">
        <v>243</v>
      </c>
      <c r="B1300" s="42" t="s">
        <v>1511</v>
      </c>
      <c r="C1300" s="23" t="s">
        <v>6</v>
      </c>
      <c r="D1300" s="23" t="s">
        <v>6</v>
      </c>
      <c r="E1300" s="101" t="s">
        <v>46</v>
      </c>
      <c r="F1300" s="127">
        <v>46075</v>
      </c>
    </row>
    <row r="1301" spans="1:6" x14ac:dyDescent="0.25">
      <c r="A1301" s="11">
        <v>244</v>
      </c>
      <c r="B1301" s="42" t="s">
        <v>1373</v>
      </c>
      <c r="C1301" s="23" t="s">
        <v>6</v>
      </c>
      <c r="D1301" s="23" t="s">
        <v>6</v>
      </c>
      <c r="E1301" s="101" t="s">
        <v>46</v>
      </c>
      <c r="F1301" s="127">
        <v>46055</v>
      </c>
    </row>
    <row r="1302" spans="1:6" x14ac:dyDescent="0.25">
      <c r="A1302" s="11">
        <v>245</v>
      </c>
      <c r="B1302" s="42" t="s">
        <v>1374</v>
      </c>
      <c r="C1302" s="23" t="s">
        <v>6</v>
      </c>
      <c r="D1302" s="23" t="s">
        <v>6</v>
      </c>
      <c r="E1302" s="101" t="s">
        <v>46</v>
      </c>
      <c r="F1302" s="127">
        <v>46046</v>
      </c>
    </row>
    <row r="1303" spans="1:6" x14ac:dyDescent="0.25">
      <c r="A1303" s="11">
        <v>246</v>
      </c>
      <c r="B1303" s="42" t="s">
        <v>1378</v>
      </c>
      <c r="C1303" s="23" t="s">
        <v>6</v>
      </c>
      <c r="D1303" s="23" t="s">
        <v>6</v>
      </c>
      <c r="E1303" s="101" t="s">
        <v>46</v>
      </c>
      <c r="F1303" s="127">
        <v>46046</v>
      </c>
    </row>
    <row r="1304" spans="1:6" x14ac:dyDescent="0.25">
      <c r="A1304" s="11">
        <v>247</v>
      </c>
      <c r="B1304" s="42" t="s">
        <v>1381</v>
      </c>
      <c r="C1304" s="23" t="s">
        <v>6</v>
      </c>
      <c r="D1304" s="23" t="s">
        <v>6</v>
      </c>
      <c r="E1304" s="101" t="s">
        <v>46</v>
      </c>
      <c r="F1304" s="127">
        <v>46046</v>
      </c>
    </row>
    <row r="1305" spans="1:6" ht="15.75" x14ac:dyDescent="0.25">
      <c r="A1305" s="11">
        <v>248</v>
      </c>
      <c r="B1305" s="42" t="s">
        <v>489</v>
      </c>
      <c r="C1305" s="23" t="s">
        <v>6</v>
      </c>
      <c r="D1305" s="23" t="s">
        <v>6</v>
      </c>
      <c r="E1305" s="102" t="s">
        <v>46</v>
      </c>
      <c r="F1305" s="127">
        <v>46055</v>
      </c>
    </row>
    <row r="1306" spans="1:6" x14ac:dyDescent="0.25">
      <c r="A1306" s="11">
        <v>249</v>
      </c>
      <c r="B1306" s="42" t="s">
        <v>1062</v>
      </c>
      <c r="C1306" s="23" t="s">
        <v>6</v>
      </c>
      <c r="D1306" s="23" t="s">
        <v>6</v>
      </c>
      <c r="E1306" s="101" t="s">
        <v>46</v>
      </c>
      <c r="F1306" s="127">
        <v>46046</v>
      </c>
    </row>
    <row r="1307" spans="1:6" x14ac:dyDescent="0.25">
      <c r="A1307" s="11">
        <v>250</v>
      </c>
      <c r="B1307" s="42" t="s">
        <v>1395</v>
      </c>
      <c r="C1307" s="23" t="s">
        <v>6</v>
      </c>
      <c r="D1307" s="23" t="s">
        <v>6</v>
      </c>
      <c r="E1307" s="101" t="s">
        <v>46</v>
      </c>
      <c r="F1307" s="127">
        <v>46046</v>
      </c>
    </row>
    <row r="1308" spans="1:6" x14ac:dyDescent="0.25">
      <c r="A1308" s="11">
        <v>251</v>
      </c>
      <c r="B1308" s="42" t="s">
        <v>1396</v>
      </c>
      <c r="C1308" s="23" t="s">
        <v>6</v>
      </c>
      <c r="D1308" s="23" t="s">
        <v>6</v>
      </c>
      <c r="E1308" s="101" t="s">
        <v>46</v>
      </c>
      <c r="F1308" s="127">
        <v>46046</v>
      </c>
    </row>
    <row r="1309" spans="1:6" ht="15.75" x14ac:dyDescent="0.25">
      <c r="A1309" s="11">
        <v>252</v>
      </c>
      <c r="B1309" s="42" t="s">
        <v>1401</v>
      </c>
      <c r="C1309" s="23" t="s">
        <v>6</v>
      </c>
      <c r="D1309" s="23" t="s">
        <v>6</v>
      </c>
      <c r="E1309" s="102" t="s">
        <v>154</v>
      </c>
      <c r="F1309" s="127">
        <v>46055</v>
      </c>
    </row>
    <row r="1310" spans="1:6" x14ac:dyDescent="0.25">
      <c r="A1310" s="11">
        <v>253</v>
      </c>
      <c r="B1310" s="42" t="s">
        <v>1414</v>
      </c>
      <c r="C1310" s="23" t="s">
        <v>6</v>
      </c>
      <c r="D1310" s="23" t="s">
        <v>6</v>
      </c>
      <c r="E1310" s="101" t="s">
        <v>46</v>
      </c>
      <c r="F1310" s="127">
        <v>46055</v>
      </c>
    </row>
    <row r="1311" spans="1:6" x14ac:dyDescent="0.25">
      <c r="A1311" s="11">
        <v>254</v>
      </c>
      <c r="B1311" s="42" t="s">
        <v>1399</v>
      </c>
      <c r="C1311" s="23" t="s">
        <v>6</v>
      </c>
      <c r="D1311" s="23" t="s">
        <v>6</v>
      </c>
      <c r="E1311" s="101" t="s">
        <v>46</v>
      </c>
      <c r="F1311" s="127">
        <v>46055</v>
      </c>
    </row>
    <row r="1312" spans="1:6" x14ac:dyDescent="0.25">
      <c r="A1312" s="11">
        <v>255</v>
      </c>
      <c r="B1312" s="42" t="s">
        <v>1400</v>
      </c>
      <c r="C1312" s="23" t="s">
        <v>6</v>
      </c>
      <c r="D1312" s="23" t="s">
        <v>6</v>
      </c>
      <c r="E1312" s="101" t="s">
        <v>46</v>
      </c>
      <c r="F1312" s="127">
        <v>46055</v>
      </c>
    </row>
    <row r="1313" spans="1:6" x14ac:dyDescent="0.25">
      <c r="A1313" s="11">
        <v>256</v>
      </c>
      <c r="B1313" s="42" t="s">
        <v>1398</v>
      </c>
      <c r="C1313" s="23" t="s">
        <v>6</v>
      </c>
      <c r="D1313" s="23" t="s">
        <v>6</v>
      </c>
      <c r="E1313" s="101" t="s">
        <v>46</v>
      </c>
      <c r="F1313" s="127">
        <v>46055</v>
      </c>
    </row>
    <row r="1314" spans="1:6" ht="15.75" x14ac:dyDescent="0.25">
      <c r="A1314" s="11">
        <v>257</v>
      </c>
      <c r="B1314" s="42" t="s">
        <v>236</v>
      </c>
      <c r="C1314" s="23" t="s">
        <v>6</v>
      </c>
      <c r="D1314" s="23" t="s">
        <v>6</v>
      </c>
      <c r="E1314" s="102" t="s">
        <v>46</v>
      </c>
      <c r="F1314" s="127">
        <v>46061</v>
      </c>
    </row>
    <row r="1315" spans="1:6" x14ac:dyDescent="0.25">
      <c r="A1315" s="11">
        <v>258</v>
      </c>
      <c r="B1315" s="42" t="s">
        <v>1416</v>
      </c>
      <c r="C1315" s="23" t="s">
        <v>6</v>
      </c>
      <c r="D1315" s="23" t="s">
        <v>6</v>
      </c>
      <c r="E1315" s="101" t="s">
        <v>46</v>
      </c>
      <c r="F1315" s="127">
        <v>46055</v>
      </c>
    </row>
    <row r="1316" spans="1:6" x14ac:dyDescent="0.25">
      <c r="A1316" s="11">
        <v>259</v>
      </c>
      <c r="B1316" s="8" t="s">
        <v>252</v>
      </c>
      <c r="C1316" s="23" t="s">
        <v>6</v>
      </c>
      <c r="D1316" s="23" t="s">
        <v>6</v>
      </c>
      <c r="E1316" s="104" t="s">
        <v>46</v>
      </c>
      <c r="F1316" s="127">
        <v>46061</v>
      </c>
    </row>
    <row r="1317" spans="1:6" x14ac:dyDescent="0.25">
      <c r="A1317" s="11">
        <v>260</v>
      </c>
      <c r="B1317" s="42" t="s">
        <v>1423</v>
      </c>
      <c r="C1317" s="23" t="s">
        <v>6</v>
      </c>
      <c r="D1317" s="23" t="s">
        <v>6</v>
      </c>
      <c r="E1317" s="101" t="s">
        <v>46</v>
      </c>
      <c r="F1317" s="127">
        <v>46055</v>
      </c>
    </row>
    <row r="1318" spans="1:6" x14ac:dyDescent="0.25">
      <c r="A1318" s="11">
        <v>261</v>
      </c>
      <c r="B1318" s="8" t="s">
        <v>241</v>
      </c>
      <c r="C1318" s="23" t="s">
        <v>6</v>
      </c>
      <c r="D1318" s="23" t="s">
        <v>6</v>
      </c>
      <c r="E1318" s="104" t="s">
        <v>46</v>
      </c>
      <c r="F1318" s="127">
        <v>46061</v>
      </c>
    </row>
    <row r="1319" spans="1:6" x14ac:dyDescent="0.25">
      <c r="A1319" s="11">
        <v>262</v>
      </c>
      <c r="B1319" s="42" t="s">
        <v>1424</v>
      </c>
      <c r="C1319" s="23" t="s">
        <v>6</v>
      </c>
      <c r="D1319" s="23" t="s">
        <v>6</v>
      </c>
      <c r="E1319" s="101" t="s">
        <v>46</v>
      </c>
      <c r="F1319" s="127">
        <v>46055</v>
      </c>
    </row>
    <row r="1320" spans="1:6" x14ac:dyDescent="0.25">
      <c r="A1320" s="11">
        <v>263</v>
      </c>
      <c r="B1320" s="42" t="s">
        <v>1444</v>
      </c>
      <c r="C1320" s="23" t="s">
        <v>6</v>
      </c>
      <c r="D1320" s="23" t="s">
        <v>6</v>
      </c>
      <c r="E1320" s="101" t="s">
        <v>46</v>
      </c>
      <c r="F1320" s="127">
        <v>46061</v>
      </c>
    </row>
    <row r="1321" spans="1:6" x14ac:dyDescent="0.25">
      <c r="A1321" s="11">
        <v>264</v>
      </c>
      <c r="B1321" s="42" t="s">
        <v>1443</v>
      </c>
      <c r="C1321" s="23" t="s">
        <v>6</v>
      </c>
      <c r="D1321" s="23" t="s">
        <v>6</v>
      </c>
      <c r="E1321" s="101" t="s">
        <v>46</v>
      </c>
      <c r="F1321" s="127">
        <v>46061</v>
      </c>
    </row>
    <row r="1322" spans="1:6" x14ac:dyDescent="0.25">
      <c r="A1322" s="11">
        <v>265</v>
      </c>
      <c r="B1322" s="42" t="s">
        <v>1445</v>
      </c>
      <c r="C1322" s="23" t="s">
        <v>6</v>
      </c>
      <c r="D1322" s="23" t="s">
        <v>6</v>
      </c>
      <c r="E1322" s="101" t="s">
        <v>46</v>
      </c>
      <c r="F1322" s="127">
        <v>46061</v>
      </c>
    </row>
    <row r="1323" spans="1:6" x14ac:dyDescent="0.25">
      <c r="A1323" s="11">
        <v>266</v>
      </c>
      <c r="B1323" s="42" t="s">
        <v>303</v>
      </c>
      <c r="C1323" s="23" t="s">
        <v>6</v>
      </c>
      <c r="D1323" s="23" t="s">
        <v>6</v>
      </c>
      <c r="E1323" s="101" t="s">
        <v>46</v>
      </c>
      <c r="F1323" s="127">
        <v>46061</v>
      </c>
    </row>
    <row r="1324" spans="1:6" x14ac:dyDescent="0.25">
      <c r="A1324" s="11">
        <v>267</v>
      </c>
      <c r="B1324" s="42" t="s">
        <v>1490</v>
      </c>
      <c r="C1324" s="23" t="s">
        <v>6</v>
      </c>
      <c r="D1324" s="23" t="s">
        <v>6</v>
      </c>
      <c r="E1324" s="101" t="s">
        <v>46</v>
      </c>
      <c r="F1324" s="127">
        <v>46068</v>
      </c>
    </row>
    <row r="1325" spans="1:6" x14ac:dyDescent="0.25">
      <c r="A1325" s="11">
        <v>268</v>
      </c>
      <c r="B1325" s="42" t="s">
        <v>1492</v>
      </c>
      <c r="C1325" s="23" t="s">
        <v>6</v>
      </c>
      <c r="D1325" s="23" t="s">
        <v>6</v>
      </c>
      <c r="E1325" s="101" t="s">
        <v>46</v>
      </c>
      <c r="F1325" s="127">
        <v>46068</v>
      </c>
    </row>
    <row r="1326" spans="1:6" x14ac:dyDescent="0.25">
      <c r="A1326" s="11">
        <v>269</v>
      </c>
      <c r="B1326" s="42" t="s">
        <v>1493</v>
      </c>
      <c r="C1326" s="23" t="s">
        <v>6</v>
      </c>
      <c r="D1326" s="23" t="s">
        <v>6</v>
      </c>
      <c r="E1326" s="101" t="s">
        <v>46</v>
      </c>
      <c r="F1326" s="127">
        <v>46075</v>
      </c>
    </row>
    <row r="1327" spans="1:6" x14ac:dyDescent="0.25">
      <c r="A1327" s="11">
        <v>270</v>
      </c>
      <c r="B1327" s="42" t="s">
        <v>1497</v>
      </c>
      <c r="C1327" s="23" t="s">
        <v>6</v>
      </c>
      <c r="D1327" s="23" t="s">
        <v>6</v>
      </c>
      <c r="E1327" s="101" t="s">
        <v>46</v>
      </c>
      <c r="F1327" s="127">
        <v>46075</v>
      </c>
    </row>
    <row r="1328" spans="1:6" x14ac:dyDescent="0.25">
      <c r="A1328" s="11">
        <v>271</v>
      </c>
      <c r="B1328" s="42" t="s">
        <v>1498</v>
      </c>
      <c r="C1328" s="23" t="s">
        <v>6</v>
      </c>
      <c r="D1328" s="23" t="s">
        <v>6</v>
      </c>
      <c r="E1328" s="101" t="s">
        <v>46</v>
      </c>
      <c r="F1328" s="127">
        <v>46075</v>
      </c>
    </row>
    <row r="1329" spans="1:6" x14ac:dyDescent="0.25">
      <c r="A1329" s="11">
        <v>272</v>
      </c>
      <c r="B1329" s="42" t="s">
        <v>1499</v>
      </c>
      <c r="C1329" s="23" t="s">
        <v>6</v>
      </c>
      <c r="D1329" s="23" t="s">
        <v>6</v>
      </c>
      <c r="E1329" s="101" t="s">
        <v>46</v>
      </c>
      <c r="F1329" s="127">
        <v>46075</v>
      </c>
    </row>
    <row r="1330" spans="1:6" x14ac:dyDescent="0.25">
      <c r="A1330" s="11">
        <v>273</v>
      </c>
      <c r="B1330" s="42" t="s">
        <v>1500</v>
      </c>
      <c r="C1330" s="23" t="s">
        <v>6</v>
      </c>
      <c r="D1330" s="23" t="s">
        <v>6</v>
      </c>
      <c r="E1330" s="101" t="s">
        <v>46</v>
      </c>
      <c r="F1330" s="127">
        <v>46075</v>
      </c>
    </row>
    <row r="1331" spans="1:6" x14ac:dyDescent="0.25">
      <c r="A1331" s="11">
        <v>274</v>
      </c>
      <c r="B1331" s="42" t="s">
        <v>716</v>
      </c>
      <c r="C1331" s="23" t="s">
        <v>6</v>
      </c>
      <c r="D1331" s="23" t="s">
        <v>6</v>
      </c>
      <c r="E1331" s="101" t="s">
        <v>46</v>
      </c>
      <c r="F1331" s="127">
        <v>46095</v>
      </c>
    </row>
    <row r="1332" spans="1:6" x14ac:dyDescent="0.25">
      <c r="A1332" s="11">
        <v>275</v>
      </c>
      <c r="B1332" s="42" t="s">
        <v>1489</v>
      </c>
      <c r="C1332" s="23" t="s">
        <v>6</v>
      </c>
      <c r="D1332" s="23" t="s">
        <v>6</v>
      </c>
      <c r="E1332" s="101" t="s">
        <v>46</v>
      </c>
      <c r="F1332" s="127">
        <v>46089</v>
      </c>
    </row>
    <row r="1333" spans="1:6" x14ac:dyDescent="0.25">
      <c r="A1333" s="11">
        <v>276</v>
      </c>
      <c r="B1333" s="8" t="s">
        <v>708</v>
      </c>
      <c r="C1333" s="23" t="s">
        <v>6</v>
      </c>
      <c r="D1333" s="23" t="s">
        <v>6</v>
      </c>
      <c r="E1333" s="103" t="s">
        <v>359</v>
      </c>
      <c r="F1333" s="127">
        <v>46082</v>
      </c>
    </row>
    <row r="1334" spans="1:6" x14ac:dyDescent="0.25">
      <c r="A1334" s="11">
        <v>277</v>
      </c>
      <c r="B1334" s="8" t="s">
        <v>255</v>
      </c>
      <c r="C1334" s="23" t="s">
        <v>6</v>
      </c>
      <c r="D1334" s="23" t="s">
        <v>6</v>
      </c>
      <c r="E1334" s="104" t="s">
        <v>359</v>
      </c>
      <c r="F1334" s="127">
        <v>46095</v>
      </c>
    </row>
    <row r="1335" spans="1:6" x14ac:dyDescent="0.25">
      <c r="A1335" s="11">
        <v>278</v>
      </c>
      <c r="B1335" s="42" t="s">
        <v>1364</v>
      </c>
      <c r="C1335" s="23" t="s">
        <v>6</v>
      </c>
      <c r="D1335" s="23" t="s">
        <v>6</v>
      </c>
      <c r="E1335" s="101" t="s">
        <v>46</v>
      </c>
      <c r="F1335" s="127">
        <v>46095</v>
      </c>
    </row>
    <row r="1336" spans="1:6" x14ac:dyDescent="0.25">
      <c r="A1336" s="11">
        <v>279</v>
      </c>
      <c r="B1336" s="42" t="s">
        <v>1363</v>
      </c>
      <c r="C1336" s="23" t="s">
        <v>6</v>
      </c>
      <c r="D1336" s="23" t="s">
        <v>6</v>
      </c>
      <c r="E1336" s="101" t="s">
        <v>46</v>
      </c>
      <c r="F1336" s="127">
        <v>46095</v>
      </c>
    </row>
    <row r="1337" spans="1:6" x14ac:dyDescent="0.25">
      <c r="A1337" s="11">
        <v>280</v>
      </c>
      <c r="B1337" s="42" t="s">
        <v>1474</v>
      </c>
      <c r="C1337" s="23" t="s">
        <v>6</v>
      </c>
      <c r="D1337" s="23" t="s">
        <v>6</v>
      </c>
      <c r="E1337" s="101" t="s">
        <v>46</v>
      </c>
      <c r="F1337" s="127">
        <v>46082</v>
      </c>
    </row>
    <row r="1338" spans="1:6" x14ac:dyDescent="0.25">
      <c r="A1338" s="11">
        <v>281</v>
      </c>
      <c r="B1338" s="42" t="s">
        <v>1494</v>
      </c>
      <c r="C1338" s="23" t="s">
        <v>6</v>
      </c>
      <c r="D1338" s="23" t="s">
        <v>6</v>
      </c>
      <c r="E1338" s="101" t="s">
        <v>46</v>
      </c>
      <c r="F1338" s="127">
        <v>46082</v>
      </c>
    </row>
    <row r="1339" spans="1:6" x14ac:dyDescent="0.25">
      <c r="A1339" s="11">
        <v>282</v>
      </c>
      <c r="B1339" s="42" t="s">
        <v>1526</v>
      </c>
      <c r="C1339" s="23" t="s">
        <v>6</v>
      </c>
      <c r="D1339" s="23" t="s">
        <v>6</v>
      </c>
      <c r="E1339" s="101" t="s">
        <v>46</v>
      </c>
      <c r="F1339" s="127">
        <v>46095</v>
      </c>
    </row>
    <row r="1340" spans="1:6" x14ac:dyDescent="0.25">
      <c r="A1340" s="11">
        <v>283</v>
      </c>
      <c r="B1340" s="42" t="s">
        <v>1566</v>
      </c>
      <c r="C1340" s="23" t="s">
        <v>6</v>
      </c>
      <c r="D1340" s="23" t="s">
        <v>6</v>
      </c>
      <c r="E1340" s="101" t="s">
        <v>1567</v>
      </c>
      <c r="F1340" s="127">
        <v>46089</v>
      </c>
    </row>
    <row r="1341" spans="1:6" x14ac:dyDescent="0.25">
      <c r="A1341" s="11">
        <v>284</v>
      </c>
      <c r="B1341" s="42" t="s">
        <v>1527</v>
      </c>
      <c r="C1341" s="23" t="s">
        <v>6</v>
      </c>
      <c r="D1341" s="23" t="s">
        <v>6</v>
      </c>
      <c r="E1341" s="101" t="s">
        <v>46</v>
      </c>
      <c r="F1341" s="127">
        <v>46095</v>
      </c>
    </row>
    <row r="1342" spans="1:6" x14ac:dyDescent="0.25">
      <c r="A1342" s="11">
        <v>285</v>
      </c>
      <c r="B1342" s="89" t="s">
        <v>1548</v>
      </c>
      <c r="C1342" s="23" t="s">
        <v>6</v>
      </c>
      <c r="D1342" s="23" t="s">
        <v>6</v>
      </c>
      <c r="E1342" s="101" t="s">
        <v>46</v>
      </c>
      <c r="F1342" s="127">
        <v>46082</v>
      </c>
    </row>
    <row r="1343" spans="1:6" x14ac:dyDescent="0.25">
      <c r="A1343" s="11">
        <v>286</v>
      </c>
      <c r="B1343" s="42" t="s">
        <v>1549</v>
      </c>
      <c r="C1343" s="23" t="s">
        <v>6</v>
      </c>
      <c r="D1343" s="23" t="s">
        <v>6</v>
      </c>
      <c r="E1343" s="101" t="s">
        <v>46</v>
      </c>
      <c r="F1343" s="127">
        <v>46082</v>
      </c>
    </row>
    <row r="1344" spans="1:6" x14ac:dyDescent="0.25">
      <c r="A1344" s="11">
        <v>287</v>
      </c>
      <c r="B1344" s="42" t="s">
        <v>1550</v>
      </c>
      <c r="C1344" s="23" t="s">
        <v>6</v>
      </c>
      <c r="D1344" s="23" t="s">
        <v>6</v>
      </c>
      <c r="E1344" s="101" t="s">
        <v>46</v>
      </c>
      <c r="F1344" s="127">
        <v>46082</v>
      </c>
    </row>
    <row r="1345" spans="1:6" x14ac:dyDescent="0.25">
      <c r="A1345" s="11">
        <v>288</v>
      </c>
      <c r="B1345" s="42" t="s">
        <v>1551</v>
      </c>
      <c r="C1345" s="23" t="s">
        <v>6</v>
      </c>
      <c r="D1345" s="23" t="s">
        <v>6</v>
      </c>
      <c r="E1345" s="101" t="s">
        <v>46</v>
      </c>
      <c r="F1345" s="127">
        <v>46082</v>
      </c>
    </row>
    <row r="1346" spans="1:6" x14ac:dyDescent="0.25">
      <c r="A1346" s="11">
        <v>289</v>
      </c>
      <c r="B1346" s="42" t="s">
        <v>1552</v>
      </c>
      <c r="C1346" s="23" t="s">
        <v>6</v>
      </c>
      <c r="D1346" s="23" t="s">
        <v>6</v>
      </c>
      <c r="E1346" s="101" t="s">
        <v>46</v>
      </c>
      <c r="F1346" s="127">
        <v>46082</v>
      </c>
    </row>
    <row r="1347" spans="1:6" x14ac:dyDescent="0.25">
      <c r="A1347" s="11">
        <v>290</v>
      </c>
      <c r="B1347" s="42" t="s">
        <v>1553</v>
      </c>
      <c r="C1347" s="23" t="s">
        <v>6</v>
      </c>
      <c r="D1347" s="23" t="s">
        <v>6</v>
      </c>
      <c r="E1347" s="101" t="s">
        <v>46</v>
      </c>
      <c r="F1347" s="127">
        <v>46082</v>
      </c>
    </row>
    <row r="1348" spans="1:6" x14ac:dyDescent="0.25">
      <c r="A1348" s="11">
        <v>291</v>
      </c>
      <c r="B1348" s="42" t="s">
        <v>1554</v>
      </c>
      <c r="C1348" s="23" t="s">
        <v>6</v>
      </c>
      <c r="D1348" s="23" t="s">
        <v>6</v>
      </c>
      <c r="E1348" s="101" t="s">
        <v>46</v>
      </c>
      <c r="F1348" s="127">
        <v>46082</v>
      </c>
    </row>
    <row r="1349" spans="1:6" x14ac:dyDescent="0.25">
      <c r="A1349" s="11">
        <v>292</v>
      </c>
      <c r="B1349" s="42" t="s">
        <v>1555</v>
      </c>
      <c r="C1349" s="23" t="s">
        <v>6</v>
      </c>
      <c r="D1349" s="23" t="s">
        <v>6</v>
      </c>
      <c r="E1349" s="101" t="s">
        <v>46</v>
      </c>
      <c r="F1349" s="127">
        <v>46082</v>
      </c>
    </row>
    <row r="1350" spans="1:6" x14ac:dyDescent="0.25">
      <c r="A1350" s="11">
        <v>293</v>
      </c>
      <c r="B1350" s="42" t="s">
        <v>1556</v>
      </c>
      <c r="C1350" s="23" t="s">
        <v>6</v>
      </c>
      <c r="D1350" s="23" t="s">
        <v>6</v>
      </c>
      <c r="E1350" s="101" t="s">
        <v>46</v>
      </c>
      <c r="F1350" s="127">
        <v>46082</v>
      </c>
    </row>
    <row r="1351" spans="1:6" x14ac:dyDescent="0.25">
      <c r="A1351" s="11">
        <v>294</v>
      </c>
      <c r="B1351" s="42" t="s">
        <v>1557</v>
      </c>
      <c r="C1351" s="23" t="s">
        <v>6</v>
      </c>
      <c r="D1351" s="23" t="s">
        <v>6</v>
      </c>
      <c r="E1351" s="101" t="s">
        <v>46</v>
      </c>
      <c r="F1351" s="127">
        <v>46082</v>
      </c>
    </row>
    <row r="1352" spans="1:6" x14ac:dyDescent="0.25">
      <c r="A1352" s="11">
        <v>295</v>
      </c>
      <c r="B1352" s="42" t="s">
        <v>1558</v>
      </c>
      <c r="C1352" s="23" t="s">
        <v>6</v>
      </c>
      <c r="D1352" s="23" t="s">
        <v>6</v>
      </c>
      <c r="E1352" s="101" t="s">
        <v>46</v>
      </c>
      <c r="F1352" s="127">
        <v>46082</v>
      </c>
    </row>
    <row r="1353" spans="1:6" x14ac:dyDescent="0.25">
      <c r="A1353" s="11">
        <v>296</v>
      </c>
      <c r="B1353" s="42" t="s">
        <v>1559</v>
      </c>
      <c r="C1353" s="23" t="s">
        <v>6</v>
      </c>
      <c r="D1353" s="23" t="s">
        <v>6</v>
      </c>
      <c r="E1353" s="101" t="s">
        <v>46</v>
      </c>
      <c r="F1353" s="127">
        <v>46082</v>
      </c>
    </row>
    <row r="1354" spans="1:6" x14ac:dyDescent="0.25">
      <c r="A1354" s="11">
        <v>297</v>
      </c>
      <c r="B1354" s="42" t="s">
        <v>301</v>
      </c>
      <c r="C1354" s="23" t="s">
        <v>6</v>
      </c>
      <c r="D1354" s="23" t="s">
        <v>6</v>
      </c>
      <c r="E1354" s="101" t="s">
        <v>46</v>
      </c>
      <c r="F1354" s="127">
        <v>46082</v>
      </c>
    </row>
    <row r="1355" spans="1:6" x14ac:dyDescent="0.25">
      <c r="A1355" s="11">
        <v>298</v>
      </c>
      <c r="B1355" s="42" t="s">
        <v>1536</v>
      </c>
      <c r="C1355" s="23" t="s">
        <v>6</v>
      </c>
      <c r="D1355" s="23" t="s">
        <v>6</v>
      </c>
      <c r="E1355" s="101" t="s">
        <v>46</v>
      </c>
      <c r="F1355" s="127">
        <v>46082</v>
      </c>
    </row>
    <row r="1356" spans="1:6" x14ac:dyDescent="0.25">
      <c r="A1356" s="11">
        <v>299</v>
      </c>
      <c r="B1356" s="42" t="s">
        <v>1534</v>
      </c>
      <c r="C1356" s="23" t="s">
        <v>6</v>
      </c>
      <c r="D1356" s="23" t="s">
        <v>6</v>
      </c>
      <c r="E1356" s="101" t="s">
        <v>46</v>
      </c>
      <c r="F1356" s="127">
        <v>46082</v>
      </c>
    </row>
    <row r="1357" spans="1:6" x14ac:dyDescent="0.25">
      <c r="A1357" s="11">
        <v>300</v>
      </c>
      <c r="B1357" s="42" t="s">
        <v>1535</v>
      </c>
      <c r="C1357" s="23" t="s">
        <v>6</v>
      </c>
      <c r="D1357" s="23" t="s">
        <v>6</v>
      </c>
      <c r="E1357" s="101" t="s">
        <v>46</v>
      </c>
      <c r="F1357" s="127">
        <v>46089</v>
      </c>
    </row>
    <row r="1358" spans="1:6" x14ac:dyDescent="0.25">
      <c r="A1358" s="11">
        <v>301</v>
      </c>
      <c r="B1358" s="42" t="s">
        <v>1534</v>
      </c>
      <c r="C1358" s="23" t="s">
        <v>6</v>
      </c>
      <c r="D1358" s="23" t="s">
        <v>6</v>
      </c>
      <c r="E1358" s="101" t="s">
        <v>46</v>
      </c>
      <c r="F1358" s="127">
        <v>46082</v>
      </c>
    </row>
    <row r="1359" spans="1:6" x14ac:dyDescent="0.25">
      <c r="A1359" s="11">
        <v>302</v>
      </c>
      <c r="B1359" s="42" t="s">
        <v>1538</v>
      </c>
      <c r="C1359" s="23" t="s">
        <v>6</v>
      </c>
      <c r="D1359" s="23" t="s">
        <v>6</v>
      </c>
      <c r="E1359" s="101" t="s">
        <v>46</v>
      </c>
      <c r="F1359" s="127">
        <v>46082</v>
      </c>
    </row>
    <row r="1360" spans="1:6" x14ac:dyDescent="0.25">
      <c r="A1360" s="11">
        <v>303</v>
      </c>
      <c r="B1360" s="42" t="s">
        <v>248</v>
      </c>
      <c r="C1360" s="23" t="s">
        <v>6</v>
      </c>
      <c r="D1360" s="23" t="s">
        <v>6</v>
      </c>
      <c r="E1360" s="101" t="s">
        <v>46</v>
      </c>
      <c r="F1360" s="127">
        <v>46095</v>
      </c>
    </row>
    <row r="1361" spans="1:6" x14ac:dyDescent="0.25">
      <c r="A1361" s="11">
        <v>304</v>
      </c>
      <c r="B1361" s="8" t="s">
        <v>1596</v>
      </c>
      <c r="C1361" s="23" t="s">
        <v>6</v>
      </c>
      <c r="D1361" s="23" t="s">
        <v>6</v>
      </c>
      <c r="E1361" s="104" t="s">
        <v>46</v>
      </c>
      <c r="F1361" s="127">
        <v>46104</v>
      </c>
    </row>
    <row r="1362" spans="1:6" x14ac:dyDescent="0.25">
      <c r="A1362" s="11">
        <v>305</v>
      </c>
      <c r="B1362" s="8" t="s">
        <v>1597</v>
      </c>
      <c r="C1362" s="23" t="s">
        <v>6</v>
      </c>
      <c r="D1362" s="23" t="s">
        <v>6</v>
      </c>
      <c r="E1362" s="104"/>
      <c r="F1362" s="127">
        <v>46104</v>
      </c>
    </row>
    <row r="1363" spans="1:6" x14ac:dyDescent="0.25">
      <c r="A1363" s="11">
        <v>306</v>
      </c>
      <c r="B1363" s="42" t="s">
        <v>572</v>
      </c>
      <c r="C1363" s="23" t="s">
        <v>6</v>
      </c>
      <c r="D1363" s="23" t="s">
        <v>6</v>
      </c>
      <c r="E1363" s="104" t="s">
        <v>46</v>
      </c>
      <c r="F1363" s="127">
        <v>46104</v>
      </c>
    </row>
    <row r="1364" spans="1:6" ht="15.75" x14ac:dyDescent="0.25">
      <c r="A1364" s="11">
        <v>307</v>
      </c>
      <c r="B1364" s="42" t="s">
        <v>1272</v>
      </c>
      <c r="C1364" s="23" t="s">
        <v>6</v>
      </c>
      <c r="D1364" s="23" t="s">
        <v>6</v>
      </c>
      <c r="E1364" s="102" t="s">
        <v>46</v>
      </c>
      <c r="F1364" s="127">
        <v>46104</v>
      </c>
    </row>
    <row r="1365" spans="1:6" ht="15.75" x14ac:dyDescent="0.25">
      <c r="A1365" s="11">
        <v>308</v>
      </c>
      <c r="B1365" s="42" t="s">
        <v>1297</v>
      </c>
      <c r="C1365" s="23" t="s">
        <v>6</v>
      </c>
      <c r="D1365" s="23" t="s">
        <v>6</v>
      </c>
      <c r="E1365" s="102" t="s">
        <v>46</v>
      </c>
      <c r="F1365" s="127">
        <v>46104</v>
      </c>
    </row>
    <row r="1366" spans="1:6" ht="15.75" x14ac:dyDescent="0.25">
      <c r="A1366" s="11">
        <v>309</v>
      </c>
      <c r="B1366" s="42" t="s">
        <v>1270</v>
      </c>
      <c r="C1366" s="23" t="s">
        <v>6</v>
      </c>
      <c r="D1366" s="23" t="s">
        <v>6</v>
      </c>
      <c r="E1366" s="102" t="s">
        <v>46</v>
      </c>
      <c r="F1366" s="127">
        <v>46104</v>
      </c>
    </row>
    <row r="1367" spans="1:6" ht="15.75" x14ac:dyDescent="0.25">
      <c r="A1367" s="11">
        <v>310</v>
      </c>
      <c r="B1367" s="42" t="s">
        <v>1077</v>
      </c>
      <c r="C1367" s="23" t="s">
        <v>6</v>
      </c>
      <c r="D1367" s="23" t="s">
        <v>6</v>
      </c>
      <c r="E1367" s="102" t="s">
        <v>154</v>
      </c>
      <c r="F1367" s="127">
        <v>46104</v>
      </c>
    </row>
    <row r="1368" spans="1:6" x14ac:dyDescent="0.25">
      <c r="A1368" s="11">
        <v>311</v>
      </c>
      <c r="B1368" s="42" t="s">
        <v>1143</v>
      </c>
      <c r="C1368" s="23" t="s">
        <v>6</v>
      </c>
      <c r="D1368" s="23" t="s">
        <v>6</v>
      </c>
      <c r="E1368" s="101" t="s">
        <v>46</v>
      </c>
      <c r="F1368" s="127">
        <v>46104</v>
      </c>
    </row>
    <row r="1369" spans="1:6" ht="15.75" x14ac:dyDescent="0.25">
      <c r="A1369" s="11">
        <v>312</v>
      </c>
      <c r="B1369" s="8" t="s">
        <v>273</v>
      </c>
      <c r="C1369" s="23" t="s">
        <v>6</v>
      </c>
      <c r="D1369" s="23" t="s">
        <v>6</v>
      </c>
      <c r="E1369" s="100" t="s">
        <v>41</v>
      </c>
      <c r="F1369" s="127">
        <v>46104</v>
      </c>
    </row>
    <row r="1370" spans="1:6" x14ac:dyDescent="0.25">
      <c r="A1370" s="11">
        <v>313</v>
      </c>
      <c r="B1370" s="8" t="s">
        <v>257</v>
      </c>
      <c r="C1370" s="23" t="s">
        <v>6</v>
      </c>
      <c r="D1370" s="23" t="s">
        <v>6</v>
      </c>
      <c r="E1370" s="104" t="s">
        <v>41</v>
      </c>
      <c r="F1370" s="127">
        <v>46104</v>
      </c>
    </row>
    <row r="1371" spans="1:6" x14ac:dyDescent="0.25">
      <c r="A1371" s="11">
        <v>314</v>
      </c>
      <c r="B1371" s="8" t="s">
        <v>1636</v>
      </c>
      <c r="C1371" s="23" t="s">
        <v>6</v>
      </c>
      <c r="D1371" s="23" t="s">
        <v>6</v>
      </c>
      <c r="E1371" s="104" t="s">
        <v>46</v>
      </c>
      <c r="F1371" s="127">
        <v>46104</v>
      </c>
    </row>
    <row r="1372" spans="1:6" x14ac:dyDescent="0.25">
      <c r="A1372" s="11">
        <v>315</v>
      </c>
      <c r="B1372" s="42" t="s">
        <v>630</v>
      </c>
      <c r="C1372" s="23" t="s">
        <v>6</v>
      </c>
      <c r="D1372" s="23" t="s">
        <v>6</v>
      </c>
      <c r="E1372" s="101" t="s">
        <v>154</v>
      </c>
      <c r="F1372" s="127">
        <v>46104</v>
      </c>
    </row>
    <row r="1373" spans="1:6" x14ac:dyDescent="0.25">
      <c r="A1373" s="11">
        <v>316</v>
      </c>
      <c r="B1373" s="21" t="s">
        <v>260</v>
      </c>
      <c r="C1373" s="23" t="s">
        <v>6</v>
      </c>
      <c r="D1373" s="23" t="s">
        <v>6</v>
      </c>
      <c r="E1373" s="101" t="s">
        <v>40</v>
      </c>
      <c r="F1373" s="127">
        <v>46104</v>
      </c>
    </row>
    <row r="1374" spans="1:6" x14ac:dyDescent="0.25">
      <c r="A1374" s="11">
        <v>317</v>
      </c>
      <c r="B1374" s="21" t="s">
        <v>259</v>
      </c>
      <c r="C1374" s="23" t="s">
        <v>6</v>
      </c>
      <c r="D1374" s="23" t="s">
        <v>6</v>
      </c>
      <c r="E1374" s="101" t="s">
        <v>40</v>
      </c>
      <c r="F1374" s="127">
        <v>46104</v>
      </c>
    </row>
    <row r="1375" spans="1:6" ht="15.75" x14ac:dyDescent="0.25">
      <c r="A1375" s="11">
        <v>318</v>
      </c>
      <c r="B1375" s="42" t="s">
        <v>707</v>
      </c>
      <c r="C1375" s="23" t="s">
        <v>6</v>
      </c>
      <c r="D1375" s="23" t="s">
        <v>6</v>
      </c>
      <c r="E1375" s="102" t="s">
        <v>46</v>
      </c>
      <c r="F1375" s="127">
        <v>46104</v>
      </c>
    </row>
    <row r="1376" spans="1:6" x14ac:dyDescent="0.25">
      <c r="A1376" s="11">
        <v>319</v>
      </c>
      <c r="B1376" s="42" t="s">
        <v>1473</v>
      </c>
      <c r="C1376" s="23" t="s">
        <v>6</v>
      </c>
      <c r="D1376" s="23" t="s">
        <v>6</v>
      </c>
      <c r="E1376" s="101" t="s">
        <v>46</v>
      </c>
      <c r="F1376" s="127">
        <v>46104</v>
      </c>
    </row>
    <row r="1377" spans="1:6" x14ac:dyDescent="0.25">
      <c r="A1377" s="11">
        <v>320</v>
      </c>
      <c r="B1377" s="42" t="s">
        <v>1637</v>
      </c>
      <c r="C1377" s="23" t="s">
        <v>6</v>
      </c>
      <c r="D1377" s="23" t="s">
        <v>6</v>
      </c>
      <c r="E1377" s="101" t="s">
        <v>46</v>
      </c>
      <c r="F1377" s="127">
        <v>46104</v>
      </c>
    </row>
    <row r="1378" spans="1:6" x14ac:dyDescent="0.25">
      <c r="A1378" s="11">
        <v>321</v>
      </c>
      <c r="B1378" s="42" t="s">
        <v>1501</v>
      </c>
      <c r="C1378" s="23" t="s">
        <v>6</v>
      </c>
      <c r="D1378" s="23" t="s">
        <v>6</v>
      </c>
      <c r="E1378" s="101" t="s">
        <v>46</v>
      </c>
      <c r="F1378" s="127">
        <v>46104</v>
      </c>
    </row>
    <row r="1379" spans="1:6" x14ac:dyDescent="0.25">
      <c r="A1379" s="11">
        <v>322</v>
      </c>
      <c r="B1379" s="42" t="s">
        <v>1588</v>
      </c>
      <c r="C1379" s="23" t="s">
        <v>6</v>
      </c>
      <c r="D1379" s="23" t="s">
        <v>6</v>
      </c>
      <c r="E1379" s="101" t="s">
        <v>46</v>
      </c>
      <c r="F1379" s="127">
        <v>46104</v>
      </c>
    </row>
    <row r="1380" spans="1:6" x14ac:dyDescent="0.25">
      <c r="A1380" s="11">
        <v>323</v>
      </c>
      <c r="B1380" s="42" t="s">
        <v>1589</v>
      </c>
      <c r="C1380" s="23" t="s">
        <v>6</v>
      </c>
      <c r="D1380" s="23" t="s">
        <v>6</v>
      </c>
      <c r="E1380" s="101" t="s">
        <v>46</v>
      </c>
      <c r="F1380" s="127"/>
    </row>
    <row r="1381" spans="1:6" x14ac:dyDescent="0.25">
      <c r="A1381" s="11">
        <v>324</v>
      </c>
      <c r="B1381" s="42" t="s">
        <v>1590</v>
      </c>
      <c r="C1381" s="23" t="s">
        <v>6</v>
      </c>
      <c r="D1381" s="23" t="s">
        <v>6</v>
      </c>
      <c r="E1381" s="101" t="s">
        <v>46</v>
      </c>
      <c r="F1381" s="127">
        <v>46104</v>
      </c>
    </row>
    <row r="1382" spans="1:6" x14ac:dyDescent="0.25">
      <c r="A1382" s="11">
        <v>325</v>
      </c>
      <c r="B1382" s="42" t="s">
        <v>1591</v>
      </c>
      <c r="C1382" s="23" t="s">
        <v>6</v>
      </c>
      <c r="D1382" s="23" t="s">
        <v>6</v>
      </c>
      <c r="E1382" s="101" t="s">
        <v>46</v>
      </c>
      <c r="F1382" s="127">
        <v>46131</v>
      </c>
    </row>
    <row r="1383" spans="1:6" x14ac:dyDescent="0.25">
      <c r="A1383" s="11">
        <v>326</v>
      </c>
      <c r="B1383" s="42" t="s">
        <v>1592</v>
      </c>
      <c r="C1383" s="23" t="s">
        <v>6</v>
      </c>
      <c r="D1383" s="23" t="s">
        <v>6</v>
      </c>
      <c r="E1383" s="101" t="s">
        <v>46</v>
      </c>
      <c r="F1383" s="127">
        <v>46104</v>
      </c>
    </row>
    <row r="1384" spans="1:6" x14ac:dyDescent="0.25">
      <c r="A1384" s="11">
        <v>327</v>
      </c>
      <c r="B1384" s="42" t="s">
        <v>1657</v>
      </c>
      <c r="C1384" s="23" t="s">
        <v>6</v>
      </c>
      <c r="D1384" s="23" t="s">
        <v>6</v>
      </c>
      <c r="E1384" s="101" t="s">
        <v>46</v>
      </c>
      <c r="F1384" s="127">
        <v>46104</v>
      </c>
    </row>
    <row r="1385" spans="1:6" x14ac:dyDescent="0.25">
      <c r="A1385" s="11">
        <v>328</v>
      </c>
      <c r="B1385" s="42" t="s">
        <v>1660</v>
      </c>
      <c r="C1385" s="23" t="s">
        <v>6</v>
      </c>
      <c r="D1385" s="23" t="s">
        <v>6</v>
      </c>
      <c r="E1385" s="101" t="s">
        <v>46</v>
      </c>
      <c r="F1385" s="127">
        <v>46104</v>
      </c>
    </row>
    <row r="1386" spans="1:6" x14ac:dyDescent="0.25">
      <c r="A1386" s="11">
        <v>329</v>
      </c>
      <c r="B1386" s="42" t="s">
        <v>1659</v>
      </c>
      <c r="C1386" s="23" t="s">
        <v>6</v>
      </c>
      <c r="D1386" s="23" t="s">
        <v>6</v>
      </c>
      <c r="E1386" s="101" t="s">
        <v>46</v>
      </c>
      <c r="F1386" s="127">
        <v>46104</v>
      </c>
    </row>
    <row r="1387" spans="1:6" x14ac:dyDescent="0.25">
      <c r="A1387" s="11">
        <v>330</v>
      </c>
      <c r="B1387" s="42" t="s">
        <v>1658</v>
      </c>
      <c r="C1387" s="23" t="s">
        <v>6</v>
      </c>
      <c r="D1387" s="23" t="s">
        <v>6</v>
      </c>
      <c r="E1387" s="101" t="s">
        <v>46</v>
      </c>
      <c r="F1387" s="127">
        <v>46104</v>
      </c>
    </row>
    <row r="1388" spans="1:6" x14ac:dyDescent="0.25">
      <c r="A1388" s="11">
        <v>331</v>
      </c>
      <c r="B1388" s="8" t="s">
        <v>285</v>
      </c>
      <c r="C1388" s="23" t="s">
        <v>6</v>
      </c>
      <c r="D1388" s="23" t="s">
        <v>6</v>
      </c>
      <c r="E1388" s="104" t="s">
        <v>46</v>
      </c>
      <c r="F1388" s="127">
        <v>46131</v>
      </c>
    </row>
    <row r="1389" spans="1:6" ht="15.75" x14ac:dyDescent="0.25">
      <c r="A1389" s="11">
        <v>332</v>
      </c>
      <c r="B1389" s="42" t="s">
        <v>1670</v>
      </c>
      <c r="C1389" s="23" t="s">
        <v>6</v>
      </c>
      <c r="D1389" s="23" t="s">
        <v>6</v>
      </c>
      <c r="E1389" s="102" t="s">
        <v>46</v>
      </c>
      <c r="F1389" s="127">
        <v>46131</v>
      </c>
    </row>
    <row r="1390" spans="1:6" ht="15.75" x14ac:dyDescent="0.25">
      <c r="A1390" s="11">
        <v>333</v>
      </c>
      <c r="B1390" s="42" t="s">
        <v>685</v>
      </c>
      <c r="C1390" s="23" t="s">
        <v>6</v>
      </c>
      <c r="D1390" s="23" t="s">
        <v>6</v>
      </c>
      <c r="E1390" s="102" t="s">
        <v>46</v>
      </c>
      <c r="F1390" s="127">
        <v>46131</v>
      </c>
    </row>
    <row r="1391" spans="1:6" ht="15.75" x14ac:dyDescent="0.25">
      <c r="A1391" s="11">
        <v>334</v>
      </c>
      <c r="B1391" s="42" t="s">
        <v>1118</v>
      </c>
      <c r="C1391" s="23" t="s">
        <v>6</v>
      </c>
      <c r="D1391" s="23" t="s">
        <v>6</v>
      </c>
      <c r="E1391" s="102" t="s">
        <v>46</v>
      </c>
      <c r="F1391" s="127">
        <v>46131</v>
      </c>
    </row>
    <row r="1392" spans="1:6" x14ac:dyDescent="0.25">
      <c r="A1392" s="11">
        <v>335</v>
      </c>
      <c r="B1392" s="8" t="s">
        <v>1655</v>
      </c>
      <c r="C1392" s="23" t="s">
        <v>6</v>
      </c>
      <c r="D1392" s="23" t="s">
        <v>6</v>
      </c>
      <c r="E1392" s="104" t="s">
        <v>46</v>
      </c>
      <c r="F1392" s="127">
        <v>46131</v>
      </c>
    </row>
    <row r="1393" spans="1:6" x14ac:dyDescent="0.25">
      <c r="A1393" s="11">
        <v>336</v>
      </c>
      <c r="B1393" s="42" t="s">
        <v>1358</v>
      </c>
      <c r="C1393" s="23" t="s">
        <v>6</v>
      </c>
      <c r="D1393" s="23" t="s">
        <v>6</v>
      </c>
      <c r="E1393" s="101" t="s">
        <v>46</v>
      </c>
      <c r="F1393" s="127">
        <v>46131</v>
      </c>
    </row>
    <row r="1394" spans="1:6" x14ac:dyDescent="0.25">
      <c r="A1394" s="11">
        <v>337</v>
      </c>
      <c r="B1394" s="21" t="s">
        <v>1062</v>
      </c>
      <c r="C1394" s="23" t="s">
        <v>6</v>
      </c>
      <c r="D1394" s="23" t="s">
        <v>6</v>
      </c>
      <c r="E1394" s="101" t="s">
        <v>46</v>
      </c>
      <c r="F1394" s="127">
        <v>46131</v>
      </c>
    </row>
    <row r="1395" spans="1:6" ht="15.75" x14ac:dyDescent="0.25">
      <c r="A1395" s="11">
        <v>338</v>
      </c>
      <c r="B1395" s="42" t="s">
        <v>930</v>
      </c>
      <c r="C1395" s="23" t="s">
        <v>6</v>
      </c>
      <c r="D1395" s="23" t="s">
        <v>6</v>
      </c>
      <c r="E1395" s="102" t="s">
        <v>46</v>
      </c>
      <c r="F1395" s="127">
        <v>46131</v>
      </c>
    </row>
    <row r="1396" spans="1:6" x14ac:dyDescent="0.25">
      <c r="A1396" s="11">
        <v>339</v>
      </c>
      <c r="B1396" s="42" t="s">
        <v>1392</v>
      </c>
      <c r="C1396" s="23" t="s">
        <v>6</v>
      </c>
      <c r="D1396" s="23" t="s">
        <v>6</v>
      </c>
      <c r="E1396" s="101" t="s">
        <v>46</v>
      </c>
      <c r="F1396" s="127">
        <v>46131</v>
      </c>
    </row>
    <row r="1397" spans="1:6" ht="15.75" x14ac:dyDescent="0.25">
      <c r="A1397" s="11">
        <v>340</v>
      </c>
      <c r="B1397" s="42" t="s">
        <v>1284</v>
      </c>
      <c r="C1397" s="23" t="s">
        <v>6</v>
      </c>
      <c r="D1397" s="23" t="s">
        <v>6</v>
      </c>
      <c r="E1397" s="102" t="s">
        <v>46</v>
      </c>
      <c r="F1397" s="127">
        <v>46131</v>
      </c>
    </row>
    <row r="1398" spans="1:6" ht="15.75" x14ac:dyDescent="0.25">
      <c r="A1398" s="11">
        <v>341</v>
      </c>
      <c r="B1398" s="42" t="s">
        <v>1312</v>
      </c>
      <c r="C1398" s="23" t="s">
        <v>6</v>
      </c>
      <c r="D1398" s="23" t="s">
        <v>6</v>
      </c>
      <c r="E1398" s="102" t="s">
        <v>46</v>
      </c>
      <c r="F1398" s="127">
        <v>46131</v>
      </c>
    </row>
    <row r="1399" spans="1:6" x14ac:dyDescent="0.25">
      <c r="A1399" s="11">
        <v>342</v>
      </c>
      <c r="B1399" s="42" t="s">
        <v>1383</v>
      </c>
      <c r="C1399" s="23" t="s">
        <v>6</v>
      </c>
      <c r="D1399" s="23" t="s">
        <v>6</v>
      </c>
      <c r="E1399" s="101" t="s">
        <v>46</v>
      </c>
      <c r="F1399" s="127">
        <v>46131</v>
      </c>
    </row>
    <row r="1400" spans="1:6" x14ac:dyDescent="0.25">
      <c r="A1400" s="11">
        <v>343</v>
      </c>
      <c r="B1400" s="42" t="s">
        <v>1582</v>
      </c>
      <c r="C1400" s="23" t="s">
        <v>6</v>
      </c>
      <c r="D1400" s="23" t="s">
        <v>6</v>
      </c>
      <c r="E1400" s="104" t="s">
        <v>46</v>
      </c>
      <c r="F1400" s="127">
        <v>46131</v>
      </c>
    </row>
    <row r="1401" spans="1:6" x14ac:dyDescent="0.25">
      <c r="A1401" s="11">
        <v>344</v>
      </c>
      <c r="B1401" s="42" t="s">
        <v>1382</v>
      </c>
      <c r="C1401" s="23" t="s">
        <v>6</v>
      </c>
      <c r="D1401" s="23" t="s">
        <v>6</v>
      </c>
      <c r="E1401" s="101" t="s">
        <v>46</v>
      </c>
      <c r="F1401" s="127">
        <v>46131</v>
      </c>
    </row>
    <row r="1402" spans="1:6" x14ac:dyDescent="0.25">
      <c r="A1402" s="11">
        <v>345</v>
      </c>
      <c r="B1402" s="42" t="s">
        <v>545</v>
      </c>
      <c r="C1402" s="23" t="s">
        <v>6</v>
      </c>
      <c r="D1402" s="23" t="s">
        <v>6</v>
      </c>
      <c r="E1402" s="101" t="s">
        <v>46</v>
      </c>
      <c r="F1402" s="127">
        <v>46131</v>
      </c>
    </row>
    <row r="1403" spans="1:6" x14ac:dyDescent="0.25">
      <c r="A1403" s="11">
        <v>346</v>
      </c>
      <c r="B1403" s="42" t="s">
        <v>1686</v>
      </c>
      <c r="C1403" s="23" t="s">
        <v>6</v>
      </c>
      <c r="D1403" s="23" t="s">
        <v>6</v>
      </c>
      <c r="E1403" s="101" t="s">
        <v>46</v>
      </c>
      <c r="F1403" s="127">
        <v>46131</v>
      </c>
    </row>
    <row r="1404" spans="1:6" x14ac:dyDescent="0.25">
      <c r="A1404" s="11">
        <v>347</v>
      </c>
      <c r="B1404" s="42" t="s">
        <v>1687</v>
      </c>
      <c r="C1404" s="23" t="s">
        <v>6</v>
      </c>
      <c r="D1404" s="23" t="s">
        <v>6</v>
      </c>
      <c r="E1404" s="101" t="s">
        <v>46</v>
      </c>
      <c r="F1404" s="127">
        <v>46131</v>
      </c>
    </row>
    <row r="1405" spans="1:6" x14ac:dyDescent="0.25">
      <c r="A1405" s="11">
        <v>348</v>
      </c>
      <c r="B1405" s="42" t="s">
        <v>1694</v>
      </c>
      <c r="C1405" s="23" t="s">
        <v>6</v>
      </c>
      <c r="D1405" s="23" t="s">
        <v>6</v>
      </c>
      <c r="E1405" s="101" t="s">
        <v>46</v>
      </c>
      <c r="F1405" s="127">
        <v>46131</v>
      </c>
    </row>
    <row r="1406" spans="1:6" x14ac:dyDescent="0.25">
      <c r="A1406" s="11">
        <v>349</v>
      </c>
      <c r="B1406" s="42" t="s">
        <v>1693</v>
      </c>
      <c r="C1406" s="23" t="s">
        <v>6</v>
      </c>
      <c r="D1406" s="23" t="s">
        <v>6</v>
      </c>
      <c r="E1406" s="101" t="s">
        <v>46</v>
      </c>
      <c r="F1406" s="127">
        <v>46131</v>
      </c>
    </row>
    <row r="1407" spans="1:6" x14ac:dyDescent="0.25">
      <c r="A1407" s="11">
        <v>350</v>
      </c>
      <c r="B1407" s="42" t="s">
        <v>1695</v>
      </c>
      <c r="C1407" s="23" t="s">
        <v>6</v>
      </c>
      <c r="D1407" s="23" t="s">
        <v>6</v>
      </c>
      <c r="E1407" s="101" t="s">
        <v>46</v>
      </c>
      <c r="F1407" s="127">
        <v>46131</v>
      </c>
    </row>
    <row r="1408" spans="1:6" x14ac:dyDescent="0.25">
      <c r="A1408" s="11">
        <v>351</v>
      </c>
      <c r="B1408" s="42" t="s">
        <v>1706</v>
      </c>
      <c r="C1408" s="23" t="s">
        <v>6</v>
      </c>
      <c r="D1408" s="23" t="s">
        <v>6</v>
      </c>
      <c r="E1408" s="101" t="s">
        <v>46</v>
      </c>
      <c r="F1408" s="127">
        <v>46131</v>
      </c>
    </row>
    <row r="1409" spans="1:6" x14ac:dyDescent="0.25">
      <c r="A1409" s="11">
        <v>352</v>
      </c>
      <c r="B1409" s="42" t="s">
        <v>1705</v>
      </c>
      <c r="C1409" s="23" t="s">
        <v>6</v>
      </c>
      <c r="D1409" s="23" t="s">
        <v>6</v>
      </c>
      <c r="E1409" s="101" t="s">
        <v>46</v>
      </c>
      <c r="F1409" s="127">
        <v>46131</v>
      </c>
    </row>
    <row r="1410" spans="1:6" ht="15.75" x14ac:dyDescent="0.25">
      <c r="A1410" s="11">
        <v>353</v>
      </c>
      <c r="B1410" s="42" t="s">
        <v>1007</v>
      </c>
      <c r="C1410" s="23" t="s">
        <v>6</v>
      </c>
      <c r="D1410" s="23" t="s">
        <v>6</v>
      </c>
      <c r="E1410" s="46" t="s">
        <v>46</v>
      </c>
      <c r="F1410" s="142">
        <v>46166</v>
      </c>
    </row>
    <row r="1412" spans="1:6" x14ac:dyDescent="0.25">
      <c r="A1412" s="123" t="s">
        <v>1371</v>
      </c>
    </row>
    <row r="1413" spans="1:6" x14ac:dyDescent="0.25">
      <c r="A1413" s="11">
        <v>1</v>
      </c>
      <c r="B1413" s="21" t="s">
        <v>1318</v>
      </c>
      <c r="C1413" s="23" t="s">
        <v>6</v>
      </c>
      <c r="D1413" s="23" t="s">
        <v>6</v>
      </c>
      <c r="E1413" s="104" t="s">
        <v>46</v>
      </c>
      <c r="F1413" s="127">
        <v>46145</v>
      </c>
    </row>
    <row r="1414" spans="1:6" x14ac:dyDescent="0.25">
      <c r="A1414" s="11">
        <v>2</v>
      </c>
      <c r="B1414" s="21" t="s">
        <v>1625</v>
      </c>
      <c r="C1414" s="23" t="s">
        <v>6</v>
      </c>
      <c r="D1414" s="23" t="s">
        <v>6</v>
      </c>
      <c r="E1414" s="101" t="s">
        <v>46</v>
      </c>
      <c r="F1414" s="127">
        <v>46152</v>
      </c>
    </row>
    <row r="1415" spans="1:6" x14ac:dyDescent="0.25">
      <c r="A1415" s="11">
        <v>3</v>
      </c>
      <c r="B1415" s="21" t="s">
        <v>1575</v>
      </c>
      <c r="C1415" s="23" t="s">
        <v>6</v>
      </c>
      <c r="D1415" s="23" t="s">
        <v>6</v>
      </c>
      <c r="E1415" s="104" t="s">
        <v>46</v>
      </c>
      <c r="F1415" s="127">
        <v>46152</v>
      </c>
    </row>
    <row r="1416" spans="1:6" x14ac:dyDescent="0.25">
      <c r="A1416" s="11">
        <v>4</v>
      </c>
      <c r="B1416" s="21" t="s">
        <v>1181</v>
      </c>
      <c r="C1416" s="23" t="s">
        <v>6</v>
      </c>
      <c r="D1416" s="23" t="s">
        <v>6</v>
      </c>
      <c r="E1416" s="107" t="s">
        <v>46</v>
      </c>
      <c r="F1416" s="127">
        <v>46159</v>
      </c>
    </row>
    <row r="1417" spans="1:6" x14ac:dyDescent="0.25">
      <c r="A1417" s="11">
        <v>5</v>
      </c>
      <c r="B1417" s="21" t="s">
        <v>1180</v>
      </c>
      <c r="C1417" s="23" t="s">
        <v>6</v>
      </c>
      <c r="D1417" s="23" t="s">
        <v>6</v>
      </c>
      <c r="E1417" s="104" t="s">
        <v>46</v>
      </c>
      <c r="F1417" s="127">
        <v>46159</v>
      </c>
    </row>
    <row r="1418" spans="1:6" x14ac:dyDescent="0.25">
      <c r="A1418" s="11">
        <v>6</v>
      </c>
      <c r="B1418" s="8" t="s">
        <v>1082</v>
      </c>
      <c r="C1418" s="23" t="s">
        <v>6</v>
      </c>
      <c r="D1418" s="23" t="s">
        <v>6</v>
      </c>
      <c r="E1418" s="132" t="s">
        <v>46</v>
      </c>
      <c r="F1418" s="127">
        <v>46046</v>
      </c>
    </row>
    <row r="1419" spans="1:6" x14ac:dyDescent="0.25">
      <c r="A1419" s="11">
        <v>7</v>
      </c>
      <c r="B1419" s="8" t="s">
        <v>588</v>
      </c>
      <c r="C1419" s="23" t="s">
        <v>6</v>
      </c>
      <c r="D1419" s="23" t="s">
        <v>6</v>
      </c>
      <c r="E1419" s="103" t="s">
        <v>46</v>
      </c>
      <c r="F1419" s="127">
        <v>46075</v>
      </c>
    </row>
    <row r="1420" spans="1:6" x14ac:dyDescent="0.25">
      <c r="A1420" s="11">
        <v>8</v>
      </c>
      <c r="B1420" s="21" t="s">
        <v>1129</v>
      </c>
      <c r="C1420" s="23" t="s">
        <v>6</v>
      </c>
      <c r="D1420" s="23" t="s">
        <v>6</v>
      </c>
      <c r="E1420" s="107" t="s">
        <v>46</v>
      </c>
      <c r="F1420" s="127">
        <v>46061</v>
      </c>
    </row>
    <row r="1421" spans="1:6" x14ac:dyDescent="0.25">
      <c r="A1421" s="11">
        <v>9</v>
      </c>
      <c r="B1421" s="21" t="s">
        <v>1089</v>
      </c>
      <c r="C1421" s="23" t="s">
        <v>6</v>
      </c>
      <c r="D1421" s="23" t="s">
        <v>6</v>
      </c>
      <c r="E1421" s="107" t="s">
        <v>46</v>
      </c>
      <c r="F1421" s="127">
        <v>46075</v>
      </c>
    </row>
    <row r="1422" spans="1:6" x14ac:dyDescent="0.25">
      <c r="A1422" s="11">
        <v>10</v>
      </c>
      <c r="B1422" s="52" t="s">
        <v>1327</v>
      </c>
      <c r="C1422" s="23" t="s">
        <v>6</v>
      </c>
      <c r="D1422" s="23" t="s">
        <v>6</v>
      </c>
      <c r="E1422" s="101" t="s">
        <v>46</v>
      </c>
      <c r="F1422" s="127">
        <v>46075</v>
      </c>
    </row>
    <row r="1423" spans="1:6" x14ac:dyDescent="0.25">
      <c r="A1423" s="11">
        <v>11</v>
      </c>
      <c r="B1423" s="21" t="s">
        <v>1623</v>
      </c>
      <c r="C1423" s="23" t="s">
        <v>6</v>
      </c>
      <c r="D1423" s="23" t="s">
        <v>6</v>
      </c>
      <c r="E1423" s="107" t="s">
        <v>46</v>
      </c>
      <c r="F1423" s="127">
        <v>46104</v>
      </c>
    </row>
    <row r="1424" spans="1:6" x14ac:dyDescent="0.25">
      <c r="A1424" s="11">
        <v>12</v>
      </c>
      <c r="B1424" s="21" t="s">
        <v>1218</v>
      </c>
      <c r="C1424" s="23" t="s">
        <v>6</v>
      </c>
      <c r="D1424" s="23" t="s">
        <v>6</v>
      </c>
      <c r="E1424" s="107" t="s">
        <v>46</v>
      </c>
      <c r="F1424" s="127">
        <v>46075</v>
      </c>
    </row>
    <row r="1425" spans="1:6" x14ac:dyDescent="0.25">
      <c r="A1425" s="11">
        <v>13</v>
      </c>
      <c r="B1425" s="21" t="s">
        <v>1483</v>
      </c>
      <c r="C1425" s="23" t="s">
        <v>6</v>
      </c>
      <c r="D1425" s="23" t="s">
        <v>6</v>
      </c>
      <c r="E1425" s="101" t="s">
        <v>46</v>
      </c>
      <c r="F1425" s="127">
        <v>46075</v>
      </c>
    </row>
    <row r="1426" spans="1:6" x14ac:dyDescent="0.25">
      <c r="A1426" s="11">
        <v>14</v>
      </c>
      <c r="B1426" s="8" t="s">
        <v>144</v>
      </c>
      <c r="C1426" s="23" t="s">
        <v>6</v>
      </c>
      <c r="D1426" s="23" t="s">
        <v>6</v>
      </c>
      <c r="E1426" s="103" t="s">
        <v>44</v>
      </c>
      <c r="F1426" s="127">
        <v>46075</v>
      </c>
    </row>
    <row r="1427" spans="1:6" x14ac:dyDescent="0.25">
      <c r="A1427" s="11">
        <v>15</v>
      </c>
      <c r="B1427" s="21" t="s">
        <v>855</v>
      </c>
      <c r="C1427" s="23" t="s">
        <v>6</v>
      </c>
      <c r="D1427" s="23" t="s">
        <v>6</v>
      </c>
      <c r="E1427" s="101" t="s">
        <v>46</v>
      </c>
      <c r="F1427" s="127">
        <v>46068</v>
      </c>
    </row>
    <row r="1428" spans="1:6" x14ac:dyDescent="0.25">
      <c r="A1428" s="11">
        <v>16</v>
      </c>
      <c r="B1428" s="21" t="s">
        <v>1083</v>
      </c>
      <c r="C1428" s="23" t="s">
        <v>6</v>
      </c>
      <c r="D1428" s="23" t="s">
        <v>6</v>
      </c>
      <c r="E1428" s="101" t="s">
        <v>46</v>
      </c>
      <c r="F1428" s="127">
        <v>46075</v>
      </c>
    </row>
    <row r="1429" spans="1:6" x14ac:dyDescent="0.25">
      <c r="A1429" s="11">
        <v>17</v>
      </c>
      <c r="B1429" s="21" t="s">
        <v>1561</v>
      </c>
      <c r="C1429" s="23" t="s">
        <v>6</v>
      </c>
      <c r="D1429" s="23" t="s">
        <v>6</v>
      </c>
      <c r="E1429" s="101" t="s">
        <v>46</v>
      </c>
      <c r="F1429" s="127">
        <v>46075</v>
      </c>
    </row>
    <row r="1430" spans="1:6" x14ac:dyDescent="0.25">
      <c r="A1430" s="11">
        <v>18</v>
      </c>
      <c r="B1430" s="21" t="s">
        <v>733</v>
      </c>
      <c r="C1430" s="23" t="s">
        <v>6</v>
      </c>
      <c r="D1430" s="23" t="s">
        <v>6</v>
      </c>
      <c r="E1430" s="101" t="s">
        <v>46</v>
      </c>
      <c r="F1430" s="127">
        <v>46082</v>
      </c>
    </row>
    <row r="1431" spans="1:6" x14ac:dyDescent="0.25">
      <c r="A1431" s="11">
        <v>19</v>
      </c>
      <c r="B1431" s="21" t="s">
        <v>699</v>
      </c>
      <c r="C1431" s="23" t="s">
        <v>6</v>
      </c>
      <c r="D1431" s="23" t="s">
        <v>6</v>
      </c>
      <c r="E1431" s="101" t="s">
        <v>46</v>
      </c>
      <c r="F1431" s="127">
        <v>46095</v>
      </c>
    </row>
    <row r="1432" spans="1:6" x14ac:dyDescent="0.25">
      <c r="A1432" s="11">
        <v>20</v>
      </c>
      <c r="B1432" s="21" t="s">
        <v>1472</v>
      </c>
      <c r="C1432" s="23" t="s">
        <v>6</v>
      </c>
      <c r="D1432" s="23" t="s">
        <v>6</v>
      </c>
      <c r="E1432" s="101" t="s">
        <v>46</v>
      </c>
      <c r="F1432" s="127">
        <v>46089</v>
      </c>
    </row>
    <row r="1433" spans="1:6" x14ac:dyDescent="0.25">
      <c r="A1433" s="11">
        <v>21</v>
      </c>
      <c r="B1433" s="60" t="s">
        <v>1562</v>
      </c>
      <c r="C1433" s="23" t="s">
        <v>6</v>
      </c>
      <c r="D1433" s="23" t="s">
        <v>6</v>
      </c>
      <c r="E1433" s="107" t="s">
        <v>46</v>
      </c>
      <c r="F1433" s="127">
        <v>46089</v>
      </c>
    </row>
    <row r="1434" spans="1:6" x14ac:dyDescent="0.25">
      <c r="A1434" s="11">
        <v>22</v>
      </c>
      <c r="B1434" s="60" t="s">
        <v>1563</v>
      </c>
      <c r="C1434" s="23" t="s">
        <v>6</v>
      </c>
      <c r="D1434" s="23" t="s">
        <v>6</v>
      </c>
      <c r="E1434" s="107" t="s">
        <v>46</v>
      </c>
      <c r="F1434" s="127">
        <v>46089</v>
      </c>
    </row>
    <row r="1435" spans="1:6" x14ac:dyDescent="0.25">
      <c r="A1435" s="11">
        <v>23</v>
      </c>
      <c r="B1435" s="60" t="s">
        <v>1564</v>
      </c>
      <c r="C1435" s="23" t="s">
        <v>6</v>
      </c>
      <c r="D1435" s="23" t="s">
        <v>6</v>
      </c>
      <c r="E1435" s="107" t="s">
        <v>46</v>
      </c>
      <c r="F1435" s="127">
        <v>46089</v>
      </c>
    </row>
    <row r="1436" spans="1:6" x14ac:dyDescent="0.25">
      <c r="A1436" s="11">
        <v>24</v>
      </c>
      <c r="B1436" s="21" t="s">
        <v>1533</v>
      </c>
      <c r="C1436" s="23" t="s">
        <v>6</v>
      </c>
      <c r="D1436" s="23" t="s">
        <v>6</v>
      </c>
      <c r="E1436" s="101" t="s">
        <v>46</v>
      </c>
      <c r="F1436" s="127">
        <v>46089</v>
      </c>
    </row>
    <row r="1437" spans="1:6" x14ac:dyDescent="0.25">
      <c r="A1437" s="11">
        <v>25</v>
      </c>
      <c r="B1437" s="21" t="s">
        <v>1180</v>
      </c>
      <c r="C1437" s="23" t="s">
        <v>6</v>
      </c>
      <c r="D1437" s="23" t="s">
        <v>6</v>
      </c>
      <c r="E1437" s="101" t="s">
        <v>46</v>
      </c>
      <c r="F1437" s="127">
        <v>46095</v>
      </c>
    </row>
    <row r="1438" spans="1:6" x14ac:dyDescent="0.25">
      <c r="A1438" s="11">
        <v>26</v>
      </c>
      <c r="B1438" s="21" t="s">
        <v>1547</v>
      </c>
      <c r="C1438" s="23" t="s">
        <v>6</v>
      </c>
      <c r="D1438" s="23" t="s">
        <v>6</v>
      </c>
      <c r="E1438" s="101" t="s">
        <v>46</v>
      </c>
      <c r="F1438" s="127">
        <v>46095</v>
      </c>
    </row>
    <row r="1439" spans="1:6" x14ac:dyDescent="0.25">
      <c r="A1439" s="11">
        <v>27</v>
      </c>
      <c r="B1439" s="21" t="s">
        <v>1441</v>
      </c>
      <c r="C1439" s="23" t="s">
        <v>6</v>
      </c>
      <c r="D1439" s="23" t="s">
        <v>6</v>
      </c>
      <c r="E1439" s="101" t="s">
        <v>46</v>
      </c>
      <c r="F1439" s="127">
        <v>46104</v>
      </c>
    </row>
    <row r="1440" spans="1:6" x14ac:dyDescent="0.25">
      <c r="A1440" s="11">
        <v>28</v>
      </c>
      <c r="B1440" s="8" t="s">
        <v>312</v>
      </c>
      <c r="C1440" s="23" t="s">
        <v>6</v>
      </c>
      <c r="D1440" s="23" t="s">
        <v>6</v>
      </c>
      <c r="E1440" s="103" t="s">
        <v>46</v>
      </c>
      <c r="F1440" s="127">
        <v>46104</v>
      </c>
    </row>
    <row r="1441" spans="1:6" x14ac:dyDescent="0.25">
      <c r="A1441" s="11">
        <v>29</v>
      </c>
      <c r="B1441" s="21" t="s">
        <v>1220</v>
      </c>
      <c r="C1441" s="23" t="s">
        <v>6</v>
      </c>
      <c r="D1441" s="23" t="s">
        <v>6</v>
      </c>
      <c r="E1441" s="101" t="s">
        <v>46</v>
      </c>
      <c r="F1441" s="127">
        <v>46104</v>
      </c>
    </row>
    <row r="1442" spans="1:6" x14ac:dyDescent="0.25">
      <c r="A1442" s="11">
        <v>30</v>
      </c>
      <c r="B1442" s="21" t="s">
        <v>1217</v>
      </c>
      <c r="C1442" s="23" t="s">
        <v>6</v>
      </c>
      <c r="D1442" s="23" t="s">
        <v>6</v>
      </c>
      <c r="E1442" s="101" t="s">
        <v>46</v>
      </c>
      <c r="F1442" s="127">
        <v>46104</v>
      </c>
    </row>
    <row r="1443" spans="1:6" x14ac:dyDescent="0.25">
      <c r="A1443" s="11">
        <v>31</v>
      </c>
      <c r="B1443" s="21" t="s">
        <v>1594</v>
      </c>
      <c r="C1443" s="23" t="s">
        <v>6</v>
      </c>
      <c r="D1443" s="23" t="s">
        <v>6</v>
      </c>
      <c r="E1443" s="101" t="s">
        <v>46</v>
      </c>
      <c r="F1443" s="127">
        <v>46104</v>
      </c>
    </row>
    <row r="1444" spans="1:6" x14ac:dyDescent="0.25">
      <c r="A1444" s="11">
        <v>32</v>
      </c>
      <c r="B1444" s="21" t="s">
        <v>267</v>
      </c>
      <c r="C1444" s="23" t="s">
        <v>6</v>
      </c>
      <c r="D1444" s="23" t="s">
        <v>6</v>
      </c>
      <c r="E1444" s="101" t="s">
        <v>46</v>
      </c>
      <c r="F1444" s="127">
        <v>46104</v>
      </c>
    </row>
    <row r="1445" spans="1:6" x14ac:dyDescent="0.25">
      <c r="A1445" s="11">
        <v>33</v>
      </c>
      <c r="B1445" s="21" t="s">
        <v>1561</v>
      </c>
      <c r="C1445" s="23" t="s">
        <v>6</v>
      </c>
      <c r="D1445" s="23" t="s">
        <v>6</v>
      </c>
      <c r="E1445" s="101" t="s">
        <v>46</v>
      </c>
      <c r="F1445" s="127">
        <v>46104</v>
      </c>
    </row>
    <row r="1446" spans="1:6" x14ac:dyDescent="0.25">
      <c r="A1446" s="11">
        <v>34</v>
      </c>
      <c r="B1446" s="21" t="s">
        <v>1624</v>
      </c>
      <c r="C1446" s="23" t="s">
        <v>6</v>
      </c>
      <c r="D1446" s="23" t="s">
        <v>6</v>
      </c>
      <c r="E1446" s="101" t="s">
        <v>46</v>
      </c>
      <c r="F1446" s="127">
        <v>46104</v>
      </c>
    </row>
    <row r="1447" spans="1:6" x14ac:dyDescent="0.25">
      <c r="A1447" s="11">
        <v>35</v>
      </c>
      <c r="B1447" s="21" t="s">
        <v>1641</v>
      </c>
      <c r="C1447" s="23" t="s">
        <v>6</v>
      </c>
      <c r="D1447" s="23" t="s">
        <v>6</v>
      </c>
      <c r="E1447" s="101" t="s">
        <v>46</v>
      </c>
      <c r="F1447" s="127">
        <v>46104</v>
      </c>
    </row>
    <row r="1448" spans="1:6" x14ac:dyDescent="0.25">
      <c r="A1448" s="11">
        <v>36</v>
      </c>
      <c r="B1448" s="21" t="s">
        <v>1642</v>
      </c>
      <c r="C1448" s="23" t="s">
        <v>6</v>
      </c>
      <c r="D1448" s="23" t="s">
        <v>6</v>
      </c>
      <c r="E1448" s="101" t="s">
        <v>46</v>
      </c>
      <c r="F1448" s="127">
        <v>46104</v>
      </c>
    </row>
    <row r="1449" spans="1:6" x14ac:dyDescent="0.25">
      <c r="A1449" s="11">
        <v>37</v>
      </c>
      <c r="B1449" s="21" t="s">
        <v>1717</v>
      </c>
      <c r="C1449" s="23" t="s">
        <v>6</v>
      </c>
      <c r="D1449" s="23" t="s">
        <v>6</v>
      </c>
      <c r="E1449" s="101" t="s">
        <v>46</v>
      </c>
      <c r="F1449" s="127">
        <v>46131</v>
      </c>
    </row>
    <row r="1450" spans="1:6" x14ac:dyDescent="0.25">
      <c r="A1450" s="11">
        <v>38</v>
      </c>
      <c r="B1450" s="21" t="s">
        <v>1442</v>
      </c>
      <c r="C1450" s="23" t="s">
        <v>6</v>
      </c>
      <c r="D1450" s="23" t="s">
        <v>6</v>
      </c>
      <c r="E1450" s="101" t="s">
        <v>46</v>
      </c>
      <c r="F1450" s="127">
        <v>46131</v>
      </c>
    </row>
    <row r="1451" spans="1:6" x14ac:dyDescent="0.25">
      <c r="A1451" s="11">
        <v>39</v>
      </c>
      <c r="B1451" s="8" t="s">
        <v>397</v>
      </c>
      <c r="C1451" s="23" t="s">
        <v>6</v>
      </c>
      <c r="D1451" s="23" t="s">
        <v>6</v>
      </c>
      <c r="E1451" s="104" t="s">
        <v>46</v>
      </c>
      <c r="F1451" s="127">
        <v>46131</v>
      </c>
    </row>
    <row r="1452" spans="1:6" x14ac:dyDescent="0.25">
      <c r="A1452" s="11">
        <v>40</v>
      </c>
      <c r="B1452" s="8" t="s">
        <v>982</v>
      </c>
      <c r="C1452" s="23" t="s">
        <v>6</v>
      </c>
      <c r="D1452" s="23" t="s">
        <v>6</v>
      </c>
      <c r="E1452" s="104" t="s">
        <v>46</v>
      </c>
      <c r="F1452" s="127">
        <v>46131</v>
      </c>
    </row>
    <row r="1453" spans="1:6" x14ac:dyDescent="0.25">
      <c r="A1453" s="11">
        <v>41</v>
      </c>
      <c r="B1453" s="21" t="s">
        <v>1513</v>
      </c>
      <c r="C1453" s="23" t="s">
        <v>6</v>
      </c>
      <c r="D1453" s="23" t="s">
        <v>6</v>
      </c>
      <c r="E1453" s="101" t="s">
        <v>46</v>
      </c>
      <c r="F1453" s="127">
        <v>46131</v>
      </c>
    </row>
    <row r="1454" spans="1:6" x14ac:dyDescent="0.25">
      <c r="A1454" s="11">
        <v>42</v>
      </c>
      <c r="B1454" s="21" t="s">
        <v>1512</v>
      </c>
      <c r="C1454" s="23" t="s">
        <v>6</v>
      </c>
      <c r="D1454" s="23" t="s">
        <v>6</v>
      </c>
      <c r="E1454" s="101" t="s">
        <v>46</v>
      </c>
      <c r="F1454" s="127">
        <v>46131</v>
      </c>
    </row>
    <row r="1455" spans="1:6" x14ac:dyDescent="0.25">
      <c r="A1455" s="11">
        <v>43</v>
      </c>
      <c r="B1455" s="21" t="s">
        <v>1584</v>
      </c>
      <c r="C1455" s="23" t="s">
        <v>6</v>
      </c>
      <c r="D1455" s="23" t="s">
        <v>6</v>
      </c>
      <c r="E1455" s="101" t="s">
        <v>46</v>
      </c>
      <c r="F1455" s="127">
        <v>46131</v>
      </c>
    </row>
    <row r="1456" spans="1:6" x14ac:dyDescent="0.25">
      <c r="A1456" s="11">
        <v>44</v>
      </c>
      <c r="B1456" s="21" t="s">
        <v>1135</v>
      </c>
      <c r="C1456" s="23" t="s">
        <v>6</v>
      </c>
      <c r="D1456" s="23" t="s">
        <v>6</v>
      </c>
      <c r="E1456" s="107" t="s">
        <v>46</v>
      </c>
      <c r="F1456" s="127">
        <v>46131</v>
      </c>
    </row>
    <row r="1457" spans="1:6" x14ac:dyDescent="0.25">
      <c r="A1457" s="11">
        <v>45</v>
      </c>
      <c r="B1457" s="21" t="s">
        <v>1646</v>
      </c>
      <c r="C1457" s="23" t="s">
        <v>6</v>
      </c>
      <c r="D1457" s="23" t="s">
        <v>6</v>
      </c>
      <c r="E1457" s="101" t="s">
        <v>46</v>
      </c>
      <c r="F1457" s="127">
        <v>46131</v>
      </c>
    </row>
    <row r="1458" spans="1:6" x14ac:dyDescent="0.25">
      <c r="A1458" s="11">
        <v>46</v>
      </c>
      <c r="B1458" s="21" t="s">
        <v>1696</v>
      </c>
      <c r="C1458" s="23" t="s">
        <v>6</v>
      </c>
      <c r="D1458" s="23" t="s">
        <v>6</v>
      </c>
      <c r="E1458" s="101" t="s">
        <v>46</v>
      </c>
      <c r="F1458" s="127">
        <v>46131</v>
      </c>
    </row>
    <row r="1459" spans="1:6" x14ac:dyDescent="0.25">
      <c r="A1459" s="11">
        <v>47</v>
      </c>
      <c r="B1459" s="21" t="s">
        <v>615</v>
      </c>
      <c r="C1459" s="23" t="s">
        <v>6</v>
      </c>
      <c r="D1459" s="23" t="s">
        <v>6</v>
      </c>
      <c r="E1459" s="101" t="s">
        <v>46</v>
      </c>
      <c r="F1459" s="127">
        <v>46131</v>
      </c>
    </row>
    <row r="1460" spans="1:6" x14ac:dyDescent="0.25">
      <c r="A1460" s="11">
        <v>48</v>
      </c>
      <c r="B1460" s="21" t="s">
        <v>1683</v>
      </c>
      <c r="C1460" s="23" t="s">
        <v>6</v>
      </c>
      <c r="D1460" s="23" t="s">
        <v>6</v>
      </c>
      <c r="E1460" s="101" t="s">
        <v>46</v>
      </c>
      <c r="F1460" s="127">
        <v>46131</v>
      </c>
    </row>
    <row r="1461" spans="1:6" x14ac:dyDescent="0.25">
      <c r="A1461" s="11">
        <v>49</v>
      </c>
      <c r="B1461" s="21" t="s">
        <v>1697</v>
      </c>
      <c r="C1461" s="23" t="s">
        <v>6</v>
      </c>
      <c r="D1461" s="23" t="s">
        <v>6</v>
      </c>
      <c r="E1461" s="101" t="s">
        <v>46</v>
      </c>
      <c r="F1461" s="127">
        <v>46131</v>
      </c>
    </row>
    <row r="1462" spans="1:6" x14ac:dyDescent="0.25">
      <c r="A1462" s="11">
        <v>50</v>
      </c>
      <c r="B1462" s="8" t="s">
        <v>470</v>
      </c>
      <c r="C1462" s="23" t="s">
        <v>6</v>
      </c>
      <c r="D1462" s="23" t="s">
        <v>6</v>
      </c>
      <c r="E1462" s="16" t="s">
        <v>270</v>
      </c>
      <c r="F1462" s="144">
        <v>46166</v>
      </c>
    </row>
    <row r="1463" spans="1:6" x14ac:dyDescent="0.25">
      <c r="A1463" s="11">
        <v>51</v>
      </c>
      <c r="B1463" s="8" t="s">
        <v>1783</v>
      </c>
      <c r="C1463" s="23" t="s">
        <v>6</v>
      </c>
      <c r="D1463" s="23" t="s">
        <v>6</v>
      </c>
      <c r="E1463" s="16" t="s">
        <v>46</v>
      </c>
      <c r="F1463" s="144">
        <v>46166</v>
      </c>
    </row>
    <row r="1464" spans="1:6" x14ac:dyDescent="0.25">
      <c r="A1464" s="11">
        <v>52</v>
      </c>
      <c r="B1464" s="21" t="s">
        <v>1739</v>
      </c>
      <c r="C1464" s="23" t="s">
        <v>6</v>
      </c>
      <c r="D1464" s="23" t="s">
        <v>6</v>
      </c>
      <c r="E1464" s="24" t="s">
        <v>46</v>
      </c>
      <c r="F1464" s="144">
        <v>46166</v>
      </c>
    </row>
    <row r="1465" spans="1:6" x14ac:dyDescent="0.25">
      <c r="A1465" s="11">
        <v>53</v>
      </c>
      <c r="B1465" s="21" t="s">
        <v>802</v>
      </c>
      <c r="C1465" s="23" t="s">
        <v>6</v>
      </c>
      <c r="D1465" s="23" t="s">
        <v>6</v>
      </c>
      <c r="E1465" s="18" t="s">
        <v>46</v>
      </c>
      <c r="F1465" s="144">
        <v>46166</v>
      </c>
    </row>
    <row r="1466" spans="1:6" x14ac:dyDescent="0.25">
      <c r="A1466" s="11">
        <v>54</v>
      </c>
      <c r="B1466" s="21" t="s">
        <v>1621</v>
      </c>
      <c r="C1466" s="23" t="s">
        <v>6</v>
      </c>
      <c r="D1466" s="23" t="s">
        <v>6</v>
      </c>
      <c r="E1466" s="24" t="s">
        <v>46</v>
      </c>
      <c r="F1466" s="144">
        <v>46166</v>
      </c>
    </row>
    <row r="1467" spans="1:6" x14ac:dyDescent="0.25">
      <c r="A1467" s="11">
        <v>55</v>
      </c>
      <c r="B1467" s="21" t="s">
        <v>1671</v>
      </c>
      <c r="C1467" s="23" t="s">
        <v>6</v>
      </c>
      <c r="D1467" s="23" t="s">
        <v>6</v>
      </c>
      <c r="E1467" s="24" t="s">
        <v>46</v>
      </c>
      <c r="F1467" s="144">
        <v>46166</v>
      </c>
    </row>
    <row r="1468" spans="1:6" x14ac:dyDescent="0.25">
      <c r="A1468" s="11">
        <v>56</v>
      </c>
      <c r="B1468" s="21" t="s">
        <v>1737</v>
      </c>
      <c r="C1468" s="23" t="s">
        <v>6</v>
      </c>
      <c r="D1468" s="23" t="s">
        <v>6</v>
      </c>
      <c r="E1468" s="16" t="s">
        <v>46</v>
      </c>
      <c r="F1468" s="144">
        <v>46166</v>
      </c>
    </row>
    <row r="1469" spans="1:6" x14ac:dyDescent="0.25">
      <c r="A1469" s="11">
        <v>57</v>
      </c>
      <c r="B1469" s="21" t="s">
        <v>1620</v>
      </c>
      <c r="C1469" s="23" t="s">
        <v>6</v>
      </c>
      <c r="D1469" s="23" t="s">
        <v>6</v>
      </c>
      <c r="E1469" s="18" t="s">
        <v>46</v>
      </c>
      <c r="F1469" s="144">
        <v>46173</v>
      </c>
    </row>
    <row r="1470" spans="1:6" x14ac:dyDescent="0.25">
      <c r="A1470" s="11">
        <v>58</v>
      </c>
      <c r="B1470" s="21" t="s">
        <v>700</v>
      </c>
      <c r="C1470" s="23" t="s">
        <v>6</v>
      </c>
      <c r="D1470" s="23" t="s">
        <v>6</v>
      </c>
      <c r="E1470" s="24" t="s">
        <v>46</v>
      </c>
      <c r="F1470" s="144">
        <v>46173</v>
      </c>
    </row>
    <row r="1471" spans="1:6" x14ac:dyDescent="0.25">
      <c r="A1471" s="11">
        <v>59</v>
      </c>
      <c r="B1471" s="60" t="s">
        <v>1841</v>
      </c>
      <c r="C1471" s="23" t="s">
        <v>6</v>
      </c>
      <c r="D1471" s="23" t="s">
        <v>6</v>
      </c>
      <c r="E1471" s="18" t="s">
        <v>46</v>
      </c>
      <c r="F1471" s="144">
        <v>46173</v>
      </c>
    </row>
    <row r="1472" spans="1:6" x14ac:dyDescent="0.25">
      <c r="A1472" s="11">
        <v>60</v>
      </c>
      <c r="B1472" s="21" t="s">
        <v>949</v>
      </c>
      <c r="C1472" s="23" t="s">
        <v>6</v>
      </c>
      <c r="D1472" s="23" t="s">
        <v>6</v>
      </c>
      <c r="E1472" s="16" t="s">
        <v>46</v>
      </c>
      <c r="F1472" s="144">
        <v>46173</v>
      </c>
    </row>
    <row r="1473" spans="1:6" x14ac:dyDescent="0.25">
      <c r="A1473" s="11">
        <v>61</v>
      </c>
      <c r="B1473" s="21" t="s">
        <v>1719</v>
      </c>
      <c r="C1473" s="23" t="s">
        <v>6</v>
      </c>
      <c r="D1473" s="23" t="s">
        <v>6</v>
      </c>
      <c r="E1473" s="16" t="s">
        <v>46</v>
      </c>
      <c r="F1473" s="144">
        <v>46173</v>
      </c>
    </row>
    <row r="1474" spans="1:6" x14ac:dyDescent="0.25">
      <c r="A1474" s="11">
        <v>62</v>
      </c>
      <c r="B1474" s="21" t="s">
        <v>1720</v>
      </c>
      <c r="C1474" s="23" t="s">
        <v>6</v>
      </c>
      <c r="D1474" s="23" t="s">
        <v>6</v>
      </c>
      <c r="E1474" s="16" t="s">
        <v>46</v>
      </c>
      <c r="F1474" s="144">
        <v>46173</v>
      </c>
    </row>
    <row r="1475" spans="1:6" x14ac:dyDescent="0.25">
      <c r="A1475" s="11">
        <v>63</v>
      </c>
      <c r="B1475" s="21" t="s">
        <v>1624</v>
      </c>
      <c r="C1475" s="23" t="s">
        <v>6</v>
      </c>
      <c r="D1475" s="23" t="s">
        <v>6</v>
      </c>
      <c r="E1475" s="16" t="s">
        <v>46</v>
      </c>
      <c r="F1475" s="144">
        <v>46173</v>
      </c>
    </row>
    <row r="1476" spans="1:6" x14ac:dyDescent="0.25">
      <c r="A1476" s="11">
        <v>64</v>
      </c>
      <c r="B1476" s="21" t="s">
        <v>1593</v>
      </c>
      <c r="C1476" s="23" t="s">
        <v>6</v>
      </c>
      <c r="D1476" s="23" t="s">
        <v>6</v>
      </c>
      <c r="E1476" s="24" t="s">
        <v>46</v>
      </c>
      <c r="F1476" s="144">
        <v>46173</v>
      </c>
    </row>
    <row r="1477" spans="1:6" x14ac:dyDescent="0.25">
      <c r="A1477" s="11">
        <v>65</v>
      </c>
      <c r="B1477" s="21" t="s">
        <v>1751</v>
      </c>
      <c r="C1477" s="23" t="s">
        <v>6</v>
      </c>
      <c r="D1477" s="23" t="s">
        <v>6</v>
      </c>
      <c r="E1477" s="16" t="s">
        <v>46</v>
      </c>
      <c r="F1477" s="144">
        <v>46173</v>
      </c>
    </row>
    <row r="1478" spans="1:6" x14ac:dyDescent="0.25">
      <c r="A1478" s="11">
        <v>66</v>
      </c>
      <c r="B1478" s="21" t="s">
        <v>1752</v>
      </c>
      <c r="C1478" s="23" t="s">
        <v>6</v>
      </c>
      <c r="D1478" s="23" t="s">
        <v>6</v>
      </c>
      <c r="E1478" s="16" t="s">
        <v>46</v>
      </c>
      <c r="F1478" s="144">
        <v>46173</v>
      </c>
    </row>
    <row r="1479" spans="1:6" x14ac:dyDescent="0.25">
      <c r="A1479" s="11">
        <v>67</v>
      </c>
      <c r="B1479" s="21" t="s">
        <v>1784</v>
      </c>
      <c r="C1479" s="23" t="s">
        <v>6</v>
      </c>
      <c r="D1479" s="23" t="s">
        <v>6</v>
      </c>
      <c r="E1479" s="16" t="s">
        <v>46</v>
      </c>
      <c r="F1479" s="144">
        <v>46173</v>
      </c>
    </row>
    <row r="1483" spans="1:6" x14ac:dyDescent="0.25">
      <c r="A1483">
        <f>A171+A710+A1055+A1410+A1479</f>
        <v>1470</v>
      </c>
    </row>
    <row r="1485" spans="1:6" x14ac:dyDescent="0.25">
      <c r="A1485" s="123"/>
    </row>
  </sheetData>
  <conditionalFormatting sqref="C2:D2 C1339:D1357 C197:D197 C1379:D1386 C626:D627">
    <cfRule type="containsText" dxfId="6160" priority="6477" operator="containsText" text="NO+$D$4:$D$10">
      <formula>NOT(ISERROR(SEARCH("NO+$D$4:$D$10",C2)))</formula>
    </cfRule>
  </conditionalFormatting>
  <conditionalFormatting sqref="C2:D2 C1339:D1357 C197:D197 C1379:D1386 C626:D627">
    <cfRule type="containsText" dxfId="6159" priority="6475" operator="containsText" text="SI">
      <formula>NOT(ISERROR(SEARCH("SI",C2)))</formula>
    </cfRule>
    <cfRule type="containsText" dxfId="6158" priority="6476" operator="containsText" text="NO">
      <formula>NOT(ISERROR(SEARCH("NO",C2)))</formula>
    </cfRule>
  </conditionalFormatting>
  <conditionalFormatting sqref="C2:D2 C1339:D1357 E1342:E1357 C197:D197 C1379:D1386 E1379:E1382 C626:E627">
    <cfRule type="containsText" dxfId="6157" priority="6474" operator="containsText" text="NUEVO">
      <formula>NOT(ISERROR(SEARCH("NUEVO",C2)))</formula>
    </cfRule>
  </conditionalFormatting>
  <conditionalFormatting sqref="E2">
    <cfRule type="containsText" dxfId="6156" priority="6472" operator="containsText" text="NUEVO">
      <formula>NOT(ISERROR(SEARCH("NUEVO",E2)))</formula>
    </cfRule>
  </conditionalFormatting>
  <conditionalFormatting sqref="E2 E1342:E1357 E1379:E1382">
    <cfRule type="containsText" dxfId="6155" priority="6473" operator="containsText" text="Sin información">
      <formula>NOT(ISERROR(SEARCH("Sin información",E2)))</formula>
    </cfRule>
  </conditionalFormatting>
  <conditionalFormatting sqref="E2 E626:E627">
    <cfRule type="containsText" dxfId="6154" priority="6471" operator="containsText" text="Sin Información">
      <formula>NOT(ISERROR(SEARCH("Sin Información",E2)))</formula>
    </cfRule>
  </conditionalFormatting>
  <conditionalFormatting sqref="C3:D3">
    <cfRule type="containsText" dxfId="6153" priority="6470" operator="containsText" text="NO+$D$4:$D$10">
      <formula>NOT(ISERROR(SEARCH("NO+$D$4:$D$10",C3)))</formula>
    </cfRule>
  </conditionalFormatting>
  <conditionalFormatting sqref="C3:D3">
    <cfRule type="containsText" dxfId="6152" priority="6468" operator="containsText" text="SI">
      <formula>NOT(ISERROR(SEARCH("SI",C3)))</formula>
    </cfRule>
    <cfRule type="containsText" dxfId="6151" priority="6469" operator="containsText" text="NO">
      <formula>NOT(ISERROR(SEARCH("NO",C3)))</formula>
    </cfRule>
  </conditionalFormatting>
  <conditionalFormatting sqref="E3">
    <cfRule type="containsText" dxfId="6150" priority="6467" operator="containsText" text="Sin información">
      <formula>NOT(ISERROR(SEARCH("Sin información",E3)))</formula>
    </cfRule>
  </conditionalFormatting>
  <conditionalFormatting sqref="C3:E3">
    <cfRule type="containsText" dxfId="6149" priority="6466" operator="containsText" text="NUEVO">
      <formula>NOT(ISERROR(SEARCH("NUEVO",C3)))</formula>
    </cfRule>
  </conditionalFormatting>
  <conditionalFormatting sqref="C4:D4">
    <cfRule type="containsText" dxfId="6148" priority="6465" operator="containsText" text="NO+$D$4:$D$10">
      <formula>NOT(ISERROR(SEARCH("NO+$D$4:$D$10",C4)))</formula>
    </cfRule>
  </conditionalFormatting>
  <conditionalFormatting sqref="C4:D4">
    <cfRule type="containsText" dxfId="6147" priority="6463" operator="containsText" text="SI">
      <formula>NOT(ISERROR(SEARCH("SI",C4)))</formula>
    </cfRule>
    <cfRule type="containsText" dxfId="6146" priority="6464" operator="containsText" text="NO">
      <formula>NOT(ISERROR(SEARCH("NO",C4)))</formula>
    </cfRule>
  </conditionalFormatting>
  <conditionalFormatting sqref="C4:D4">
    <cfRule type="containsText" dxfId="6145" priority="6462" operator="containsText" text="NUEVO">
      <formula>NOT(ISERROR(SEARCH("NUEVO",C4)))</formula>
    </cfRule>
  </conditionalFormatting>
  <conditionalFormatting sqref="E4">
    <cfRule type="containsText" dxfId="6144" priority="6460" operator="containsText" text="NUEVO">
      <formula>NOT(ISERROR(SEARCH("NUEVO",E4)))</formula>
    </cfRule>
  </conditionalFormatting>
  <conditionalFormatting sqref="E4">
    <cfRule type="containsText" dxfId="6143" priority="6461" operator="containsText" text="Sin información">
      <formula>NOT(ISERROR(SEARCH("Sin información",E4)))</formula>
    </cfRule>
  </conditionalFormatting>
  <conditionalFormatting sqref="E4">
    <cfRule type="containsText" dxfId="6142" priority="6459" operator="containsText" text="Sin Información">
      <formula>NOT(ISERROR(SEARCH("Sin Información",E4)))</formula>
    </cfRule>
  </conditionalFormatting>
  <conditionalFormatting sqref="C5:D5">
    <cfRule type="containsText" dxfId="6141" priority="6458" operator="containsText" text="NO+$D$4:$D$10">
      <formula>NOT(ISERROR(SEARCH("NO+$D$4:$D$10",C5)))</formula>
    </cfRule>
  </conditionalFormatting>
  <conditionalFormatting sqref="C5:D5">
    <cfRule type="containsText" dxfId="6140" priority="6456" operator="containsText" text="SI">
      <formula>NOT(ISERROR(SEARCH("SI",C5)))</formula>
    </cfRule>
    <cfRule type="containsText" dxfId="6139" priority="6457" operator="containsText" text="NO">
      <formula>NOT(ISERROR(SEARCH("NO",C5)))</formula>
    </cfRule>
  </conditionalFormatting>
  <conditionalFormatting sqref="C5:D5">
    <cfRule type="containsText" dxfId="6138" priority="6455" operator="containsText" text="NUEVO">
      <formula>NOT(ISERROR(SEARCH("NUEVO",C5)))</formula>
    </cfRule>
  </conditionalFormatting>
  <conditionalFormatting sqref="E5">
    <cfRule type="containsText" dxfId="6137" priority="6454" operator="containsText" text="Sin información">
      <formula>NOT(ISERROR(SEARCH("Sin información",E5)))</formula>
    </cfRule>
  </conditionalFormatting>
  <conditionalFormatting sqref="E5">
    <cfRule type="containsText" dxfId="6136" priority="6453" operator="containsText" text="NUEVO">
      <formula>NOT(ISERROR(SEARCH("NUEVO",E5)))</formula>
    </cfRule>
  </conditionalFormatting>
  <conditionalFormatting sqref="E5">
    <cfRule type="containsText" dxfId="6135" priority="6452" operator="containsText" text="Sin Información">
      <formula>NOT(ISERROR(SEARCH("Sin Información",E5)))</formula>
    </cfRule>
  </conditionalFormatting>
  <conditionalFormatting sqref="C6:D6">
    <cfRule type="containsText" dxfId="6134" priority="6451" operator="containsText" text="NO+$D$4:$D$10">
      <formula>NOT(ISERROR(SEARCH("NO+$D$4:$D$10",C6)))</formula>
    </cfRule>
  </conditionalFormatting>
  <conditionalFormatting sqref="C6:D6">
    <cfRule type="containsText" dxfId="6133" priority="6449" operator="containsText" text="SI">
      <formula>NOT(ISERROR(SEARCH("SI",C6)))</formula>
    </cfRule>
    <cfRule type="containsText" dxfId="6132" priority="6450" operator="containsText" text="NO">
      <formula>NOT(ISERROR(SEARCH("NO",C6)))</formula>
    </cfRule>
  </conditionalFormatting>
  <conditionalFormatting sqref="C6:D6">
    <cfRule type="containsText" dxfId="6131" priority="6448" operator="containsText" text="NUEVO">
      <formula>NOT(ISERROR(SEARCH("NUEVO",C6)))</formula>
    </cfRule>
  </conditionalFormatting>
  <conditionalFormatting sqref="E6">
    <cfRule type="containsText" dxfId="6130" priority="6446" operator="containsText" text="NUEVO">
      <formula>NOT(ISERROR(SEARCH("NUEVO",E6)))</formula>
    </cfRule>
  </conditionalFormatting>
  <conditionalFormatting sqref="E6">
    <cfRule type="containsText" dxfId="6129" priority="6447" operator="containsText" text="Sin información">
      <formula>NOT(ISERROR(SEARCH("Sin información",E6)))</formula>
    </cfRule>
  </conditionalFormatting>
  <conditionalFormatting sqref="E6">
    <cfRule type="containsText" dxfId="6128" priority="6445" operator="containsText" text="Sin Información">
      <formula>NOT(ISERROR(SEARCH("Sin Información",E6)))</formula>
    </cfRule>
  </conditionalFormatting>
  <conditionalFormatting sqref="C7:D7">
    <cfRule type="containsText" dxfId="6127" priority="6444" operator="containsText" text="NO+$D$4:$D$10">
      <formula>NOT(ISERROR(SEARCH("NO+$D$4:$D$10",C7)))</formula>
    </cfRule>
  </conditionalFormatting>
  <conditionalFormatting sqref="C7:D7">
    <cfRule type="containsText" dxfId="6126" priority="6442" operator="containsText" text="SI">
      <formula>NOT(ISERROR(SEARCH("SI",C7)))</formula>
    </cfRule>
    <cfRule type="containsText" dxfId="6125" priority="6443" operator="containsText" text="NO">
      <formula>NOT(ISERROR(SEARCH("NO",C7)))</formula>
    </cfRule>
  </conditionalFormatting>
  <conditionalFormatting sqref="C7:D7">
    <cfRule type="containsText" dxfId="6124" priority="6441" operator="containsText" text="NUEVO">
      <formula>NOT(ISERROR(SEARCH("NUEVO",C7)))</formula>
    </cfRule>
  </conditionalFormatting>
  <conditionalFormatting sqref="E7">
    <cfRule type="containsText" dxfId="6123" priority="6439" operator="containsText" text="NUEVO">
      <formula>NOT(ISERROR(SEARCH("NUEVO",E7)))</formula>
    </cfRule>
  </conditionalFormatting>
  <conditionalFormatting sqref="E7">
    <cfRule type="containsText" dxfId="6122" priority="6440" operator="containsText" text="Sin información">
      <formula>NOT(ISERROR(SEARCH("Sin información",E7)))</formula>
    </cfRule>
  </conditionalFormatting>
  <conditionalFormatting sqref="E7">
    <cfRule type="containsText" dxfId="6121" priority="6438" operator="containsText" text="Sin Información">
      <formula>NOT(ISERROR(SEARCH("Sin Información",E7)))</formula>
    </cfRule>
  </conditionalFormatting>
  <conditionalFormatting sqref="C8:D8">
    <cfRule type="containsText" dxfId="6120" priority="6437" operator="containsText" text="NO+$D$4:$D$10">
      <formula>NOT(ISERROR(SEARCH("NO+$D$4:$D$10",C8)))</formula>
    </cfRule>
  </conditionalFormatting>
  <conditionalFormatting sqref="C8:D8">
    <cfRule type="containsText" dxfId="6119" priority="6435" operator="containsText" text="SI">
      <formula>NOT(ISERROR(SEARCH("SI",C8)))</formula>
    </cfRule>
    <cfRule type="containsText" dxfId="6118" priority="6436" operator="containsText" text="NO">
      <formula>NOT(ISERROR(SEARCH("NO",C8)))</formula>
    </cfRule>
  </conditionalFormatting>
  <conditionalFormatting sqref="C8:D8">
    <cfRule type="containsText" dxfId="6117" priority="6434" operator="containsText" text="NUEVO">
      <formula>NOT(ISERROR(SEARCH("NUEVO",C8)))</formula>
    </cfRule>
  </conditionalFormatting>
  <conditionalFormatting sqref="E8">
    <cfRule type="containsText" dxfId="6116" priority="6432" operator="containsText" text="NUEVO">
      <formula>NOT(ISERROR(SEARCH("NUEVO",E8)))</formula>
    </cfRule>
  </conditionalFormatting>
  <conditionalFormatting sqref="E8">
    <cfRule type="containsText" dxfId="6115" priority="6433" operator="containsText" text="Sin información">
      <formula>NOT(ISERROR(SEARCH("Sin información",E8)))</formula>
    </cfRule>
  </conditionalFormatting>
  <conditionalFormatting sqref="E8">
    <cfRule type="containsText" dxfId="6114" priority="6431" operator="containsText" text="Sin Información">
      <formula>NOT(ISERROR(SEARCH("Sin Información",E8)))</formula>
    </cfRule>
  </conditionalFormatting>
  <conditionalFormatting sqref="C9:D9">
    <cfRule type="containsText" dxfId="6113" priority="6430" operator="containsText" text="NO+$D$4:$D$10">
      <formula>NOT(ISERROR(SEARCH("NO+$D$4:$D$10",C9)))</formula>
    </cfRule>
  </conditionalFormatting>
  <conditionalFormatting sqref="C9:D9">
    <cfRule type="containsText" dxfId="6112" priority="6428" operator="containsText" text="SI">
      <formula>NOT(ISERROR(SEARCH("SI",C9)))</formula>
    </cfRule>
    <cfRule type="containsText" dxfId="6111" priority="6429" operator="containsText" text="NO">
      <formula>NOT(ISERROR(SEARCH("NO",C9)))</formula>
    </cfRule>
  </conditionalFormatting>
  <conditionalFormatting sqref="C9:D9">
    <cfRule type="containsText" dxfId="6110" priority="6427" operator="containsText" text="NUEVO">
      <formula>NOT(ISERROR(SEARCH("NUEVO",C9)))</formula>
    </cfRule>
  </conditionalFormatting>
  <conditionalFormatting sqref="E9">
    <cfRule type="containsText" dxfId="6109" priority="6425" operator="containsText" text="NUEVO">
      <formula>NOT(ISERROR(SEARCH("NUEVO",E9)))</formula>
    </cfRule>
  </conditionalFormatting>
  <conditionalFormatting sqref="E9">
    <cfRule type="containsText" dxfId="6108" priority="6426" operator="containsText" text="Sin información">
      <formula>NOT(ISERROR(SEARCH("Sin información",E9)))</formula>
    </cfRule>
  </conditionalFormatting>
  <conditionalFormatting sqref="E9">
    <cfRule type="containsText" dxfId="6107" priority="6424" operator="containsText" text="Sin Información">
      <formula>NOT(ISERROR(SEARCH("Sin Información",E9)))</formula>
    </cfRule>
  </conditionalFormatting>
  <conditionalFormatting sqref="C10:D10">
    <cfRule type="containsText" dxfId="6106" priority="6423" operator="containsText" text="NO+$D$4:$D$10">
      <formula>NOT(ISERROR(SEARCH("NO+$D$4:$D$10",C10)))</formula>
    </cfRule>
  </conditionalFormatting>
  <conditionalFormatting sqref="C10:D10">
    <cfRule type="containsText" dxfId="6105" priority="6421" operator="containsText" text="SI">
      <formula>NOT(ISERROR(SEARCH("SI",C10)))</formula>
    </cfRule>
    <cfRule type="containsText" dxfId="6104" priority="6422" operator="containsText" text="NO">
      <formula>NOT(ISERROR(SEARCH("NO",C10)))</formula>
    </cfRule>
  </conditionalFormatting>
  <conditionalFormatting sqref="C10:D10">
    <cfRule type="containsText" dxfId="6103" priority="6420" operator="containsText" text="NUEVO">
      <formula>NOT(ISERROR(SEARCH("NUEVO",C10)))</formula>
    </cfRule>
  </conditionalFormatting>
  <conditionalFormatting sqref="E10">
    <cfRule type="containsText" dxfId="6102" priority="6418" operator="containsText" text="NUEVO">
      <formula>NOT(ISERROR(SEARCH("NUEVO",E10)))</formula>
    </cfRule>
  </conditionalFormatting>
  <conditionalFormatting sqref="E10">
    <cfRule type="containsText" dxfId="6101" priority="6419" operator="containsText" text="Sin información">
      <formula>NOT(ISERROR(SEARCH("Sin información",E10)))</formula>
    </cfRule>
  </conditionalFormatting>
  <conditionalFormatting sqref="E10">
    <cfRule type="containsText" dxfId="6100" priority="6417" operator="containsText" text="Sin Información">
      <formula>NOT(ISERROR(SEARCH("Sin Información",E10)))</formula>
    </cfRule>
  </conditionalFormatting>
  <conditionalFormatting sqref="C11:D11">
    <cfRule type="containsText" dxfId="6099" priority="6416" operator="containsText" text="NO+$D$4:$D$10">
      <formula>NOT(ISERROR(SEARCH("NO+$D$4:$D$10",C11)))</formula>
    </cfRule>
  </conditionalFormatting>
  <conditionalFormatting sqref="C11:D11">
    <cfRule type="containsText" dxfId="6098" priority="6414" operator="containsText" text="SI">
      <formula>NOT(ISERROR(SEARCH("SI",C11)))</formula>
    </cfRule>
    <cfRule type="containsText" dxfId="6097" priority="6415" operator="containsText" text="NO">
      <formula>NOT(ISERROR(SEARCH("NO",C11)))</formula>
    </cfRule>
  </conditionalFormatting>
  <conditionalFormatting sqref="C11:D11">
    <cfRule type="containsText" dxfId="6096" priority="6413" operator="containsText" text="NUEVO">
      <formula>NOT(ISERROR(SEARCH("NUEVO",C11)))</formula>
    </cfRule>
  </conditionalFormatting>
  <conditionalFormatting sqref="E11">
    <cfRule type="containsText" dxfId="6095" priority="6411" operator="containsText" text="NUEVO">
      <formula>NOT(ISERROR(SEARCH("NUEVO",E11)))</formula>
    </cfRule>
  </conditionalFormatting>
  <conditionalFormatting sqref="E11">
    <cfRule type="containsText" dxfId="6094" priority="6412" operator="containsText" text="Sin información">
      <formula>NOT(ISERROR(SEARCH("Sin información",E11)))</formula>
    </cfRule>
  </conditionalFormatting>
  <conditionalFormatting sqref="E11">
    <cfRule type="containsText" dxfId="6093" priority="6410" operator="containsText" text="Sin Información">
      <formula>NOT(ISERROR(SEARCH("Sin Información",E11)))</formula>
    </cfRule>
  </conditionalFormatting>
  <conditionalFormatting sqref="C65:D67 C12:D12">
    <cfRule type="containsText" dxfId="6092" priority="6409" operator="containsText" text="NO+$D$4:$D$10">
      <formula>NOT(ISERROR(SEARCH("NO+$D$4:$D$10",C12)))</formula>
    </cfRule>
  </conditionalFormatting>
  <conditionalFormatting sqref="C65:D67 C12:D12">
    <cfRule type="containsText" dxfId="6091" priority="6407" operator="containsText" text="SI">
      <formula>NOT(ISERROR(SEARCH("SI",C12)))</formula>
    </cfRule>
    <cfRule type="containsText" dxfId="6090" priority="6408" operator="containsText" text="NO">
      <formula>NOT(ISERROR(SEARCH("NO",C12)))</formula>
    </cfRule>
  </conditionalFormatting>
  <conditionalFormatting sqref="C65:E67 C12:E12">
    <cfRule type="containsText" dxfId="6089" priority="6406" operator="containsText" text="NUEVO">
      <formula>NOT(ISERROR(SEARCH("NUEVO",C12)))</formula>
    </cfRule>
  </conditionalFormatting>
  <conditionalFormatting sqref="E65:E67 E12">
    <cfRule type="containsText" dxfId="6088" priority="6405" operator="containsText" text="Sin información">
      <formula>NOT(ISERROR(SEARCH("Sin información",E12)))</formula>
    </cfRule>
  </conditionalFormatting>
  <conditionalFormatting sqref="E65:E67">
    <cfRule type="containsText" dxfId="6087" priority="6404" operator="containsText" text="Sin Información">
      <formula>NOT(ISERROR(SEARCH("Sin Información",E65)))</formula>
    </cfRule>
  </conditionalFormatting>
  <conditionalFormatting sqref="C13:D17">
    <cfRule type="containsText" dxfId="6086" priority="6403" operator="containsText" text="NO+$D$4:$D$10">
      <formula>NOT(ISERROR(SEARCH("NO+$D$4:$D$10",C13)))</formula>
    </cfRule>
  </conditionalFormatting>
  <conditionalFormatting sqref="C13:D17">
    <cfRule type="containsText" dxfId="6085" priority="6401" operator="containsText" text="SI">
      <formula>NOT(ISERROR(SEARCH("SI",C13)))</formula>
    </cfRule>
    <cfRule type="containsText" dxfId="6084" priority="6402" operator="containsText" text="NO">
      <formula>NOT(ISERROR(SEARCH("NO",C13)))</formula>
    </cfRule>
  </conditionalFormatting>
  <conditionalFormatting sqref="E13:E17">
    <cfRule type="containsText" dxfId="6083" priority="6400" operator="containsText" text="Sin información">
      <formula>NOT(ISERROR(SEARCH("Sin información",E13)))</formula>
    </cfRule>
  </conditionalFormatting>
  <conditionalFormatting sqref="C13:E17">
    <cfRule type="containsText" dxfId="6082" priority="6399" operator="containsText" text="NUEVO">
      <formula>NOT(ISERROR(SEARCH("NUEVO",C13)))</formula>
    </cfRule>
  </conditionalFormatting>
  <conditionalFormatting sqref="C18:D19">
    <cfRule type="containsText" dxfId="6081" priority="6398" operator="containsText" text="NO+$D$4:$D$10">
      <formula>NOT(ISERROR(SEARCH("NO+$D$4:$D$10",C18)))</formula>
    </cfRule>
  </conditionalFormatting>
  <conditionalFormatting sqref="C18:D19">
    <cfRule type="containsText" dxfId="6080" priority="6396" operator="containsText" text="SI">
      <formula>NOT(ISERROR(SEARCH("SI",C18)))</formula>
    </cfRule>
    <cfRule type="containsText" dxfId="6079" priority="6397" operator="containsText" text="NO">
      <formula>NOT(ISERROR(SEARCH("NO",C18)))</formula>
    </cfRule>
  </conditionalFormatting>
  <conditionalFormatting sqref="E18">
    <cfRule type="containsText" dxfId="6078" priority="6395" operator="containsText" text="Sin información">
      <formula>NOT(ISERROR(SEARCH("Sin información",E18)))</formula>
    </cfRule>
  </conditionalFormatting>
  <conditionalFormatting sqref="C18:E19">
    <cfRule type="containsText" dxfId="6077" priority="6394" operator="containsText" text="NUEVO">
      <formula>NOT(ISERROR(SEARCH("NUEVO",C18)))</formula>
    </cfRule>
  </conditionalFormatting>
  <conditionalFormatting sqref="E19">
    <cfRule type="containsText" dxfId="6076" priority="6393" operator="containsText" text="Sin información">
      <formula>NOT(ISERROR(SEARCH("Sin información",E19)))</formula>
    </cfRule>
  </conditionalFormatting>
  <conditionalFormatting sqref="C20:D20">
    <cfRule type="containsText" dxfId="6075" priority="6392" operator="containsText" text="NO+$D$4:$D$10">
      <formula>NOT(ISERROR(SEARCH("NO+$D$4:$D$10",C20)))</formula>
    </cfRule>
  </conditionalFormatting>
  <conditionalFormatting sqref="C20:D20">
    <cfRule type="containsText" dxfId="6074" priority="6390" operator="containsText" text="SI">
      <formula>NOT(ISERROR(SEARCH("SI",C20)))</formula>
    </cfRule>
    <cfRule type="containsText" dxfId="6073" priority="6391" operator="containsText" text="NO">
      <formula>NOT(ISERROR(SEARCH("NO",C20)))</formula>
    </cfRule>
  </conditionalFormatting>
  <conditionalFormatting sqref="E20">
    <cfRule type="containsText" dxfId="6072" priority="6389" operator="containsText" text="Sin información">
      <formula>NOT(ISERROR(SEARCH("Sin información",E20)))</formula>
    </cfRule>
  </conditionalFormatting>
  <conditionalFormatting sqref="C20:E20">
    <cfRule type="containsText" dxfId="6071" priority="6388" operator="containsText" text="NUEVO">
      <formula>NOT(ISERROR(SEARCH("NUEVO",C20)))</formula>
    </cfRule>
  </conditionalFormatting>
  <conditionalFormatting sqref="C21:D21">
    <cfRule type="containsText" dxfId="6070" priority="6387" operator="containsText" text="NO+$D$4:$D$10">
      <formula>NOT(ISERROR(SEARCH("NO+$D$4:$D$10",C21)))</formula>
    </cfRule>
  </conditionalFormatting>
  <conditionalFormatting sqref="C21:D21">
    <cfRule type="containsText" dxfId="6069" priority="6385" operator="containsText" text="SI">
      <formula>NOT(ISERROR(SEARCH("SI",C21)))</formula>
    </cfRule>
    <cfRule type="containsText" dxfId="6068" priority="6386" operator="containsText" text="NO">
      <formula>NOT(ISERROR(SEARCH("NO",C21)))</formula>
    </cfRule>
  </conditionalFormatting>
  <conditionalFormatting sqref="E21">
    <cfRule type="containsText" dxfId="6067" priority="6384" operator="containsText" text="Sin información">
      <formula>NOT(ISERROR(SEARCH("Sin información",E21)))</formula>
    </cfRule>
  </conditionalFormatting>
  <conditionalFormatting sqref="C21:E21">
    <cfRule type="containsText" dxfId="6066" priority="6383" operator="containsText" text="NUEVO">
      <formula>NOT(ISERROR(SEARCH("NUEVO",C21)))</formula>
    </cfRule>
  </conditionalFormatting>
  <conditionalFormatting sqref="C22:D22">
    <cfRule type="containsText" dxfId="6065" priority="6382" operator="containsText" text="NO+$D$4:$D$10">
      <formula>NOT(ISERROR(SEARCH("NO+$D$4:$D$10",C22)))</formula>
    </cfRule>
  </conditionalFormatting>
  <conditionalFormatting sqref="C22:D22">
    <cfRule type="containsText" dxfId="6064" priority="6380" operator="containsText" text="SI">
      <formula>NOT(ISERROR(SEARCH("SI",C22)))</formula>
    </cfRule>
    <cfRule type="containsText" dxfId="6063" priority="6381" operator="containsText" text="NO">
      <formula>NOT(ISERROR(SEARCH("NO",C22)))</formula>
    </cfRule>
  </conditionalFormatting>
  <conditionalFormatting sqref="E22">
    <cfRule type="containsText" dxfId="6062" priority="6379" operator="containsText" text="Sin información">
      <formula>NOT(ISERROR(SEARCH("Sin información",E22)))</formula>
    </cfRule>
  </conditionalFormatting>
  <conditionalFormatting sqref="C22:E22">
    <cfRule type="containsText" dxfId="6061" priority="6378" operator="containsText" text="NUEVO">
      <formula>NOT(ISERROR(SEARCH("NUEVO",C22)))</formula>
    </cfRule>
  </conditionalFormatting>
  <conditionalFormatting sqref="C23:D23">
    <cfRule type="containsText" dxfId="6060" priority="6377" operator="containsText" text="NO+$D$4:$D$10">
      <formula>NOT(ISERROR(SEARCH("NO+$D$4:$D$10",C23)))</formula>
    </cfRule>
  </conditionalFormatting>
  <conditionalFormatting sqref="C23:D23">
    <cfRule type="containsText" dxfId="6059" priority="6375" operator="containsText" text="SI">
      <formula>NOT(ISERROR(SEARCH("SI",C23)))</formula>
    </cfRule>
    <cfRule type="containsText" dxfId="6058" priority="6376" operator="containsText" text="NO">
      <formula>NOT(ISERROR(SEARCH("NO",C23)))</formula>
    </cfRule>
  </conditionalFormatting>
  <conditionalFormatting sqref="E23">
    <cfRule type="containsText" dxfId="6057" priority="6374" operator="containsText" text="Sin información">
      <formula>NOT(ISERROR(SEARCH("Sin información",E23)))</formula>
    </cfRule>
  </conditionalFormatting>
  <conditionalFormatting sqref="C23:E23">
    <cfRule type="containsText" dxfId="6056" priority="6373" operator="containsText" text="NUEVO">
      <formula>NOT(ISERROR(SEARCH("NUEVO",C23)))</formula>
    </cfRule>
  </conditionalFormatting>
  <conditionalFormatting sqref="C24:D24">
    <cfRule type="containsText" dxfId="6055" priority="6372" operator="containsText" text="NO+$D$4:$D$10">
      <formula>NOT(ISERROR(SEARCH("NO+$D$4:$D$10",C24)))</formula>
    </cfRule>
  </conditionalFormatting>
  <conditionalFormatting sqref="C24:D24">
    <cfRule type="containsText" dxfId="6054" priority="6370" operator="containsText" text="SI">
      <formula>NOT(ISERROR(SEARCH("SI",C24)))</formula>
    </cfRule>
    <cfRule type="containsText" dxfId="6053" priority="6371" operator="containsText" text="NO">
      <formula>NOT(ISERROR(SEARCH("NO",C24)))</formula>
    </cfRule>
  </conditionalFormatting>
  <conditionalFormatting sqref="C24:D24">
    <cfRule type="containsText" dxfId="6052" priority="6369" operator="containsText" text="NUEVO">
      <formula>NOT(ISERROR(SEARCH("NUEVO",C24)))</formula>
    </cfRule>
  </conditionalFormatting>
  <conditionalFormatting sqref="E24">
    <cfRule type="containsText" dxfId="6051" priority="6367" operator="containsText" text="NUEVO">
      <formula>NOT(ISERROR(SEARCH("NUEVO",E24)))</formula>
    </cfRule>
  </conditionalFormatting>
  <conditionalFormatting sqref="E24">
    <cfRule type="containsText" dxfId="6050" priority="6368" operator="containsText" text="Sin información">
      <formula>NOT(ISERROR(SEARCH("Sin información",E24)))</formula>
    </cfRule>
  </conditionalFormatting>
  <conditionalFormatting sqref="C25:D25">
    <cfRule type="containsText" dxfId="6049" priority="6366" operator="containsText" text="NO+$D$4:$D$10">
      <formula>NOT(ISERROR(SEARCH("NO+$D$4:$D$10",C25)))</formula>
    </cfRule>
  </conditionalFormatting>
  <conditionalFormatting sqref="C25:D25">
    <cfRule type="containsText" dxfId="6048" priority="6364" operator="containsText" text="SI">
      <formula>NOT(ISERROR(SEARCH("SI",C25)))</formula>
    </cfRule>
    <cfRule type="containsText" dxfId="6047" priority="6365" operator="containsText" text="NO">
      <formula>NOT(ISERROR(SEARCH("NO",C25)))</formula>
    </cfRule>
  </conditionalFormatting>
  <conditionalFormatting sqref="C25:D25">
    <cfRule type="containsText" dxfId="6046" priority="6363" operator="containsText" text="NUEVO">
      <formula>NOT(ISERROR(SEARCH("NUEVO",C25)))</formula>
    </cfRule>
  </conditionalFormatting>
  <conditionalFormatting sqref="E25">
    <cfRule type="containsText" dxfId="6045" priority="6362" operator="containsText" text="Sin información">
      <formula>NOT(ISERROR(SEARCH("Sin información",E25)))</formula>
    </cfRule>
  </conditionalFormatting>
  <conditionalFormatting sqref="E25">
    <cfRule type="containsText" dxfId="6044" priority="6361" operator="containsText" text="NUEVO">
      <formula>NOT(ISERROR(SEARCH("NUEVO",E25)))</formula>
    </cfRule>
  </conditionalFormatting>
  <conditionalFormatting sqref="C26:D26">
    <cfRule type="containsText" dxfId="6043" priority="6360" operator="containsText" text="NO+$D$4:$D$10">
      <formula>NOT(ISERROR(SEARCH("NO+$D$4:$D$10",C26)))</formula>
    </cfRule>
  </conditionalFormatting>
  <conditionalFormatting sqref="C26:D26">
    <cfRule type="containsText" dxfId="6042" priority="6358" operator="containsText" text="SI">
      <formula>NOT(ISERROR(SEARCH("SI",C26)))</formula>
    </cfRule>
    <cfRule type="containsText" dxfId="6041" priority="6359" operator="containsText" text="NO">
      <formula>NOT(ISERROR(SEARCH("NO",C26)))</formula>
    </cfRule>
  </conditionalFormatting>
  <conditionalFormatting sqref="E26">
    <cfRule type="containsText" dxfId="6040" priority="6357" operator="containsText" text="Sin información">
      <formula>NOT(ISERROR(SEARCH("Sin información",E26)))</formula>
    </cfRule>
  </conditionalFormatting>
  <conditionalFormatting sqref="C26:E26">
    <cfRule type="containsText" dxfId="6039" priority="6356" operator="containsText" text="NUEVO">
      <formula>NOT(ISERROR(SEARCH("NUEVO",C26)))</formula>
    </cfRule>
  </conditionalFormatting>
  <conditionalFormatting sqref="E26">
    <cfRule type="containsText" dxfId="6038" priority="6355" operator="containsText" text="Sin Información">
      <formula>NOT(ISERROR(SEARCH("Sin Información",E26)))</formula>
    </cfRule>
  </conditionalFormatting>
  <conditionalFormatting sqref="C27:D27">
    <cfRule type="containsText" dxfId="6037" priority="6354" operator="containsText" text="NO+$D$4:$D$10">
      <formula>NOT(ISERROR(SEARCH("NO+$D$4:$D$10",C27)))</formula>
    </cfRule>
  </conditionalFormatting>
  <conditionalFormatting sqref="C27:D27">
    <cfRule type="containsText" dxfId="6036" priority="6352" operator="containsText" text="SI">
      <formula>NOT(ISERROR(SEARCH("SI",C27)))</formula>
    </cfRule>
    <cfRule type="containsText" dxfId="6035" priority="6353" operator="containsText" text="NO">
      <formula>NOT(ISERROR(SEARCH("NO",C27)))</formula>
    </cfRule>
  </conditionalFormatting>
  <conditionalFormatting sqref="E27">
    <cfRule type="containsText" dxfId="6034" priority="6351" operator="containsText" text="Sin información">
      <formula>NOT(ISERROR(SEARCH("Sin información",E27)))</formula>
    </cfRule>
  </conditionalFormatting>
  <conditionalFormatting sqref="C27:E27">
    <cfRule type="containsText" dxfId="6033" priority="6350" operator="containsText" text="NUEVO">
      <formula>NOT(ISERROR(SEARCH("NUEVO",C27)))</formula>
    </cfRule>
  </conditionalFormatting>
  <conditionalFormatting sqref="E27">
    <cfRule type="containsText" dxfId="6032" priority="6349" operator="containsText" text="Sin Información">
      <formula>NOT(ISERROR(SEARCH("Sin Información",E27)))</formula>
    </cfRule>
  </conditionalFormatting>
  <conditionalFormatting sqref="C28:D28">
    <cfRule type="containsText" dxfId="6031" priority="6348" operator="containsText" text="NO+$D$4:$D$10">
      <formula>NOT(ISERROR(SEARCH("NO+$D$4:$D$10",C28)))</formula>
    </cfRule>
  </conditionalFormatting>
  <conditionalFormatting sqref="C28:D28">
    <cfRule type="containsText" dxfId="6030" priority="6346" operator="containsText" text="SI">
      <formula>NOT(ISERROR(SEARCH("SI",C28)))</formula>
    </cfRule>
    <cfRule type="containsText" dxfId="6029" priority="6347" operator="containsText" text="NO">
      <formula>NOT(ISERROR(SEARCH("NO",C28)))</formula>
    </cfRule>
  </conditionalFormatting>
  <conditionalFormatting sqref="E28">
    <cfRule type="containsText" dxfId="6028" priority="6345" operator="containsText" text="Sin información">
      <formula>NOT(ISERROR(SEARCH("Sin información",E28)))</formula>
    </cfRule>
  </conditionalFormatting>
  <conditionalFormatting sqref="C28:E28">
    <cfRule type="containsText" dxfId="6027" priority="6344" operator="containsText" text="NUEVO">
      <formula>NOT(ISERROR(SEARCH("NUEVO",C28)))</formula>
    </cfRule>
  </conditionalFormatting>
  <conditionalFormatting sqref="E28">
    <cfRule type="containsText" dxfId="6026" priority="6343" operator="containsText" text="Sin Información">
      <formula>NOT(ISERROR(SEARCH("Sin Información",E28)))</formula>
    </cfRule>
  </conditionalFormatting>
  <conditionalFormatting sqref="C29:D29">
    <cfRule type="containsText" dxfId="6025" priority="6342" operator="containsText" text="NO+$D$4:$D$10">
      <formula>NOT(ISERROR(SEARCH("NO+$D$4:$D$10",C29)))</formula>
    </cfRule>
  </conditionalFormatting>
  <conditionalFormatting sqref="C29:D29">
    <cfRule type="containsText" dxfId="6024" priority="6340" operator="containsText" text="SI">
      <formula>NOT(ISERROR(SEARCH("SI",C29)))</formula>
    </cfRule>
    <cfRule type="containsText" dxfId="6023" priority="6341" operator="containsText" text="NO">
      <formula>NOT(ISERROR(SEARCH("NO",C29)))</formula>
    </cfRule>
  </conditionalFormatting>
  <conditionalFormatting sqref="E29">
    <cfRule type="containsText" dxfId="6022" priority="6339" operator="containsText" text="Sin información">
      <formula>NOT(ISERROR(SEARCH("Sin información",E29)))</formula>
    </cfRule>
  </conditionalFormatting>
  <conditionalFormatting sqref="C29:E29">
    <cfRule type="containsText" dxfId="6021" priority="6338" operator="containsText" text="NUEVO">
      <formula>NOT(ISERROR(SEARCH("NUEVO",C29)))</formula>
    </cfRule>
  </conditionalFormatting>
  <conditionalFormatting sqref="E29">
    <cfRule type="containsText" dxfId="6020" priority="6337" operator="containsText" text="Sin Información">
      <formula>NOT(ISERROR(SEARCH("Sin Información",E29)))</formula>
    </cfRule>
  </conditionalFormatting>
  <conditionalFormatting sqref="C30:D30">
    <cfRule type="containsText" dxfId="6019" priority="6336" operator="containsText" text="NO+$D$4:$D$10">
      <formula>NOT(ISERROR(SEARCH("NO+$D$4:$D$10",C30)))</formula>
    </cfRule>
  </conditionalFormatting>
  <conditionalFormatting sqref="C30:D30">
    <cfRule type="containsText" dxfId="6018" priority="6334" operator="containsText" text="SI">
      <formula>NOT(ISERROR(SEARCH("SI",C30)))</formula>
    </cfRule>
    <cfRule type="containsText" dxfId="6017" priority="6335" operator="containsText" text="NO">
      <formula>NOT(ISERROR(SEARCH("NO",C30)))</formula>
    </cfRule>
  </conditionalFormatting>
  <conditionalFormatting sqref="E30">
    <cfRule type="containsText" dxfId="6016" priority="6333" operator="containsText" text="Sin información">
      <formula>NOT(ISERROR(SEARCH("Sin información",E30)))</formula>
    </cfRule>
  </conditionalFormatting>
  <conditionalFormatting sqref="C30:E30">
    <cfRule type="containsText" dxfId="6015" priority="6332" operator="containsText" text="NUEVO">
      <formula>NOT(ISERROR(SEARCH("NUEVO",C30)))</formula>
    </cfRule>
  </conditionalFormatting>
  <conditionalFormatting sqref="E30">
    <cfRule type="containsText" dxfId="6014" priority="6331" operator="containsText" text="Sin Información">
      <formula>NOT(ISERROR(SEARCH("Sin Información",E30)))</formula>
    </cfRule>
  </conditionalFormatting>
  <conditionalFormatting sqref="C31:D31">
    <cfRule type="containsText" dxfId="6013" priority="6330" operator="containsText" text="NO+$D$4:$D$10">
      <formula>NOT(ISERROR(SEARCH("NO+$D$4:$D$10",C31)))</formula>
    </cfRule>
  </conditionalFormatting>
  <conditionalFormatting sqref="C31:D31">
    <cfRule type="containsText" dxfId="6012" priority="6328" operator="containsText" text="SI">
      <formula>NOT(ISERROR(SEARCH("SI",C31)))</formula>
    </cfRule>
    <cfRule type="containsText" dxfId="6011" priority="6329" operator="containsText" text="NO">
      <formula>NOT(ISERROR(SEARCH("NO",C31)))</formula>
    </cfRule>
  </conditionalFormatting>
  <conditionalFormatting sqref="E31">
    <cfRule type="containsText" dxfId="6010" priority="6327" operator="containsText" text="Sin información">
      <formula>NOT(ISERROR(SEARCH("Sin información",E31)))</formula>
    </cfRule>
  </conditionalFormatting>
  <conditionalFormatting sqref="C31:E31">
    <cfRule type="containsText" dxfId="6009" priority="6326" operator="containsText" text="NUEVO">
      <formula>NOT(ISERROR(SEARCH("NUEVO",C31)))</formula>
    </cfRule>
  </conditionalFormatting>
  <conditionalFormatting sqref="E31">
    <cfRule type="containsText" dxfId="6008" priority="6325" operator="containsText" text="Sin Información">
      <formula>NOT(ISERROR(SEARCH("Sin Información",E31)))</formula>
    </cfRule>
  </conditionalFormatting>
  <conditionalFormatting sqref="C33:D33">
    <cfRule type="containsText" dxfId="6007" priority="6324" operator="containsText" text="NO+$D$4:$D$10">
      <formula>NOT(ISERROR(SEARCH("NO+$D$4:$D$10",C33)))</formula>
    </cfRule>
  </conditionalFormatting>
  <conditionalFormatting sqref="C33:D33">
    <cfRule type="containsText" dxfId="6006" priority="6322" operator="containsText" text="SI">
      <formula>NOT(ISERROR(SEARCH("SI",C33)))</formula>
    </cfRule>
    <cfRule type="containsText" dxfId="6005" priority="6323" operator="containsText" text="NO">
      <formula>NOT(ISERROR(SEARCH("NO",C33)))</formula>
    </cfRule>
  </conditionalFormatting>
  <conditionalFormatting sqref="E33">
    <cfRule type="containsText" dxfId="6004" priority="6321" operator="containsText" text="Sin información">
      <formula>NOT(ISERROR(SEARCH("Sin información",E33)))</formula>
    </cfRule>
  </conditionalFormatting>
  <conditionalFormatting sqref="C33:E33">
    <cfRule type="containsText" dxfId="6003" priority="6320" operator="containsText" text="NUEVO">
      <formula>NOT(ISERROR(SEARCH("NUEVO",C33)))</formula>
    </cfRule>
  </conditionalFormatting>
  <conditionalFormatting sqref="E33">
    <cfRule type="containsText" dxfId="6002" priority="6319" operator="containsText" text="Sin Información">
      <formula>NOT(ISERROR(SEARCH("Sin Información",E33)))</formula>
    </cfRule>
  </conditionalFormatting>
  <conditionalFormatting sqref="C34:D34">
    <cfRule type="containsText" dxfId="6001" priority="6318" operator="containsText" text="NO+$D$4:$D$10">
      <formula>NOT(ISERROR(SEARCH("NO+$D$4:$D$10",C34)))</formula>
    </cfRule>
  </conditionalFormatting>
  <conditionalFormatting sqref="C34:D34">
    <cfRule type="containsText" dxfId="6000" priority="6316" operator="containsText" text="SI">
      <formula>NOT(ISERROR(SEARCH("SI",C34)))</formula>
    </cfRule>
    <cfRule type="containsText" dxfId="5999" priority="6317" operator="containsText" text="NO">
      <formula>NOT(ISERROR(SEARCH("NO",C34)))</formula>
    </cfRule>
  </conditionalFormatting>
  <conditionalFormatting sqref="E34">
    <cfRule type="containsText" dxfId="5998" priority="6315" operator="containsText" text="Sin información">
      <formula>NOT(ISERROR(SEARCH("Sin información",E34)))</formula>
    </cfRule>
  </conditionalFormatting>
  <conditionalFormatting sqref="C34:E34">
    <cfRule type="containsText" dxfId="5997" priority="6314" operator="containsText" text="NUEVO">
      <formula>NOT(ISERROR(SEARCH("NUEVO",C34)))</formula>
    </cfRule>
  </conditionalFormatting>
  <conditionalFormatting sqref="E34">
    <cfRule type="containsText" dxfId="5996" priority="6313" operator="containsText" text="Sin Información">
      <formula>NOT(ISERROR(SEARCH("Sin Información",E34)))</formula>
    </cfRule>
  </conditionalFormatting>
  <conditionalFormatting sqref="C35:D35">
    <cfRule type="containsText" dxfId="5995" priority="6312" operator="containsText" text="NO+$D$4:$D$10">
      <formula>NOT(ISERROR(SEARCH("NO+$D$4:$D$10",C35)))</formula>
    </cfRule>
  </conditionalFormatting>
  <conditionalFormatting sqref="C35:D35">
    <cfRule type="containsText" dxfId="5994" priority="6310" operator="containsText" text="SI">
      <formula>NOT(ISERROR(SEARCH("SI",C35)))</formula>
    </cfRule>
    <cfRule type="containsText" dxfId="5993" priority="6311" operator="containsText" text="NO">
      <formula>NOT(ISERROR(SEARCH("NO",C35)))</formula>
    </cfRule>
  </conditionalFormatting>
  <conditionalFormatting sqref="E35">
    <cfRule type="containsText" dxfId="5992" priority="6309" operator="containsText" text="Sin información">
      <formula>NOT(ISERROR(SEARCH("Sin información",E35)))</formula>
    </cfRule>
  </conditionalFormatting>
  <conditionalFormatting sqref="C35:E35">
    <cfRule type="containsText" dxfId="5991" priority="6308" operator="containsText" text="NUEVO">
      <formula>NOT(ISERROR(SEARCH("NUEVO",C35)))</formula>
    </cfRule>
  </conditionalFormatting>
  <conditionalFormatting sqref="E35">
    <cfRule type="containsText" dxfId="5990" priority="6307" operator="containsText" text="Sin Información">
      <formula>NOT(ISERROR(SEARCH("Sin Información",E35)))</formula>
    </cfRule>
  </conditionalFormatting>
  <conditionalFormatting sqref="C36:D36">
    <cfRule type="containsText" dxfId="5989" priority="6306" operator="containsText" text="NO+$D$4:$D$10">
      <formula>NOT(ISERROR(SEARCH("NO+$D$4:$D$10",C36)))</formula>
    </cfRule>
  </conditionalFormatting>
  <conditionalFormatting sqref="C36:D36">
    <cfRule type="containsText" dxfId="5988" priority="6304" operator="containsText" text="SI">
      <formula>NOT(ISERROR(SEARCH("SI",C36)))</formula>
    </cfRule>
    <cfRule type="containsText" dxfId="5987" priority="6305" operator="containsText" text="NO">
      <formula>NOT(ISERROR(SEARCH("NO",C36)))</formula>
    </cfRule>
  </conditionalFormatting>
  <conditionalFormatting sqref="E36">
    <cfRule type="containsText" dxfId="5986" priority="6303" operator="containsText" text="Sin información">
      <formula>NOT(ISERROR(SEARCH("Sin información",E36)))</formula>
    </cfRule>
  </conditionalFormatting>
  <conditionalFormatting sqref="C36:E36">
    <cfRule type="containsText" dxfId="5985" priority="6302" operator="containsText" text="NUEVO">
      <formula>NOT(ISERROR(SEARCH("NUEVO",C36)))</formula>
    </cfRule>
  </conditionalFormatting>
  <conditionalFormatting sqref="E36">
    <cfRule type="containsText" dxfId="5984" priority="6301" operator="containsText" text="Sin Información">
      <formula>NOT(ISERROR(SEARCH("Sin Información",E36)))</formula>
    </cfRule>
  </conditionalFormatting>
  <conditionalFormatting sqref="C38:D38">
    <cfRule type="containsText" dxfId="5983" priority="6300" operator="containsText" text="NO+$D$4:$D$10">
      <formula>NOT(ISERROR(SEARCH("NO+$D$4:$D$10",C38)))</formula>
    </cfRule>
  </conditionalFormatting>
  <conditionalFormatting sqref="C38:D38">
    <cfRule type="containsText" dxfId="5982" priority="6298" operator="containsText" text="SI">
      <formula>NOT(ISERROR(SEARCH("SI",C38)))</formula>
    </cfRule>
    <cfRule type="containsText" dxfId="5981" priority="6299" operator="containsText" text="NO">
      <formula>NOT(ISERROR(SEARCH("NO",C38)))</formula>
    </cfRule>
  </conditionalFormatting>
  <conditionalFormatting sqref="C38:D38">
    <cfRule type="containsText" dxfId="5980" priority="6297" operator="containsText" text="NUEVO">
      <formula>NOT(ISERROR(SEARCH("NUEVO",C38)))</formula>
    </cfRule>
  </conditionalFormatting>
  <conditionalFormatting sqref="E38">
    <cfRule type="containsText" dxfId="5979" priority="6294" operator="containsText" text="Sin Información">
      <formula>NOT(ISERROR(SEARCH("Sin Información",E38)))</formula>
    </cfRule>
  </conditionalFormatting>
  <conditionalFormatting sqref="E38">
    <cfRule type="containsText" dxfId="5978" priority="6296" operator="containsText" text="Sin información">
      <formula>NOT(ISERROR(SEARCH("Sin información",E38)))</formula>
    </cfRule>
  </conditionalFormatting>
  <conditionalFormatting sqref="E38">
    <cfRule type="containsText" dxfId="5977" priority="6295" operator="containsText" text="NUEVO">
      <formula>NOT(ISERROR(SEARCH("NUEVO",E38)))</formula>
    </cfRule>
  </conditionalFormatting>
  <conditionalFormatting sqref="C39:D39">
    <cfRule type="containsText" dxfId="5976" priority="6293" operator="containsText" text="NO+$D$4:$D$10">
      <formula>NOT(ISERROR(SEARCH("NO+$D$4:$D$10",C39)))</formula>
    </cfRule>
  </conditionalFormatting>
  <conditionalFormatting sqref="C39:D39">
    <cfRule type="containsText" dxfId="5975" priority="6291" operator="containsText" text="SI">
      <formula>NOT(ISERROR(SEARCH("SI",C39)))</formula>
    </cfRule>
    <cfRule type="containsText" dxfId="5974" priority="6292" operator="containsText" text="NO">
      <formula>NOT(ISERROR(SEARCH("NO",C39)))</formula>
    </cfRule>
  </conditionalFormatting>
  <conditionalFormatting sqref="E39">
    <cfRule type="containsText" dxfId="5973" priority="6290" operator="containsText" text="Sin información">
      <formula>NOT(ISERROR(SEARCH("Sin información",E39)))</formula>
    </cfRule>
  </conditionalFormatting>
  <conditionalFormatting sqref="C39:E39">
    <cfRule type="containsText" dxfId="5972" priority="6289" operator="containsText" text="NUEVO">
      <formula>NOT(ISERROR(SEARCH("NUEVO",C39)))</formula>
    </cfRule>
  </conditionalFormatting>
  <conditionalFormatting sqref="C40:D42">
    <cfRule type="containsText" dxfId="5971" priority="6288" operator="containsText" text="NO+$D$4:$D$10">
      <formula>NOT(ISERROR(SEARCH("NO+$D$4:$D$10",C40)))</formula>
    </cfRule>
  </conditionalFormatting>
  <conditionalFormatting sqref="C40:D42">
    <cfRule type="containsText" dxfId="5970" priority="6286" operator="containsText" text="SI">
      <formula>NOT(ISERROR(SEARCH("SI",C40)))</formula>
    </cfRule>
    <cfRule type="containsText" dxfId="5969" priority="6287" operator="containsText" text="NO">
      <formula>NOT(ISERROR(SEARCH("NO",C40)))</formula>
    </cfRule>
  </conditionalFormatting>
  <conditionalFormatting sqref="E40:E41">
    <cfRule type="containsText" dxfId="5968" priority="6285" operator="containsText" text="Sin información">
      <formula>NOT(ISERROR(SEARCH("Sin información",E40)))</formula>
    </cfRule>
  </conditionalFormatting>
  <conditionalFormatting sqref="E40:E41 C40:D42">
    <cfRule type="containsText" dxfId="5967" priority="6284" operator="containsText" text="NUEVO">
      <formula>NOT(ISERROR(SEARCH("NUEVO",C40)))</formula>
    </cfRule>
  </conditionalFormatting>
  <conditionalFormatting sqref="E40:E41">
    <cfRule type="containsText" dxfId="5966" priority="6283" operator="containsText" text="Sin Información">
      <formula>NOT(ISERROR(SEARCH("Sin Información",E40)))</formula>
    </cfRule>
  </conditionalFormatting>
  <conditionalFormatting sqref="E42">
    <cfRule type="containsText" dxfId="5965" priority="6282" operator="containsText" text="Sin información">
      <formula>NOT(ISERROR(SEARCH("Sin información",E42)))</formula>
    </cfRule>
  </conditionalFormatting>
  <conditionalFormatting sqref="E42">
    <cfRule type="containsText" dxfId="5964" priority="6281" operator="containsText" text="NUEVO">
      <formula>NOT(ISERROR(SEARCH("NUEVO",E42)))</formula>
    </cfRule>
  </conditionalFormatting>
  <conditionalFormatting sqref="C43:D44">
    <cfRule type="containsText" dxfId="5963" priority="6280" operator="containsText" text="NO+$D$4:$D$10">
      <formula>NOT(ISERROR(SEARCH("NO+$D$4:$D$10",C43)))</formula>
    </cfRule>
  </conditionalFormatting>
  <conditionalFormatting sqref="C43:D44">
    <cfRule type="containsText" dxfId="5962" priority="6278" operator="containsText" text="SI">
      <formula>NOT(ISERROR(SEARCH("SI",C43)))</formula>
    </cfRule>
    <cfRule type="containsText" dxfId="5961" priority="6279" operator="containsText" text="NO">
      <formula>NOT(ISERROR(SEARCH("NO",C43)))</formula>
    </cfRule>
  </conditionalFormatting>
  <conditionalFormatting sqref="C43:D44">
    <cfRule type="containsText" dxfId="5960" priority="6277" operator="containsText" text="NUEVO">
      <formula>NOT(ISERROR(SEARCH("NUEVO",C43)))</formula>
    </cfRule>
  </conditionalFormatting>
  <conditionalFormatting sqref="E43">
    <cfRule type="containsText" dxfId="5959" priority="6275" operator="containsText" text="NUEVO">
      <formula>NOT(ISERROR(SEARCH("NUEVO",E43)))</formula>
    </cfRule>
  </conditionalFormatting>
  <conditionalFormatting sqref="E43">
    <cfRule type="containsText" dxfId="5958" priority="6274" operator="containsText" text="Sin Información">
      <formula>NOT(ISERROR(SEARCH("Sin Información",E43)))</formula>
    </cfRule>
  </conditionalFormatting>
  <conditionalFormatting sqref="E43">
    <cfRule type="containsText" dxfId="5957" priority="6276" operator="containsText" text="Sin información">
      <formula>NOT(ISERROR(SEARCH("Sin información",E43)))</formula>
    </cfRule>
  </conditionalFormatting>
  <conditionalFormatting sqref="E44">
    <cfRule type="containsText" dxfId="5956" priority="6273" operator="containsText" text="Sin información">
      <formula>NOT(ISERROR(SEARCH("Sin información",E44)))</formula>
    </cfRule>
  </conditionalFormatting>
  <conditionalFormatting sqref="E44">
    <cfRule type="containsText" dxfId="5955" priority="6272" operator="containsText" text="NUEVO">
      <formula>NOT(ISERROR(SEARCH("NUEVO",E44)))</formula>
    </cfRule>
  </conditionalFormatting>
  <conditionalFormatting sqref="E44">
    <cfRule type="containsText" dxfId="5954" priority="6271" operator="containsText" text="Sin Información">
      <formula>NOT(ISERROR(SEARCH("Sin Información",E44)))</formula>
    </cfRule>
  </conditionalFormatting>
  <conditionalFormatting sqref="C45:D45">
    <cfRule type="containsText" dxfId="5953" priority="6270" operator="containsText" text="NO+$D$4:$D$10">
      <formula>NOT(ISERROR(SEARCH("NO+$D$4:$D$10",C45)))</formula>
    </cfRule>
  </conditionalFormatting>
  <conditionalFormatting sqref="C45:D45">
    <cfRule type="containsText" dxfId="5952" priority="6268" operator="containsText" text="SI">
      <formula>NOT(ISERROR(SEARCH("SI",C45)))</formula>
    </cfRule>
    <cfRule type="containsText" dxfId="5951" priority="6269" operator="containsText" text="NO">
      <formula>NOT(ISERROR(SEARCH("NO",C45)))</formula>
    </cfRule>
  </conditionalFormatting>
  <conditionalFormatting sqref="E45">
    <cfRule type="containsText" dxfId="5950" priority="6267" operator="containsText" text="Sin información">
      <formula>NOT(ISERROR(SEARCH("Sin información",E45)))</formula>
    </cfRule>
  </conditionalFormatting>
  <conditionalFormatting sqref="C45:E45">
    <cfRule type="containsText" dxfId="5949" priority="6266" operator="containsText" text="NUEVO">
      <formula>NOT(ISERROR(SEARCH("NUEVO",C45)))</formula>
    </cfRule>
  </conditionalFormatting>
  <conditionalFormatting sqref="E45">
    <cfRule type="containsText" dxfId="5948" priority="6265" operator="containsText" text="Sin Información">
      <formula>NOT(ISERROR(SEARCH("Sin Información",E45)))</formula>
    </cfRule>
  </conditionalFormatting>
  <conditionalFormatting sqref="C46:D50">
    <cfRule type="containsText" dxfId="5947" priority="6264" operator="containsText" text="NO+$D$4:$D$10">
      <formula>NOT(ISERROR(SEARCH("NO+$D$4:$D$10",C46)))</formula>
    </cfRule>
  </conditionalFormatting>
  <conditionalFormatting sqref="C46:D50">
    <cfRule type="containsText" dxfId="5946" priority="6262" operator="containsText" text="SI">
      <formula>NOT(ISERROR(SEARCH("SI",C46)))</formula>
    </cfRule>
    <cfRule type="containsText" dxfId="5945" priority="6263" operator="containsText" text="NO">
      <formula>NOT(ISERROR(SEARCH("NO",C46)))</formula>
    </cfRule>
  </conditionalFormatting>
  <conditionalFormatting sqref="E46:E49">
    <cfRule type="containsText" dxfId="5944" priority="6261" operator="containsText" text="Sin información">
      <formula>NOT(ISERROR(SEARCH("Sin información",E46)))</formula>
    </cfRule>
  </conditionalFormatting>
  <conditionalFormatting sqref="C46:D50 E46:E49">
    <cfRule type="containsText" dxfId="5943" priority="6260" operator="containsText" text="NUEVO">
      <formula>NOT(ISERROR(SEARCH("NUEVO",C46)))</formula>
    </cfRule>
  </conditionalFormatting>
  <conditionalFormatting sqref="E46:E49">
    <cfRule type="containsText" dxfId="5942" priority="6259" operator="containsText" text="Sin Información">
      <formula>NOT(ISERROR(SEARCH("Sin Información",E46)))</formula>
    </cfRule>
  </conditionalFormatting>
  <conditionalFormatting sqref="E50">
    <cfRule type="containsText" dxfId="5941" priority="6258" operator="containsText" text="Sin información">
      <formula>NOT(ISERROR(SEARCH("Sin información",E50)))</formula>
    </cfRule>
  </conditionalFormatting>
  <conditionalFormatting sqref="E50">
    <cfRule type="containsText" dxfId="5940" priority="6257" operator="containsText" text="NUEVO">
      <formula>NOT(ISERROR(SEARCH("NUEVO",E50)))</formula>
    </cfRule>
  </conditionalFormatting>
  <conditionalFormatting sqref="E50">
    <cfRule type="containsText" dxfId="5939" priority="6256" operator="containsText" text="Sin Información">
      <formula>NOT(ISERROR(SEARCH("Sin Información",E50)))</formula>
    </cfRule>
  </conditionalFormatting>
  <conditionalFormatting sqref="C51:D51">
    <cfRule type="containsText" dxfId="5938" priority="6255" operator="containsText" text="NO+$D$4:$D$10">
      <formula>NOT(ISERROR(SEARCH("NO+$D$4:$D$10",C51)))</formula>
    </cfRule>
  </conditionalFormatting>
  <conditionalFormatting sqref="C51:D51">
    <cfRule type="containsText" dxfId="5937" priority="6253" operator="containsText" text="SI">
      <formula>NOT(ISERROR(SEARCH("SI",C51)))</formula>
    </cfRule>
    <cfRule type="containsText" dxfId="5936" priority="6254" operator="containsText" text="NO">
      <formula>NOT(ISERROR(SEARCH("NO",C51)))</formula>
    </cfRule>
  </conditionalFormatting>
  <conditionalFormatting sqref="E51">
    <cfRule type="containsText" dxfId="5935" priority="6252" operator="containsText" text="Sin información">
      <formula>NOT(ISERROR(SEARCH("Sin información",E51)))</formula>
    </cfRule>
  </conditionalFormatting>
  <conditionalFormatting sqref="C51:E51">
    <cfRule type="containsText" dxfId="5934" priority="6251" operator="containsText" text="NUEVO">
      <formula>NOT(ISERROR(SEARCH("NUEVO",C51)))</formula>
    </cfRule>
  </conditionalFormatting>
  <conditionalFormatting sqref="E51">
    <cfRule type="containsText" dxfId="5933" priority="6250" operator="containsText" text="Sin Información">
      <formula>NOT(ISERROR(SEARCH("Sin Información",E51)))</formula>
    </cfRule>
  </conditionalFormatting>
  <conditionalFormatting sqref="C52:D52">
    <cfRule type="containsText" dxfId="5932" priority="6249" operator="containsText" text="NO+$D$4:$D$10">
      <formula>NOT(ISERROR(SEARCH("NO+$D$4:$D$10",C52)))</formula>
    </cfRule>
  </conditionalFormatting>
  <conditionalFormatting sqref="C52:D52">
    <cfRule type="containsText" dxfId="5931" priority="6247" operator="containsText" text="SI">
      <formula>NOT(ISERROR(SEARCH("SI",C52)))</formula>
    </cfRule>
    <cfRule type="containsText" dxfId="5930" priority="6248" operator="containsText" text="NO">
      <formula>NOT(ISERROR(SEARCH("NO",C52)))</formula>
    </cfRule>
  </conditionalFormatting>
  <conditionalFormatting sqref="E52">
    <cfRule type="containsText" dxfId="5929" priority="6246" operator="containsText" text="Sin información">
      <formula>NOT(ISERROR(SEARCH("Sin información",E52)))</formula>
    </cfRule>
  </conditionalFormatting>
  <conditionalFormatting sqref="C52:E52">
    <cfRule type="containsText" dxfId="5928" priority="6245" operator="containsText" text="NUEVO">
      <formula>NOT(ISERROR(SEARCH("NUEVO",C52)))</formula>
    </cfRule>
  </conditionalFormatting>
  <conditionalFormatting sqref="E52">
    <cfRule type="containsText" dxfId="5927" priority="6244" operator="containsText" text="Sin Información">
      <formula>NOT(ISERROR(SEARCH("Sin Información",E52)))</formula>
    </cfRule>
  </conditionalFormatting>
  <conditionalFormatting sqref="C53:D54">
    <cfRule type="containsText" dxfId="5926" priority="6243" operator="containsText" text="NO+$D$4:$D$10">
      <formula>NOT(ISERROR(SEARCH("NO+$D$4:$D$10",C53)))</formula>
    </cfRule>
  </conditionalFormatting>
  <conditionalFormatting sqref="C53:D54">
    <cfRule type="containsText" dxfId="5925" priority="6241" operator="containsText" text="SI">
      <formula>NOT(ISERROR(SEARCH("SI",C53)))</formula>
    </cfRule>
    <cfRule type="containsText" dxfId="5924" priority="6242" operator="containsText" text="NO">
      <formula>NOT(ISERROR(SEARCH("NO",C53)))</formula>
    </cfRule>
  </conditionalFormatting>
  <conditionalFormatting sqref="E53:E54">
    <cfRule type="containsText" dxfId="5923" priority="6240" operator="containsText" text="Sin información">
      <formula>NOT(ISERROR(SEARCH("Sin información",E53)))</formula>
    </cfRule>
  </conditionalFormatting>
  <conditionalFormatting sqref="C53:E54">
    <cfRule type="containsText" dxfId="5922" priority="6239" operator="containsText" text="NUEVO">
      <formula>NOT(ISERROR(SEARCH("NUEVO",C53)))</formula>
    </cfRule>
  </conditionalFormatting>
  <conditionalFormatting sqref="E53:E54">
    <cfRule type="containsText" dxfId="5921" priority="6238" operator="containsText" text="Sin Información">
      <formula>NOT(ISERROR(SEARCH("Sin Información",E53)))</formula>
    </cfRule>
  </conditionalFormatting>
  <conditionalFormatting sqref="C55:D55">
    <cfRule type="containsText" dxfId="5920" priority="6237" operator="containsText" text="NO+$D$4:$D$10">
      <formula>NOT(ISERROR(SEARCH("NO+$D$4:$D$10",C55)))</formula>
    </cfRule>
  </conditionalFormatting>
  <conditionalFormatting sqref="C55:D55">
    <cfRule type="containsText" dxfId="5919" priority="6235" operator="containsText" text="SI">
      <formula>NOT(ISERROR(SEARCH("SI",C55)))</formula>
    </cfRule>
    <cfRule type="containsText" dxfId="5918" priority="6236" operator="containsText" text="NO">
      <formula>NOT(ISERROR(SEARCH("NO",C55)))</formula>
    </cfRule>
  </conditionalFormatting>
  <conditionalFormatting sqref="E55">
    <cfRule type="containsText" dxfId="5917" priority="6234" operator="containsText" text="Sin información">
      <formula>NOT(ISERROR(SEARCH("Sin información",E55)))</formula>
    </cfRule>
  </conditionalFormatting>
  <conditionalFormatting sqref="E55">
    <cfRule type="containsText" dxfId="5916" priority="6233" operator="containsText" text="NUEVO">
      <formula>NOT(ISERROR(SEARCH("NUEVO",E55)))</formula>
    </cfRule>
  </conditionalFormatting>
  <conditionalFormatting sqref="C55:D55">
    <cfRule type="containsText" dxfId="5915" priority="6232" operator="containsText" text="NUEVO">
      <formula>NOT(ISERROR(SEARCH("NUEVO",C55)))</formula>
    </cfRule>
  </conditionalFormatting>
  <conditionalFormatting sqref="C56:D56">
    <cfRule type="containsText" dxfId="5914" priority="6231" operator="containsText" text="NO+$D$4:$D$10">
      <formula>NOT(ISERROR(SEARCH("NO+$D$4:$D$10",C56)))</formula>
    </cfRule>
  </conditionalFormatting>
  <conditionalFormatting sqref="C56:D56">
    <cfRule type="containsText" dxfId="5913" priority="6229" operator="containsText" text="SI">
      <formula>NOT(ISERROR(SEARCH("SI",C56)))</formula>
    </cfRule>
    <cfRule type="containsText" dxfId="5912" priority="6230" operator="containsText" text="NO">
      <formula>NOT(ISERROR(SEARCH("NO",C56)))</formula>
    </cfRule>
  </conditionalFormatting>
  <conditionalFormatting sqref="E56">
    <cfRule type="containsText" dxfId="5911" priority="6228" operator="containsText" text="Sin información">
      <formula>NOT(ISERROR(SEARCH("Sin información",E56)))</formula>
    </cfRule>
  </conditionalFormatting>
  <conditionalFormatting sqref="E56">
    <cfRule type="containsText" dxfId="5910" priority="6227" operator="containsText" text="NUEVO">
      <formula>NOT(ISERROR(SEARCH("NUEVO",E56)))</formula>
    </cfRule>
  </conditionalFormatting>
  <conditionalFormatting sqref="C56:D56">
    <cfRule type="containsText" dxfId="5909" priority="6226" operator="containsText" text="NUEVO">
      <formula>NOT(ISERROR(SEARCH("NUEVO",C56)))</formula>
    </cfRule>
  </conditionalFormatting>
  <conditionalFormatting sqref="C57:D57">
    <cfRule type="containsText" dxfId="5908" priority="6225" operator="containsText" text="NO+$D$4:$D$10">
      <formula>NOT(ISERROR(SEARCH("NO+$D$4:$D$10",C57)))</formula>
    </cfRule>
  </conditionalFormatting>
  <conditionalFormatting sqref="C57:D57">
    <cfRule type="containsText" dxfId="5907" priority="6223" operator="containsText" text="SI">
      <formula>NOT(ISERROR(SEARCH("SI",C57)))</formula>
    </cfRule>
    <cfRule type="containsText" dxfId="5906" priority="6224" operator="containsText" text="NO">
      <formula>NOT(ISERROR(SEARCH("NO",C57)))</formula>
    </cfRule>
  </conditionalFormatting>
  <conditionalFormatting sqref="E57">
    <cfRule type="containsText" dxfId="5905" priority="6222" operator="containsText" text="Sin información">
      <formula>NOT(ISERROR(SEARCH("Sin información",E57)))</formula>
    </cfRule>
  </conditionalFormatting>
  <conditionalFormatting sqref="E57">
    <cfRule type="containsText" dxfId="5904" priority="6221" operator="containsText" text="NUEVO">
      <formula>NOT(ISERROR(SEARCH("NUEVO",E57)))</formula>
    </cfRule>
  </conditionalFormatting>
  <conditionalFormatting sqref="C57:D57">
    <cfRule type="containsText" dxfId="5903" priority="6220" operator="containsText" text="NUEVO">
      <formula>NOT(ISERROR(SEARCH("NUEVO",C57)))</formula>
    </cfRule>
  </conditionalFormatting>
  <conditionalFormatting sqref="C58:D58">
    <cfRule type="containsText" dxfId="5902" priority="6219" operator="containsText" text="NO+$D$4:$D$10">
      <formula>NOT(ISERROR(SEARCH("NO+$D$4:$D$10",C58)))</formula>
    </cfRule>
  </conditionalFormatting>
  <conditionalFormatting sqref="C58:D58">
    <cfRule type="containsText" dxfId="5901" priority="6217" operator="containsText" text="SI">
      <formula>NOT(ISERROR(SEARCH("SI",C58)))</formula>
    </cfRule>
    <cfRule type="containsText" dxfId="5900" priority="6218" operator="containsText" text="NO">
      <formula>NOT(ISERROR(SEARCH("NO",C58)))</formula>
    </cfRule>
  </conditionalFormatting>
  <conditionalFormatting sqref="E58">
    <cfRule type="containsText" dxfId="5899" priority="6216" operator="containsText" text="Sin información">
      <formula>NOT(ISERROR(SEARCH("Sin información",E58)))</formula>
    </cfRule>
  </conditionalFormatting>
  <conditionalFormatting sqref="E58">
    <cfRule type="containsText" dxfId="5898" priority="6215" operator="containsText" text="NUEVO">
      <formula>NOT(ISERROR(SEARCH("NUEVO",E58)))</formula>
    </cfRule>
  </conditionalFormatting>
  <conditionalFormatting sqref="C58:D58">
    <cfRule type="containsText" dxfId="5897" priority="6214" operator="containsText" text="NUEVO">
      <formula>NOT(ISERROR(SEARCH("NUEVO",C58)))</formula>
    </cfRule>
  </conditionalFormatting>
  <conditionalFormatting sqref="E59">
    <cfRule type="containsText" dxfId="5896" priority="6209" operator="containsText" text="NUEVO">
      <formula>NOT(ISERROR(SEARCH("NUEVO",E59)))</formula>
    </cfRule>
  </conditionalFormatting>
  <conditionalFormatting sqref="C59:D59">
    <cfRule type="containsText" dxfId="5895" priority="6213" operator="containsText" text="NO+$D$4:$D$10">
      <formula>NOT(ISERROR(SEARCH("NO+$D$4:$D$10",C59)))</formula>
    </cfRule>
  </conditionalFormatting>
  <conditionalFormatting sqref="C59:D59">
    <cfRule type="containsText" dxfId="5894" priority="6211" operator="containsText" text="SI">
      <formula>NOT(ISERROR(SEARCH("SI",C59)))</formula>
    </cfRule>
    <cfRule type="containsText" dxfId="5893" priority="6212" operator="containsText" text="NO">
      <formula>NOT(ISERROR(SEARCH("NO",C59)))</formula>
    </cfRule>
  </conditionalFormatting>
  <conditionalFormatting sqref="E59">
    <cfRule type="containsText" dxfId="5892" priority="6210" operator="containsText" text="Sin información">
      <formula>NOT(ISERROR(SEARCH("Sin información",E59)))</formula>
    </cfRule>
  </conditionalFormatting>
  <conditionalFormatting sqref="C59:D59">
    <cfRule type="containsText" dxfId="5891" priority="6208" operator="containsText" text="NUEVO">
      <formula>NOT(ISERROR(SEARCH("NUEVO",C59)))</formula>
    </cfRule>
  </conditionalFormatting>
  <conditionalFormatting sqref="C60:D62">
    <cfRule type="containsText" dxfId="5890" priority="6207" operator="containsText" text="NO+$D$4:$D$10">
      <formula>NOT(ISERROR(SEARCH("NO+$D$4:$D$10",C60)))</formula>
    </cfRule>
  </conditionalFormatting>
  <conditionalFormatting sqref="C60:D62">
    <cfRule type="containsText" dxfId="5889" priority="6205" operator="containsText" text="SI">
      <formula>NOT(ISERROR(SEARCH("SI",C60)))</formula>
    </cfRule>
    <cfRule type="containsText" dxfId="5888" priority="6206" operator="containsText" text="NO">
      <formula>NOT(ISERROR(SEARCH("NO",C60)))</formula>
    </cfRule>
  </conditionalFormatting>
  <conditionalFormatting sqref="E60:E62">
    <cfRule type="containsText" dxfId="5887" priority="6204" operator="containsText" text="Sin información">
      <formula>NOT(ISERROR(SEARCH("Sin información",E60)))</formula>
    </cfRule>
  </conditionalFormatting>
  <conditionalFormatting sqref="E60:E62">
    <cfRule type="containsText" dxfId="5886" priority="6203" operator="containsText" text="NUEVO">
      <formula>NOT(ISERROR(SEARCH("NUEVO",E60)))</formula>
    </cfRule>
  </conditionalFormatting>
  <conditionalFormatting sqref="C60:D62">
    <cfRule type="containsText" dxfId="5885" priority="6202" operator="containsText" text="NUEVO">
      <formula>NOT(ISERROR(SEARCH("NUEVO",C60)))</formula>
    </cfRule>
  </conditionalFormatting>
  <conditionalFormatting sqref="C63:D63">
    <cfRule type="containsText" dxfId="5884" priority="6201" operator="containsText" text="NO+$D$4:$D$10">
      <formula>NOT(ISERROR(SEARCH("NO+$D$4:$D$10",C63)))</formula>
    </cfRule>
  </conditionalFormatting>
  <conditionalFormatting sqref="C63:D63">
    <cfRule type="containsText" dxfId="5883" priority="6199" operator="containsText" text="SI">
      <formula>NOT(ISERROR(SEARCH("SI",C63)))</formula>
    </cfRule>
    <cfRule type="containsText" dxfId="5882" priority="6200" operator="containsText" text="NO">
      <formula>NOT(ISERROR(SEARCH("NO",C63)))</formula>
    </cfRule>
  </conditionalFormatting>
  <conditionalFormatting sqref="E63">
    <cfRule type="containsText" dxfId="5881" priority="6198" operator="containsText" text="Sin información">
      <formula>NOT(ISERROR(SEARCH("Sin información",E63)))</formula>
    </cfRule>
  </conditionalFormatting>
  <conditionalFormatting sqref="E63">
    <cfRule type="containsText" dxfId="5880" priority="6197" operator="containsText" text="NUEVO">
      <formula>NOT(ISERROR(SEARCH("NUEVO",E63)))</formula>
    </cfRule>
  </conditionalFormatting>
  <conditionalFormatting sqref="E63">
    <cfRule type="containsText" dxfId="5879" priority="6196" operator="containsText" text="Sin Información">
      <formula>NOT(ISERROR(SEARCH("Sin Información",E63)))</formula>
    </cfRule>
  </conditionalFormatting>
  <conditionalFormatting sqref="C63:D63">
    <cfRule type="containsText" dxfId="5878" priority="6195" operator="containsText" text="NUEVO">
      <formula>NOT(ISERROR(SEARCH("NUEVO",C63)))</formula>
    </cfRule>
  </conditionalFormatting>
  <conditionalFormatting sqref="C64:D64">
    <cfRule type="containsText" dxfId="5877" priority="6194" operator="containsText" text="NO+$D$4:$D$10">
      <formula>NOT(ISERROR(SEARCH("NO+$D$4:$D$10",C64)))</formula>
    </cfRule>
  </conditionalFormatting>
  <conditionalFormatting sqref="C64:D64">
    <cfRule type="containsText" dxfId="5876" priority="6192" operator="containsText" text="SI">
      <formula>NOT(ISERROR(SEARCH("SI",C64)))</formula>
    </cfRule>
    <cfRule type="containsText" dxfId="5875" priority="6193" operator="containsText" text="NO">
      <formula>NOT(ISERROR(SEARCH("NO",C64)))</formula>
    </cfRule>
  </conditionalFormatting>
  <conditionalFormatting sqref="E64">
    <cfRule type="containsText" dxfId="5874" priority="6191" operator="containsText" text="Sin información">
      <formula>NOT(ISERROR(SEARCH("Sin información",E64)))</formula>
    </cfRule>
  </conditionalFormatting>
  <conditionalFormatting sqref="E64">
    <cfRule type="containsText" dxfId="5873" priority="6190" operator="containsText" text="NUEVO">
      <formula>NOT(ISERROR(SEARCH("NUEVO",E64)))</formula>
    </cfRule>
  </conditionalFormatting>
  <conditionalFormatting sqref="E64">
    <cfRule type="containsText" dxfId="5872" priority="6189" operator="containsText" text="Sin Información">
      <formula>NOT(ISERROR(SEARCH("Sin Información",E64)))</formula>
    </cfRule>
  </conditionalFormatting>
  <conditionalFormatting sqref="C64:D64">
    <cfRule type="containsText" dxfId="5871" priority="6188" operator="containsText" text="NUEVO">
      <formula>NOT(ISERROR(SEARCH("NUEVO",C64)))</formula>
    </cfRule>
  </conditionalFormatting>
  <conditionalFormatting sqref="C68:D69">
    <cfRule type="containsText" dxfId="5870" priority="6187" operator="containsText" text="NO+$D$4:$D$10">
      <formula>NOT(ISERROR(SEARCH("NO+$D$4:$D$10",C68)))</formula>
    </cfRule>
  </conditionalFormatting>
  <conditionalFormatting sqref="C68:D69">
    <cfRule type="containsText" dxfId="5869" priority="6185" operator="containsText" text="SI">
      <formula>NOT(ISERROR(SEARCH("SI",C68)))</formula>
    </cfRule>
    <cfRule type="containsText" dxfId="5868" priority="6186" operator="containsText" text="NO">
      <formula>NOT(ISERROR(SEARCH("NO",C68)))</formula>
    </cfRule>
  </conditionalFormatting>
  <conditionalFormatting sqref="E68:E69">
    <cfRule type="containsText" dxfId="5867" priority="6184" operator="containsText" text="Sin información">
      <formula>NOT(ISERROR(SEARCH("Sin información",E68)))</formula>
    </cfRule>
  </conditionalFormatting>
  <conditionalFormatting sqref="E68:E69">
    <cfRule type="containsText" dxfId="5866" priority="6183" operator="containsText" text="NUEVO">
      <formula>NOT(ISERROR(SEARCH("NUEVO",E68)))</formula>
    </cfRule>
  </conditionalFormatting>
  <conditionalFormatting sqref="E68:E69">
    <cfRule type="containsText" dxfId="5865" priority="6182" operator="containsText" text="Sin Información">
      <formula>NOT(ISERROR(SEARCH("Sin Información",E68)))</formula>
    </cfRule>
  </conditionalFormatting>
  <conditionalFormatting sqref="C68:D69">
    <cfRule type="containsText" dxfId="5864" priority="6181" operator="containsText" text="NUEVO">
      <formula>NOT(ISERROR(SEARCH("NUEVO",C68)))</formula>
    </cfRule>
  </conditionalFormatting>
  <conditionalFormatting sqref="C70:D70">
    <cfRule type="containsText" dxfId="5863" priority="6180" operator="containsText" text="NO+$D$4:$D$10">
      <formula>NOT(ISERROR(SEARCH("NO+$D$4:$D$10",C70)))</formula>
    </cfRule>
  </conditionalFormatting>
  <conditionalFormatting sqref="C70:D70">
    <cfRule type="containsText" dxfId="5862" priority="6178" operator="containsText" text="SI">
      <formula>NOT(ISERROR(SEARCH("SI",C70)))</formula>
    </cfRule>
    <cfRule type="containsText" dxfId="5861" priority="6179" operator="containsText" text="NO">
      <formula>NOT(ISERROR(SEARCH("NO",C70)))</formula>
    </cfRule>
  </conditionalFormatting>
  <conditionalFormatting sqref="E70">
    <cfRule type="containsText" dxfId="5860" priority="6177" operator="containsText" text="Sin información">
      <formula>NOT(ISERROR(SEARCH("Sin información",E70)))</formula>
    </cfRule>
  </conditionalFormatting>
  <conditionalFormatting sqref="E70">
    <cfRule type="containsText" dxfId="5859" priority="6176" operator="containsText" text="NUEVO">
      <formula>NOT(ISERROR(SEARCH("NUEVO",E70)))</formula>
    </cfRule>
  </conditionalFormatting>
  <conditionalFormatting sqref="E70">
    <cfRule type="containsText" dxfId="5858" priority="6175" operator="containsText" text="Sin Información">
      <formula>NOT(ISERROR(SEARCH("Sin Información",E70)))</formula>
    </cfRule>
  </conditionalFormatting>
  <conditionalFormatting sqref="C70:D70">
    <cfRule type="containsText" dxfId="5857" priority="6174" operator="containsText" text="NUEVO">
      <formula>NOT(ISERROR(SEARCH("NUEVO",C70)))</formula>
    </cfRule>
  </conditionalFormatting>
  <conditionalFormatting sqref="C71:D71">
    <cfRule type="containsText" dxfId="5856" priority="6173" operator="containsText" text="NO+$D$4:$D$10">
      <formula>NOT(ISERROR(SEARCH("NO+$D$4:$D$10",C71)))</formula>
    </cfRule>
  </conditionalFormatting>
  <conditionalFormatting sqref="C71:D71">
    <cfRule type="containsText" dxfId="5855" priority="6171" operator="containsText" text="SI">
      <formula>NOT(ISERROR(SEARCH("SI",C71)))</formula>
    </cfRule>
    <cfRule type="containsText" dxfId="5854" priority="6172" operator="containsText" text="NO">
      <formula>NOT(ISERROR(SEARCH("NO",C71)))</formula>
    </cfRule>
  </conditionalFormatting>
  <conditionalFormatting sqref="E71">
    <cfRule type="containsText" dxfId="5853" priority="6170" operator="containsText" text="Sin información">
      <formula>NOT(ISERROR(SEARCH("Sin información",E71)))</formula>
    </cfRule>
  </conditionalFormatting>
  <conditionalFormatting sqref="E71">
    <cfRule type="containsText" dxfId="5852" priority="6169" operator="containsText" text="NUEVO">
      <formula>NOT(ISERROR(SEARCH("NUEVO",E71)))</formula>
    </cfRule>
  </conditionalFormatting>
  <conditionalFormatting sqref="E71">
    <cfRule type="containsText" dxfId="5851" priority="6168" operator="containsText" text="Sin Información">
      <formula>NOT(ISERROR(SEARCH("Sin Información",E71)))</formula>
    </cfRule>
  </conditionalFormatting>
  <conditionalFormatting sqref="C71:D71">
    <cfRule type="containsText" dxfId="5850" priority="6167" operator="containsText" text="NUEVO">
      <formula>NOT(ISERROR(SEARCH("NUEVO",C71)))</formula>
    </cfRule>
  </conditionalFormatting>
  <conditionalFormatting sqref="C72:D77">
    <cfRule type="containsText" dxfId="5849" priority="6166" operator="containsText" text="NO+$D$4:$D$10">
      <formula>NOT(ISERROR(SEARCH("NO+$D$4:$D$10",C72)))</formula>
    </cfRule>
  </conditionalFormatting>
  <conditionalFormatting sqref="C72:D77">
    <cfRule type="containsText" dxfId="5848" priority="6164" operator="containsText" text="SI">
      <formula>NOT(ISERROR(SEARCH("SI",C72)))</formula>
    </cfRule>
    <cfRule type="containsText" dxfId="5847" priority="6165" operator="containsText" text="NO">
      <formula>NOT(ISERROR(SEARCH("NO",C72)))</formula>
    </cfRule>
  </conditionalFormatting>
  <conditionalFormatting sqref="E72:E77">
    <cfRule type="containsText" dxfId="5846" priority="6163" operator="containsText" text="Sin información">
      <formula>NOT(ISERROR(SEARCH("Sin información",E72)))</formula>
    </cfRule>
  </conditionalFormatting>
  <conditionalFormatting sqref="E72:E77">
    <cfRule type="containsText" dxfId="5845" priority="6162" operator="containsText" text="NUEVO">
      <formula>NOT(ISERROR(SEARCH("NUEVO",E72)))</formula>
    </cfRule>
  </conditionalFormatting>
  <conditionalFormatting sqref="E72:E77">
    <cfRule type="containsText" dxfId="5844" priority="6161" operator="containsText" text="Sin Información">
      <formula>NOT(ISERROR(SEARCH("Sin Información",E72)))</formula>
    </cfRule>
  </conditionalFormatting>
  <conditionalFormatting sqref="C72:D77">
    <cfRule type="containsText" dxfId="5843" priority="6160" operator="containsText" text="NUEVO">
      <formula>NOT(ISERROR(SEARCH("NUEVO",C72)))</formula>
    </cfRule>
  </conditionalFormatting>
  <conditionalFormatting sqref="C78:D78">
    <cfRule type="containsText" dxfId="5842" priority="6159" operator="containsText" text="NO+$D$4:$D$10">
      <formula>NOT(ISERROR(SEARCH("NO+$D$4:$D$10",C78)))</formula>
    </cfRule>
  </conditionalFormatting>
  <conditionalFormatting sqref="C78:D78">
    <cfRule type="containsText" dxfId="5841" priority="6157" operator="containsText" text="SI">
      <formula>NOT(ISERROR(SEARCH("SI",C78)))</formula>
    </cfRule>
    <cfRule type="containsText" dxfId="5840" priority="6158" operator="containsText" text="NO">
      <formula>NOT(ISERROR(SEARCH("NO",C78)))</formula>
    </cfRule>
  </conditionalFormatting>
  <conditionalFormatting sqref="E78">
    <cfRule type="containsText" dxfId="5839" priority="6156" operator="containsText" text="Sin información">
      <formula>NOT(ISERROR(SEARCH("Sin información",E78)))</formula>
    </cfRule>
  </conditionalFormatting>
  <conditionalFormatting sqref="E78">
    <cfRule type="containsText" dxfId="5838" priority="6155" operator="containsText" text="NUEVO">
      <formula>NOT(ISERROR(SEARCH("NUEVO",E78)))</formula>
    </cfRule>
  </conditionalFormatting>
  <conditionalFormatting sqref="E78">
    <cfRule type="containsText" dxfId="5837" priority="6154" operator="containsText" text="Sin Información">
      <formula>NOT(ISERROR(SEARCH("Sin Información",E78)))</formula>
    </cfRule>
  </conditionalFormatting>
  <conditionalFormatting sqref="C78:D78">
    <cfRule type="containsText" dxfId="5836" priority="6153" operator="containsText" text="NUEVO">
      <formula>NOT(ISERROR(SEARCH("NUEVO",C78)))</formula>
    </cfRule>
  </conditionalFormatting>
  <conditionalFormatting sqref="C79:D80">
    <cfRule type="containsText" dxfId="5835" priority="6152" operator="containsText" text="NO+$D$4:$D$10">
      <formula>NOT(ISERROR(SEARCH("NO+$D$4:$D$10",C79)))</formula>
    </cfRule>
  </conditionalFormatting>
  <conditionalFormatting sqref="C79:D80">
    <cfRule type="containsText" dxfId="5834" priority="6150" operator="containsText" text="SI">
      <formula>NOT(ISERROR(SEARCH("SI",C79)))</formula>
    </cfRule>
    <cfRule type="containsText" dxfId="5833" priority="6151" operator="containsText" text="NO">
      <formula>NOT(ISERROR(SEARCH("NO",C79)))</formula>
    </cfRule>
  </conditionalFormatting>
  <conditionalFormatting sqref="E79:E80">
    <cfRule type="containsText" dxfId="5832" priority="6149" operator="containsText" text="Sin información">
      <formula>NOT(ISERROR(SEARCH("Sin información",E79)))</formula>
    </cfRule>
  </conditionalFormatting>
  <conditionalFormatting sqref="E79:E80">
    <cfRule type="containsText" dxfId="5831" priority="6148" operator="containsText" text="NUEVO">
      <formula>NOT(ISERROR(SEARCH("NUEVO",E79)))</formula>
    </cfRule>
  </conditionalFormatting>
  <conditionalFormatting sqref="E79:E80">
    <cfRule type="containsText" dxfId="5830" priority="6147" operator="containsText" text="Sin Información">
      <formula>NOT(ISERROR(SEARCH("Sin Información",E79)))</formula>
    </cfRule>
  </conditionalFormatting>
  <conditionalFormatting sqref="C79:D80">
    <cfRule type="containsText" dxfId="5829" priority="6146" operator="containsText" text="NUEVO">
      <formula>NOT(ISERROR(SEARCH("NUEVO",C79)))</formula>
    </cfRule>
  </conditionalFormatting>
  <conditionalFormatting sqref="C81:D81">
    <cfRule type="containsText" dxfId="5828" priority="6145" operator="containsText" text="NO+$D$4:$D$10">
      <formula>NOT(ISERROR(SEARCH("NO+$D$4:$D$10",C81)))</formula>
    </cfRule>
  </conditionalFormatting>
  <conditionalFormatting sqref="C81:D81">
    <cfRule type="containsText" dxfId="5827" priority="6143" operator="containsText" text="SI">
      <formula>NOT(ISERROR(SEARCH("SI",C81)))</formula>
    </cfRule>
    <cfRule type="containsText" dxfId="5826" priority="6144" operator="containsText" text="NO">
      <formula>NOT(ISERROR(SEARCH("NO",C81)))</formula>
    </cfRule>
  </conditionalFormatting>
  <conditionalFormatting sqref="E81">
    <cfRule type="containsText" dxfId="5825" priority="6142" operator="containsText" text="Sin información">
      <formula>NOT(ISERROR(SEARCH("Sin información",E81)))</formula>
    </cfRule>
  </conditionalFormatting>
  <conditionalFormatting sqref="E81">
    <cfRule type="containsText" dxfId="5824" priority="6141" operator="containsText" text="NUEVO">
      <formula>NOT(ISERROR(SEARCH("NUEVO",E81)))</formula>
    </cfRule>
  </conditionalFormatting>
  <conditionalFormatting sqref="C81:D81">
    <cfRule type="containsText" dxfId="5823" priority="6140" operator="containsText" text="NUEVO">
      <formula>NOT(ISERROR(SEARCH("NUEVO",C81)))</formula>
    </cfRule>
  </conditionalFormatting>
  <conditionalFormatting sqref="C82:D82">
    <cfRule type="containsText" dxfId="5822" priority="6139" operator="containsText" text="NO+$D$4:$D$10">
      <formula>NOT(ISERROR(SEARCH("NO+$D$4:$D$10",C82)))</formula>
    </cfRule>
  </conditionalFormatting>
  <conditionalFormatting sqref="C82:D82">
    <cfRule type="containsText" dxfId="5821" priority="6137" operator="containsText" text="SI">
      <formula>NOT(ISERROR(SEARCH("SI",C82)))</formula>
    </cfRule>
    <cfRule type="containsText" dxfId="5820" priority="6138" operator="containsText" text="NO">
      <formula>NOT(ISERROR(SEARCH("NO",C82)))</formula>
    </cfRule>
  </conditionalFormatting>
  <conditionalFormatting sqref="E82">
    <cfRule type="containsText" dxfId="5819" priority="6136" operator="containsText" text="Sin información">
      <formula>NOT(ISERROR(SEARCH("Sin información",E82)))</formula>
    </cfRule>
  </conditionalFormatting>
  <conditionalFormatting sqref="E82">
    <cfRule type="containsText" dxfId="5818" priority="6135" operator="containsText" text="NUEVO">
      <formula>NOT(ISERROR(SEARCH("NUEVO",E82)))</formula>
    </cfRule>
  </conditionalFormatting>
  <conditionalFormatting sqref="E82">
    <cfRule type="containsText" dxfId="5817" priority="6134" operator="containsText" text="Sin Información">
      <formula>NOT(ISERROR(SEARCH("Sin Información",E82)))</formula>
    </cfRule>
  </conditionalFormatting>
  <conditionalFormatting sqref="C82:D82">
    <cfRule type="containsText" dxfId="5816" priority="6133" operator="containsText" text="NUEVO">
      <formula>NOT(ISERROR(SEARCH("NUEVO",C82)))</formula>
    </cfRule>
  </conditionalFormatting>
  <conditionalFormatting sqref="C83:D83">
    <cfRule type="containsText" dxfId="5815" priority="6132" operator="containsText" text="NO+$D$4:$D$10">
      <formula>NOT(ISERROR(SEARCH("NO+$D$4:$D$10",C83)))</formula>
    </cfRule>
  </conditionalFormatting>
  <conditionalFormatting sqref="C83:D83">
    <cfRule type="containsText" dxfId="5814" priority="6130" operator="containsText" text="SI">
      <formula>NOT(ISERROR(SEARCH("SI",C83)))</formula>
    </cfRule>
    <cfRule type="containsText" dxfId="5813" priority="6131" operator="containsText" text="NO">
      <formula>NOT(ISERROR(SEARCH("NO",C83)))</formula>
    </cfRule>
  </conditionalFormatting>
  <conditionalFormatting sqref="E83">
    <cfRule type="containsText" dxfId="5812" priority="6129" operator="containsText" text="Sin información">
      <formula>NOT(ISERROR(SEARCH("Sin información",E83)))</formula>
    </cfRule>
  </conditionalFormatting>
  <conditionalFormatting sqref="E83">
    <cfRule type="containsText" dxfId="5811" priority="6128" operator="containsText" text="NUEVO">
      <formula>NOT(ISERROR(SEARCH("NUEVO",E83)))</formula>
    </cfRule>
  </conditionalFormatting>
  <conditionalFormatting sqref="E83">
    <cfRule type="containsText" dxfId="5810" priority="6127" operator="containsText" text="Sin Información">
      <formula>NOT(ISERROR(SEARCH("Sin Información",E83)))</formula>
    </cfRule>
  </conditionalFormatting>
  <conditionalFormatting sqref="C83:D83">
    <cfRule type="containsText" dxfId="5809" priority="6126" operator="containsText" text="NUEVO">
      <formula>NOT(ISERROR(SEARCH("NUEVO",C83)))</formula>
    </cfRule>
  </conditionalFormatting>
  <conditionalFormatting sqref="C84:D84">
    <cfRule type="containsText" dxfId="5808" priority="6125" operator="containsText" text="NO+$D$4:$D$10">
      <formula>NOT(ISERROR(SEARCH("NO+$D$4:$D$10",C84)))</formula>
    </cfRule>
  </conditionalFormatting>
  <conditionalFormatting sqref="C84:D84">
    <cfRule type="containsText" dxfId="5807" priority="6123" operator="containsText" text="SI">
      <formula>NOT(ISERROR(SEARCH("SI",C84)))</formula>
    </cfRule>
    <cfRule type="containsText" dxfId="5806" priority="6124" operator="containsText" text="NO">
      <formula>NOT(ISERROR(SEARCH("NO",C84)))</formula>
    </cfRule>
  </conditionalFormatting>
  <conditionalFormatting sqref="E84">
    <cfRule type="containsText" dxfId="5805" priority="6122" operator="containsText" text="Sin información">
      <formula>NOT(ISERROR(SEARCH("Sin información",E84)))</formula>
    </cfRule>
  </conditionalFormatting>
  <conditionalFormatting sqref="E84">
    <cfRule type="containsText" dxfId="5804" priority="6121" operator="containsText" text="NUEVO">
      <formula>NOT(ISERROR(SEARCH("NUEVO",E84)))</formula>
    </cfRule>
  </conditionalFormatting>
  <conditionalFormatting sqref="E84">
    <cfRule type="containsText" dxfId="5803" priority="6120" operator="containsText" text="Sin Información">
      <formula>NOT(ISERROR(SEARCH("Sin Información",E84)))</formula>
    </cfRule>
  </conditionalFormatting>
  <conditionalFormatting sqref="C84:D84">
    <cfRule type="containsText" dxfId="5802" priority="6119" operator="containsText" text="NUEVO">
      <formula>NOT(ISERROR(SEARCH("NUEVO",C84)))</formula>
    </cfRule>
  </conditionalFormatting>
  <conditionalFormatting sqref="C85:D85">
    <cfRule type="containsText" dxfId="5801" priority="6118" operator="containsText" text="NO+$D$4:$D$10">
      <formula>NOT(ISERROR(SEARCH("NO+$D$4:$D$10",C85)))</formula>
    </cfRule>
  </conditionalFormatting>
  <conditionalFormatting sqref="C85:D85">
    <cfRule type="containsText" dxfId="5800" priority="6116" operator="containsText" text="SI">
      <formula>NOT(ISERROR(SEARCH("SI",C85)))</formula>
    </cfRule>
    <cfRule type="containsText" dxfId="5799" priority="6117" operator="containsText" text="NO">
      <formula>NOT(ISERROR(SEARCH("NO",C85)))</formula>
    </cfRule>
  </conditionalFormatting>
  <conditionalFormatting sqref="C85:D85">
    <cfRule type="containsText" dxfId="5798" priority="6115" operator="containsText" text="NUEVO">
      <formula>NOT(ISERROR(SEARCH("NUEVO",C85)))</formula>
    </cfRule>
  </conditionalFormatting>
  <conditionalFormatting sqref="E85">
    <cfRule type="containsText" dxfId="5797" priority="6113" operator="containsText" text="NUEVO">
      <formula>NOT(ISERROR(SEARCH("NUEVO",E85)))</formula>
    </cfRule>
  </conditionalFormatting>
  <conditionalFormatting sqref="E85">
    <cfRule type="containsText" dxfId="5796" priority="6112" operator="containsText" text="Sin Información">
      <formula>NOT(ISERROR(SEARCH("Sin Información",E85)))</formula>
    </cfRule>
  </conditionalFormatting>
  <conditionalFormatting sqref="E85">
    <cfRule type="containsText" dxfId="5795" priority="6114" operator="containsText" text="Sin información">
      <formula>NOT(ISERROR(SEARCH("Sin información",E85)))</formula>
    </cfRule>
  </conditionalFormatting>
  <conditionalFormatting sqref="C86:D86">
    <cfRule type="containsText" dxfId="5794" priority="6111" operator="containsText" text="NO+$D$4:$D$10">
      <formula>NOT(ISERROR(SEARCH("NO+$D$4:$D$10",C86)))</formula>
    </cfRule>
  </conditionalFormatting>
  <conditionalFormatting sqref="C86:D86">
    <cfRule type="containsText" dxfId="5793" priority="6109" operator="containsText" text="SI">
      <formula>NOT(ISERROR(SEARCH("SI",C86)))</formula>
    </cfRule>
    <cfRule type="containsText" dxfId="5792" priority="6110" operator="containsText" text="NO">
      <formula>NOT(ISERROR(SEARCH("NO",C86)))</formula>
    </cfRule>
  </conditionalFormatting>
  <conditionalFormatting sqref="E86">
    <cfRule type="containsText" dxfId="5791" priority="6108" operator="containsText" text="Sin información">
      <formula>NOT(ISERROR(SEARCH("Sin información",E86)))</formula>
    </cfRule>
  </conditionalFormatting>
  <conditionalFormatting sqref="E86">
    <cfRule type="containsText" dxfId="5790" priority="6107" operator="containsText" text="NUEVO">
      <formula>NOT(ISERROR(SEARCH("NUEVO",E86)))</formula>
    </cfRule>
  </conditionalFormatting>
  <conditionalFormatting sqref="C86:D86">
    <cfRule type="containsText" dxfId="5789" priority="6106" operator="containsText" text="NUEVO">
      <formula>NOT(ISERROR(SEARCH("NUEVO",C86)))</formula>
    </cfRule>
  </conditionalFormatting>
  <conditionalFormatting sqref="C87:D87">
    <cfRule type="containsText" dxfId="5788" priority="6105" operator="containsText" text="NO+$D$4:$D$10">
      <formula>NOT(ISERROR(SEARCH("NO+$D$4:$D$10",C87)))</formula>
    </cfRule>
  </conditionalFormatting>
  <conditionalFormatting sqref="C87:D87">
    <cfRule type="containsText" dxfId="5787" priority="6103" operator="containsText" text="SI">
      <formula>NOT(ISERROR(SEARCH("SI",C87)))</formula>
    </cfRule>
    <cfRule type="containsText" dxfId="5786" priority="6104" operator="containsText" text="NO">
      <formula>NOT(ISERROR(SEARCH("NO",C87)))</formula>
    </cfRule>
  </conditionalFormatting>
  <conditionalFormatting sqref="E87">
    <cfRule type="containsText" dxfId="5785" priority="6102" operator="containsText" text="Sin información">
      <formula>NOT(ISERROR(SEARCH("Sin información",E87)))</formula>
    </cfRule>
  </conditionalFormatting>
  <conditionalFormatting sqref="E87">
    <cfRule type="containsText" dxfId="5784" priority="6101" operator="containsText" text="NUEVO">
      <formula>NOT(ISERROR(SEARCH("NUEVO",E87)))</formula>
    </cfRule>
  </conditionalFormatting>
  <conditionalFormatting sqref="C87:D87">
    <cfRule type="containsText" dxfId="5783" priority="6100" operator="containsText" text="NUEVO">
      <formula>NOT(ISERROR(SEARCH("NUEVO",C87)))</formula>
    </cfRule>
  </conditionalFormatting>
  <conditionalFormatting sqref="C88:D88">
    <cfRule type="containsText" dxfId="5782" priority="6099" operator="containsText" text="NO+$D$4:$D$10">
      <formula>NOT(ISERROR(SEARCH("NO+$D$4:$D$10",C88)))</formula>
    </cfRule>
  </conditionalFormatting>
  <conditionalFormatting sqref="C88:D88">
    <cfRule type="containsText" dxfId="5781" priority="6097" operator="containsText" text="SI">
      <formula>NOT(ISERROR(SEARCH("SI",C88)))</formula>
    </cfRule>
    <cfRule type="containsText" dxfId="5780" priority="6098" operator="containsText" text="NO">
      <formula>NOT(ISERROR(SEARCH("NO",C88)))</formula>
    </cfRule>
  </conditionalFormatting>
  <conditionalFormatting sqref="E88">
    <cfRule type="containsText" dxfId="5779" priority="6096" operator="containsText" text="Sin información">
      <formula>NOT(ISERROR(SEARCH("Sin información",E88)))</formula>
    </cfRule>
  </conditionalFormatting>
  <conditionalFormatting sqref="E88">
    <cfRule type="containsText" dxfId="5778" priority="6095" operator="containsText" text="NUEVO">
      <formula>NOT(ISERROR(SEARCH("NUEVO",E88)))</formula>
    </cfRule>
  </conditionalFormatting>
  <conditionalFormatting sqref="E88">
    <cfRule type="containsText" dxfId="5777" priority="6094" operator="containsText" text="Sin Información">
      <formula>NOT(ISERROR(SEARCH("Sin Información",E88)))</formula>
    </cfRule>
  </conditionalFormatting>
  <conditionalFormatting sqref="C88:D88">
    <cfRule type="containsText" dxfId="5776" priority="6093" operator="containsText" text="NUEVO">
      <formula>NOT(ISERROR(SEARCH("NUEVO",C88)))</formula>
    </cfRule>
  </conditionalFormatting>
  <conditionalFormatting sqref="C89:D89">
    <cfRule type="containsText" dxfId="5775" priority="6092" operator="containsText" text="NO+$D$4:$D$10">
      <formula>NOT(ISERROR(SEARCH("NO+$D$4:$D$10",C89)))</formula>
    </cfRule>
  </conditionalFormatting>
  <conditionalFormatting sqref="C89:D89">
    <cfRule type="containsText" dxfId="5774" priority="6090" operator="containsText" text="SI">
      <formula>NOT(ISERROR(SEARCH("SI",C89)))</formula>
    </cfRule>
    <cfRule type="containsText" dxfId="5773" priority="6091" operator="containsText" text="NO">
      <formula>NOT(ISERROR(SEARCH("NO",C89)))</formula>
    </cfRule>
  </conditionalFormatting>
  <conditionalFormatting sqref="E89">
    <cfRule type="containsText" dxfId="5772" priority="6089" operator="containsText" text="Sin información">
      <formula>NOT(ISERROR(SEARCH("Sin información",E89)))</formula>
    </cfRule>
  </conditionalFormatting>
  <conditionalFormatting sqref="E89">
    <cfRule type="containsText" dxfId="5771" priority="6088" operator="containsText" text="NUEVO">
      <formula>NOT(ISERROR(SEARCH("NUEVO",E89)))</formula>
    </cfRule>
  </conditionalFormatting>
  <conditionalFormatting sqref="E89">
    <cfRule type="containsText" dxfId="5770" priority="6087" operator="containsText" text="Sin Información">
      <formula>NOT(ISERROR(SEARCH("Sin Información",E89)))</formula>
    </cfRule>
  </conditionalFormatting>
  <conditionalFormatting sqref="C89:D89">
    <cfRule type="containsText" dxfId="5769" priority="6086" operator="containsText" text="NUEVO">
      <formula>NOT(ISERROR(SEARCH("NUEVO",C89)))</formula>
    </cfRule>
  </conditionalFormatting>
  <conditionalFormatting sqref="C90:D90">
    <cfRule type="containsText" dxfId="5768" priority="6085" operator="containsText" text="NO+$D$4:$D$10">
      <formula>NOT(ISERROR(SEARCH("NO+$D$4:$D$10",C90)))</formula>
    </cfRule>
  </conditionalFormatting>
  <conditionalFormatting sqref="C90:D90">
    <cfRule type="containsText" dxfId="5767" priority="6083" operator="containsText" text="SI">
      <formula>NOT(ISERROR(SEARCH("SI",C90)))</formula>
    </cfRule>
    <cfRule type="containsText" dxfId="5766" priority="6084" operator="containsText" text="NO">
      <formula>NOT(ISERROR(SEARCH("NO",C90)))</formula>
    </cfRule>
  </conditionalFormatting>
  <conditionalFormatting sqref="E90">
    <cfRule type="containsText" dxfId="5765" priority="6082" operator="containsText" text="Sin información">
      <formula>NOT(ISERROR(SEARCH("Sin información",E90)))</formula>
    </cfRule>
  </conditionalFormatting>
  <conditionalFormatting sqref="E90">
    <cfRule type="containsText" dxfId="5764" priority="6081" operator="containsText" text="NUEVO">
      <formula>NOT(ISERROR(SEARCH("NUEVO",E90)))</formula>
    </cfRule>
  </conditionalFormatting>
  <conditionalFormatting sqref="E90">
    <cfRule type="containsText" dxfId="5763" priority="6080" operator="containsText" text="Sin Información">
      <formula>NOT(ISERROR(SEARCH("Sin Información",E90)))</formula>
    </cfRule>
  </conditionalFormatting>
  <conditionalFormatting sqref="C90:D90">
    <cfRule type="containsText" dxfId="5762" priority="6079" operator="containsText" text="NUEVO">
      <formula>NOT(ISERROR(SEARCH("NUEVO",C90)))</formula>
    </cfRule>
  </conditionalFormatting>
  <conditionalFormatting sqref="C91:D91">
    <cfRule type="containsText" dxfId="5761" priority="6078" operator="containsText" text="NO+$D$4:$D$10">
      <formula>NOT(ISERROR(SEARCH("NO+$D$4:$D$10",C91)))</formula>
    </cfRule>
  </conditionalFormatting>
  <conditionalFormatting sqref="C91:D91">
    <cfRule type="containsText" dxfId="5760" priority="6076" operator="containsText" text="SI">
      <formula>NOT(ISERROR(SEARCH("SI",C91)))</formula>
    </cfRule>
    <cfRule type="containsText" dxfId="5759" priority="6077" operator="containsText" text="NO">
      <formula>NOT(ISERROR(SEARCH("NO",C91)))</formula>
    </cfRule>
  </conditionalFormatting>
  <conditionalFormatting sqref="E91">
    <cfRule type="containsText" dxfId="5758" priority="6075" operator="containsText" text="Sin información">
      <formula>NOT(ISERROR(SEARCH("Sin información",E91)))</formula>
    </cfRule>
  </conditionalFormatting>
  <conditionalFormatting sqref="E91">
    <cfRule type="containsText" dxfId="5757" priority="6074" operator="containsText" text="NUEVO">
      <formula>NOT(ISERROR(SEARCH("NUEVO",E91)))</formula>
    </cfRule>
  </conditionalFormatting>
  <conditionalFormatting sqref="E91">
    <cfRule type="containsText" dxfId="5756" priority="6073" operator="containsText" text="Sin Información">
      <formula>NOT(ISERROR(SEARCH("Sin Información",E91)))</formula>
    </cfRule>
  </conditionalFormatting>
  <conditionalFormatting sqref="C91:D91">
    <cfRule type="containsText" dxfId="5755" priority="6072" operator="containsText" text="NUEVO">
      <formula>NOT(ISERROR(SEARCH("NUEVO",C91)))</formula>
    </cfRule>
  </conditionalFormatting>
  <conditionalFormatting sqref="C92:D92">
    <cfRule type="containsText" dxfId="5754" priority="6071" operator="containsText" text="NO+$D$4:$D$10">
      <formula>NOT(ISERROR(SEARCH("NO+$D$4:$D$10",C92)))</formula>
    </cfRule>
  </conditionalFormatting>
  <conditionalFormatting sqref="C92:D92">
    <cfRule type="containsText" dxfId="5753" priority="6069" operator="containsText" text="SI">
      <formula>NOT(ISERROR(SEARCH("SI",C92)))</formula>
    </cfRule>
    <cfRule type="containsText" dxfId="5752" priority="6070" operator="containsText" text="NO">
      <formula>NOT(ISERROR(SEARCH("NO",C92)))</formula>
    </cfRule>
  </conditionalFormatting>
  <conditionalFormatting sqref="E92">
    <cfRule type="containsText" dxfId="5751" priority="6068" operator="containsText" text="Sin información">
      <formula>NOT(ISERROR(SEARCH("Sin información",E92)))</formula>
    </cfRule>
  </conditionalFormatting>
  <conditionalFormatting sqref="E92">
    <cfRule type="containsText" dxfId="5750" priority="6067" operator="containsText" text="NUEVO">
      <formula>NOT(ISERROR(SEARCH("NUEVO",E92)))</formula>
    </cfRule>
  </conditionalFormatting>
  <conditionalFormatting sqref="E92">
    <cfRule type="containsText" dxfId="5749" priority="6066" operator="containsText" text="Sin Información">
      <formula>NOT(ISERROR(SEARCH("Sin Información",E92)))</formula>
    </cfRule>
  </conditionalFormatting>
  <conditionalFormatting sqref="C92:D92">
    <cfRule type="containsText" dxfId="5748" priority="6065" operator="containsText" text="NUEVO">
      <formula>NOT(ISERROR(SEARCH("NUEVO",C92)))</formula>
    </cfRule>
  </conditionalFormatting>
  <conditionalFormatting sqref="C93:D93">
    <cfRule type="containsText" dxfId="5747" priority="6064" operator="containsText" text="NO+$D$4:$D$10">
      <formula>NOT(ISERROR(SEARCH("NO+$D$4:$D$10",C93)))</formula>
    </cfRule>
  </conditionalFormatting>
  <conditionalFormatting sqref="C93:D93">
    <cfRule type="containsText" dxfId="5746" priority="6062" operator="containsText" text="SI">
      <formula>NOT(ISERROR(SEARCH("SI",C93)))</formula>
    </cfRule>
    <cfRule type="containsText" dxfId="5745" priority="6063" operator="containsText" text="NO">
      <formula>NOT(ISERROR(SEARCH("NO",C93)))</formula>
    </cfRule>
  </conditionalFormatting>
  <conditionalFormatting sqref="E93">
    <cfRule type="containsText" dxfId="5744" priority="6061" operator="containsText" text="Sin información">
      <formula>NOT(ISERROR(SEARCH("Sin información",E93)))</formula>
    </cfRule>
  </conditionalFormatting>
  <conditionalFormatting sqref="E93">
    <cfRule type="containsText" dxfId="5743" priority="6060" operator="containsText" text="NUEVO">
      <formula>NOT(ISERROR(SEARCH("NUEVO",E93)))</formula>
    </cfRule>
  </conditionalFormatting>
  <conditionalFormatting sqref="E93">
    <cfRule type="containsText" dxfId="5742" priority="6059" operator="containsText" text="Sin Información">
      <formula>NOT(ISERROR(SEARCH("Sin Información",E93)))</formula>
    </cfRule>
  </conditionalFormatting>
  <conditionalFormatting sqref="C93:D93">
    <cfRule type="containsText" dxfId="5741" priority="6058" operator="containsText" text="NUEVO">
      <formula>NOT(ISERROR(SEARCH("NUEVO",C93)))</formula>
    </cfRule>
  </conditionalFormatting>
  <conditionalFormatting sqref="C94:D94">
    <cfRule type="containsText" dxfId="5740" priority="6057" operator="containsText" text="NO+$D$4:$D$10">
      <formula>NOT(ISERROR(SEARCH("NO+$D$4:$D$10",C94)))</formula>
    </cfRule>
  </conditionalFormatting>
  <conditionalFormatting sqref="C94:D94">
    <cfRule type="containsText" dxfId="5739" priority="6055" operator="containsText" text="SI">
      <formula>NOT(ISERROR(SEARCH("SI",C94)))</formula>
    </cfRule>
    <cfRule type="containsText" dxfId="5738" priority="6056" operator="containsText" text="NO">
      <formula>NOT(ISERROR(SEARCH("NO",C94)))</formula>
    </cfRule>
  </conditionalFormatting>
  <conditionalFormatting sqref="E94">
    <cfRule type="containsText" dxfId="5737" priority="6054" operator="containsText" text="Sin información">
      <formula>NOT(ISERROR(SEARCH("Sin información",E94)))</formula>
    </cfRule>
  </conditionalFormatting>
  <conditionalFormatting sqref="E94">
    <cfRule type="containsText" dxfId="5736" priority="6053" operator="containsText" text="NUEVO">
      <formula>NOT(ISERROR(SEARCH("NUEVO",E94)))</formula>
    </cfRule>
  </conditionalFormatting>
  <conditionalFormatting sqref="E94">
    <cfRule type="containsText" dxfId="5735" priority="6052" operator="containsText" text="Sin Información">
      <formula>NOT(ISERROR(SEARCH("Sin Información",E94)))</formula>
    </cfRule>
  </conditionalFormatting>
  <conditionalFormatting sqref="C94:D94">
    <cfRule type="containsText" dxfId="5734" priority="6051" operator="containsText" text="NUEVO">
      <formula>NOT(ISERROR(SEARCH("NUEVO",C94)))</formula>
    </cfRule>
  </conditionalFormatting>
  <conditionalFormatting sqref="C95:D96">
    <cfRule type="containsText" dxfId="5733" priority="6050" operator="containsText" text="NO+$D$4:$D$10">
      <formula>NOT(ISERROR(SEARCH("NO+$D$4:$D$10",C95)))</formula>
    </cfRule>
  </conditionalFormatting>
  <conditionalFormatting sqref="C95:D96">
    <cfRule type="containsText" dxfId="5732" priority="6048" operator="containsText" text="SI">
      <formula>NOT(ISERROR(SEARCH("SI",C95)))</formula>
    </cfRule>
    <cfRule type="containsText" dxfId="5731" priority="6049" operator="containsText" text="NO">
      <formula>NOT(ISERROR(SEARCH("NO",C95)))</formula>
    </cfRule>
  </conditionalFormatting>
  <conditionalFormatting sqref="E95">
    <cfRule type="containsText" dxfId="5730" priority="6047" operator="containsText" text="Sin información">
      <formula>NOT(ISERROR(SEARCH("Sin información",E95)))</formula>
    </cfRule>
  </conditionalFormatting>
  <conditionalFormatting sqref="E95">
    <cfRule type="containsText" dxfId="5729" priority="6046" operator="containsText" text="NUEVO">
      <formula>NOT(ISERROR(SEARCH("NUEVO",E95)))</formula>
    </cfRule>
  </conditionalFormatting>
  <conditionalFormatting sqref="E95">
    <cfRule type="containsText" dxfId="5728" priority="6045" operator="containsText" text="Sin Información">
      <formula>NOT(ISERROR(SEARCH("Sin Información",E95)))</formula>
    </cfRule>
  </conditionalFormatting>
  <conditionalFormatting sqref="C95:D96">
    <cfRule type="containsText" dxfId="5727" priority="6044" operator="containsText" text="NUEVO">
      <formula>NOT(ISERROR(SEARCH("NUEVO",C95)))</formula>
    </cfRule>
  </conditionalFormatting>
  <conditionalFormatting sqref="E96">
    <cfRule type="containsText" dxfId="5726" priority="6043" operator="containsText" text="Sin información">
      <formula>NOT(ISERROR(SEARCH("Sin información",E96)))</formula>
    </cfRule>
  </conditionalFormatting>
  <conditionalFormatting sqref="E96">
    <cfRule type="containsText" dxfId="5725" priority="6042" operator="containsText" text="NUEVO">
      <formula>NOT(ISERROR(SEARCH("NUEVO",E96)))</formula>
    </cfRule>
  </conditionalFormatting>
  <conditionalFormatting sqref="E96">
    <cfRule type="containsText" dxfId="5724" priority="6041" operator="containsText" text="Sin Información">
      <formula>NOT(ISERROR(SEARCH("Sin Información",E96)))</formula>
    </cfRule>
  </conditionalFormatting>
  <conditionalFormatting sqref="C97:D97">
    <cfRule type="containsText" dxfId="5723" priority="6040" operator="containsText" text="NO+$D$4:$D$10">
      <formula>NOT(ISERROR(SEARCH("NO+$D$4:$D$10",C97)))</formula>
    </cfRule>
  </conditionalFormatting>
  <conditionalFormatting sqref="C97:D97">
    <cfRule type="containsText" dxfId="5722" priority="6038" operator="containsText" text="SI">
      <formula>NOT(ISERROR(SEARCH("SI",C97)))</formula>
    </cfRule>
    <cfRule type="containsText" dxfId="5721" priority="6039" operator="containsText" text="NO">
      <formula>NOT(ISERROR(SEARCH("NO",C97)))</formula>
    </cfRule>
  </conditionalFormatting>
  <conditionalFormatting sqref="E97">
    <cfRule type="containsText" dxfId="5720" priority="6037" operator="containsText" text="Sin información">
      <formula>NOT(ISERROR(SEARCH("Sin información",E97)))</formula>
    </cfRule>
  </conditionalFormatting>
  <conditionalFormatting sqref="E97">
    <cfRule type="containsText" dxfId="5719" priority="6036" operator="containsText" text="NUEVO">
      <formula>NOT(ISERROR(SEARCH("NUEVO",E97)))</formula>
    </cfRule>
  </conditionalFormatting>
  <conditionalFormatting sqref="C97:D97">
    <cfRule type="containsText" dxfId="5718" priority="6035" operator="containsText" text="NUEVO">
      <formula>NOT(ISERROR(SEARCH("NUEVO",C97)))</formula>
    </cfRule>
  </conditionalFormatting>
  <conditionalFormatting sqref="C98:D98">
    <cfRule type="containsText" dxfId="5717" priority="6034" operator="containsText" text="NO+$D$4:$D$10">
      <formula>NOT(ISERROR(SEARCH("NO+$D$4:$D$10",C98)))</formula>
    </cfRule>
  </conditionalFormatting>
  <conditionalFormatting sqref="C98:D98">
    <cfRule type="containsText" dxfId="5716" priority="6032" operator="containsText" text="SI">
      <formula>NOT(ISERROR(SEARCH("SI",C98)))</formula>
    </cfRule>
    <cfRule type="containsText" dxfId="5715" priority="6033" operator="containsText" text="NO">
      <formula>NOT(ISERROR(SEARCH("NO",C98)))</formula>
    </cfRule>
  </conditionalFormatting>
  <conditionalFormatting sqref="C98:D98">
    <cfRule type="containsText" dxfId="5714" priority="6031" operator="containsText" text="NUEVO">
      <formula>NOT(ISERROR(SEARCH("NUEVO",C98)))</formula>
    </cfRule>
  </conditionalFormatting>
  <conditionalFormatting sqref="E98">
    <cfRule type="containsText" dxfId="5713" priority="6030" operator="containsText" text="Sin información">
      <formula>NOT(ISERROR(SEARCH("Sin información",E98)))</formula>
    </cfRule>
  </conditionalFormatting>
  <conditionalFormatting sqref="E98">
    <cfRule type="containsText" dxfId="5712" priority="6029" operator="containsText" text="NUEVO">
      <formula>NOT(ISERROR(SEARCH("NUEVO",E98)))</formula>
    </cfRule>
  </conditionalFormatting>
  <conditionalFormatting sqref="E98">
    <cfRule type="containsText" dxfId="5711" priority="6028" operator="containsText" text="Sin Información">
      <formula>NOT(ISERROR(SEARCH("Sin Información",E98)))</formula>
    </cfRule>
  </conditionalFormatting>
  <conditionalFormatting sqref="C99:D101">
    <cfRule type="containsText" dxfId="5710" priority="6027" operator="containsText" text="NO+$D$4:$D$10">
      <formula>NOT(ISERROR(SEARCH("NO+$D$4:$D$10",C99)))</formula>
    </cfRule>
  </conditionalFormatting>
  <conditionalFormatting sqref="C99:D101">
    <cfRule type="containsText" dxfId="5709" priority="6025" operator="containsText" text="SI">
      <formula>NOT(ISERROR(SEARCH("SI",C99)))</formula>
    </cfRule>
    <cfRule type="containsText" dxfId="5708" priority="6026" operator="containsText" text="NO">
      <formula>NOT(ISERROR(SEARCH("NO",C99)))</formula>
    </cfRule>
  </conditionalFormatting>
  <conditionalFormatting sqref="E99">
    <cfRule type="containsText" dxfId="5707" priority="6024" operator="containsText" text="Sin información">
      <formula>NOT(ISERROR(SEARCH("Sin información",E99)))</formula>
    </cfRule>
  </conditionalFormatting>
  <conditionalFormatting sqref="E99">
    <cfRule type="containsText" dxfId="5706" priority="6023" operator="containsText" text="NUEVO">
      <formula>NOT(ISERROR(SEARCH("NUEVO",E99)))</formula>
    </cfRule>
  </conditionalFormatting>
  <conditionalFormatting sqref="E99">
    <cfRule type="containsText" dxfId="5705" priority="6022" operator="containsText" text="Sin Información">
      <formula>NOT(ISERROR(SEARCH("Sin Información",E99)))</formula>
    </cfRule>
  </conditionalFormatting>
  <conditionalFormatting sqref="C99:D101">
    <cfRule type="containsText" dxfId="5704" priority="6021" operator="containsText" text="NUEVO">
      <formula>NOT(ISERROR(SEARCH("NUEVO",C99)))</formula>
    </cfRule>
  </conditionalFormatting>
  <conditionalFormatting sqref="E100:E101">
    <cfRule type="containsText" dxfId="5703" priority="6020" operator="containsText" text="Sin información">
      <formula>NOT(ISERROR(SEARCH("Sin información",E100)))</formula>
    </cfRule>
  </conditionalFormatting>
  <conditionalFormatting sqref="E100:E101">
    <cfRule type="containsText" dxfId="5702" priority="6019" operator="containsText" text="NUEVO">
      <formula>NOT(ISERROR(SEARCH("NUEVO",E100)))</formula>
    </cfRule>
  </conditionalFormatting>
  <conditionalFormatting sqref="E100:E101">
    <cfRule type="containsText" dxfId="5701" priority="6018" operator="containsText" text="Sin Información">
      <formula>NOT(ISERROR(SEARCH("Sin Información",E100)))</formula>
    </cfRule>
  </conditionalFormatting>
  <conditionalFormatting sqref="C103:D103">
    <cfRule type="containsText" dxfId="5700" priority="6017" operator="containsText" text="NO+$D$4:$D$10">
      <formula>NOT(ISERROR(SEARCH("NO+$D$4:$D$10",C103)))</formula>
    </cfRule>
  </conditionalFormatting>
  <conditionalFormatting sqref="C103:D103">
    <cfRule type="containsText" dxfId="5699" priority="6015" operator="containsText" text="SI">
      <formula>NOT(ISERROR(SEARCH("SI",C103)))</formula>
    </cfRule>
    <cfRule type="containsText" dxfId="5698" priority="6016" operator="containsText" text="NO">
      <formula>NOT(ISERROR(SEARCH("NO",C103)))</formula>
    </cfRule>
  </conditionalFormatting>
  <conditionalFormatting sqref="C103:D103">
    <cfRule type="containsText" dxfId="5697" priority="6014" operator="containsText" text="NUEVO">
      <formula>NOT(ISERROR(SEARCH("NUEVO",C103)))</formula>
    </cfRule>
  </conditionalFormatting>
  <conditionalFormatting sqref="E103">
    <cfRule type="containsText" dxfId="5696" priority="6013" operator="containsText" text="Sin información">
      <formula>NOT(ISERROR(SEARCH("Sin información",E103)))</formula>
    </cfRule>
  </conditionalFormatting>
  <conditionalFormatting sqref="E103">
    <cfRule type="containsText" dxfId="5695" priority="6012" operator="containsText" text="NUEVO">
      <formula>NOT(ISERROR(SEARCH("NUEVO",E103)))</formula>
    </cfRule>
  </conditionalFormatting>
  <conditionalFormatting sqref="E103">
    <cfRule type="containsText" dxfId="5694" priority="6011" operator="containsText" text="Sin Información">
      <formula>NOT(ISERROR(SEARCH("Sin Información",E103)))</formula>
    </cfRule>
  </conditionalFormatting>
  <conditionalFormatting sqref="C104:D104">
    <cfRule type="containsText" dxfId="5693" priority="6010" operator="containsText" text="NO+$D$4:$D$10">
      <formula>NOT(ISERROR(SEARCH("NO+$D$4:$D$10",C104)))</formula>
    </cfRule>
  </conditionalFormatting>
  <conditionalFormatting sqref="C104:D104">
    <cfRule type="containsText" dxfId="5692" priority="6008" operator="containsText" text="SI">
      <formula>NOT(ISERROR(SEARCH("SI",C104)))</formula>
    </cfRule>
    <cfRule type="containsText" dxfId="5691" priority="6009" operator="containsText" text="NO">
      <formula>NOT(ISERROR(SEARCH("NO",C104)))</formula>
    </cfRule>
  </conditionalFormatting>
  <conditionalFormatting sqref="C104:D104">
    <cfRule type="containsText" dxfId="5690" priority="6007" operator="containsText" text="NUEVO">
      <formula>NOT(ISERROR(SEARCH("NUEVO",C104)))</formula>
    </cfRule>
  </conditionalFormatting>
  <conditionalFormatting sqref="E104">
    <cfRule type="containsText" dxfId="5689" priority="6006" operator="containsText" text="Sin información">
      <formula>NOT(ISERROR(SEARCH("Sin información",E104)))</formula>
    </cfRule>
  </conditionalFormatting>
  <conditionalFormatting sqref="E104">
    <cfRule type="containsText" dxfId="5688" priority="6005" operator="containsText" text="NUEVO">
      <formula>NOT(ISERROR(SEARCH("NUEVO",E104)))</formula>
    </cfRule>
  </conditionalFormatting>
  <conditionalFormatting sqref="E104">
    <cfRule type="containsText" dxfId="5687" priority="6004" operator="containsText" text="Sin Información">
      <formula>NOT(ISERROR(SEARCH("Sin Información",E104)))</formula>
    </cfRule>
  </conditionalFormatting>
  <conditionalFormatting sqref="C105:D105">
    <cfRule type="containsText" dxfId="5686" priority="6003" operator="containsText" text="NO+$D$4:$D$10">
      <formula>NOT(ISERROR(SEARCH("NO+$D$4:$D$10",C105)))</formula>
    </cfRule>
  </conditionalFormatting>
  <conditionalFormatting sqref="C105:D105">
    <cfRule type="containsText" dxfId="5685" priority="6001" operator="containsText" text="SI">
      <formula>NOT(ISERROR(SEARCH("SI",C105)))</formula>
    </cfRule>
    <cfRule type="containsText" dxfId="5684" priority="6002" operator="containsText" text="NO">
      <formula>NOT(ISERROR(SEARCH("NO",C105)))</formula>
    </cfRule>
  </conditionalFormatting>
  <conditionalFormatting sqref="C105:D105">
    <cfRule type="containsText" dxfId="5683" priority="6000" operator="containsText" text="NUEVO">
      <formula>NOT(ISERROR(SEARCH("NUEVO",C105)))</formula>
    </cfRule>
  </conditionalFormatting>
  <conditionalFormatting sqref="E105">
    <cfRule type="containsText" dxfId="5682" priority="5999" operator="containsText" text="Sin información">
      <formula>NOT(ISERROR(SEARCH("Sin información",E105)))</formula>
    </cfRule>
  </conditionalFormatting>
  <conditionalFormatting sqref="E105">
    <cfRule type="containsText" dxfId="5681" priority="5998" operator="containsText" text="NUEVO">
      <formula>NOT(ISERROR(SEARCH("NUEVO",E105)))</formula>
    </cfRule>
  </conditionalFormatting>
  <conditionalFormatting sqref="E105">
    <cfRule type="containsText" dxfId="5680" priority="5997" operator="containsText" text="Sin Información">
      <formula>NOT(ISERROR(SEARCH("Sin Información",E105)))</formula>
    </cfRule>
  </conditionalFormatting>
  <conditionalFormatting sqref="C106:D106">
    <cfRule type="containsText" dxfId="5679" priority="5996" operator="containsText" text="NO+$D$4:$D$10">
      <formula>NOT(ISERROR(SEARCH("NO+$D$4:$D$10",C106)))</formula>
    </cfRule>
  </conditionalFormatting>
  <conditionalFormatting sqref="C106:D106">
    <cfRule type="containsText" dxfId="5678" priority="5994" operator="containsText" text="SI">
      <formula>NOT(ISERROR(SEARCH("SI",C106)))</formula>
    </cfRule>
    <cfRule type="containsText" dxfId="5677" priority="5995" operator="containsText" text="NO">
      <formula>NOT(ISERROR(SEARCH("NO",C106)))</formula>
    </cfRule>
  </conditionalFormatting>
  <conditionalFormatting sqref="C106:D106">
    <cfRule type="containsText" dxfId="5676" priority="5993" operator="containsText" text="NUEVO">
      <formula>NOT(ISERROR(SEARCH("NUEVO",C106)))</formula>
    </cfRule>
  </conditionalFormatting>
  <conditionalFormatting sqref="E106">
    <cfRule type="containsText" dxfId="5675" priority="5992" operator="containsText" text="Sin información">
      <formula>NOT(ISERROR(SEARCH("Sin información",E106)))</formula>
    </cfRule>
  </conditionalFormatting>
  <conditionalFormatting sqref="E106">
    <cfRule type="containsText" dxfId="5674" priority="5991" operator="containsText" text="NUEVO">
      <formula>NOT(ISERROR(SEARCH("NUEVO",E106)))</formula>
    </cfRule>
  </conditionalFormatting>
  <conditionalFormatting sqref="E106">
    <cfRule type="containsText" dxfId="5673" priority="5990" operator="containsText" text="Sin Información">
      <formula>NOT(ISERROR(SEARCH("Sin Información",E106)))</formula>
    </cfRule>
  </conditionalFormatting>
  <conditionalFormatting sqref="C107:D107">
    <cfRule type="containsText" dxfId="5672" priority="5989" operator="containsText" text="NO+$D$4:$D$10">
      <formula>NOT(ISERROR(SEARCH("NO+$D$4:$D$10",C107)))</formula>
    </cfRule>
  </conditionalFormatting>
  <conditionalFormatting sqref="C107:D107">
    <cfRule type="containsText" dxfId="5671" priority="5987" operator="containsText" text="SI">
      <formula>NOT(ISERROR(SEARCH("SI",C107)))</formula>
    </cfRule>
    <cfRule type="containsText" dxfId="5670" priority="5988" operator="containsText" text="NO">
      <formula>NOT(ISERROR(SEARCH("NO",C107)))</formula>
    </cfRule>
  </conditionalFormatting>
  <conditionalFormatting sqref="C107:D107">
    <cfRule type="containsText" dxfId="5669" priority="5986" operator="containsText" text="NUEVO">
      <formula>NOT(ISERROR(SEARCH("NUEVO",C107)))</formula>
    </cfRule>
  </conditionalFormatting>
  <conditionalFormatting sqref="E107">
    <cfRule type="containsText" dxfId="5668" priority="5985" operator="containsText" text="Sin información">
      <formula>NOT(ISERROR(SEARCH("Sin información",E107)))</formula>
    </cfRule>
  </conditionalFormatting>
  <conditionalFormatting sqref="E107">
    <cfRule type="containsText" dxfId="5667" priority="5984" operator="containsText" text="NUEVO">
      <formula>NOT(ISERROR(SEARCH("NUEVO",E107)))</formula>
    </cfRule>
  </conditionalFormatting>
  <conditionalFormatting sqref="E107">
    <cfRule type="containsText" dxfId="5666" priority="5983" operator="containsText" text="Sin Información">
      <formula>NOT(ISERROR(SEARCH("Sin Información",E107)))</formula>
    </cfRule>
  </conditionalFormatting>
  <conditionalFormatting sqref="C108:D108">
    <cfRule type="containsText" dxfId="5665" priority="5982" operator="containsText" text="NO+$D$4:$D$10">
      <formula>NOT(ISERROR(SEARCH("NO+$D$4:$D$10",C108)))</formula>
    </cfRule>
  </conditionalFormatting>
  <conditionalFormatting sqref="C108:D108">
    <cfRule type="containsText" dxfId="5664" priority="5980" operator="containsText" text="SI">
      <formula>NOT(ISERROR(SEARCH("SI",C108)))</formula>
    </cfRule>
    <cfRule type="containsText" dxfId="5663" priority="5981" operator="containsText" text="NO">
      <formula>NOT(ISERROR(SEARCH("NO",C108)))</formula>
    </cfRule>
  </conditionalFormatting>
  <conditionalFormatting sqref="E108">
    <cfRule type="containsText" dxfId="5662" priority="5979" operator="containsText" text="Sin información">
      <formula>NOT(ISERROR(SEARCH("Sin información",E108)))</formula>
    </cfRule>
  </conditionalFormatting>
  <conditionalFormatting sqref="E108">
    <cfRule type="containsText" dxfId="5661" priority="5978" operator="containsText" text="NUEVO">
      <formula>NOT(ISERROR(SEARCH("NUEVO",E108)))</formula>
    </cfRule>
  </conditionalFormatting>
  <conditionalFormatting sqref="C108:D108">
    <cfRule type="containsText" dxfId="5660" priority="5977" operator="containsText" text="NUEVO">
      <formula>NOT(ISERROR(SEARCH("NUEVO",C108)))</formula>
    </cfRule>
  </conditionalFormatting>
  <conditionalFormatting sqref="C109:D109">
    <cfRule type="containsText" dxfId="5659" priority="5976" operator="containsText" text="NO+$D$4:$D$10">
      <formula>NOT(ISERROR(SEARCH("NO+$D$4:$D$10",C109)))</formula>
    </cfRule>
  </conditionalFormatting>
  <conditionalFormatting sqref="C109:D109">
    <cfRule type="containsText" dxfId="5658" priority="5974" operator="containsText" text="SI">
      <formula>NOT(ISERROR(SEARCH("SI",C109)))</formula>
    </cfRule>
    <cfRule type="containsText" dxfId="5657" priority="5975" operator="containsText" text="NO">
      <formula>NOT(ISERROR(SEARCH("NO",C109)))</formula>
    </cfRule>
  </conditionalFormatting>
  <conditionalFormatting sqref="E109">
    <cfRule type="containsText" dxfId="5656" priority="5973" operator="containsText" text="Sin información">
      <formula>NOT(ISERROR(SEARCH("Sin información",E109)))</formula>
    </cfRule>
  </conditionalFormatting>
  <conditionalFormatting sqref="C109:E109">
    <cfRule type="containsText" dxfId="5655" priority="5972" operator="containsText" text="NUEVO">
      <formula>NOT(ISERROR(SEARCH("NUEVO",C109)))</formula>
    </cfRule>
  </conditionalFormatting>
  <conditionalFormatting sqref="C110:D110">
    <cfRule type="containsText" dxfId="5654" priority="5966" operator="containsText" text="NUEVO">
      <formula>NOT(ISERROR(SEARCH("NUEVO",C110)))</formula>
    </cfRule>
  </conditionalFormatting>
  <conditionalFormatting sqref="C110:D110">
    <cfRule type="containsText" dxfId="5653" priority="5971" operator="containsText" text="NO+$D$4:$D$10">
      <formula>NOT(ISERROR(SEARCH("NO+$D$4:$D$10",C110)))</formula>
    </cfRule>
  </conditionalFormatting>
  <conditionalFormatting sqref="C110:D110">
    <cfRule type="containsText" dxfId="5652" priority="5969" operator="containsText" text="SI">
      <formula>NOT(ISERROR(SEARCH("SI",C110)))</formula>
    </cfRule>
    <cfRule type="containsText" dxfId="5651" priority="5970" operator="containsText" text="NO">
      <formula>NOT(ISERROR(SEARCH("NO",C110)))</formula>
    </cfRule>
  </conditionalFormatting>
  <conditionalFormatting sqref="E110">
    <cfRule type="containsText" dxfId="5650" priority="5968" operator="containsText" text="Sin información">
      <formula>NOT(ISERROR(SEARCH("Sin información",E110)))</formula>
    </cfRule>
  </conditionalFormatting>
  <conditionalFormatting sqref="C110:E110">
    <cfRule type="containsText" dxfId="5649" priority="5967" operator="containsText" text="NUEVO">
      <formula>NOT(ISERROR(SEARCH("NUEVO",C110)))</formula>
    </cfRule>
  </conditionalFormatting>
  <conditionalFormatting sqref="C111:D111">
    <cfRule type="containsText" dxfId="5648" priority="5965" operator="containsText" text="NO+$D$4:$D$10">
      <formula>NOT(ISERROR(SEARCH("NO+$D$4:$D$10",C111)))</formula>
    </cfRule>
  </conditionalFormatting>
  <conditionalFormatting sqref="C111:D111">
    <cfRule type="containsText" dxfId="5647" priority="5963" operator="containsText" text="SI">
      <formula>NOT(ISERROR(SEARCH("SI",C111)))</formula>
    </cfRule>
    <cfRule type="containsText" dxfId="5646" priority="5964" operator="containsText" text="NO">
      <formula>NOT(ISERROR(SEARCH("NO",C111)))</formula>
    </cfRule>
  </conditionalFormatting>
  <conditionalFormatting sqref="C111:D111">
    <cfRule type="containsText" dxfId="5645" priority="5962" operator="containsText" text="NUEVO">
      <formula>NOT(ISERROR(SEARCH("NUEVO",C111)))</formula>
    </cfRule>
  </conditionalFormatting>
  <conditionalFormatting sqref="C111:D111">
    <cfRule type="containsText" dxfId="5644" priority="5961" operator="containsText" text="NUEVO">
      <formula>NOT(ISERROR(SEARCH("NUEVO",C111)))</formula>
    </cfRule>
  </conditionalFormatting>
  <conditionalFormatting sqref="E111">
    <cfRule type="containsText" dxfId="5643" priority="5960" operator="containsText" text="Sin información">
      <formula>NOT(ISERROR(SEARCH("Sin información",E111)))</formula>
    </cfRule>
  </conditionalFormatting>
  <conditionalFormatting sqref="E111">
    <cfRule type="containsText" dxfId="5642" priority="5959" operator="containsText" text="NUEVO">
      <formula>NOT(ISERROR(SEARCH("NUEVO",E111)))</formula>
    </cfRule>
  </conditionalFormatting>
  <conditionalFormatting sqref="E111">
    <cfRule type="containsText" dxfId="5641" priority="5958" operator="containsText" text="Sin Información">
      <formula>NOT(ISERROR(SEARCH("Sin Información",E111)))</formula>
    </cfRule>
  </conditionalFormatting>
  <conditionalFormatting sqref="C113:D113">
    <cfRule type="containsText" dxfId="5640" priority="5957" operator="containsText" text="NO+$D$4:$D$10">
      <formula>NOT(ISERROR(SEARCH("NO+$D$4:$D$10",C113)))</formula>
    </cfRule>
  </conditionalFormatting>
  <conditionalFormatting sqref="C113:D113">
    <cfRule type="containsText" dxfId="5639" priority="5955" operator="containsText" text="SI">
      <formula>NOT(ISERROR(SEARCH("SI",C113)))</formula>
    </cfRule>
    <cfRule type="containsText" dxfId="5638" priority="5956" operator="containsText" text="NO">
      <formula>NOT(ISERROR(SEARCH("NO",C113)))</formula>
    </cfRule>
  </conditionalFormatting>
  <conditionalFormatting sqref="E113">
    <cfRule type="containsText" dxfId="5637" priority="5954" operator="containsText" text="Sin información">
      <formula>NOT(ISERROR(SEARCH("Sin información",E113)))</formula>
    </cfRule>
  </conditionalFormatting>
  <conditionalFormatting sqref="C113:E113">
    <cfRule type="containsText" dxfId="5636" priority="5953" operator="containsText" text="NUEVO">
      <formula>NOT(ISERROR(SEARCH("NUEVO",C113)))</formula>
    </cfRule>
  </conditionalFormatting>
  <conditionalFormatting sqref="D113">
    <cfRule type="containsText" dxfId="5635" priority="5952" operator="containsText" text="NUEVO">
      <formula>NOT(ISERROR(SEARCH("NUEVO",D113)))</formula>
    </cfRule>
  </conditionalFormatting>
  <conditionalFormatting sqref="C114:D114">
    <cfRule type="containsText" dxfId="5634" priority="5951" operator="containsText" text="NO+$D$4:$D$10">
      <formula>NOT(ISERROR(SEARCH("NO+$D$4:$D$10",C114)))</formula>
    </cfRule>
  </conditionalFormatting>
  <conditionalFormatting sqref="C114:D114">
    <cfRule type="containsText" dxfId="5633" priority="5949" operator="containsText" text="SI">
      <formula>NOT(ISERROR(SEARCH("SI",C114)))</formula>
    </cfRule>
    <cfRule type="containsText" dxfId="5632" priority="5950" operator="containsText" text="NO">
      <formula>NOT(ISERROR(SEARCH("NO",C114)))</formula>
    </cfRule>
  </conditionalFormatting>
  <conditionalFormatting sqref="E114">
    <cfRule type="containsText" dxfId="5631" priority="5948" operator="containsText" text="Sin información">
      <formula>NOT(ISERROR(SEARCH("Sin información",E114)))</formula>
    </cfRule>
  </conditionalFormatting>
  <conditionalFormatting sqref="C114:E114">
    <cfRule type="containsText" dxfId="5630" priority="5947" operator="containsText" text="NUEVO">
      <formula>NOT(ISERROR(SEARCH("NUEVO",C114)))</formula>
    </cfRule>
  </conditionalFormatting>
  <conditionalFormatting sqref="D114">
    <cfRule type="containsText" dxfId="5629" priority="5946" operator="containsText" text="NUEVO">
      <formula>NOT(ISERROR(SEARCH("NUEVO",D114)))</formula>
    </cfRule>
  </conditionalFormatting>
  <conditionalFormatting sqref="C116:D116">
    <cfRule type="containsText" dxfId="5628" priority="5945" operator="containsText" text="NO+$D$4:$D$10">
      <formula>NOT(ISERROR(SEARCH("NO+$D$4:$D$10",C116)))</formula>
    </cfRule>
  </conditionalFormatting>
  <conditionalFormatting sqref="C116:D116">
    <cfRule type="containsText" dxfId="5627" priority="5943" operator="containsText" text="SI">
      <formula>NOT(ISERROR(SEARCH("SI",C116)))</formula>
    </cfRule>
    <cfRule type="containsText" dxfId="5626" priority="5944" operator="containsText" text="NO">
      <formula>NOT(ISERROR(SEARCH("NO",C116)))</formula>
    </cfRule>
  </conditionalFormatting>
  <conditionalFormatting sqref="E116">
    <cfRule type="containsText" dxfId="5625" priority="5942" operator="containsText" text="Sin información">
      <formula>NOT(ISERROR(SEARCH("Sin información",E116)))</formula>
    </cfRule>
  </conditionalFormatting>
  <conditionalFormatting sqref="C116:E116">
    <cfRule type="containsText" dxfId="5624" priority="5941" operator="containsText" text="NUEVO">
      <formula>NOT(ISERROR(SEARCH("NUEVO",C116)))</formula>
    </cfRule>
  </conditionalFormatting>
  <conditionalFormatting sqref="D116">
    <cfRule type="containsText" dxfId="5623" priority="5940" operator="containsText" text="NUEVO">
      <formula>NOT(ISERROR(SEARCH("NUEVO",D116)))</formula>
    </cfRule>
  </conditionalFormatting>
  <conditionalFormatting sqref="C117:D117">
    <cfRule type="containsText" dxfId="5622" priority="5939" operator="containsText" text="NO+$D$4:$D$10">
      <formula>NOT(ISERROR(SEARCH("NO+$D$4:$D$10",C117)))</formula>
    </cfRule>
  </conditionalFormatting>
  <conditionalFormatting sqref="C117:D117">
    <cfRule type="containsText" dxfId="5621" priority="5937" operator="containsText" text="SI">
      <formula>NOT(ISERROR(SEARCH("SI",C117)))</formula>
    </cfRule>
    <cfRule type="containsText" dxfId="5620" priority="5938" operator="containsText" text="NO">
      <formula>NOT(ISERROR(SEARCH("NO",C117)))</formula>
    </cfRule>
  </conditionalFormatting>
  <conditionalFormatting sqref="E117">
    <cfRule type="containsText" dxfId="5619" priority="5936" operator="containsText" text="Sin información">
      <formula>NOT(ISERROR(SEARCH("Sin información",E117)))</formula>
    </cfRule>
  </conditionalFormatting>
  <conditionalFormatting sqref="C117:E117">
    <cfRule type="containsText" dxfId="5618" priority="5935" operator="containsText" text="NUEVO">
      <formula>NOT(ISERROR(SEARCH("NUEVO",C117)))</formula>
    </cfRule>
  </conditionalFormatting>
  <conditionalFormatting sqref="D117">
    <cfRule type="containsText" dxfId="5617" priority="5934" operator="containsText" text="NUEVO">
      <formula>NOT(ISERROR(SEARCH("NUEVO",D117)))</formula>
    </cfRule>
  </conditionalFormatting>
  <conditionalFormatting sqref="C119:D119">
    <cfRule type="containsText" dxfId="5616" priority="5933" operator="containsText" text="NO+$D$4:$D$10">
      <formula>NOT(ISERROR(SEARCH("NO+$D$4:$D$10",C119)))</formula>
    </cfRule>
  </conditionalFormatting>
  <conditionalFormatting sqref="C119:D119">
    <cfRule type="containsText" dxfId="5615" priority="5931" operator="containsText" text="SI">
      <formula>NOT(ISERROR(SEARCH("SI",C119)))</formula>
    </cfRule>
    <cfRule type="containsText" dxfId="5614" priority="5932" operator="containsText" text="NO">
      <formula>NOT(ISERROR(SEARCH("NO",C119)))</formula>
    </cfRule>
  </conditionalFormatting>
  <conditionalFormatting sqref="E119">
    <cfRule type="containsText" dxfId="5613" priority="5930" operator="containsText" text="Sin información">
      <formula>NOT(ISERROR(SEARCH("Sin información",E119)))</formula>
    </cfRule>
  </conditionalFormatting>
  <conditionalFormatting sqref="C119:E119">
    <cfRule type="containsText" dxfId="5612" priority="5929" operator="containsText" text="NUEVO">
      <formula>NOT(ISERROR(SEARCH("NUEVO",C119)))</formula>
    </cfRule>
  </conditionalFormatting>
  <conditionalFormatting sqref="E119">
    <cfRule type="containsText" dxfId="5611" priority="5928" operator="containsText" text="Sin Información">
      <formula>NOT(ISERROR(SEARCH("Sin Información",E119)))</formula>
    </cfRule>
  </conditionalFormatting>
  <conditionalFormatting sqref="D119">
    <cfRule type="containsText" dxfId="5610" priority="5927" operator="containsText" text="NUEVO">
      <formula>NOT(ISERROR(SEARCH("NUEVO",D119)))</formula>
    </cfRule>
  </conditionalFormatting>
  <conditionalFormatting sqref="C120:D120">
    <cfRule type="containsText" dxfId="5609" priority="5926" operator="containsText" text="NO+$D$4:$D$10">
      <formula>NOT(ISERROR(SEARCH("NO+$D$4:$D$10",C120)))</formula>
    </cfRule>
  </conditionalFormatting>
  <conditionalFormatting sqref="C120:D120">
    <cfRule type="containsText" dxfId="5608" priority="5924" operator="containsText" text="SI">
      <formula>NOT(ISERROR(SEARCH("SI",C120)))</formula>
    </cfRule>
    <cfRule type="containsText" dxfId="5607" priority="5925" operator="containsText" text="NO">
      <formula>NOT(ISERROR(SEARCH("NO",C120)))</formula>
    </cfRule>
  </conditionalFormatting>
  <conditionalFormatting sqref="E120">
    <cfRule type="containsText" dxfId="5606" priority="5923" operator="containsText" text="Sin información">
      <formula>NOT(ISERROR(SEARCH("Sin información",E120)))</formula>
    </cfRule>
  </conditionalFormatting>
  <conditionalFormatting sqref="C120:E120">
    <cfRule type="containsText" dxfId="5605" priority="5922" operator="containsText" text="NUEVO">
      <formula>NOT(ISERROR(SEARCH("NUEVO",C120)))</formula>
    </cfRule>
  </conditionalFormatting>
  <conditionalFormatting sqref="E120">
    <cfRule type="containsText" dxfId="5604" priority="5921" operator="containsText" text="Sin Información">
      <formula>NOT(ISERROR(SEARCH("Sin Información",E120)))</formula>
    </cfRule>
  </conditionalFormatting>
  <conditionalFormatting sqref="D120">
    <cfRule type="containsText" dxfId="5603" priority="5920" operator="containsText" text="NUEVO">
      <formula>NOT(ISERROR(SEARCH("NUEVO",D120)))</formula>
    </cfRule>
  </conditionalFormatting>
  <conditionalFormatting sqref="C121:D121">
    <cfRule type="containsText" dxfId="5602" priority="5919" operator="containsText" text="NO+$D$4:$D$10">
      <formula>NOT(ISERROR(SEARCH("NO+$D$4:$D$10",C121)))</formula>
    </cfRule>
  </conditionalFormatting>
  <conditionalFormatting sqref="C121:D121">
    <cfRule type="containsText" dxfId="5601" priority="5917" operator="containsText" text="SI">
      <formula>NOT(ISERROR(SEARCH("SI",C121)))</formula>
    </cfRule>
    <cfRule type="containsText" dxfId="5600" priority="5918" operator="containsText" text="NO">
      <formula>NOT(ISERROR(SEARCH("NO",C121)))</formula>
    </cfRule>
  </conditionalFormatting>
  <conditionalFormatting sqref="C121:D121">
    <cfRule type="containsText" dxfId="5599" priority="5916" operator="containsText" text="NUEVO">
      <formula>NOT(ISERROR(SEARCH("NUEVO",C121)))</formula>
    </cfRule>
  </conditionalFormatting>
  <conditionalFormatting sqref="D121">
    <cfRule type="containsText" dxfId="5598" priority="5915" operator="containsText" text="NUEVO">
      <formula>NOT(ISERROR(SEARCH("NUEVO",D121)))</formula>
    </cfRule>
  </conditionalFormatting>
  <conditionalFormatting sqref="E121">
    <cfRule type="containsText" dxfId="5597" priority="5914" operator="containsText" text="Sin información">
      <formula>NOT(ISERROR(SEARCH("Sin información",E121)))</formula>
    </cfRule>
  </conditionalFormatting>
  <conditionalFormatting sqref="E121">
    <cfRule type="containsText" dxfId="5596" priority="5913" operator="containsText" text="NUEVO">
      <formula>NOT(ISERROR(SEARCH("NUEVO",E121)))</formula>
    </cfRule>
  </conditionalFormatting>
  <conditionalFormatting sqref="E121">
    <cfRule type="containsText" dxfId="5595" priority="5912" operator="containsText" text="Sin Información">
      <formula>NOT(ISERROR(SEARCH("Sin Información",E121)))</formula>
    </cfRule>
  </conditionalFormatting>
  <conditionalFormatting sqref="C122:D122">
    <cfRule type="containsText" dxfId="5594" priority="5911" operator="containsText" text="NO+$D$4:$D$10">
      <formula>NOT(ISERROR(SEARCH("NO+$D$4:$D$10",C122)))</formula>
    </cfRule>
  </conditionalFormatting>
  <conditionalFormatting sqref="C122:D122">
    <cfRule type="containsText" dxfId="5593" priority="5909" operator="containsText" text="SI">
      <formula>NOT(ISERROR(SEARCH("SI",C122)))</formula>
    </cfRule>
    <cfRule type="containsText" dxfId="5592" priority="5910" operator="containsText" text="NO">
      <formula>NOT(ISERROR(SEARCH("NO",C122)))</formula>
    </cfRule>
  </conditionalFormatting>
  <conditionalFormatting sqref="C122:D122">
    <cfRule type="containsText" dxfId="5591" priority="5908" operator="containsText" text="NUEVO">
      <formula>NOT(ISERROR(SEARCH("NUEVO",C122)))</formula>
    </cfRule>
  </conditionalFormatting>
  <conditionalFormatting sqref="D122">
    <cfRule type="containsText" dxfId="5590" priority="5907" operator="containsText" text="NUEVO">
      <formula>NOT(ISERROR(SEARCH("NUEVO",D122)))</formula>
    </cfRule>
  </conditionalFormatting>
  <conditionalFormatting sqref="E122">
    <cfRule type="containsText" dxfId="5589" priority="5905" operator="containsText" text="NUEVO">
      <formula>NOT(ISERROR(SEARCH("NUEVO",E122)))</formula>
    </cfRule>
  </conditionalFormatting>
  <conditionalFormatting sqref="E122">
    <cfRule type="containsText" dxfId="5588" priority="5906" operator="containsText" text="Sin información">
      <formula>NOT(ISERROR(SEARCH("Sin información",E122)))</formula>
    </cfRule>
  </conditionalFormatting>
  <conditionalFormatting sqref="E122">
    <cfRule type="containsText" dxfId="5587" priority="5904" operator="containsText" text="Sin Información">
      <formula>NOT(ISERROR(SEARCH("Sin Información",E122)))</formula>
    </cfRule>
  </conditionalFormatting>
  <conditionalFormatting sqref="C123:D123">
    <cfRule type="containsText" dxfId="5586" priority="5903" operator="containsText" text="NO+$D$4:$D$10">
      <formula>NOT(ISERROR(SEARCH("NO+$D$4:$D$10",C123)))</formula>
    </cfRule>
  </conditionalFormatting>
  <conditionalFormatting sqref="C123:D123">
    <cfRule type="containsText" dxfId="5585" priority="5901" operator="containsText" text="SI">
      <formula>NOT(ISERROR(SEARCH("SI",C123)))</formula>
    </cfRule>
    <cfRule type="containsText" dxfId="5584" priority="5902" operator="containsText" text="NO">
      <formula>NOT(ISERROR(SEARCH("NO",C123)))</formula>
    </cfRule>
  </conditionalFormatting>
  <conditionalFormatting sqref="C123:D123">
    <cfRule type="containsText" dxfId="5583" priority="5900" operator="containsText" text="NUEVO">
      <formula>NOT(ISERROR(SEARCH("NUEVO",C123)))</formula>
    </cfRule>
  </conditionalFormatting>
  <conditionalFormatting sqref="D123">
    <cfRule type="containsText" dxfId="5582" priority="5899" operator="containsText" text="NUEVO">
      <formula>NOT(ISERROR(SEARCH("NUEVO",D123)))</formula>
    </cfRule>
  </conditionalFormatting>
  <conditionalFormatting sqref="E123">
    <cfRule type="containsText" dxfId="5581" priority="5898" operator="containsText" text="Sin información">
      <formula>NOT(ISERROR(SEARCH("Sin información",E123)))</formula>
    </cfRule>
  </conditionalFormatting>
  <conditionalFormatting sqref="E123">
    <cfRule type="containsText" dxfId="5580" priority="5897" operator="containsText" text="NUEVO">
      <formula>NOT(ISERROR(SEARCH("NUEVO",E123)))</formula>
    </cfRule>
  </conditionalFormatting>
  <conditionalFormatting sqref="E123">
    <cfRule type="containsText" dxfId="5579" priority="5896" operator="containsText" text="Sin Información">
      <formula>NOT(ISERROR(SEARCH("Sin Información",E123)))</formula>
    </cfRule>
  </conditionalFormatting>
  <conditionalFormatting sqref="C102:D102">
    <cfRule type="containsText" dxfId="5578" priority="5895" operator="containsText" text="NO+$D$4:$D$10">
      <formula>NOT(ISERROR(SEARCH("NO+$D$4:$D$10",C102)))</formula>
    </cfRule>
  </conditionalFormatting>
  <conditionalFormatting sqref="C102:D102">
    <cfRule type="containsText" dxfId="5577" priority="5893" operator="containsText" text="SI">
      <formula>NOT(ISERROR(SEARCH("SI",C102)))</formula>
    </cfRule>
    <cfRule type="containsText" dxfId="5576" priority="5894" operator="containsText" text="NO">
      <formula>NOT(ISERROR(SEARCH("NO",C102)))</formula>
    </cfRule>
  </conditionalFormatting>
  <conditionalFormatting sqref="E102">
    <cfRule type="containsText" dxfId="5575" priority="5892" operator="containsText" text="Sin información">
      <formula>NOT(ISERROR(SEARCH("Sin información",E102)))</formula>
    </cfRule>
  </conditionalFormatting>
  <conditionalFormatting sqref="E102">
    <cfRule type="containsText" dxfId="5574" priority="5891" operator="containsText" text="NUEVO">
      <formula>NOT(ISERROR(SEARCH("NUEVO",E102)))</formula>
    </cfRule>
  </conditionalFormatting>
  <conditionalFormatting sqref="C102:D102">
    <cfRule type="containsText" dxfId="5573" priority="5890" operator="containsText" text="NUEVO">
      <formula>NOT(ISERROR(SEARCH("NUEVO",C102)))</formula>
    </cfRule>
  </conditionalFormatting>
  <conditionalFormatting sqref="C115:D115">
    <cfRule type="containsText" dxfId="5572" priority="5889" operator="containsText" text="NO+$D$4:$D$10">
      <formula>NOT(ISERROR(SEARCH("NO+$D$4:$D$10",C115)))</formula>
    </cfRule>
  </conditionalFormatting>
  <conditionalFormatting sqref="C115:D115">
    <cfRule type="containsText" dxfId="5571" priority="5887" operator="containsText" text="SI">
      <formula>NOT(ISERROR(SEARCH("SI",C115)))</formula>
    </cfRule>
    <cfRule type="containsText" dxfId="5570" priority="5888" operator="containsText" text="NO">
      <formula>NOT(ISERROR(SEARCH("NO",C115)))</formula>
    </cfRule>
  </conditionalFormatting>
  <conditionalFormatting sqref="E115">
    <cfRule type="containsText" dxfId="5569" priority="5886" operator="containsText" text="Sin información">
      <formula>NOT(ISERROR(SEARCH("Sin información",E115)))</formula>
    </cfRule>
  </conditionalFormatting>
  <conditionalFormatting sqref="E115">
    <cfRule type="containsText" dxfId="5568" priority="5885" operator="containsText" text="NUEVO">
      <formula>NOT(ISERROR(SEARCH("NUEVO",E115)))</formula>
    </cfRule>
  </conditionalFormatting>
  <conditionalFormatting sqref="C115:D115">
    <cfRule type="containsText" dxfId="5567" priority="5884" operator="containsText" text="NUEVO">
      <formula>NOT(ISERROR(SEARCH("NUEVO",C115)))</formula>
    </cfRule>
  </conditionalFormatting>
  <conditionalFormatting sqref="C118:D118">
    <cfRule type="containsText" dxfId="5566" priority="5883" operator="containsText" text="NO+$D$4:$D$10">
      <formula>NOT(ISERROR(SEARCH("NO+$D$4:$D$10",C118)))</formula>
    </cfRule>
  </conditionalFormatting>
  <conditionalFormatting sqref="C118:D118">
    <cfRule type="containsText" dxfId="5565" priority="5881" operator="containsText" text="SI">
      <formula>NOT(ISERROR(SEARCH("SI",C118)))</formula>
    </cfRule>
    <cfRule type="containsText" dxfId="5564" priority="5882" operator="containsText" text="NO">
      <formula>NOT(ISERROR(SEARCH("NO",C118)))</formula>
    </cfRule>
  </conditionalFormatting>
  <conditionalFormatting sqref="E118">
    <cfRule type="containsText" dxfId="5563" priority="5880" operator="containsText" text="Sin información">
      <formula>NOT(ISERROR(SEARCH("Sin información",E118)))</formula>
    </cfRule>
  </conditionalFormatting>
  <conditionalFormatting sqref="E118">
    <cfRule type="containsText" dxfId="5562" priority="5879" operator="containsText" text="NUEVO">
      <formula>NOT(ISERROR(SEARCH("NUEVO",E118)))</formula>
    </cfRule>
  </conditionalFormatting>
  <conditionalFormatting sqref="C118:D118">
    <cfRule type="containsText" dxfId="5561" priority="5878" operator="containsText" text="NUEVO">
      <formula>NOT(ISERROR(SEARCH("NUEVO",C118)))</formula>
    </cfRule>
  </conditionalFormatting>
  <conditionalFormatting sqref="C124:D124">
    <cfRule type="containsText" dxfId="5560" priority="5877" operator="containsText" text="NO+$D$4:$D$10">
      <formula>NOT(ISERROR(SEARCH("NO+$D$4:$D$10",C124)))</formula>
    </cfRule>
  </conditionalFormatting>
  <conditionalFormatting sqref="C124:D124">
    <cfRule type="containsText" dxfId="5559" priority="5875" operator="containsText" text="SI">
      <formula>NOT(ISERROR(SEARCH("SI",C124)))</formula>
    </cfRule>
    <cfRule type="containsText" dxfId="5558" priority="5876" operator="containsText" text="NO">
      <formula>NOT(ISERROR(SEARCH("NO",C124)))</formula>
    </cfRule>
  </conditionalFormatting>
  <conditionalFormatting sqref="E124">
    <cfRule type="containsText" dxfId="5557" priority="5874" operator="containsText" text="Sin información">
      <formula>NOT(ISERROR(SEARCH("Sin información",E124)))</formula>
    </cfRule>
  </conditionalFormatting>
  <conditionalFormatting sqref="E124">
    <cfRule type="containsText" dxfId="5556" priority="5873" operator="containsText" text="NUEVO">
      <formula>NOT(ISERROR(SEARCH("NUEVO",E124)))</formula>
    </cfRule>
  </conditionalFormatting>
  <conditionalFormatting sqref="C124:D124">
    <cfRule type="containsText" dxfId="5555" priority="5872" operator="containsText" text="NUEVO">
      <formula>NOT(ISERROR(SEARCH("NUEVO",C124)))</formula>
    </cfRule>
  </conditionalFormatting>
  <conditionalFormatting sqref="C125:D125">
    <cfRule type="containsText" dxfId="5554" priority="5871" operator="containsText" text="NO+$D$4:$D$10">
      <formula>NOT(ISERROR(SEARCH("NO+$D$4:$D$10",C125)))</formula>
    </cfRule>
  </conditionalFormatting>
  <conditionalFormatting sqref="C125:D125">
    <cfRule type="containsText" dxfId="5553" priority="5869" operator="containsText" text="SI">
      <formula>NOT(ISERROR(SEARCH("SI",C125)))</formula>
    </cfRule>
    <cfRule type="containsText" dxfId="5552" priority="5870" operator="containsText" text="NO">
      <formula>NOT(ISERROR(SEARCH("NO",C125)))</formula>
    </cfRule>
  </conditionalFormatting>
  <conditionalFormatting sqref="C125:D125">
    <cfRule type="containsText" dxfId="5551" priority="5868" operator="containsText" text="NUEVO">
      <formula>NOT(ISERROR(SEARCH("NUEVO",C125)))</formula>
    </cfRule>
  </conditionalFormatting>
  <conditionalFormatting sqref="E125">
    <cfRule type="containsText" dxfId="5550" priority="5866" operator="containsText" text="NUEVO">
      <formula>NOT(ISERROR(SEARCH("NUEVO",E125)))</formula>
    </cfRule>
  </conditionalFormatting>
  <conditionalFormatting sqref="E125">
    <cfRule type="containsText" dxfId="5549" priority="5867" operator="containsText" text="Sin información">
      <formula>NOT(ISERROR(SEARCH("Sin información",E125)))</formula>
    </cfRule>
  </conditionalFormatting>
  <conditionalFormatting sqref="E125">
    <cfRule type="containsText" dxfId="5548" priority="5865" operator="containsText" text="Sin Información">
      <formula>NOT(ISERROR(SEARCH("Sin Información",E125)))</formula>
    </cfRule>
  </conditionalFormatting>
  <conditionalFormatting sqref="C126:D126">
    <cfRule type="containsText" dxfId="5547" priority="5864" operator="containsText" text="NO+$D$4:$D$10">
      <formula>NOT(ISERROR(SEARCH("NO+$D$4:$D$10",C126)))</formula>
    </cfRule>
  </conditionalFormatting>
  <conditionalFormatting sqref="C126:D126">
    <cfRule type="containsText" dxfId="5546" priority="5862" operator="containsText" text="SI">
      <formula>NOT(ISERROR(SEARCH("SI",C126)))</formula>
    </cfRule>
    <cfRule type="containsText" dxfId="5545" priority="5863" operator="containsText" text="NO">
      <formula>NOT(ISERROR(SEARCH("NO",C126)))</formula>
    </cfRule>
  </conditionalFormatting>
  <conditionalFormatting sqref="C126:D126">
    <cfRule type="containsText" dxfId="5544" priority="5861" operator="containsText" text="NUEVO">
      <formula>NOT(ISERROR(SEARCH("NUEVO",C126)))</formula>
    </cfRule>
  </conditionalFormatting>
  <conditionalFormatting sqref="E126">
    <cfRule type="containsText" dxfId="5543" priority="5859" operator="containsText" text="NUEVO">
      <formula>NOT(ISERROR(SEARCH("NUEVO",E126)))</formula>
    </cfRule>
  </conditionalFormatting>
  <conditionalFormatting sqref="E126">
    <cfRule type="containsText" dxfId="5542" priority="5860" operator="containsText" text="Sin información">
      <formula>NOT(ISERROR(SEARCH("Sin información",E126)))</formula>
    </cfRule>
  </conditionalFormatting>
  <conditionalFormatting sqref="E126">
    <cfRule type="containsText" dxfId="5541" priority="5858" operator="containsText" text="Sin Información">
      <formula>NOT(ISERROR(SEARCH("Sin Información",E126)))</formula>
    </cfRule>
  </conditionalFormatting>
  <conditionalFormatting sqref="C127:D127">
    <cfRule type="containsText" dxfId="5540" priority="5851" operator="containsText" text="NO+$D$4:$D$10">
      <formula>NOT(ISERROR(SEARCH("NO+$D$4:$D$10",C127)))</formula>
    </cfRule>
  </conditionalFormatting>
  <conditionalFormatting sqref="C127:D127">
    <cfRule type="containsText" dxfId="5539" priority="5849" operator="containsText" text="SI">
      <formula>NOT(ISERROR(SEARCH("SI",C127)))</formula>
    </cfRule>
    <cfRule type="containsText" dxfId="5538" priority="5850" operator="containsText" text="NO">
      <formula>NOT(ISERROR(SEARCH("NO",C127)))</formula>
    </cfRule>
  </conditionalFormatting>
  <conditionalFormatting sqref="E127">
    <cfRule type="containsText" dxfId="5537" priority="5848" operator="containsText" text="Sin información">
      <formula>NOT(ISERROR(SEARCH("Sin información",E127)))</formula>
    </cfRule>
  </conditionalFormatting>
  <conditionalFormatting sqref="E127">
    <cfRule type="containsText" dxfId="5536" priority="5847" operator="containsText" text="NUEVO">
      <formula>NOT(ISERROR(SEARCH("NUEVO",E127)))</formula>
    </cfRule>
  </conditionalFormatting>
  <conditionalFormatting sqref="C127:D127">
    <cfRule type="containsText" dxfId="5535" priority="5846" operator="containsText" text="NUEVO">
      <formula>NOT(ISERROR(SEARCH("NUEVO",C127)))</formula>
    </cfRule>
  </conditionalFormatting>
  <conditionalFormatting sqref="C128:D128">
    <cfRule type="containsText" dxfId="5534" priority="5839" operator="containsText" text="NO+$D$4:$D$10">
      <formula>NOT(ISERROR(SEARCH("NO+$D$4:$D$10",C128)))</formula>
    </cfRule>
  </conditionalFormatting>
  <conditionalFormatting sqref="C128:D128">
    <cfRule type="containsText" dxfId="5533" priority="5837" operator="containsText" text="SI">
      <formula>NOT(ISERROR(SEARCH("SI",C128)))</formula>
    </cfRule>
    <cfRule type="containsText" dxfId="5532" priority="5838" operator="containsText" text="NO">
      <formula>NOT(ISERROR(SEARCH("NO",C128)))</formula>
    </cfRule>
  </conditionalFormatting>
  <conditionalFormatting sqref="C128:D128">
    <cfRule type="containsText" dxfId="5531" priority="5836" operator="containsText" text="NUEVO">
      <formula>NOT(ISERROR(SEARCH("NUEVO",C128)))</formula>
    </cfRule>
  </conditionalFormatting>
  <conditionalFormatting sqref="E128">
    <cfRule type="containsText" dxfId="5530" priority="5835" operator="containsText" text="Sin información">
      <formula>NOT(ISERROR(SEARCH("Sin información",E128)))</formula>
    </cfRule>
  </conditionalFormatting>
  <conditionalFormatting sqref="E128">
    <cfRule type="containsText" dxfId="5529" priority="5834" operator="containsText" text="NUEVO">
      <formula>NOT(ISERROR(SEARCH("NUEVO",E128)))</formula>
    </cfRule>
  </conditionalFormatting>
  <conditionalFormatting sqref="E128">
    <cfRule type="containsText" dxfId="5528" priority="5833" operator="containsText" text="Sin Información">
      <formula>NOT(ISERROR(SEARCH("Sin Información",E128)))</formula>
    </cfRule>
  </conditionalFormatting>
  <conditionalFormatting sqref="C129:D129">
    <cfRule type="containsText" dxfId="5527" priority="5832" operator="containsText" text="NO+$D$4:$D$10">
      <formula>NOT(ISERROR(SEARCH("NO+$D$4:$D$10",C129)))</formula>
    </cfRule>
  </conditionalFormatting>
  <conditionalFormatting sqref="C129:D129">
    <cfRule type="containsText" dxfId="5526" priority="5830" operator="containsText" text="SI">
      <formula>NOT(ISERROR(SEARCH("SI",C129)))</formula>
    </cfRule>
    <cfRule type="containsText" dxfId="5525" priority="5831" operator="containsText" text="NO">
      <formula>NOT(ISERROR(SEARCH("NO",C129)))</formula>
    </cfRule>
  </conditionalFormatting>
  <conditionalFormatting sqref="C129:D129">
    <cfRule type="containsText" dxfId="5524" priority="5829" operator="containsText" text="NUEVO">
      <formula>NOT(ISERROR(SEARCH("NUEVO",C129)))</formula>
    </cfRule>
  </conditionalFormatting>
  <conditionalFormatting sqref="E129">
    <cfRule type="containsText" dxfId="5523" priority="5828" operator="containsText" text="Sin información">
      <formula>NOT(ISERROR(SEARCH("Sin información",E129)))</formula>
    </cfRule>
  </conditionalFormatting>
  <conditionalFormatting sqref="E129">
    <cfRule type="containsText" dxfId="5522" priority="5827" operator="containsText" text="NUEVO">
      <formula>NOT(ISERROR(SEARCH("NUEVO",E129)))</formula>
    </cfRule>
  </conditionalFormatting>
  <conditionalFormatting sqref="E129">
    <cfRule type="containsText" dxfId="5521" priority="5826" operator="containsText" text="Sin Información">
      <formula>NOT(ISERROR(SEARCH("Sin Información",E129)))</formula>
    </cfRule>
  </conditionalFormatting>
  <conditionalFormatting sqref="C130:D130">
    <cfRule type="containsText" dxfId="5520" priority="5825" operator="containsText" text="NO+$D$4:$D$10">
      <formula>NOT(ISERROR(SEARCH("NO+$D$4:$D$10",C130)))</formula>
    </cfRule>
  </conditionalFormatting>
  <conditionalFormatting sqref="C130:D130">
    <cfRule type="containsText" dxfId="5519" priority="5823" operator="containsText" text="SI">
      <formula>NOT(ISERROR(SEARCH("SI",C130)))</formula>
    </cfRule>
    <cfRule type="containsText" dxfId="5518" priority="5824" operator="containsText" text="NO">
      <formula>NOT(ISERROR(SEARCH("NO",C130)))</formula>
    </cfRule>
  </conditionalFormatting>
  <conditionalFormatting sqref="C130:D130">
    <cfRule type="containsText" dxfId="5517" priority="5822" operator="containsText" text="NUEVO">
      <formula>NOT(ISERROR(SEARCH("NUEVO",C130)))</formula>
    </cfRule>
  </conditionalFormatting>
  <conditionalFormatting sqref="E130">
    <cfRule type="containsText" dxfId="5516" priority="5821" operator="containsText" text="Sin información">
      <formula>NOT(ISERROR(SEARCH("Sin información",E130)))</formula>
    </cfRule>
  </conditionalFormatting>
  <conditionalFormatting sqref="E130">
    <cfRule type="containsText" dxfId="5515" priority="5820" operator="containsText" text="NUEVO">
      <formula>NOT(ISERROR(SEARCH("NUEVO",E130)))</formula>
    </cfRule>
  </conditionalFormatting>
  <conditionalFormatting sqref="E130">
    <cfRule type="containsText" dxfId="5514" priority="5819" operator="containsText" text="Sin Información">
      <formula>NOT(ISERROR(SEARCH("Sin Información",E130)))</formula>
    </cfRule>
  </conditionalFormatting>
  <conditionalFormatting sqref="C131:D131">
    <cfRule type="containsText" dxfId="5513" priority="5818" operator="containsText" text="NO+$D$4:$D$10">
      <formula>NOT(ISERROR(SEARCH("NO+$D$4:$D$10",C131)))</formula>
    </cfRule>
  </conditionalFormatting>
  <conditionalFormatting sqref="C131:D131">
    <cfRule type="containsText" dxfId="5512" priority="5816" operator="containsText" text="SI">
      <formula>NOT(ISERROR(SEARCH("SI",C131)))</formula>
    </cfRule>
    <cfRule type="containsText" dxfId="5511" priority="5817" operator="containsText" text="NO">
      <formula>NOT(ISERROR(SEARCH("NO",C131)))</formula>
    </cfRule>
  </conditionalFormatting>
  <conditionalFormatting sqref="C131:D131">
    <cfRule type="containsText" dxfId="5510" priority="5815" operator="containsText" text="NUEVO">
      <formula>NOT(ISERROR(SEARCH("NUEVO",C131)))</formula>
    </cfRule>
  </conditionalFormatting>
  <conditionalFormatting sqref="E131">
    <cfRule type="containsText" dxfId="5509" priority="5813" operator="containsText" text="NUEVO">
      <formula>NOT(ISERROR(SEARCH("NUEVO",E131)))</formula>
    </cfRule>
  </conditionalFormatting>
  <conditionalFormatting sqref="E131">
    <cfRule type="containsText" dxfId="5508" priority="5814" operator="containsText" text="Sin información">
      <formula>NOT(ISERROR(SEARCH("Sin información",E131)))</formula>
    </cfRule>
  </conditionalFormatting>
  <conditionalFormatting sqref="E131">
    <cfRule type="containsText" dxfId="5507" priority="5812" operator="containsText" text="Sin Información">
      <formula>NOT(ISERROR(SEARCH("Sin Información",E131)))</formula>
    </cfRule>
  </conditionalFormatting>
  <conditionalFormatting sqref="C37:D37">
    <cfRule type="containsText" dxfId="5506" priority="5811" operator="containsText" text="NO+$D$4:$D$10">
      <formula>NOT(ISERROR(SEARCH("NO+$D$4:$D$10",C37)))</formula>
    </cfRule>
  </conditionalFormatting>
  <conditionalFormatting sqref="C37:D37">
    <cfRule type="containsText" dxfId="5505" priority="5809" operator="containsText" text="SI">
      <formula>NOT(ISERROR(SEARCH("SI",C37)))</formula>
    </cfRule>
    <cfRule type="containsText" dxfId="5504" priority="5810" operator="containsText" text="NO">
      <formula>NOT(ISERROR(SEARCH("NO",C37)))</formula>
    </cfRule>
  </conditionalFormatting>
  <conditionalFormatting sqref="C37:D37">
    <cfRule type="containsText" dxfId="5503" priority="5808" operator="containsText" text="NUEVO">
      <formula>NOT(ISERROR(SEARCH("NUEVO",C37)))</formula>
    </cfRule>
  </conditionalFormatting>
  <conditionalFormatting sqref="E37">
    <cfRule type="containsText" dxfId="5502" priority="5807" operator="containsText" text="Sin información">
      <formula>NOT(ISERROR(SEARCH("Sin información",E37)))</formula>
    </cfRule>
  </conditionalFormatting>
  <conditionalFormatting sqref="E37">
    <cfRule type="containsText" dxfId="5501" priority="5806" operator="containsText" text="NUEVO">
      <formula>NOT(ISERROR(SEARCH("NUEVO",E37)))</formula>
    </cfRule>
  </conditionalFormatting>
  <conditionalFormatting sqref="C132:D133">
    <cfRule type="containsText" dxfId="5500" priority="5805" operator="containsText" text="NO+$D$4:$D$10">
      <formula>NOT(ISERROR(SEARCH("NO+$D$4:$D$10",C132)))</formula>
    </cfRule>
  </conditionalFormatting>
  <conditionalFormatting sqref="C132:D133">
    <cfRule type="containsText" dxfId="5499" priority="5803" operator="containsText" text="SI">
      <formula>NOT(ISERROR(SEARCH("SI",C132)))</formula>
    </cfRule>
    <cfRule type="containsText" dxfId="5498" priority="5804" operator="containsText" text="NO">
      <formula>NOT(ISERROR(SEARCH("NO",C132)))</formula>
    </cfRule>
  </conditionalFormatting>
  <conditionalFormatting sqref="E132:E133">
    <cfRule type="containsText" dxfId="5497" priority="5802" operator="containsText" text="Sin información">
      <formula>NOT(ISERROR(SEARCH("Sin información",E132)))</formula>
    </cfRule>
  </conditionalFormatting>
  <conditionalFormatting sqref="C132:E133">
    <cfRule type="containsText" dxfId="5496" priority="5801" operator="containsText" text="NUEVO">
      <formula>NOT(ISERROR(SEARCH("NUEVO",C132)))</formula>
    </cfRule>
  </conditionalFormatting>
  <conditionalFormatting sqref="C134:D134">
    <cfRule type="containsText" dxfId="5495" priority="5800" operator="containsText" text="NO+$D$4:$D$10">
      <formula>NOT(ISERROR(SEARCH("NO+$D$4:$D$10",C134)))</formula>
    </cfRule>
  </conditionalFormatting>
  <conditionalFormatting sqref="C134:D134">
    <cfRule type="containsText" dxfId="5494" priority="5798" operator="containsText" text="SI">
      <formula>NOT(ISERROR(SEARCH("SI",C134)))</formula>
    </cfRule>
    <cfRule type="containsText" dxfId="5493" priority="5799" operator="containsText" text="NO">
      <formula>NOT(ISERROR(SEARCH("NO",C134)))</formula>
    </cfRule>
  </conditionalFormatting>
  <conditionalFormatting sqref="C134:D134">
    <cfRule type="containsText" dxfId="5492" priority="5797" operator="containsText" text="NUEVO">
      <formula>NOT(ISERROR(SEARCH("NUEVO",C134)))</formula>
    </cfRule>
  </conditionalFormatting>
  <conditionalFormatting sqref="E134">
    <cfRule type="containsText" dxfId="5491" priority="5795" operator="containsText" text="NUEVO">
      <formula>NOT(ISERROR(SEARCH("NUEVO",E134)))</formula>
    </cfRule>
  </conditionalFormatting>
  <conditionalFormatting sqref="E134">
    <cfRule type="containsText" dxfId="5490" priority="5796" operator="containsText" text="Sin información">
      <formula>NOT(ISERROR(SEARCH("Sin información",E134)))</formula>
    </cfRule>
  </conditionalFormatting>
  <conditionalFormatting sqref="C135:D135">
    <cfRule type="containsText" dxfId="5489" priority="5794" operator="containsText" text="NO+$D$4:$D$10">
      <formula>NOT(ISERROR(SEARCH("NO+$D$4:$D$10",C135)))</formula>
    </cfRule>
  </conditionalFormatting>
  <conditionalFormatting sqref="C135:D135">
    <cfRule type="containsText" dxfId="5488" priority="5792" operator="containsText" text="SI">
      <formula>NOT(ISERROR(SEARCH("SI",C135)))</formula>
    </cfRule>
    <cfRule type="containsText" dxfId="5487" priority="5793" operator="containsText" text="NO">
      <formula>NOT(ISERROR(SEARCH("NO",C135)))</formula>
    </cfRule>
  </conditionalFormatting>
  <conditionalFormatting sqref="C135:D135">
    <cfRule type="containsText" dxfId="5486" priority="5791" operator="containsText" text="NUEVO">
      <formula>NOT(ISERROR(SEARCH("NUEVO",C135)))</formula>
    </cfRule>
  </conditionalFormatting>
  <conditionalFormatting sqref="E135">
    <cfRule type="containsText" dxfId="5485" priority="5790" operator="containsText" text="Sin información">
      <formula>NOT(ISERROR(SEARCH("Sin información",E135)))</formula>
    </cfRule>
  </conditionalFormatting>
  <conditionalFormatting sqref="E135">
    <cfRule type="containsText" dxfId="5484" priority="5789" operator="containsText" text="NUEVO">
      <formula>NOT(ISERROR(SEARCH("NUEVO",E135)))</formula>
    </cfRule>
  </conditionalFormatting>
  <conditionalFormatting sqref="C136:D136">
    <cfRule type="containsText" dxfId="5483" priority="5788" operator="containsText" text="NO+$D$4:$D$10">
      <formula>NOT(ISERROR(SEARCH("NO+$D$4:$D$10",C136)))</formula>
    </cfRule>
  </conditionalFormatting>
  <conditionalFormatting sqref="C136:D136">
    <cfRule type="containsText" dxfId="5482" priority="5786" operator="containsText" text="SI">
      <formula>NOT(ISERROR(SEARCH("SI",C136)))</formula>
    </cfRule>
    <cfRule type="containsText" dxfId="5481" priority="5787" operator="containsText" text="NO">
      <formula>NOT(ISERROR(SEARCH("NO",C136)))</formula>
    </cfRule>
  </conditionalFormatting>
  <conditionalFormatting sqref="E136">
    <cfRule type="containsText" dxfId="5480" priority="5785" operator="containsText" text="Sin información">
      <formula>NOT(ISERROR(SEARCH("Sin información",E136)))</formula>
    </cfRule>
  </conditionalFormatting>
  <conditionalFormatting sqref="C136:E136">
    <cfRule type="containsText" dxfId="5479" priority="5784" operator="containsText" text="NUEVO">
      <formula>NOT(ISERROR(SEARCH("NUEVO",C136)))</formula>
    </cfRule>
  </conditionalFormatting>
  <conditionalFormatting sqref="E136">
    <cfRule type="containsText" dxfId="5478" priority="5783" operator="containsText" text="Sin Información">
      <formula>NOT(ISERROR(SEARCH("Sin Información",E136)))</formula>
    </cfRule>
  </conditionalFormatting>
  <conditionalFormatting sqref="C112:D112">
    <cfRule type="containsText" dxfId="5477" priority="5777" operator="containsText" text="NO+$D$4:$D$10">
      <formula>NOT(ISERROR(SEARCH("NO+$D$4:$D$10",C112)))</formula>
    </cfRule>
  </conditionalFormatting>
  <conditionalFormatting sqref="C112:D112">
    <cfRule type="containsText" dxfId="5476" priority="5775" operator="containsText" text="SI">
      <formula>NOT(ISERROR(SEARCH("SI",C112)))</formula>
    </cfRule>
    <cfRule type="containsText" dxfId="5475" priority="5776" operator="containsText" text="NO">
      <formula>NOT(ISERROR(SEARCH("NO",C112)))</formula>
    </cfRule>
  </conditionalFormatting>
  <conditionalFormatting sqref="C112:D112">
    <cfRule type="containsText" dxfId="5474" priority="5774" operator="containsText" text="NUEVO">
      <formula>NOT(ISERROR(SEARCH("NUEVO",C112)))</formula>
    </cfRule>
  </conditionalFormatting>
  <conditionalFormatting sqref="E112">
    <cfRule type="containsText" dxfId="5473" priority="5773" operator="containsText" text="Sin información">
      <formula>NOT(ISERROR(SEARCH("Sin información",E112)))</formula>
    </cfRule>
  </conditionalFormatting>
  <conditionalFormatting sqref="E112">
    <cfRule type="containsText" dxfId="5472" priority="5772" operator="containsText" text="NUEVO">
      <formula>NOT(ISERROR(SEARCH("NUEVO",E112)))</formula>
    </cfRule>
  </conditionalFormatting>
  <conditionalFormatting sqref="C137:D140">
    <cfRule type="containsText" dxfId="5471" priority="5771" operator="containsText" text="NO+$D$4:$D$10">
      <formula>NOT(ISERROR(SEARCH("NO+$D$4:$D$10",C137)))</formula>
    </cfRule>
  </conditionalFormatting>
  <conditionalFormatting sqref="C137:D140">
    <cfRule type="containsText" dxfId="5470" priority="5769" operator="containsText" text="SI">
      <formula>NOT(ISERROR(SEARCH("SI",C137)))</formula>
    </cfRule>
    <cfRule type="containsText" dxfId="5469" priority="5770" operator="containsText" text="NO">
      <formula>NOT(ISERROR(SEARCH("NO",C137)))</formula>
    </cfRule>
  </conditionalFormatting>
  <conditionalFormatting sqref="C137:D140">
    <cfRule type="containsText" dxfId="5468" priority="5768" operator="containsText" text="NUEVO">
      <formula>NOT(ISERROR(SEARCH("NUEVO",C137)))</formula>
    </cfRule>
  </conditionalFormatting>
  <conditionalFormatting sqref="E137">
    <cfRule type="containsText" dxfId="5467" priority="5767" operator="containsText" text="Sin información">
      <formula>NOT(ISERROR(SEARCH("Sin información",E137)))</formula>
    </cfRule>
  </conditionalFormatting>
  <conditionalFormatting sqref="E137">
    <cfRule type="containsText" dxfId="5466" priority="5766" operator="containsText" text="NUEVO">
      <formula>NOT(ISERROR(SEARCH("NUEVO",E137)))</formula>
    </cfRule>
  </conditionalFormatting>
  <conditionalFormatting sqref="E137">
    <cfRule type="containsText" dxfId="5465" priority="5765" operator="containsText" text="Sin Información">
      <formula>NOT(ISERROR(SEARCH("Sin Información",E137)))</formula>
    </cfRule>
  </conditionalFormatting>
  <conditionalFormatting sqref="E138">
    <cfRule type="containsText" dxfId="5464" priority="5764" operator="containsText" text="Sin información">
      <formula>NOT(ISERROR(SEARCH("Sin información",E138)))</formula>
    </cfRule>
  </conditionalFormatting>
  <conditionalFormatting sqref="E138">
    <cfRule type="containsText" dxfId="5463" priority="5763" operator="containsText" text="NUEVO">
      <formula>NOT(ISERROR(SEARCH("NUEVO",E138)))</formula>
    </cfRule>
  </conditionalFormatting>
  <conditionalFormatting sqref="E138">
    <cfRule type="containsText" dxfId="5462" priority="5762" operator="containsText" text="Sin Información">
      <formula>NOT(ISERROR(SEARCH("Sin Información",E138)))</formula>
    </cfRule>
  </conditionalFormatting>
  <conditionalFormatting sqref="E139:E140">
    <cfRule type="containsText" dxfId="5461" priority="5761" operator="containsText" text="Sin información">
      <formula>NOT(ISERROR(SEARCH("Sin información",E139)))</formula>
    </cfRule>
  </conditionalFormatting>
  <conditionalFormatting sqref="E139:E140">
    <cfRule type="containsText" dxfId="5460" priority="5760" operator="containsText" text="NUEVO">
      <formula>NOT(ISERROR(SEARCH("NUEVO",E139)))</formula>
    </cfRule>
  </conditionalFormatting>
  <conditionalFormatting sqref="E139:E140">
    <cfRule type="containsText" dxfId="5459" priority="5759" operator="containsText" text="Sin Información">
      <formula>NOT(ISERROR(SEARCH("Sin Información",E139)))</formula>
    </cfRule>
  </conditionalFormatting>
  <conditionalFormatting sqref="C142:D149">
    <cfRule type="containsText" dxfId="5458" priority="5758" operator="containsText" text="NO+$D$4:$D$10">
      <formula>NOT(ISERROR(SEARCH("NO+$D$4:$D$10",C142)))</formula>
    </cfRule>
  </conditionalFormatting>
  <conditionalFormatting sqref="C142:D149">
    <cfRule type="containsText" dxfId="5457" priority="5756" operator="containsText" text="SI">
      <formula>NOT(ISERROR(SEARCH("SI",C142)))</formula>
    </cfRule>
    <cfRule type="containsText" dxfId="5456" priority="5757" operator="containsText" text="NO">
      <formula>NOT(ISERROR(SEARCH("NO",C142)))</formula>
    </cfRule>
  </conditionalFormatting>
  <conditionalFormatting sqref="C142:D149">
    <cfRule type="containsText" dxfId="5455" priority="5755" operator="containsText" text="NUEVO">
      <formula>NOT(ISERROR(SEARCH("NUEVO",C142)))</formula>
    </cfRule>
  </conditionalFormatting>
  <conditionalFormatting sqref="E142:E149">
    <cfRule type="containsText" dxfId="5454" priority="5754" operator="containsText" text="Sin información">
      <formula>NOT(ISERROR(SEARCH("Sin información",E142)))</formula>
    </cfRule>
  </conditionalFormatting>
  <conditionalFormatting sqref="E142:E149">
    <cfRule type="containsText" dxfId="5453" priority="5753" operator="containsText" text="NUEVO">
      <formula>NOT(ISERROR(SEARCH("NUEVO",E142)))</formula>
    </cfRule>
  </conditionalFormatting>
  <conditionalFormatting sqref="E142:E149">
    <cfRule type="containsText" dxfId="5452" priority="5752" operator="containsText" text="Sin Información">
      <formula>NOT(ISERROR(SEARCH("Sin Información",E142)))</formula>
    </cfRule>
  </conditionalFormatting>
  <conditionalFormatting sqref="C150:D151">
    <cfRule type="containsText" dxfId="5451" priority="5751" operator="containsText" text="NO+$D$4:$D$10">
      <formula>NOT(ISERROR(SEARCH("NO+$D$4:$D$10",C150)))</formula>
    </cfRule>
  </conditionalFormatting>
  <conditionalFormatting sqref="C150:D151">
    <cfRule type="containsText" dxfId="5450" priority="5749" operator="containsText" text="SI">
      <formula>NOT(ISERROR(SEARCH("SI",C150)))</formula>
    </cfRule>
    <cfRule type="containsText" dxfId="5449" priority="5750" operator="containsText" text="NO">
      <formula>NOT(ISERROR(SEARCH("NO",C150)))</formula>
    </cfRule>
  </conditionalFormatting>
  <conditionalFormatting sqref="C150:D151">
    <cfRule type="containsText" dxfId="5448" priority="5748" operator="containsText" text="NUEVO">
      <formula>NOT(ISERROR(SEARCH("NUEVO",C150)))</formula>
    </cfRule>
  </conditionalFormatting>
  <conditionalFormatting sqref="E150:E151">
    <cfRule type="containsText" dxfId="5447" priority="5747" operator="containsText" text="Sin información">
      <formula>NOT(ISERROR(SEARCH("Sin información",E150)))</formula>
    </cfRule>
  </conditionalFormatting>
  <conditionalFormatting sqref="E150:E151">
    <cfRule type="containsText" dxfId="5446" priority="5746" operator="containsText" text="NUEVO">
      <formula>NOT(ISERROR(SEARCH("NUEVO",E150)))</formula>
    </cfRule>
  </conditionalFormatting>
  <conditionalFormatting sqref="E150:E151">
    <cfRule type="containsText" dxfId="5445" priority="5745" operator="containsText" text="Sin Información">
      <formula>NOT(ISERROR(SEARCH("Sin Información",E150)))</formula>
    </cfRule>
  </conditionalFormatting>
  <conditionalFormatting sqref="C152:D152">
    <cfRule type="containsText" dxfId="5444" priority="5744" operator="containsText" text="NO+$D$4:$D$10">
      <formula>NOT(ISERROR(SEARCH("NO+$D$4:$D$10",C152)))</formula>
    </cfRule>
  </conditionalFormatting>
  <conditionalFormatting sqref="C152:D152">
    <cfRule type="containsText" dxfId="5443" priority="5742" operator="containsText" text="SI">
      <formula>NOT(ISERROR(SEARCH("SI",C152)))</formula>
    </cfRule>
    <cfRule type="containsText" dxfId="5442" priority="5743" operator="containsText" text="NO">
      <formula>NOT(ISERROR(SEARCH("NO",C152)))</formula>
    </cfRule>
  </conditionalFormatting>
  <conditionalFormatting sqref="C152:D152">
    <cfRule type="containsText" dxfId="5441" priority="5741" operator="containsText" text="NUEVO">
      <formula>NOT(ISERROR(SEARCH("NUEVO",C152)))</formula>
    </cfRule>
  </conditionalFormatting>
  <conditionalFormatting sqref="E152">
    <cfRule type="containsText" dxfId="5440" priority="5740" operator="containsText" text="Sin información">
      <formula>NOT(ISERROR(SEARCH("Sin información",E152)))</formula>
    </cfRule>
  </conditionalFormatting>
  <conditionalFormatting sqref="E152">
    <cfRule type="containsText" dxfId="5439" priority="5739" operator="containsText" text="NUEVO">
      <formula>NOT(ISERROR(SEARCH("NUEVO",E152)))</formula>
    </cfRule>
  </conditionalFormatting>
  <conditionalFormatting sqref="E152">
    <cfRule type="containsText" dxfId="5438" priority="5738" operator="containsText" text="Sin Información">
      <formula>NOT(ISERROR(SEARCH("Sin Información",E152)))</formula>
    </cfRule>
  </conditionalFormatting>
  <conditionalFormatting sqref="C153:D154">
    <cfRule type="containsText" dxfId="5437" priority="5737" operator="containsText" text="NO+$D$4:$D$10">
      <formula>NOT(ISERROR(SEARCH("NO+$D$4:$D$10",C153)))</formula>
    </cfRule>
  </conditionalFormatting>
  <conditionalFormatting sqref="C153:D154">
    <cfRule type="containsText" dxfId="5436" priority="5735" operator="containsText" text="SI">
      <formula>NOT(ISERROR(SEARCH("SI",C153)))</formula>
    </cfRule>
    <cfRule type="containsText" dxfId="5435" priority="5736" operator="containsText" text="NO">
      <formula>NOT(ISERROR(SEARCH("NO",C153)))</formula>
    </cfRule>
  </conditionalFormatting>
  <conditionalFormatting sqref="C153:D154">
    <cfRule type="containsText" dxfId="5434" priority="5734" operator="containsText" text="NUEVO">
      <formula>NOT(ISERROR(SEARCH("NUEVO",C153)))</formula>
    </cfRule>
  </conditionalFormatting>
  <conditionalFormatting sqref="E153:E154">
    <cfRule type="containsText" dxfId="5433" priority="5733" operator="containsText" text="Sin información">
      <formula>NOT(ISERROR(SEARCH("Sin información",E153)))</formula>
    </cfRule>
  </conditionalFormatting>
  <conditionalFormatting sqref="E153:E154">
    <cfRule type="containsText" dxfId="5432" priority="5732" operator="containsText" text="NUEVO">
      <formula>NOT(ISERROR(SEARCH("NUEVO",E153)))</formula>
    </cfRule>
  </conditionalFormatting>
  <conditionalFormatting sqref="E153:E154">
    <cfRule type="containsText" dxfId="5431" priority="5731" operator="containsText" text="Sin Información">
      <formula>NOT(ISERROR(SEARCH("Sin Información",E153)))</formula>
    </cfRule>
  </conditionalFormatting>
  <conditionalFormatting sqref="C155:D156">
    <cfRule type="containsText" dxfId="5430" priority="5730" operator="containsText" text="NO+$D$4:$D$10">
      <formula>NOT(ISERROR(SEARCH("NO+$D$4:$D$10",C155)))</formula>
    </cfRule>
  </conditionalFormatting>
  <conditionalFormatting sqref="C155:D156">
    <cfRule type="containsText" dxfId="5429" priority="5728" operator="containsText" text="SI">
      <formula>NOT(ISERROR(SEARCH("SI",C155)))</formula>
    </cfRule>
    <cfRule type="containsText" dxfId="5428" priority="5729" operator="containsText" text="NO">
      <formula>NOT(ISERROR(SEARCH("NO",C155)))</formula>
    </cfRule>
  </conditionalFormatting>
  <conditionalFormatting sqref="C155:D156">
    <cfRule type="containsText" dxfId="5427" priority="5727" operator="containsText" text="NUEVO">
      <formula>NOT(ISERROR(SEARCH("NUEVO",C155)))</formula>
    </cfRule>
  </conditionalFormatting>
  <conditionalFormatting sqref="E156">
    <cfRule type="containsText" dxfId="5426" priority="5726" operator="containsText" text="Sin información">
      <formula>NOT(ISERROR(SEARCH("Sin información",E156)))</formula>
    </cfRule>
  </conditionalFormatting>
  <conditionalFormatting sqref="E156">
    <cfRule type="containsText" dxfId="5425" priority="5725" operator="containsText" text="NUEVO">
      <formula>NOT(ISERROR(SEARCH("NUEVO",E156)))</formula>
    </cfRule>
  </conditionalFormatting>
  <conditionalFormatting sqref="E156">
    <cfRule type="containsText" dxfId="5424" priority="5724" operator="containsText" text="Sin Información">
      <formula>NOT(ISERROR(SEARCH("Sin Información",E156)))</formula>
    </cfRule>
  </conditionalFormatting>
  <conditionalFormatting sqref="E155">
    <cfRule type="containsText" dxfId="5423" priority="5723" operator="containsText" text="Sin información">
      <formula>NOT(ISERROR(SEARCH("Sin información",E155)))</formula>
    </cfRule>
  </conditionalFormatting>
  <conditionalFormatting sqref="E155">
    <cfRule type="containsText" dxfId="5422" priority="5722" operator="containsText" text="NUEVO">
      <formula>NOT(ISERROR(SEARCH("NUEVO",E155)))</formula>
    </cfRule>
  </conditionalFormatting>
  <conditionalFormatting sqref="E155">
    <cfRule type="containsText" dxfId="5421" priority="5721" operator="containsText" text="Sin Información">
      <formula>NOT(ISERROR(SEARCH("Sin Información",E155)))</formula>
    </cfRule>
  </conditionalFormatting>
  <conditionalFormatting sqref="C159:D159">
    <cfRule type="containsText" dxfId="5420" priority="5720" operator="containsText" text="NO+$D$4:$D$10">
      <formula>NOT(ISERROR(SEARCH("NO+$D$4:$D$10",C159)))</formula>
    </cfRule>
  </conditionalFormatting>
  <conditionalFormatting sqref="C159:D159">
    <cfRule type="containsText" dxfId="5419" priority="5718" operator="containsText" text="SI">
      <formula>NOT(ISERROR(SEARCH("SI",C159)))</formula>
    </cfRule>
    <cfRule type="containsText" dxfId="5418" priority="5719" operator="containsText" text="NO">
      <formula>NOT(ISERROR(SEARCH("NO",C159)))</formula>
    </cfRule>
  </conditionalFormatting>
  <conditionalFormatting sqref="C159:D159">
    <cfRule type="containsText" dxfId="5417" priority="5717" operator="containsText" text="NUEVO">
      <formula>NOT(ISERROR(SEARCH("NUEVO",C159)))</formula>
    </cfRule>
  </conditionalFormatting>
  <conditionalFormatting sqref="E159">
    <cfRule type="containsText" dxfId="5416" priority="5716" operator="containsText" text="Sin información">
      <formula>NOT(ISERROR(SEARCH("Sin información",E159)))</formula>
    </cfRule>
  </conditionalFormatting>
  <conditionalFormatting sqref="E159">
    <cfRule type="containsText" dxfId="5415" priority="5715" operator="containsText" text="NUEVO">
      <formula>NOT(ISERROR(SEARCH("NUEVO",E159)))</formula>
    </cfRule>
  </conditionalFormatting>
  <conditionalFormatting sqref="E159">
    <cfRule type="containsText" dxfId="5414" priority="5714" operator="containsText" text="Sin Información">
      <formula>NOT(ISERROR(SEARCH("Sin Información",E159)))</formula>
    </cfRule>
  </conditionalFormatting>
  <conditionalFormatting sqref="C161:D164">
    <cfRule type="containsText" dxfId="5413" priority="5713" operator="containsText" text="NO+$D$4:$D$10">
      <formula>NOT(ISERROR(SEARCH("NO+$D$4:$D$10",C161)))</formula>
    </cfRule>
  </conditionalFormatting>
  <conditionalFormatting sqref="C161:D164">
    <cfRule type="containsText" dxfId="5412" priority="5711" operator="containsText" text="SI">
      <formula>NOT(ISERROR(SEARCH("SI",C161)))</formula>
    </cfRule>
    <cfRule type="containsText" dxfId="5411" priority="5712" operator="containsText" text="NO">
      <formula>NOT(ISERROR(SEARCH("NO",C161)))</formula>
    </cfRule>
  </conditionalFormatting>
  <conditionalFormatting sqref="C161:D164">
    <cfRule type="containsText" dxfId="5410" priority="5710" operator="containsText" text="NUEVO">
      <formula>NOT(ISERROR(SEARCH("NUEVO",C161)))</formula>
    </cfRule>
  </conditionalFormatting>
  <conditionalFormatting sqref="E161:E164">
    <cfRule type="containsText" dxfId="5409" priority="5708" operator="containsText" text="NUEVO">
      <formula>NOT(ISERROR(SEARCH("NUEVO",E161)))</formula>
    </cfRule>
  </conditionalFormatting>
  <conditionalFormatting sqref="E161:E164">
    <cfRule type="containsText" dxfId="5408" priority="5709" operator="containsText" text="Sin información">
      <formula>NOT(ISERROR(SEARCH("Sin información",E161)))</formula>
    </cfRule>
  </conditionalFormatting>
  <conditionalFormatting sqref="E161:E164">
    <cfRule type="containsText" dxfId="5407" priority="5707" operator="containsText" text="Sin Información">
      <formula>NOT(ISERROR(SEARCH("Sin Información",E161)))</formula>
    </cfRule>
  </conditionalFormatting>
  <conditionalFormatting sqref="C32:D32">
    <cfRule type="containsText" dxfId="5406" priority="5706" operator="containsText" text="NO+$D$4:$D$10">
      <formula>NOT(ISERROR(SEARCH("NO+$D$4:$D$10",C32)))</formula>
    </cfRule>
  </conditionalFormatting>
  <conditionalFormatting sqref="C32:D32">
    <cfRule type="containsText" dxfId="5405" priority="5704" operator="containsText" text="SI">
      <formula>NOT(ISERROR(SEARCH("SI",C32)))</formula>
    </cfRule>
    <cfRule type="containsText" dxfId="5404" priority="5705" operator="containsText" text="NO">
      <formula>NOT(ISERROR(SEARCH("NO",C32)))</formula>
    </cfRule>
  </conditionalFormatting>
  <conditionalFormatting sqref="C32:D32">
    <cfRule type="containsText" dxfId="5403" priority="5703" operator="containsText" text="NUEVO">
      <formula>NOT(ISERROR(SEARCH("NUEVO",C32)))</formula>
    </cfRule>
  </conditionalFormatting>
  <conditionalFormatting sqref="E32">
    <cfRule type="containsText" dxfId="5402" priority="5702" operator="containsText" text="Sin información">
      <formula>NOT(ISERROR(SEARCH("Sin información",E32)))</formula>
    </cfRule>
  </conditionalFormatting>
  <conditionalFormatting sqref="E32">
    <cfRule type="containsText" dxfId="5401" priority="5701" operator="containsText" text="NUEVO">
      <formula>NOT(ISERROR(SEARCH("NUEVO",E32)))</formula>
    </cfRule>
  </conditionalFormatting>
  <conditionalFormatting sqref="E32">
    <cfRule type="containsText" dxfId="5400" priority="5700" operator="containsText" text="Sin Información">
      <formula>NOT(ISERROR(SEARCH("Sin Información",E32)))</formula>
    </cfRule>
  </conditionalFormatting>
  <conditionalFormatting sqref="C141:D141">
    <cfRule type="containsText" dxfId="5399" priority="5699" operator="containsText" text="NO+$D$4:$D$10">
      <formula>NOT(ISERROR(SEARCH("NO+$D$4:$D$10",C141)))</formula>
    </cfRule>
  </conditionalFormatting>
  <conditionalFormatting sqref="C141:D141">
    <cfRule type="containsText" dxfId="5398" priority="5697" operator="containsText" text="SI">
      <formula>NOT(ISERROR(SEARCH("SI",C141)))</formula>
    </cfRule>
    <cfRule type="containsText" dxfId="5397" priority="5698" operator="containsText" text="NO">
      <formula>NOT(ISERROR(SEARCH("NO",C141)))</formula>
    </cfRule>
  </conditionalFormatting>
  <conditionalFormatting sqref="C141:D141">
    <cfRule type="containsText" dxfId="5396" priority="5696" operator="containsText" text="NUEVO">
      <formula>NOT(ISERROR(SEARCH("NUEVO",C141)))</formula>
    </cfRule>
  </conditionalFormatting>
  <conditionalFormatting sqref="E141">
    <cfRule type="containsText" dxfId="5395" priority="5695" operator="containsText" text="Sin información">
      <formula>NOT(ISERROR(SEARCH("Sin información",E141)))</formula>
    </cfRule>
  </conditionalFormatting>
  <conditionalFormatting sqref="E141">
    <cfRule type="containsText" dxfId="5394" priority="5694" operator="containsText" text="NUEVO">
      <formula>NOT(ISERROR(SEARCH("NUEVO",E141)))</formula>
    </cfRule>
  </conditionalFormatting>
  <conditionalFormatting sqref="E141">
    <cfRule type="containsText" dxfId="5393" priority="5693" operator="containsText" text="Sin Información">
      <formula>NOT(ISERROR(SEARCH("Sin Información",E141)))</formula>
    </cfRule>
  </conditionalFormatting>
  <conditionalFormatting sqref="C157:D158">
    <cfRule type="containsText" dxfId="5392" priority="5692" operator="containsText" text="NO+$D$4:$D$10">
      <formula>NOT(ISERROR(SEARCH("NO+$D$4:$D$10",C157)))</formula>
    </cfRule>
  </conditionalFormatting>
  <conditionalFormatting sqref="C157:D158">
    <cfRule type="containsText" dxfId="5391" priority="5690" operator="containsText" text="SI">
      <formula>NOT(ISERROR(SEARCH("SI",C157)))</formula>
    </cfRule>
    <cfRule type="containsText" dxfId="5390" priority="5691" operator="containsText" text="NO">
      <formula>NOT(ISERROR(SEARCH("NO",C157)))</formula>
    </cfRule>
  </conditionalFormatting>
  <conditionalFormatting sqref="C157:D158">
    <cfRule type="containsText" dxfId="5389" priority="5689" operator="containsText" text="NUEVO">
      <formula>NOT(ISERROR(SEARCH("NUEVO",C157)))</formula>
    </cfRule>
  </conditionalFormatting>
  <conditionalFormatting sqref="E157:E158">
    <cfRule type="containsText" dxfId="5388" priority="5688" operator="containsText" text="Sin información">
      <formula>NOT(ISERROR(SEARCH("Sin información",E157)))</formula>
    </cfRule>
  </conditionalFormatting>
  <conditionalFormatting sqref="E157:E158">
    <cfRule type="containsText" dxfId="5387" priority="5687" operator="containsText" text="NUEVO">
      <formula>NOT(ISERROR(SEARCH("NUEVO",E157)))</formula>
    </cfRule>
  </conditionalFormatting>
  <conditionalFormatting sqref="E157:E158">
    <cfRule type="containsText" dxfId="5386" priority="5686" operator="containsText" text="Sin Información">
      <formula>NOT(ISERROR(SEARCH("Sin Información",E157)))</formula>
    </cfRule>
  </conditionalFormatting>
  <conditionalFormatting sqref="C160:D160">
    <cfRule type="containsText" dxfId="5385" priority="5685" operator="containsText" text="NO+$D$4:$D$10">
      <formula>NOT(ISERROR(SEARCH("NO+$D$4:$D$10",C160)))</formula>
    </cfRule>
  </conditionalFormatting>
  <conditionalFormatting sqref="C160:D160">
    <cfRule type="containsText" dxfId="5384" priority="5683" operator="containsText" text="SI">
      <formula>NOT(ISERROR(SEARCH("SI",C160)))</formula>
    </cfRule>
    <cfRule type="containsText" dxfId="5383" priority="5684" operator="containsText" text="NO">
      <formula>NOT(ISERROR(SEARCH("NO",C160)))</formula>
    </cfRule>
  </conditionalFormatting>
  <conditionalFormatting sqref="C160:D160">
    <cfRule type="containsText" dxfId="5382" priority="5682" operator="containsText" text="NUEVO">
      <formula>NOT(ISERROR(SEARCH("NUEVO",C160)))</formula>
    </cfRule>
  </conditionalFormatting>
  <conditionalFormatting sqref="E160">
    <cfRule type="containsText" dxfId="5381" priority="5680" operator="containsText" text="NUEVO">
      <formula>NOT(ISERROR(SEARCH("NUEVO",E160)))</formula>
    </cfRule>
  </conditionalFormatting>
  <conditionalFormatting sqref="E160">
    <cfRule type="containsText" dxfId="5380" priority="5681" operator="containsText" text="Sin información">
      <formula>NOT(ISERROR(SEARCH("Sin información",E160)))</formula>
    </cfRule>
  </conditionalFormatting>
  <conditionalFormatting sqref="E160">
    <cfRule type="containsText" dxfId="5379" priority="5679" operator="containsText" text="Sin Información">
      <formula>NOT(ISERROR(SEARCH("Sin Información",E160)))</formula>
    </cfRule>
  </conditionalFormatting>
  <conditionalFormatting sqref="C174:D174">
    <cfRule type="containsText" dxfId="5378" priority="5678" operator="containsText" text="NO+$D$4:$D$10">
      <formula>NOT(ISERROR(SEARCH("NO+$D$4:$D$10",C174)))</formula>
    </cfRule>
  </conditionalFormatting>
  <conditionalFormatting sqref="C174:D174">
    <cfRule type="containsText" dxfId="5377" priority="5676" operator="containsText" text="SI">
      <formula>NOT(ISERROR(SEARCH("SI",C174)))</formula>
    </cfRule>
    <cfRule type="containsText" dxfId="5376" priority="5677" operator="containsText" text="NO">
      <formula>NOT(ISERROR(SEARCH("NO",C174)))</formula>
    </cfRule>
  </conditionalFormatting>
  <conditionalFormatting sqref="C174:D174">
    <cfRule type="containsText" dxfId="5375" priority="5675" operator="containsText" text="NUEVO">
      <formula>NOT(ISERROR(SEARCH("NUEVO",C174)))</formula>
    </cfRule>
  </conditionalFormatting>
  <conditionalFormatting sqref="E174">
    <cfRule type="containsText" dxfId="5374" priority="5674" operator="containsText" text="NUEVO">
      <formula>NOT(ISERROR(SEARCH("NUEVO",E174)))</formula>
    </cfRule>
  </conditionalFormatting>
  <conditionalFormatting sqref="E174">
    <cfRule type="containsText" dxfId="5373" priority="5673" operator="containsText" text="Sin Información">
      <formula>NOT(ISERROR(SEARCH("Sin Información",E174)))</formula>
    </cfRule>
  </conditionalFormatting>
  <conditionalFormatting sqref="C175:D175">
    <cfRule type="containsText" dxfId="5372" priority="5672" operator="containsText" text="NO+$D$4:$D$10">
      <formula>NOT(ISERROR(SEARCH("NO+$D$4:$D$10",C175)))</formula>
    </cfRule>
  </conditionalFormatting>
  <conditionalFormatting sqref="C175:D175">
    <cfRule type="containsText" dxfId="5371" priority="5670" operator="containsText" text="SI">
      <formula>NOT(ISERROR(SEARCH("SI",C175)))</formula>
    </cfRule>
    <cfRule type="containsText" dxfId="5370" priority="5671" operator="containsText" text="NO">
      <formula>NOT(ISERROR(SEARCH("NO",C175)))</formula>
    </cfRule>
  </conditionalFormatting>
  <conditionalFormatting sqref="C175:D175">
    <cfRule type="containsText" dxfId="5369" priority="5669" operator="containsText" text="NUEVO">
      <formula>NOT(ISERROR(SEARCH("NUEVO",C175)))</formula>
    </cfRule>
  </conditionalFormatting>
  <conditionalFormatting sqref="E175">
    <cfRule type="containsText" dxfId="5368" priority="5668" operator="containsText" text="NUEVO">
      <formula>NOT(ISERROR(SEARCH("NUEVO",E175)))</formula>
    </cfRule>
  </conditionalFormatting>
  <conditionalFormatting sqref="E175">
    <cfRule type="containsText" dxfId="5367" priority="5667" operator="containsText" text="Sin Información">
      <formula>NOT(ISERROR(SEARCH("Sin Información",E175)))</formula>
    </cfRule>
  </conditionalFormatting>
  <conditionalFormatting sqref="C176:D176">
    <cfRule type="containsText" dxfId="5366" priority="5642" operator="containsText" text="NO+$D$4:$D$10">
      <formula>NOT(ISERROR(SEARCH("NO+$D$4:$D$10",C176)))</formula>
    </cfRule>
  </conditionalFormatting>
  <conditionalFormatting sqref="C176:D176">
    <cfRule type="containsText" dxfId="5365" priority="5640" operator="containsText" text="SI">
      <formula>NOT(ISERROR(SEARCH("SI",C176)))</formula>
    </cfRule>
    <cfRule type="containsText" dxfId="5364" priority="5641" operator="containsText" text="NO">
      <formula>NOT(ISERROR(SEARCH("NO",C176)))</formula>
    </cfRule>
  </conditionalFormatting>
  <conditionalFormatting sqref="C176:E176">
    <cfRule type="containsText" dxfId="5363" priority="5639" operator="containsText" text="NUEVO">
      <formula>NOT(ISERROR(SEARCH("NUEVO",C176)))</formula>
    </cfRule>
  </conditionalFormatting>
  <conditionalFormatting sqref="E176">
    <cfRule type="containsText" dxfId="5362" priority="5638" operator="containsText" text="Sin Información">
      <formula>NOT(ISERROR(SEARCH("Sin Información",E176)))</formula>
    </cfRule>
  </conditionalFormatting>
  <conditionalFormatting sqref="C177:D177">
    <cfRule type="containsText" dxfId="5361" priority="5637" operator="containsText" text="NO+$D$4:$D$10">
      <formula>NOT(ISERROR(SEARCH("NO+$D$4:$D$10",C177)))</formula>
    </cfRule>
  </conditionalFormatting>
  <conditionalFormatting sqref="C177:D177">
    <cfRule type="containsText" dxfId="5360" priority="5635" operator="containsText" text="SI">
      <formula>NOT(ISERROR(SEARCH("SI",C177)))</formula>
    </cfRule>
    <cfRule type="containsText" dxfId="5359" priority="5636" operator="containsText" text="NO">
      <formula>NOT(ISERROR(SEARCH("NO",C177)))</formula>
    </cfRule>
  </conditionalFormatting>
  <conditionalFormatting sqref="C177:D177">
    <cfRule type="containsText" dxfId="5358" priority="5634" operator="containsText" text="NUEVO">
      <formula>NOT(ISERROR(SEARCH("NUEVO",C177)))</formula>
    </cfRule>
  </conditionalFormatting>
  <conditionalFormatting sqref="E177">
    <cfRule type="containsText" dxfId="5357" priority="5633" operator="containsText" text="NUEVO">
      <formula>NOT(ISERROR(SEARCH("NUEVO",E177)))</formula>
    </cfRule>
  </conditionalFormatting>
  <conditionalFormatting sqref="E177">
    <cfRule type="containsText" dxfId="5356" priority="5632" operator="containsText" text="Sin Información">
      <formula>NOT(ISERROR(SEARCH("Sin Información",E177)))</formula>
    </cfRule>
  </conditionalFormatting>
  <conditionalFormatting sqref="C178:D178">
    <cfRule type="containsText" dxfId="5355" priority="5631" operator="containsText" text="NO+$D$4:$D$10">
      <formula>NOT(ISERROR(SEARCH("NO+$D$4:$D$10",C178)))</formula>
    </cfRule>
  </conditionalFormatting>
  <conditionalFormatting sqref="C178:D178">
    <cfRule type="containsText" dxfId="5354" priority="5629" operator="containsText" text="SI">
      <formula>NOT(ISERROR(SEARCH("SI",C178)))</formula>
    </cfRule>
    <cfRule type="containsText" dxfId="5353" priority="5630" operator="containsText" text="NO">
      <formula>NOT(ISERROR(SEARCH("NO",C178)))</formula>
    </cfRule>
  </conditionalFormatting>
  <conditionalFormatting sqref="C178:D178">
    <cfRule type="containsText" dxfId="5352" priority="5628" operator="containsText" text="NUEVO">
      <formula>NOT(ISERROR(SEARCH("NUEVO",C178)))</formula>
    </cfRule>
  </conditionalFormatting>
  <conditionalFormatting sqref="E178">
    <cfRule type="containsText" dxfId="5351" priority="5627" operator="containsText" text="NUEVO">
      <formula>NOT(ISERROR(SEARCH("NUEVO",E178)))</formula>
    </cfRule>
  </conditionalFormatting>
  <conditionalFormatting sqref="E178">
    <cfRule type="containsText" dxfId="5350" priority="5626" operator="containsText" text="Sin Información">
      <formula>NOT(ISERROR(SEARCH("Sin Información",E178)))</formula>
    </cfRule>
  </conditionalFormatting>
  <conditionalFormatting sqref="C179:D179">
    <cfRule type="containsText" dxfId="5349" priority="5623" operator="containsText" text="NO+$D$4:$D$10">
      <formula>NOT(ISERROR(SEARCH("NO+$D$4:$D$10",C179)))</formula>
    </cfRule>
  </conditionalFormatting>
  <conditionalFormatting sqref="C179:D179">
    <cfRule type="containsText" dxfId="5348" priority="5621" operator="containsText" text="SI">
      <formula>NOT(ISERROR(SEARCH("SI",C179)))</formula>
    </cfRule>
    <cfRule type="containsText" dxfId="5347" priority="5622" operator="containsText" text="NO">
      <formula>NOT(ISERROR(SEARCH("NO",C179)))</formula>
    </cfRule>
  </conditionalFormatting>
  <conditionalFormatting sqref="C179:D179">
    <cfRule type="containsText" dxfId="5346" priority="5620" operator="containsText" text="NUEVO">
      <formula>NOT(ISERROR(SEARCH("NUEVO",C179)))</formula>
    </cfRule>
  </conditionalFormatting>
  <conditionalFormatting sqref="C180:D180">
    <cfRule type="containsText" dxfId="5345" priority="5617" operator="containsText" text="NO+$D$4:$D$10">
      <formula>NOT(ISERROR(SEARCH("NO+$D$4:$D$10",C180)))</formula>
    </cfRule>
  </conditionalFormatting>
  <conditionalFormatting sqref="C180:D180">
    <cfRule type="containsText" dxfId="5344" priority="5615" operator="containsText" text="SI">
      <formula>NOT(ISERROR(SEARCH("SI",C180)))</formula>
    </cfRule>
    <cfRule type="containsText" dxfId="5343" priority="5616" operator="containsText" text="NO">
      <formula>NOT(ISERROR(SEARCH("NO",C180)))</formula>
    </cfRule>
  </conditionalFormatting>
  <conditionalFormatting sqref="C180:D180">
    <cfRule type="containsText" dxfId="5342" priority="5614" operator="containsText" text="NUEVO">
      <formula>NOT(ISERROR(SEARCH("NUEVO",C180)))</formula>
    </cfRule>
  </conditionalFormatting>
  <conditionalFormatting sqref="C181:D181">
    <cfRule type="containsText" dxfId="5341" priority="5613" operator="containsText" text="NO+$D$4:$D$10">
      <formula>NOT(ISERROR(SEARCH("NO+$D$4:$D$10",C181)))</formula>
    </cfRule>
  </conditionalFormatting>
  <conditionalFormatting sqref="C181:D181">
    <cfRule type="containsText" dxfId="5340" priority="5611" operator="containsText" text="SI">
      <formula>NOT(ISERROR(SEARCH("SI",C181)))</formula>
    </cfRule>
    <cfRule type="containsText" dxfId="5339" priority="5612" operator="containsText" text="NO">
      <formula>NOT(ISERROR(SEARCH("NO",C181)))</formula>
    </cfRule>
  </conditionalFormatting>
  <conditionalFormatting sqref="C181:D181">
    <cfRule type="containsText" dxfId="5338" priority="5610" operator="containsText" text="NUEVO">
      <formula>NOT(ISERROR(SEARCH("NUEVO",C181)))</formula>
    </cfRule>
  </conditionalFormatting>
  <conditionalFormatting sqref="E181">
    <cfRule type="containsText" dxfId="5337" priority="5609" operator="containsText" text="NUEVO">
      <formula>NOT(ISERROR(SEARCH("NUEVO",E181)))</formula>
    </cfRule>
  </conditionalFormatting>
  <conditionalFormatting sqref="E181">
    <cfRule type="containsText" dxfId="5336" priority="5608" operator="containsText" text="Sin Información">
      <formula>NOT(ISERROR(SEARCH("Sin Información",E181)))</formula>
    </cfRule>
  </conditionalFormatting>
  <conditionalFormatting sqref="C182:D182">
    <cfRule type="containsText" dxfId="5335" priority="5601" operator="containsText" text="NO+$D$4:$D$10">
      <formula>NOT(ISERROR(SEARCH("NO+$D$4:$D$10",C182)))</formula>
    </cfRule>
  </conditionalFormatting>
  <conditionalFormatting sqref="C182:D182">
    <cfRule type="containsText" dxfId="5334" priority="5599" operator="containsText" text="SI">
      <formula>NOT(ISERROR(SEARCH("SI",C182)))</formula>
    </cfRule>
    <cfRule type="containsText" dxfId="5333" priority="5600" operator="containsText" text="NO">
      <formula>NOT(ISERROR(SEARCH("NO",C182)))</formula>
    </cfRule>
  </conditionalFormatting>
  <conditionalFormatting sqref="C182:E182">
    <cfRule type="containsText" dxfId="5332" priority="5598" operator="containsText" text="NUEVO">
      <formula>NOT(ISERROR(SEARCH("NUEVO",C182)))</formula>
    </cfRule>
  </conditionalFormatting>
  <conditionalFormatting sqref="E182">
    <cfRule type="containsText" dxfId="5331" priority="5597" operator="containsText" text="Sin Información">
      <formula>NOT(ISERROR(SEARCH("Sin Información",E182)))</formula>
    </cfRule>
  </conditionalFormatting>
  <conditionalFormatting sqref="C183:D183">
    <cfRule type="containsText" dxfId="5330" priority="5594" operator="containsText" text="NO+$D$4:$D$10">
      <formula>NOT(ISERROR(SEARCH("NO+$D$4:$D$10",C183)))</formula>
    </cfRule>
  </conditionalFormatting>
  <conditionalFormatting sqref="C183:D183">
    <cfRule type="containsText" dxfId="5329" priority="5592" operator="containsText" text="SI">
      <formula>NOT(ISERROR(SEARCH("SI",C183)))</formula>
    </cfRule>
    <cfRule type="containsText" dxfId="5328" priority="5593" operator="containsText" text="NO">
      <formula>NOT(ISERROR(SEARCH("NO",C183)))</formula>
    </cfRule>
  </conditionalFormatting>
  <conditionalFormatting sqref="C183:D183">
    <cfRule type="containsText" dxfId="5327" priority="5591" operator="containsText" text="NUEVO">
      <formula>NOT(ISERROR(SEARCH("NUEVO",C183)))</formula>
    </cfRule>
  </conditionalFormatting>
  <conditionalFormatting sqref="C184:D184">
    <cfRule type="containsText" dxfId="5326" priority="5590" operator="containsText" text="NO+$D$4:$D$10">
      <formula>NOT(ISERROR(SEARCH("NO+$D$4:$D$10",C184)))</formula>
    </cfRule>
  </conditionalFormatting>
  <conditionalFormatting sqref="C184:D184">
    <cfRule type="containsText" dxfId="5325" priority="5588" operator="containsText" text="SI">
      <formula>NOT(ISERROR(SEARCH("SI",C184)))</formula>
    </cfRule>
    <cfRule type="containsText" dxfId="5324" priority="5589" operator="containsText" text="NO">
      <formula>NOT(ISERROR(SEARCH("NO",C184)))</formula>
    </cfRule>
  </conditionalFormatting>
  <conditionalFormatting sqref="C184:D184">
    <cfRule type="containsText" dxfId="5323" priority="5587" operator="containsText" text="NUEVO">
      <formula>NOT(ISERROR(SEARCH("NUEVO",C184)))</formula>
    </cfRule>
  </conditionalFormatting>
  <conditionalFormatting sqref="E184">
    <cfRule type="containsText" dxfId="5322" priority="5585" operator="containsText" text="NUEVO">
      <formula>NOT(ISERROR(SEARCH("NUEVO",E184)))</formula>
    </cfRule>
  </conditionalFormatting>
  <conditionalFormatting sqref="E184">
    <cfRule type="containsText" dxfId="5321" priority="5586" operator="containsText" text="Sin información">
      <formula>NOT(ISERROR(SEARCH("Sin información",E184)))</formula>
    </cfRule>
  </conditionalFormatting>
  <conditionalFormatting sqref="E184">
    <cfRule type="containsText" dxfId="5320" priority="5584" operator="containsText" text="Sin Información">
      <formula>NOT(ISERROR(SEARCH("Sin Información",E184)))</formula>
    </cfRule>
  </conditionalFormatting>
  <conditionalFormatting sqref="C185:D185">
    <cfRule type="containsText" dxfId="5319" priority="5575" operator="containsText" text="NO+$D$4:$D$10">
      <formula>NOT(ISERROR(SEARCH("NO+$D$4:$D$10",C185)))</formula>
    </cfRule>
  </conditionalFormatting>
  <conditionalFormatting sqref="C185:D185">
    <cfRule type="containsText" dxfId="5318" priority="5573" operator="containsText" text="SI">
      <formula>NOT(ISERROR(SEARCH("SI",C185)))</formula>
    </cfRule>
    <cfRule type="containsText" dxfId="5317" priority="5574" operator="containsText" text="NO">
      <formula>NOT(ISERROR(SEARCH("NO",C185)))</formula>
    </cfRule>
  </conditionalFormatting>
  <conditionalFormatting sqref="C185:D185">
    <cfRule type="containsText" dxfId="5316" priority="5572" operator="containsText" text="NUEVO">
      <formula>NOT(ISERROR(SEARCH("NUEVO",C185)))</formula>
    </cfRule>
  </conditionalFormatting>
  <conditionalFormatting sqref="E185">
    <cfRule type="containsText" dxfId="5315" priority="5576" operator="containsText" text="NUEVO">
      <formula>NOT(ISERROR(SEARCH("NUEVO",E137)))</formula>
    </cfRule>
  </conditionalFormatting>
  <conditionalFormatting sqref="E185">
    <cfRule type="containsText" dxfId="5314" priority="5577" operator="containsText" text="Sin información">
      <formula>NOT(ISERROR(SEARCH("Sin información",E137)))</formula>
    </cfRule>
  </conditionalFormatting>
  <conditionalFormatting sqref="C186:D186">
    <cfRule type="containsText" dxfId="5313" priority="5565" operator="containsText" text="NO+$D$4:$D$10">
      <formula>NOT(ISERROR(SEARCH("NO+$D$4:$D$10",C186)))</formula>
    </cfRule>
  </conditionalFormatting>
  <conditionalFormatting sqref="C186:D186">
    <cfRule type="containsText" dxfId="5312" priority="5563" operator="containsText" text="SI">
      <formula>NOT(ISERROR(SEARCH("SI",C186)))</formula>
    </cfRule>
    <cfRule type="containsText" dxfId="5311" priority="5564" operator="containsText" text="NO">
      <formula>NOT(ISERROR(SEARCH("NO",C186)))</formula>
    </cfRule>
  </conditionalFormatting>
  <conditionalFormatting sqref="C186:E186">
    <cfRule type="containsText" dxfId="5310" priority="5562" operator="containsText" text="NUEVO">
      <formula>NOT(ISERROR(SEARCH("NUEVO",C186)))</formula>
    </cfRule>
  </conditionalFormatting>
  <conditionalFormatting sqref="E186">
    <cfRule type="containsText" dxfId="5309" priority="5561" operator="containsText" text="Sin Información">
      <formula>NOT(ISERROR(SEARCH("Sin Información",E186)))</formula>
    </cfRule>
  </conditionalFormatting>
  <conditionalFormatting sqref="C187:D187">
    <cfRule type="containsText" dxfId="5308" priority="5555" operator="containsText" text="NO+$D$4:$D$10">
      <formula>NOT(ISERROR(SEARCH("NO+$D$4:$D$10",C187)))</formula>
    </cfRule>
  </conditionalFormatting>
  <conditionalFormatting sqref="C187:D187">
    <cfRule type="containsText" dxfId="5307" priority="5553" operator="containsText" text="SI">
      <formula>NOT(ISERROR(SEARCH("SI",C187)))</formula>
    </cfRule>
    <cfRule type="containsText" dxfId="5306" priority="5554" operator="containsText" text="NO">
      <formula>NOT(ISERROR(SEARCH("NO",C187)))</formula>
    </cfRule>
  </conditionalFormatting>
  <conditionalFormatting sqref="C187:E187">
    <cfRule type="containsText" dxfId="5305" priority="5552" operator="containsText" text="NUEVO">
      <formula>NOT(ISERROR(SEARCH("NUEVO",C187)))</formula>
    </cfRule>
  </conditionalFormatting>
  <conditionalFormatting sqref="E187">
    <cfRule type="containsText" dxfId="5304" priority="5551" operator="containsText" text="Sin Información">
      <formula>NOT(ISERROR(SEARCH("Sin Información",E187)))</formula>
    </cfRule>
  </conditionalFormatting>
  <conditionalFormatting sqref="C188:D188">
    <cfRule type="containsText" dxfId="5303" priority="5550" operator="containsText" text="NO+$D$4:$D$10">
      <formula>NOT(ISERROR(SEARCH("NO+$D$4:$D$10",C188)))</formula>
    </cfRule>
  </conditionalFormatting>
  <conditionalFormatting sqref="C188:D188">
    <cfRule type="containsText" dxfId="5302" priority="5548" operator="containsText" text="SI">
      <formula>NOT(ISERROR(SEARCH("SI",C188)))</formula>
    </cfRule>
    <cfRule type="containsText" dxfId="5301" priority="5549" operator="containsText" text="NO">
      <formula>NOT(ISERROR(SEARCH("NO",C188)))</formula>
    </cfRule>
  </conditionalFormatting>
  <conditionalFormatting sqref="C188:E188">
    <cfRule type="containsText" dxfId="5300" priority="5547" operator="containsText" text="NUEVO">
      <formula>NOT(ISERROR(SEARCH("NUEVO",C188)))</formula>
    </cfRule>
  </conditionalFormatting>
  <conditionalFormatting sqref="E188">
    <cfRule type="containsText" dxfId="5299" priority="5546" operator="containsText" text="Sin Información">
      <formula>NOT(ISERROR(SEARCH("Sin Información",E188)))</formula>
    </cfRule>
  </conditionalFormatting>
  <conditionalFormatting sqref="C189:D189">
    <cfRule type="containsText" dxfId="5298" priority="5545" operator="containsText" text="NO+$D$4:$D$10">
      <formula>NOT(ISERROR(SEARCH("NO+$D$4:$D$10",C189)))</formula>
    </cfRule>
  </conditionalFormatting>
  <conditionalFormatting sqref="C189:D189">
    <cfRule type="containsText" dxfId="5297" priority="5543" operator="containsText" text="SI">
      <formula>NOT(ISERROR(SEARCH("SI",C189)))</formula>
    </cfRule>
    <cfRule type="containsText" dxfId="5296" priority="5544" operator="containsText" text="NO">
      <formula>NOT(ISERROR(SEARCH("NO",C189)))</formula>
    </cfRule>
  </conditionalFormatting>
  <conditionalFormatting sqref="C189:D189">
    <cfRule type="containsText" dxfId="5295" priority="5542" operator="containsText" text="NUEVO">
      <formula>NOT(ISERROR(SEARCH("NUEVO",C189)))</formula>
    </cfRule>
  </conditionalFormatting>
  <conditionalFormatting sqref="E189">
    <cfRule type="containsText" dxfId="5294" priority="5541" operator="containsText" text="NUEVO">
      <formula>NOT(ISERROR(SEARCH("NUEVO",E189)))</formula>
    </cfRule>
  </conditionalFormatting>
  <conditionalFormatting sqref="E189">
    <cfRule type="containsText" dxfId="5293" priority="5540" operator="containsText" text="Sin Información">
      <formula>NOT(ISERROR(SEARCH("Sin Información",E189)))</formula>
    </cfRule>
  </conditionalFormatting>
  <conditionalFormatting sqref="C190:D190">
    <cfRule type="containsText" dxfId="5292" priority="5534" operator="containsText" text="NO+$D$4:$D$10">
      <formula>NOT(ISERROR(SEARCH("NO+$D$4:$D$10",C190)))</formula>
    </cfRule>
  </conditionalFormatting>
  <conditionalFormatting sqref="C190:D190">
    <cfRule type="containsText" dxfId="5291" priority="5532" operator="containsText" text="SI">
      <formula>NOT(ISERROR(SEARCH("SI",C190)))</formula>
    </cfRule>
    <cfRule type="containsText" dxfId="5290" priority="5533" operator="containsText" text="NO">
      <formula>NOT(ISERROR(SEARCH("NO",C190)))</formula>
    </cfRule>
  </conditionalFormatting>
  <conditionalFormatting sqref="C190:E190">
    <cfRule type="containsText" dxfId="5289" priority="5531" operator="containsText" text="NUEVO">
      <formula>NOT(ISERROR(SEARCH("NUEVO",C190)))</formula>
    </cfRule>
  </conditionalFormatting>
  <conditionalFormatting sqref="E190">
    <cfRule type="containsText" dxfId="5288" priority="5530" operator="containsText" text="Sin Información">
      <formula>NOT(ISERROR(SEARCH("Sin Información",E190)))</formula>
    </cfRule>
  </conditionalFormatting>
  <conditionalFormatting sqref="C191:D191">
    <cfRule type="containsText" dxfId="5287" priority="5529" operator="containsText" text="NO+$D$4:$D$10">
      <formula>NOT(ISERROR(SEARCH("NO+$D$4:$D$10",C191)))</formula>
    </cfRule>
  </conditionalFormatting>
  <conditionalFormatting sqref="C191:D191">
    <cfRule type="containsText" dxfId="5286" priority="5527" operator="containsText" text="SI">
      <formula>NOT(ISERROR(SEARCH("SI",C191)))</formula>
    </cfRule>
    <cfRule type="containsText" dxfId="5285" priority="5528" operator="containsText" text="NO">
      <formula>NOT(ISERROR(SEARCH("NO",C191)))</formula>
    </cfRule>
  </conditionalFormatting>
  <conditionalFormatting sqref="C191:E191">
    <cfRule type="containsText" dxfId="5284" priority="5526" operator="containsText" text="NUEVO">
      <formula>NOT(ISERROR(SEARCH("NUEVO",C191)))</formula>
    </cfRule>
  </conditionalFormatting>
  <conditionalFormatting sqref="E191">
    <cfRule type="containsText" dxfId="5283" priority="5525" operator="containsText" text="Sin Información">
      <formula>NOT(ISERROR(SEARCH("Sin Información",E191)))</formula>
    </cfRule>
  </conditionalFormatting>
  <conditionalFormatting sqref="C192:D192">
    <cfRule type="containsText" dxfId="5282" priority="5523" operator="containsText" text="NO+$D$4:$D$10">
      <formula>NOT(ISERROR(SEARCH("NO+$D$4:$D$10",C192)))</formula>
    </cfRule>
  </conditionalFormatting>
  <conditionalFormatting sqref="C192:D192">
    <cfRule type="containsText" dxfId="5281" priority="5521" operator="containsText" text="SI">
      <formula>NOT(ISERROR(SEARCH("SI",C192)))</formula>
    </cfRule>
    <cfRule type="containsText" dxfId="5280" priority="5522" operator="containsText" text="NO">
      <formula>NOT(ISERROR(SEARCH("NO",C192)))</formula>
    </cfRule>
  </conditionalFormatting>
  <conditionalFormatting sqref="C192:D192">
    <cfRule type="containsText" dxfId="5279" priority="5520" operator="containsText" text="NUEVO">
      <formula>NOT(ISERROR(SEARCH("NUEVO",C192)))</formula>
    </cfRule>
  </conditionalFormatting>
  <conditionalFormatting sqref="C193:D193">
    <cfRule type="containsText" dxfId="5278" priority="5512" operator="containsText" text="NO+$D$4:$D$10">
      <formula>NOT(ISERROR(SEARCH("NO+$D$4:$D$10",C193)))</formula>
    </cfRule>
  </conditionalFormatting>
  <conditionalFormatting sqref="C193:D193">
    <cfRule type="containsText" dxfId="5277" priority="5510" operator="containsText" text="SI">
      <formula>NOT(ISERROR(SEARCH("SI",C193)))</formula>
    </cfRule>
    <cfRule type="containsText" dxfId="5276" priority="5511" operator="containsText" text="NO">
      <formula>NOT(ISERROR(SEARCH("NO",C193)))</formula>
    </cfRule>
  </conditionalFormatting>
  <conditionalFormatting sqref="C193:D193">
    <cfRule type="containsText" dxfId="5275" priority="5509" operator="containsText" text="NUEVO">
      <formula>NOT(ISERROR(SEARCH("NUEVO",C193)))</formula>
    </cfRule>
  </conditionalFormatting>
  <conditionalFormatting sqref="E193">
    <cfRule type="containsText" dxfId="5274" priority="5508" operator="containsText" text="NUEVO">
      <formula>NOT(ISERROR(SEARCH("NUEVO",E193)))</formula>
    </cfRule>
  </conditionalFormatting>
  <conditionalFormatting sqref="E193">
    <cfRule type="containsText" dxfId="5273" priority="5507" operator="containsText" text="Sin Información">
      <formula>NOT(ISERROR(SEARCH("Sin Información",E193)))</formula>
    </cfRule>
  </conditionalFormatting>
  <conditionalFormatting sqref="C194:D194">
    <cfRule type="containsText" dxfId="5272" priority="5506" operator="containsText" text="NO+$D$4:$D$10">
      <formula>NOT(ISERROR(SEARCH("NO+$D$4:$D$10",C194)))</formula>
    </cfRule>
  </conditionalFormatting>
  <conditionalFormatting sqref="C194:D194">
    <cfRule type="containsText" dxfId="5271" priority="5504" operator="containsText" text="SI">
      <formula>NOT(ISERROR(SEARCH("SI",C194)))</formula>
    </cfRule>
    <cfRule type="containsText" dxfId="5270" priority="5505" operator="containsText" text="NO">
      <formula>NOT(ISERROR(SEARCH("NO",C194)))</formula>
    </cfRule>
  </conditionalFormatting>
  <conditionalFormatting sqref="C194:D194">
    <cfRule type="containsText" dxfId="5269" priority="5503" operator="containsText" text="NUEVO">
      <formula>NOT(ISERROR(SEARCH("NUEVO",C194)))</formula>
    </cfRule>
  </conditionalFormatting>
  <conditionalFormatting sqref="E194">
    <cfRule type="containsText" dxfId="5268" priority="5501" operator="containsText" text="Sin Información">
      <formula>NOT(ISERROR(SEARCH("Sin Información",E194)))</formula>
    </cfRule>
  </conditionalFormatting>
  <conditionalFormatting sqref="E194">
    <cfRule type="containsText" dxfId="5267" priority="5502" operator="containsText" text="NUEVO">
      <formula>NOT(ISERROR(SEARCH("NUEVO",E194)))</formula>
    </cfRule>
  </conditionalFormatting>
  <conditionalFormatting sqref="C195:D195">
    <cfRule type="containsText" dxfId="5266" priority="5500" operator="containsText" text="NO+$D$4:$D$10">
      <formula>NOT(ISERROR(SEARCH("NO+$D$4:$D$10",C195)))</formula>
    </cfRule>
  </conditionalFormatting>
  <conditionalFormatting sqref="C195:D195">
    <cfRule type="containsText" dxfId="5265" priority="5498" operator="containsText" text="SI">
      <formula>NOT(ISERROR(SEARCH("SI",C195)))</formula>
    </cfRule>
    <cfRule type="containsText" dxfId="5264" priority="5499" operator="containsText" text="NO">
      <formula>NOT(ISERROR(SEARCH("NO",C195)))</formula>
    </cfRule>
  </conditionalFormatting>
  <conditionalFormatting sqref="C195:D195">
    <cfRule type="containsText" dxfId="5263" priority="5497" operator="containsText" text="NUEVO">
      <formula>NOT(ISERROR(SEARCH("NUEVO",C195)))</formula>
    </cfRule>
  </conditionalFormatting>
  <conditionalFormatting sqref="E195">
    <cfRule type="containsText" dxfId="5262" priority="5495" operator="containsText" text="Sin Información">
      <formula>NOT(ISERROR(SEARCH("Sin Información",E195)))</formula>
    </cfRule>
  </conditionalFormatting>
  <conditionalFormatting sqref="E195">
    <cfRule type="containsText" dxfId="5261" priority="5496" operator="containsText" text="NUEVO">
      <formula>NOT(ISERROR(SEARCH("NUEVO",E195)))</formula>
    </cfRule>
  </conditionalFormatting>
  <conditionalFormatting sqref="C196:D196">
    <cfRule type="containsText" dxfId="5260" priority="5494" operator="containsText" text="NO+$D$4:$D$10">
      <formula>NOT(ISERROR(SEARCH("NO+$D$4:$D$10",C196)))</formula>
    </cfRule>
  </conditionalFormatting>
  <conditionalFormatting sqref="C196:D196">
    <cfRule type="containsText" dxfId="5259" priority="5492" operator="containsText" text="SI">
      <formula>NOT(ISERROR(SEARCH("SI",C196)))</formula>
    </cfRule>
    <cfRule type="containsText" dxfId="5258" priority="5493" operator="containsText" text="NO">
      <formula>NOT(ISERROR(SEARCH("NO",C196)))</formula>
    </cfRule>
  </conditionalFormatting>
  <conditionalFormatting sqref="C196:D196">
    <cfRule type="containsText" dxfId="5257" priority="5491" operator="containsText" text="NUEVO">
      <formula>NOT(ISERROR(SEARCH("NUEVO",C196)))</formula>
    </cfRule>
  </conditionalFormatting>
  <conditionalFormatting sqref="E196">
    <cfRule type="containsText" dxfId="5256" priority="5489" operator="containsText" text="Sin Información">
      <formula>NOT(ISERROR(SEARCH("Sin Información",E196)))</formula>
    </cfRule>
  </conditionalFormatting>
  <conditionalFormatting sqref="E196">
    <cfRule type="containsText" dxfId="5255" priority="5490" operator="containsText" text="NUEVO">
      <formula>NOT(ISERROR(SEARCH("NUEVO",E196)))</formula>
    </cfRule>
  </conditionalFormatting>
  <conditionalFormatting sqref="E197">
    <cfRule type="containsText" dxfId="5254" priority="5482" operator="containsText" text="NUEVO">
      <formula>NOT(ISERROR(SEARCH("NUEVO",E197)))</formula>
    </cfRule>
  </conditionalFormatting>
  <conditionalFormatting sqref="E197">
    <cfRule type="containsText" dxfId="5253" priority="5481" operator="containsText" text="Sin Información">
      <formula>NOT(ISERROR(SEARCH("Sin Información",E197)))</formula>
    </cfRule>
  </conditionalFormatting>
  <conditionalFormatting sqref="C198:D198">
    <cfRule type="containsText" dxfId="5252" priority="5480" operator="containsText" text="NO+$D$4:$D$10">
      <formula>NOT(ISERROR(SEARCH("NO+$D$4:$D$10",C198)))</formula>
    </cfRule>
  </conditionalFormatting>
  <conditionalFormatting sqref="C198:D198">
    <cfRule type="containsText" dxfId="5251" priority="5478" operator="containsText" text="SI">
      <formula>NOT(ISERROR(SEARCH("SI",C198)))</formula>
    </cfRule>
    <cfRule type="containsText" dxfId="5250" priority="5479" operator="containsText" text="NO">
      <formula>NOT(ISERROR(SEARCH("NO",C198)))</formula>
    </cfRule>
  </conditionalFormatting>
  <conditionalFormatting sqref="C198:E198">
    <cfRule type="containsText" dxfId="5249" priority="5477" operator="containsText" text="NUEVO">
      <formula>NOT(ISERROR(SEARCH("NUEVO",C198)))</formula>
    </cfRule>
  </conditionalFormatting>
  <conditionalFormatting sqref="E198">
    <cfRule type="containsText" dxfId="5248" priority="5476" operator="containsText" text="Sin Información">
      <formula>NOT(ISERROR(SEARCH("Sin Información",E198)))</formula>
    </cfRule>
  </conditionalFormatting>
  <conditionalFormatting sqref="C199:D199">
    <cfRule type="containsText" dxfId="5247" priority="5475" operator="containsText" text="NO+$D$4:$D$10">
      <formula>NOT(ISERROR(SEARCH("NO+$D$4:$D$10",C199)))</formula>
    </cfRule>
  </conditionalFormatting>
  <conditionalFormatting sqref="C199:D199">
    <cfRule type="containsText" dxfId="5246" priority="5473" operator="containsText" text="SI">
      <formula>NOT(ISERROR(SEARCH("SI",C199)))</formula>
    </cfRule>
    <cfRule type="containsText" dxfId="5245" priority="5474" operator="containsText" text="NO">
      <formula>NOT(ISERROR(SEARCH("NO",C199)))</formula>
    </cfRule>
  </conditionalFormatting>
  <conditionalFormatting sqref="C199:D199">
    <cfRule type="containsText" dxfId="5244" priority="5472" operator="containsText" text="NUEVO">
      <formula>NOT(ISERROR(SEARCH("NUEVO",C199)))</formula>
    </cfRule>
  </conditionalFormatting>
  <conditionalFormatting sqref="E199">
    <cfRule type="containsText" dxfId="5243" priority="5471" operator="containsText" text="NUEVO">
      <formula>NOT(ISERROR(SEARCH("NUEVO",E199)))</formula>
    </cfRule>
  </conditionalFormatting>
  <conditionalFormatting sqref="E199">
    <cfRule type="containsText" dxfId="5242" priority="5470" operator="containsText" text="Sin Información">
      <formula>NOT(ISERROR(SEARCH("Sin Información",E199)))</formula>
    </cfRule>
  </conditionalFormatting>
  <conditionalFormatting sqref="C200:D200">
    <cfRule type="containsText" dxfId="5241" priority="5469" operator="containsText" text="NO+$D$4:$D$10">
      <formula>NOT(ISERROR(SEARCH("NO+$D$4:$D$10",C200)))</formula>
    </cfRule>
  </conditionalFormatting>
  <conditionalFormatting sqref="C200:D200">
    <cfRule type="containsText" dxfId="5240" priority="5467" operator="containsText" text="SI">
      <formula>NOT(ISERROR(SEARCH("SI",C200)))</formula>
    </cfRule>
    <cfRule type="containsText" dxfId="5239" priority="5468" operator="containsText" text="NO">
      <formula>NOT(ISERROR(SEARCH("NO",C200)))</formula>
    </cfRule>
  </conditionalFormatting>
  <conditionalFormatting sqref="C200:D200">
    <cfRule type="containsText" dxfId="5238" priority="5466" operator="containsText" text="NUEVO">
      <formula>NOT(ISERROR(SEARCH("NUEVO",C200)))</formula>
    </cfRule>
  </conditionalFormatting>
  <conditionalFormatting sqref="E200">
    <cfRule type="containsText" dxfId="5237" priority="5465" operator="containsText" text="NUEVO">
      <formula>NOT(ISERROR(SEARCH("NUEVO",E200)))</formula>
    </cfRule>
  </conditionalFormatting>
  <conditionalFormatting sqref="E200">
    <cfRule type="containsText" dxfId="5236" priority="5464" operator="containsText" text="Sin Información">
      <formula>NOT(ISERROR(SEARCH("Sin Información",E200)))</formula>
    </cfRule>
  </conditionalFormatting>
  <conditionalFormatting sqref="C201:D201">
    <cfRule type="containsText" dxfId="5235" priority="5461" operator="containsText" text="NO+$D$4:$D$10">
      <formula>NOT(ISERROR(SEARCH("NO+$D$4:$D$10",C201)))</formula>
    </cfRule>
  </conditionalFormatting>
  <conditionalFormatting sqref="C201:D201">
    <cfRule type="containsText" dxfId="5234" priority="5459" operator="containsText" text="SI">
      <formula>NOT(ISERROR(SEARCH("SI",C201)))</formula>
    </cfRule>
    <cfRule type="containsText" dxfId="5233" priority="5460" operator="containsText" text="NO">
      <formula>NOT(ISERROR(SEARCH("NO",C201)))</formula>
    </cfRule>
  </conditionalFormatting>
  <conditionalFormatting sqref="C201:D201">
    <cfRule type="containsText" dxfId="5232" priority="5458" operator="containsText" text="NUEVO">
      <formula>NOT(ISERROR(SEARCH("NUEVO",C201)))</formula>
    </cfRule>
  </conditionalFormatting>
  <conditionalFormatting sqref="C202:D202">
    <cfRule type="containsText" dxfId="5231" priority="5455" operator="containsText" text="NO+$D$4:$D$10">
      <formula>NOT(ISERROR(SEARCH("NO+$D$4:$D$10",C202)))</formula>
    </cfRule>
  </conditionalFormatting>
  <conditionalFormatting sqref="C202:D202">
    <cfRule type="containsText" dxfId="5230" priority="5453" operator="containsText" text="SI">
      <formula>NOT(ISERROR(SEARCH("SI",C202)))</formula>
    </cfRule>
    <cfRule type="containsText" dxfId="5229" priority="5454" operator="containsText" text="NO">
      <formula>NOT(ISERROR(SEARCH("NO",C202)))</formula>
    </cfRule>
  </conditionalFormatting>
  <conditionalFormatting sqref="C202:D202">
    <cfRule type="containsText" dxfId="5228" priority="5452" operator="containsText" text="NUEVO">
      <formula>NOT(ISERROR(SEARCH("NUEVO",C202)))</formula>
    </cfRule>
  </conditionalFormatting>
  <conditionalFormatting sqref="C203:D203">
    <cfRule type="containsText" dxfId="5227" priority="5451" operator="containsText" text="NO+$D$4:$D$10">
      <formula>NOT(ISERROR(SEARCH("NO+$D$4:$D$10",C203)))</formula>
    </cfRule>
  </conditionalFormatting>
  <conditionalFormatting sqref="C203:D203">
    <cfRule type="containsText" dxfId="5226" priority="5449" operator="containsText" text="SI">
      <formula>NOT(ISERROR(SEARCH("SI",C203)))</formula>
    </cfRule>
    <cfRule type="containsText" dxfId="5225" priority="5450" operator="containsText" text="NO">
      <formula>NOT(ISERROR(SEARCH("NO",C203)))</formula>
    </cfRule>
  </conditionalFormatting>
  <conditionalFormatting sqref="C203:D203">
    <cfRule type="containsText" dxfId="5224" priority="5448" operator="containsText" text="NUEVO">
      <formula>NOT(ISERROR(SEARCH("NUEVO",C203)))</formula>
    </cfRule>
  </conditionalFormatting>
  <conditionalFormatting sqref="E203">
    <cfRule type="containsText" dxfId="5223" priority="5447" operator="containsText" text="NUEVO">
      <formula>NOT(ISERROR(SEARCH("NUEVO",E203)))</formula>
    </cfRule>
  </conditionalFormatting>
  <conditionalFormatting sqref="E203">
    <cfRule type="containsText" dxfId="5222" priority="5446" operator="containsText" text="Sin Información">
      <formula>NOT(ISERROR(SEARCH("Sin Información",E203)))</formula>
    </cfRule>
  </conditionalFormatting>
  <conditionalFormatting sqref="C204:D204">
    <cfRule type="containsText" dxfId="5221" priority="5445" operator="containsText" text="NO+$D$4:$D$10">
      <formula>NOT(ISERROR(SEARCH("NO+$D$4:$D$10",C204)))</formula>
    </cfRule>
  </conditionalFormatting>
  <conditionalFormatting sqref="C204:D204">
    <cfRule type="containsText" dxfId="5220" priority="5443" operator="containsText" text="SI">
      <formula>NOT(ISERROR(SEARCH("SI",C204)))</formula>
    </cfRule>
    <cfRule type="containsText" dxfId="5219" priority="5444" operator="containsText" text="NO">
      <formula>NOT(ISERROR(SEARCH("NO",C204)))</formula>
    </cfRule>
  </conditionalFormatting>
  <conditionalFormatting sqref="C204:D204">
    <cfRule type="containsText" dxfId="5218" priority="5442" operator="containsText" text="NUEVO">
      <formula>NOT(ISERROR(SEARCH("NUEVO",C204)))</formula>
    </cfRule>
  </conditionalFormatting>
  <conditionalFormatting sqref="E204">
    <cfRule type="containsText" dxfId="5217" priority="5441" operator="containsText" text="NUEVO">
      <formula>NOT(ISERROR(SEARCH("NUEVO",E204)))</formula>
    </cfRule>
  </conditionalFormatting>
  <conditionalFormatting sqref="E204">
    <cfRule type="containsText" dxfId="5216" priority="5440" operator="containsText" text="Sin Información">
      <formula>NOT(ISERROR(SEARCH("Sin Información",E204)))</formula>
    </cfRule>
  </conditionalFormatting>
  <conditionalFormatting sqref="C205:D205">
    <cfRule type="containsText" dxfId="5215" priority="5439" operator="containsText" text="NO+$D$4:$D$10">
      <formula>NOT(ISERROR(SEARCH("NO+$D$4:$D$10",C205)))</formula>
    </cfRule>
  </conditionalFormatting>
  <conditionalFormatting sqref="C205:D205">
    <cfRule type="containsText" dxfId="5214" priority="5437" operator="containsText" text="SI">
      <formula>NOT(ISERROR(SEARCH("SI",C205)))</formula>
    </cfRule>
    <cfRule type="containsText" dxfId="5213" priority="5438" operator="containsText" text="NO">
      <formula>NOT(ISERROR(SEARCH("NO",C205)))</formula>
    </cfRule>
  </conditionalFormatting>
  <conditionalFormatting sqref="C205:E205">
    <cfRule type="containsText" dxfId="5212" priority="5436" operator="containsText" text="NUEVO">
      <formula>NOT(ISERROR(SEARCH("NUEVO",C205)))</formula>
    </cfRule>
  </conditionalFormatting>
  <conditionalFormatting sqref="E205">
    <cfRule type="containsText" dxfId="5211" priority="5435" operator="containsText" text="Sin Información">
      <formula>NOT(ISERROR(SEARCH("Sin Información",E205)))</formula>
    </cfRule>
  </conditionalFormatting>
  <conditionalFormatting sqref="C206:D206">
    <cfRule type="containsText" dxfId="5210" priority="5432" operator="containsText" text="NO+$D$4:$D$10">
      <formula>NOT(ISERROR(SEARCH("NO+$D$4:$D$10",C206)))</formula>
    </cfRule>
  </conditionalFormatting>
  <conditionalFormatting sqref="C206:D206">
    <cfRule type="containsText" dxfId="5209" priority="5430" operator="containsText" text="SI">
      <formula>NOT(ISERROR(SEARCH("SI",C206)))</formula>
    </cfRule>
    <cfRule type="containsText" dxfId="5208" priority="5431" operator="containsText" text="NO">
      <formula>NOT(ISERROR(SEARCH("NO",C206)))</formula>
    </cfRule>
  </conditionalFormatting>
  <conditionalFormatting sqref="C206:D206">
    <cfRule type="containsText" dxfId="5207" priority="5429" operator="containsText" text="NUEVO">
      <formula>NOT(ISERROR(SEARCH("NUEVO",C206)))</formula>
    </cfRule>
  </conditionalFormatting>
  <conditionalFormatting sqref="C207:D207">
    <cfRule type="containsText" dxfId="5206" priority="5428" operator="containsText" text="NO+$D$4:$D$10">
      <formula>NOT(ISERROR(SEARCH("NO+$D$4:$D$10",C207)))</formula>
    </cfRule>
  </conditionalFormatting>
  <conditionalFormatting sqref="C207:D207">
    <cfRule type="containsText" dxfId="5205" priority="5426" operator="containsText" text="SI">
      <formula>NOT(ISERROR(SEARCH("SI",C207)))</formula>
    </cfRule>
    <cfRule type="containsText" dxfId="5204" priority="5427" operator="containsText" text="NO">
      <formula>NOT(ISERROR(SEARCH("NO",C207)))</formula>
    </cfRule>
  </conditionalFormatting>
  <conditionalFormatting sqref="C207:D207">
    <cfRule type="containsText" dxfId="5203" priority="5425" operator="containsText" text="NUEVO">
      <formula>NOT(ISERROR(SEARCH("NUEVO",C207)))</formula>
    </cfRule>
  </conditionalFormatting>
  <conditionalFormatting sqref="E207">
    <cfRule type="containsText" dxfId="5202" priority="5423" operator="containsText" text="NUEVO">
      <formula>NOT(ISERROR(SEARCH("NUEVO",E207)))</formula>
    </cfRule>
  </conditionalFormatting>
  <conditionalFormatting sqref="E207">
    <cfRule type="containsText" dxfId="5201" priority="5424" operator="containsText" text="Sin información">
      <formula>NOT(ISERROR(SEARCH("Sin información",E207)))</formula>
    </cfRule>
  </conditionalFormatting>
  <conditionalFormatting sqref="E207">
    <cfRule type="containsText" dxfId="5200" priority="5422" operator="containsText" text="Sin Información">
      <formula>NOT(ISERROR(SEARCH("Sin Información",E207)))</formula>
    </cfRule>
  </conditionalFormatting>
  <conditionalFormatting sqref="C208:D208">
    <cfRule type="containsText" dxfId="5199" priority="5413" operator="containsText" text="NO+$D$4:$D$10">
      <formula>NOT(ISERROR(SEARCH("NO+$D$4:$D$10",C208)))</formula>
    </cfRule>
  </conditionalFormatting>
  <conditionalFormatting sqref="C208:D208">
    <cfRule type="containsText" dxfId="5198" priority="5411" operator="containsText" text="SI">
      <formula>NOT(ISERROR(SEARCH("SI",C208)))</formula>
    </cfRule>
    <cfRule type="containsText" dxfId="5197" priority="5412" operator="containsText" text="NO">
      <formula>NOT(ISERROR(SEARCH("NO",C208)))</formula>
    </cfRule>
  </conditionalFormatting>
  <conditionalFormatting sqref="C208:D208">
    <cfRule type="containsText" dxfId="5196" priority="5410" operator="containsText" text="NUEVO">
      <formula>NOT(ISERROR(SEARCH("NUEVO",C208)))</formula>
    </cfRule>
  </conditionalFormatting>
  <conditionalFormatting sqref="C209:D209">
    <cfRule type="containsText" dxfId="5195" priority="5403" operator="containsText" text="NO+$D$4:$D$10">
      <formula>NOT(ISERROR(SEARCH("NO+$D$4:$D$10",C209)))</formula>
    </cfRule>
  </conditionalFormatting>
  <conditionalFormatting sqref="C209:D209">
    <cfRule type="containsText" dxfId="5194" priority="5401" operator="containsText" text="SI">
      <formula>NOT(ISERROR(SEARCH("SI",C209)))</formula>
    </cfRule>
    <cfRule type="containsText" dxfId="5193" priority="5402" operator="containsText" text="NO">
      <formula>NOT(ISERROR(SEARCH("NO",C209)))</formula>
    </cfRule>
  </conditionalFormatting>
  <conditionalFormatting sqref="C209:E209">
    <cfRule type="containsText" dxfId="5192" priority="5400" operator="containsText" text="NUEVO">
      <formula>NOT(ISERROR(SEARCH("NUEVO",C209)))</formula>
    </cfRule>
  </conditionalFormatting>
  <conditionalFormatting sqref="E209">
    <cfRule type="containsText" dxfId="5191" priority="5399" operator="containsText" text="Sin Información">
      <formula>NOT(ISERROR(SEARCH("Sin Información",E209)))</formula>
    </cfRule>
  </conditionalFormatting>
  <conditionalFormatting sqref="C210:D210">
    <cfRule type="containsText" dxfId="5190" priority="5398" operator="containsText" text="NO+$D$4:$D$10">
      <formula>NOT(ISERROR(SEARCH("NO+$D$4:$D$10",C210)))</formula>
    </cfRule>
  </conditionalFormatting>
  <conditionalFormatting sqref="C210:D210">
    <cfRule type="containsText" dxfId="5189" priority="5396" operator="containsText" text="SI">
      <formula>NOT(ISERROR(SEARCH("SI",C210)))</formula>
    </cfRule>
    <cfRule type="containsText" dxfId="5188" priority="5397" operator="containsText" text="NO">
      <formula>NOT(ISERROR(SEARCH("NO",C210)))</formula>
    </cfRule>
  </conditionalFormatting>
  <conditionalFormatting sqref="C210:E210">
    <cfRule type="containsText" dxfId="5187" priority="5395" operator="containsText" text="NUEVO">
      <formula>NOT(ISERROR(SEARCH("NUEVO",C210)))</formula>
    </cfRule>
  </conditionalFormatting>
  <conditionalFormatting sqref="E210">
    <cfRule type="containsText" dxfId="5186" priority="5394" operator="containsText" text="Sin Información">
      <formula>NOT(ISERROR(SEARCH("Sin Información",E210)))</formula>
    </cfRule>
  </conditionalFormatting>
  <conditionalFormatting sqref="C211:D211">
    <cfRule type="containsText" dxfId="5185" priority="5393" operator="containsText" text="NO+$D$4:$D$10">
      <formula>NOT(ISERROR(SEARCH("NO+$D$4:$D$10",C211)))</formula>
    </cfRule>
  </conditionalFormatting>
  <conditionalFormatting sqref="C211:D211">
    <cfRule type="containsText" dxfId="5184" priority="5391" operator="containsText" text="SI">
      <formula>NOT(ISERROR(SEARCH("SI",C211)))</formula>
    </cfRule>
    <cfRule type="containsText" dxfId="5183" priority="5392" operator="containsText" text="NO">
      <formula>NOT(ISERROR(SEARCH("NO",C211)))</formula>
    </cfRule>
  </conditionalFormatting>
  <conditionalFormatting sqref="C211:E211">
    <cfRule type="containsText" dxfId="5182" priority="5390" operator="containsText" text="NUEVO">
      <formula>NOT(ISERROR(SEARCH("NUEVO",C211)))</formula>
    </cfRule>
  </conditionalFormatting>
  <conditionalFormatting sqref="E211">
    <cfRule type="containsText" dxfId="5181" priority="5389" operator="containsText" text="Sin Información">
      <formula>NOT(ISERROR(SEARCH("Sin Información",E211)))</formula>
    </cfRule>
  </conditionalFormatting>
  <conditionalFormatting sqref="C212:D212">
    <cfRule type="containsText" dxfId="5180" priority="5388" operator="containsText" text="NO+$D$4:$D$10">
      <formula>NOT(ISERROR(SEARCH("NO+$D$4:$D$10",C212)))</formula>
    </cfRule>
  </conditionalFormatting>
  <conditionalFormatting sqref="C212:D212">
    <cfRule type="containsText" dxfId="5179" priority="5386" operator="containsText" text="SI">
      <formula>NOT(ISERROR(SEARCH("SI",C212)))</formula>
    </cfRule>
    <cfRule type="containsText" dxfId="5178" priority="5387" operator="containsText" text="NO">
      <formula>NOT(ISERROR(SEARCH("NO",C212)))</formula>
    </cfRule>
  </conditionalFormatting>
  <conditionalFormatting sqref="C212:E212">
    <cfRule type="containsText" dxfId="5177" priority="5385" operator="containsText" text="NUEVO">
      <formula>NOT(ISERROR(SEARCH("NUEVO",C212)))</formula>
    </cfRule>
  </conditionalFormatting>
  <conditionalFormatting sqref="E212">
    <cfRule type="containsText" dxfId="5176" priority="5384" operator="containsText" text="Sin Información">
      <formula>NOT(ISERROR(SEARCH("Sin Información",E212)))</formula>
    </cfRule>
  </conditionalFormatting>
  <conditionalFormatting sqref="C213:D213">
    <cfRule type="containsText" dxfId="5175" priority="5372" operator="containsText" text="NO+$D$4:$D$10">
      <formula>NOT(ISERROR(SEARCH("NO+$D$4:$D$10",C213)))</formula>
    </cfRule>
  </conditionalFormatting>
  <conditionalFormatting sqref="C213:D213">
    <cfRule type="containsText" dxfId="5174" priority="5370" operator="containsText" text="SI">
      <formula>NOT(ISERROR(SEARCH("SI",C213)))</formula>
    </cfRule>
    <cfRule type="containsText" dxfId="5173" priority="5371" operator="containsText" text="NO">
      <formula>NOT(ISERROR(SEARCH("NO",C213)))</formula>
    </cfRule>
  </conditionalFormatting>
  <conditionalFormatting sqref="C213:E213">
    <cfRule type="containsText" dxfId="5172" priority="5369" operator="containsText" text="NUEVO">
      <formula>NOT(ISERROR(SEARCH("NUEVO",C213)))</formula>
    </cfRule>
  </conditionalFormatting>
  <conditionalFormatting sqref="E213">
    <cfRule type="containsText" dxfId="5171" priority="5368" operator="containsText" text="Sin Información">
      <formula>NOT(ISERROR(SEARCH("Sin Información",E213)))</formula>
    </cfRule>
  </conditionalFormatting>
  <conditionalFormatting sqref="C214:D214">
    <cfRule type="containsText" dxfId="5170" priority="5367" operator="containsText" text="NO+$D$4:$D$10">
      <formula>NOT(ISERROR(SEARCH("NO+$D$4:$D$10",C214)))</formula>
    </cfRule>
  </conditionalFormatting>
  <conditionalFormatting sqref="C214:D214">
    <cfRule type="containsText" dxfId="5169" priority="5365" operator="containsText" text="SI">
      <formula>NOT(ISERROR(SEARCH("SI",C214)))</formula>
    </cfRule>
    <cfRule type="containsText" dxfId="5168" priority="5366" operator="containsText" text="NO">
      <formula>NOT(ISERROR(SEARCH("NO",C214)))</formula>
    </cfRule>
  </conditionalFormatting>
  <conditionalFormatting sqref="C214:E214">
    <cfRule type="containsText" dxfId="5167" priority="5364" operator="containsText" text="NUEVO">
      <formula>NOT(ISERROR(SEARCH("NUEVO",C214)))</formula>
    </cfRule>
  </conditionalFormatting>
  <conditionalFormatting sqref="E214">
    <cfRule type="containsText" dxfId="5166" priority="5363" operator="containsText" text="Sin Información">
      <formula>NOT(ISERROR(SEARCH("Sin Información",E214)))</formula>
    </cfRule>
  </conditionalFormatting>
  <conditionalFormatting sqref="C215:D215">
    <cfRule type="containsText" dxfId="5165" priority="5361" operator="containsText" text="NO+$D$4:$D$10">
      <formula>NOT(ISERROR(SEARCH("NO+$D$4:$D$10",C215)))</formula>
    </cfRule>
  </conditionalFormatting>
  <conditionalFormatting sqref="C215:D215">
    <cfRule type="containsText" dxfId="5164" priority="5359" operator="containsText" text="SI">
      <formula>NOT(ISERROR(SEARCH("SI",C215)))</formula>
    </cfRule>
    <cfRule type="containsText" dxfId="5163" priority="5360" operator="containsText" text="NO">
      <formula>NOT(ISERROR(SEARCH("NO",C215)))</formula>
    </cfRule>
  </conditionalFormatting>
  <conditionalFormatting sqref="C215:D215">
    <cfRule type="containsText" dxfId="5162" priority="5358" operator="containsText" text="NUEVO">
      <formula>NOT(ISERROR(SEARCH("NUEVO",C215)))</formula>
    </cfRule>
  </conditionalFormatting>
  <conditionalFormatting sqref="C216:D216">
    <cfRule type="containsText" dxfId="5161" priority="5354" operator="containsText" text="NO+$D$4:$D$10">
      <formula>NOT(ISERROR(SEARCH("NO+$D$4:$D$10",C216)))</formula>
    </cfRule>
  </conditionalFormatting>
  <conditionalFormatting sqref="C216:D216">
    <cfRule type="containsText" dxfId="5160" priority="5352" operator="containsText" text="SI">
      <formula>NOT(ISERROR(SEARCH("SI",C216)))</formula>
    </cfRule>
    <cfRule type="containsText" dxfId="5159" priority="5353" operator="containsText" text="NO">
      <formula>NOT(ISERROR(SEARCH("NO",C216)))</formula>
    </cfRule>
  </conditionalFormatting>
  <conditionalFormatting sqref="C216:D216">
    <cfRule type="containsText" dxfId="5158" priority="5351" operator="containsText" text="NUEVO">
      <formula>NOT(ISERROR(SEARCH("NUEVO",C216)))</formula>
    </cfRule>
  </conditionalFormatting>
  <conditionalFormatting sqref="E216">
    <cfRule type="containsText" dxfId="5157" priority="5355" operator="containsText" text="NUEVO">
      <formula>NOT(ISERROR(SEARCH("NUEVO",E406)))</formula>
    </cfRule>
  </conditionalFormatting>
  <conditionalFormatting sqref="E216">
    <cfRule type="containsText" dxfId="5156" priority="5356" operator="containsText" text="Sin Información">
      <formula>NOT(ISERROR(SEARCH("Sin Información",E406)))</formula>
    </cfRule>
  </conditionalFormatting>
  <conditionalFormatting sqref="C217:D217">
    <cfRule type="containsText" dxfId="5155" priority="5350" operator="containsText" text="NO+$D$4:$D$10">
      <formula>NOT(ISERROR(SEARCH("NO+$D$4:$D$10",C217)))</formula>
    </cfRule>
  </conditionalFormatting>
  <conditionalFormatting sqref="C217:D217">
    <cfRule type="containsText" dxfId="5154" priority="5348" operator="containsText" text="SI">
      <formula>NOT(ISERROR(SEARCH("SI",C217)))</formula>
    </cfRule>
    <cfRule type="containsText" dxfId="5153" priority="5349" operator="containsText" text="NO">
      <formula>NOT(ISERROR(SEARCH("NO",C217)))</formula>
    </cfRule>
  </conditionalFormatting>
  <conditionalFormatting sqref="C217:D217">
    <cfRule type="containsText" dxfId="5152" priority="5347" operator="containsText" text="NUEVO">
      <formula>NOT(ISERROR(SEARCH("NUEVO",C217)))</formula>
    </cfRule>
  </conditionalFormatting>
  <conditionalFormatting sqref="E217">
    <cfRule type="containsText" dxfId="5151" priority="5346" operator="containsText" text="NUEVO">
      <formula>NOT(ISERROR(SEARCH("NUEVO",E217)))</formula>
    </cfRule>
  </conditionalFormatting>
  <conditionalFormatting sqref="E217">
    <cfRule type="containsText" dxfId="5150" priority="5345" operator="containsText" text="Sin Información">
      <formula>NOT(ISERROR(SEARCH("Sin Información",E217)))</formula>
    </cfRule>
  </conditionalFormatting>
  <conditionalFormatting sqref="C218:D218">
    <cfRule type="containsText" dxfId="5149" priority="5344" operator="containsText" text="NO+$D$4:$D$10">
      <formula>NOT(ISERROR(SEARCH("NO+$D$4:$D$10",C218)))</formula>
    </cfRule>
  </conditionalFormatting>
  <conditionalFormatting sqref="C218:D218">
    <cfRule type="containsText" dxfId="5148" priority="5342" operator="containsText" text="SI">
      <formula>NOT(ISERROR(SEARCH("SI",C218)))</formula>
    </cfRule>
    <cfRule type="containsText" dxfId="5147" priority="5343" operator="containsText" text="NO">
      <formula>NOT(ISERROR(SEARCH("NO",C218)))</formula>
    </cfRule>
  </conditionalFormatting>
  <conditionalFormatting sqref="C218:D218">
    <cfRule type="containsText" dxfId="5146" priority="5341" operator="containsText" text="NUEVO">
      <formula>NOT(ISERROR(SEARCH("NUEVO",C218)))</formula>
    </cfRule>
  </conditionalFormatting>
  <conditionalFormatting sqref="E218">
    <cfRule type="containsText" dxfId="5145" priority="5339" operator="containsText" text="Sin Información">
      <formula>NOT(ISERROR(SEARCH("Sin Información",E218)))</formula>
    </cfRule>
  </conditionalFormatting>
  <conditionalFormatting sqref="E218">
    <cfRule type="containsText" dxfId="5144" priority="5340" operator="containsText" text="NUEVO">
      <formula>NOT(ISERROR(SEARCH("NUEVO",E218)))</formula>
    </cfRule>
  </conditionalFormatting>
  <conditionalFormatting sqref="C219:D219">
    <cfRule type="containsText" dxfId="5143" priority="5338" operator="containsText" text="NO+$D$4:$D$10">
      <formula>NOT(ISERROR(SEARCH("NO+$D$4:$D$10",C219)))</formula>
    </cfRule>
  </conditionalFormatting>
  <conditionalFormatting sqref="C219:D219">
    <cfRule type="containsText" dxfId="5142" priority="5336" operator="containsText" text="SI">
      <formula>NOT(ISERROR(SEARCH("SI",C219)))</formula>
    </cfRule>
    <cfRule type="containsText" dxfId="5141" priority="5337" operator="containsText" text="NO">
      <formula>NOT(ISERROR(SEARCH("NO",C219)))</formula>
    </cfRule>
  </conditionalFormatting>
  <conditionalFormatting sqref="C219:D219">
    <cfRule type="containsText" dxfId="5140" priority="5335" operator="containsText" text="NUEVO">
      <formula>NOT(ISERROR(SEARCH("NUEVO",C219)))</formula>
    </cfRule>
  </conditionalFormatting>
  <conditionalFormatting sqref="E219">
    <cfRule type="containsText" dxfId="5139" priority="5333" operator="containsText" text="Sin Información">
      <formula>NOT(ISERROR(SEARCH("Sin Información",E219)))</formula>
    </cfRule>
  </conditionalFormatting>
  <conditionalFormatting sqref="E219">
    <cfRule type="containsText" dxfId="5138" priority="5334" operator="containsText" text="NUEVO">
      <formula>NOT(ISERROR(SEARCH("NUEVO",E219)))</formula>
    </cfRule>
  </conditionalFormatting>
  <conditionalFormatting sqref="C220:D220">
    <cfRule type="containsText" dxfId="5137" priority="5332" operator="containsText" text="NO+$D$4:$D$10">
      <formula>NOT(ISERROR(SEARCH("NO+$D$4:$D$10",C220)))</formula>
    </cfRule>
  </conditionalFormatting>
  <conditionalFormatting sqref="C220:D220">
    <cfRule type="containsText" dxfId="5136" priority="5330" operator="containsText" text="SI">
      <formula>NOT(ISERROR(SEARCH("SI",C220)))</formula>
    </cfRule>
    <cfRule type="containsText" dxfId="5135" priority="5331" operator="containsText" text="NO">
      <formula>NOT(ISERROR(SEARCH("NO",C220)))</formula>
    </cfRule>
  </conditionalFormatting>
  <conditionalFormatting sqref="C220:D220">
    <cfRule type="containsText" dxfId="5134" priority="5329" operator="containsText" text="NUEVO">
      <formula>NOT(ISERROR(SEARCH("NUEVO",C220)))</formula>
    </cfRule>
  </conditionalFormatting>
  <conditionalFormatting sqref="E220">
    <cfRule type="containsText" dxfId="5133" priority="5327" operator="containsText" text="Sin Información">
      <formula>NOT(ISERROR(SEARCH("Sin Información",E220)))</formula>
    </cfRule>
  </conditionalFormatting>
  <conditionalFormatting sqref="E220">
    <cfRule type="containsText" dxfId="5132" priority="5328" operator="containsText" text="NUEVO">
      <formula>NOT(ISERROR(SEARCH("NUEVO",E220)))</formula>
    </cfRule>
  </conditionalFormatting>
  <conditionalFormatting sqref="C247:D247 C368:D368 C375:D375 C363:D365 C298:D299 C377:D390 C329:D329 C450:D454 C427:D435 C538:D543 C317:D327">
    <cfRule type="containsText" dxfId="5131" priority="5326" operator="containsText" text="NO+$D$4:$D$10">
      <formula>NOT(ISERROR(SEARCH("NO+$D$4:$D$10",C247)))</formula>
    </cfRule>
  </conditionalFormatting>
  <conditionalFormatting sqref="C247:D247 C368:D368 C375:D375 C363:D365 C298:D299 C377:D390 C329:D329 C450:D454 C427:D435 C538:D543 C317:D327">
    <cfRule type="containsText" dxfId="5130" priority="5324" operator="containsText" text="SI">
      <formula>NOT(ISERROR(SEARCH("SI",C247)))</formula>
    </cfRule>
    <cfRule type="containsText" dxfId="5129" priority="5325" operator="containsText" text="NO">
      <formula>NOT(ISERROR(SEARCH("NO",C247)))</formula>
    </cfRule>
  </conditionalFormatting>
  <conditionalFormatting sqref="C247:E247 E325:E327 E317 C368:D368 C375:E375 C363:E365 C298:E299 C377:D390 E382:E389 C329:E329 C450:D454 E450:E453 C427:E435 C538:D543 E541:E542 C317:D327">
    <cfRule type="containsText" dxfId="5128" priority="5323" operator="containsText" text="NUEVO">
      <formula>NOT(ISERROR(SEARCH("NUEVO",C247)))</formula>
    </cfRule>
  </conditionalFormatting>
  <conditionalFormatting sqref="C222:D222">
    <cfRule type="containsText" dxfId="5127" priority="5322" operator="containsText" text="NO+$D$4:$D$10">
      <formula>NOT(ISERROR(SEARCH("NO+$D$4:$D$10",C222)))</formula>
    </cfRule>
  </conditionalFormatting>
  <conditionalFormatting sqref="C222:D222">
    <cfRule type="containsText" dxfId="5126" priority="5320" operator="containsText" text="SI">
      <formula>NOT(ISERROR(SEARCH("SI",C222)))</formula>
    </cfRule>
    <cfRule type="containsText" dxfId="5125" priority="5321" operator="containsText" text="NO">
      <formula>NOT(ISERROR(SEARCH("NO",C222)))</formula>
    </cfRule>
  </conditionalFormatting>
  <conditionalFormatting sqref="E222">
    <cfRule type="containsText" dxfId="5124" priority="5319" operator="containsText" text="Sin información">
      <formula>NOT(ISERROR(SEARCH("Sin información",E222)))</formula>
    </cfRule>
  </conditionalFormatting>
  <conditionalFormatting sqref="C222:E222">
    <cfRule type="containsText" dxfId="5123" priority="5318" operator="containsText" text="NUEVO">
      <formula>NOT(ISERROR(SEARCH("NUEVO",C222)))</formula>
    </cfRule>
  </conditionalFormatting>
  <conditionalFormatting sqref="E222 E247 E325:E327 E317 E375 E363:E365 E298:E299 E382:E389 E329 E450:E453 E427:E435 E541:E542">
    <cfRule type="containsText" dxfId="5122" priority="5317" operator="containsText" text="Sin Información">
      <formula>NOT(ISERROR(SEARCH("Sin Información",E222)))</formula>
    </cfRule>
  </conditionalFormatting>
  <conditionalFormatting sqref="E222">
    <cfRule type="containsText" dxfId="5121" priority="5316" operator="containsText" text="Sin información">
      <formula>NOT(ISERROR(SEARCH("Sin información",E222)))</formula>
    </cfRule>
  </conditionalFormatting>
  <conditionalFormatting sqref="C224:D224">
    <cfRule type="containsText" dxfId="5120" priority="5315" operator="containsText" text="NO+$D$4:$D$10">
      <formula>NOT(ISERROR(SEARCH("NO+$D$4:$D$10",C224)))</formula>
    </cfRule>
  </conditionalFormatting>
  <conditionalFormatting sqref="C224:D224">
    <cfRule type="containsText" dxfId="5119" priority="5313" operator="containsText" text="SI">
      <formula>NOT(ISERROR(SEARCH("SI",C224)))</formula>
    </cfRule>
    <cfRule type="containsText" dxfId="5118" priority="5314" operator="containsText" text="NO">
      <formula>NOT(ISERROR(SEARCH("NO",C224)))</formula>
    </cfRule>
  </conditionalFormatting>
  <conditionalFormatting sqref="C224:E224">
    <cfRule type="containsText" dxfId="5117" priority="5312" operator="containsText" text="NUEVO">
      <formula>NOT(ISERROR(SEARCH("NUEVO",C224)))</formula>
    </cfRule>
  </conditionalFormatting>
  <conditionalFormatting sqref="E224">
    <cfRule type="containsText" dxfId="5116" priority="5311" operator="containsText" text="Sin Información">
      <formula>NOT(ISERROR(SEARCH("Sin Información",E224)))</formula>
    </cfRule>
  </conditionalFormatting>
  <conditionalFormatting sqref="C225:D228">
    <cfRule type="containsText" dxfId="5115" priority="5310" operator="containsText" text="NO+$D$4:$D$10">
      <formula>NOT(ISERROR(SEARCH("NO+$D$4:$D$10",C225)))</formula>
    </cfRule>
  </conditionalFormatting>
  <conditionalFormatting sqref="C225:D228">
    <cfRule type="containsText" dxfId="5114" priority="5308" operator="containsText" text="SI">
      <formula>NOT(ISERROR(SEARCH("SI",C225)))</formula>
    </cfRule>
    <cfRule type="containsText" dxfId="5113" priority="5309" operator="containsText" text="NO">
      <formula>NOT(ISERROR(SEARCH("NO",C225)))</formula>
    </cfRule>
  </conditionalFormatting>
  <conditionalFormatting sqref="C225:D228">
    <cfRule type="containsText" dxfId="5112" priority="5307" operator="containsText" text="NUEVO">
      <formula>NOT(ISERROR(SEARCH("NUEVO",C225)))</formula>
    </cfRule>
  </conditionalFormatting>
  <conditionalFormatting sqref="E228">
    <cfRule type="containsText" dxfId="5111" priority="5306" operator="containsText" text="NUEVO">
      <formula>NOT(ISERROR(SEARCH("NUEVO",E228)))</formula>
    </cfRule>
  </conditionalFormatting>
  <conditionalFormatting sqref="E228">
    <cfRule type="containsText" dxfId="5110" priority="5305" operator="containsText" text="Sin Información">
      <formula>NOT(ISERROR(SEARCH("Sin Información",E228)))</formula>
    </cfRule>
  </conditionalFormatting>
  <conditionalFormatting sqref="E225:E227">
    <cfRule type="containsText" dxfId="5109" priority="5304" operator="containsText" text="NUEVO">
      <formula>NOT(ISERROR(SEARCH("NUEVO",E225)))</formula>
    </cfRule>
  </conditionalFormatting>
  <conditionalFormatting sqref="E225:E227">
    <cfRule type="containsText" dxfId="5108" priority="5303" operator="containsText" text="Sin Información">
      <formula>NOT(ISERROR(SEARCH("Sin Información",E225)))</formula>
    </cfRule>
  </conditionalFormatting>
  <conditionalFormatting sqref="C229:D234">
    <cfRule type="containsText" dxfId="5107" priority="5302" operator="containsText" text="NO+$D$4:$D$10">
      <formula>NOT(ISERROR(SEARCH("NO+$D$4:$D$10",C229)))</formula>
    </cfRule>
  </conditionalFormatting>
  <conditionalFormatting sqref="C229:D234">
    <cfRule type="containsText" dxfId="5106" priority="5300" operator="containsText" text="SI">
      <formula>NOT(ISERROR(SEARCH("SI",C229)))</formula>
    </cfRule>
    <cfRule type="containsText" dxfId="5105" priority="5301" operator="containsText" text="NO">
      <formula>NOT(ISERROR(SEARCH("NO",C229)))</formula>
    </cfRule>
  </conditionalFormatting>
  <conditionalFormatting sqref="C229:D234">
    <cfRule type="containsText" dxfId="5104" priority="5299" operator="containsText" text="NUEVO">
      <formula>NOT(ISERROR(SEARCH("NUEVO",C229)))</formula>
    </cfRule>
  </conditionalFormatting>
  <conditionalFormatting sqref="E229:E230">
    <cfRule type="containsText" dxfId="5103" priority="5298" operator="containsText" text="NUEVO">
      <formula>NOT(ISERROR(SEARCH("NUEVO",E229)))</formula>
    </cfRule>
  </conditionalFormatting>
  <conditionalFormatting sqref="E229:E230">
    <cfRule type="containsText" dxfId="5102" priority="5297" operator="containsText" text="Sin Información">
      <formula>NOT(ISERROR(SEARCH("Sin Información",E229)))</formula>
    </cfRule>
  </conditionalFormatting>
  <conditionalFormatting sqref="E231:E234">
    <cfRule type="containsText" dxfId="5101" priority="5296" operator="containsText" text="NUEVO">
      <formula>NOT(ISERROR(SEARCH("NUEVO",E231)))</formula>
    </cfRule>
  </conditionalFormatting>
  <conditionalFormatting sqref="E231:E234">
    <cfRule type="containsText" dxfId="5100" priority="5295" operator="containsText" text="Sin Información">
      <formula>NOT(ISERROR(SEARCH("Sin Información",E231)))</formula>
    </cfRule>
  </conditionalFormatting>
  <conditionalFormatting sqref="C235:D240">
    <cfRule type="containsText" dxfId="5099" priority="5294" operator="containsText" text="NO+$D$4:$D$10">
      <formula>NOT(ISERROR(SEARCH("NO+$D$4:$D$10",C235)))</formula>
    </cfRule>
  </conditionalFormatting>
  <conditionalFormatting sqref="C235:D240">
    <cfRule type="containsText" dxfId="5098" priority="5292" operator="containsText" text="SI">
      <formula>NOT(ISERROR(SEARCH("SI",C235)))</formula>
    </cfRule>
    <cfRule type="containsText" dxfId="5097" priority="5293" operator="containsText" text="NO">
      <formula>NOT(ISERROR(SEARCH("NO",C235)))</formula>
    </cfRule>
  </conditionalFormatting>
  <conditionalFormatting sqref="E235:E239 C235:D240">
    <cfRule type="containsText" dxfId="5096" priority="5291" operator="containsText" text="NUEVO">
      <formula>NOT(ISERROR(SEARCH("NUEVO",C235)))</formula>
    </cfRule>
  </conditionalFormatting>
  <conditionalFormatting sqref="E235:E239">
    <cfRule type="containsText" dxfId="5095" priority="5290" operator="containsText" text="Sin Información">
      <formula>NOT(ISERROR(SEARCH("Sin Información",E235)))</formula>
    </cfRule>
  </conditionalFormatting>
  <conditionalFormatting sqref="E240">
    <cfRule type="containsText" dxfId="5094" priority="5289" operator="containsText" text="NUEVO">
      <formula>NOT(ISERROR(SEARCH("NUEVO",E240)))</formula>
    </cfRule>
  </conditionalFormatting>
  <conditionalFormatting sqref="E240">
    <cfRule type="containsText" dxfId="5093" priority="5288" operator="containsText" text="Sin Información">
      <formula>NOT(ISERROR(SEARCH("Sin Información",E240)))</formula>
    </cfRule>
  </conditionalFormatting>
  <conditionalFormatting sqref="C241:D242">
    <cfRule type="containsText" dxfId="5092" priority="5287" operator="containsText" text="NO+$D$4:$D$10">
      <formula>NOT(ISERROR(SEARCH("NO+$D$4:$D$10",C241)))</formula>
    </cfRule>
  </conditionalFormatting>
  <conditionalFormatting sqref="C241:D242">
    <cfRule type="containsText" dxfId="5091" priority="5285" operator="containsText" text="SI">
      <formula>NOT(ISERROR(SEARCH("SI",C241)))</formula>
    </cfRule>
    <cfRule type="containsText" dxfId="5090" priority="5286" operator="containsText" text="NO">
      <formula>NOT(ISERROR(SEARCH("NO",C241)))</formula>
    </cfRule>
  </conditionalFormatting>
  <conditionalFormatting sqref="E241 C241:D242">
    <cfRule type="containsText" dxfId="5089" priority="5284" operator="containsText" text="NUEVO">
      <formula>NOT(ISERROR(SEARCH("NUEVO",C241)))</formula>
    </cfRule>
  </conditionalFormatting>
  <conditionalFormatting sqref="E241">
    <cfRule type="containsText" dxfId="5088" priority="5283" operator="containsText" text="Sin Información">
      <formula>NOT(ISERROR(SEARCH("Sin Información",E241)))</formula>
    </cfRule>
  </conditionalFormatting>
  <conditionalFormatting sqref="E242">
    <cfRule type="containsText" dxfId="5087" priority="5282" operator="containsText" text="NUEVO">
      <formula>NOT(ISERROR(SEARCH("NUEVO",E242)))</formula>
    </cfRule>
  </conditionalFormatting>
  <conditionalFormatting sqref="E242">
    <cfRule type="containsText" dxfId="5086" priority="5281" operator="containsText" text="Sin Información">
      <formula>NOT(ISERROR(SEARCH("Sin Información",E242)))</formula>
    </cfRule>
  </conditionalFormatting>
  <conditionalFormatting sqref="C243:D245">
    <cfRule type="containsText" dxfId="5085" priority="5280" operator="containsText" text="NO+$D$4:$D$10">
      <formula>NOT(ISERROR(SEARCH("NO+$D$4:$D$10",C243)))</formula>
    </cfRule>
  </conditionalFormatting>
  <conditionalFormatting sqref="C243:D245">
    <cfRule type="containsText" dxfId="5084" priority="5278" operator="containsText" text="SI">
      <formula>NOT(ISERROR(SEARCH("SI",C243)))</formula>
    </cfRule>
    <cfRule type="containsText" dxfId="5083" priority="5279" operator="containsText" text="NO">
      <formula>NOT(ISERROR(SEARCH("NO",C243)))</formula>
    </cfRule>
  </conditionalFormatting>
  <conditionalFormatting sqref="E243 C243:D245">
    <cfRule type="containsText" dxfId="5082" priority="5277" operator="containsText" text="NUEVO">
      <formula>NOT(ISERROR(SEARCH("NUEVO",C243)))</formula>
    </cfRule>
  </conditionalFormatting>
  <conditionalFormatting sqref="E243">
    <cfRule type="containsText" dxfId="5081" priority="5276" operator="containsText" text="Sin Información">
      <formula>NOT(ISERROR(SEARCH("Sin Información",E243)))</formula>
    </cfRule>
  </conditionalFormatting>
  <conditionalFormatting sqref="E244:E245">
    <cfRule type="containsText" dxfId="5080" priority="5275" operator="containsText" text="NUEVO">
      <formula>NOT(ISERROR(SEARCH("NUEVO",E244)))</formula>
    </cfRule>
  </conditionalFormatting>
  <conditionalFormatting sqref="E244:E245">
    <cfRule type="containsText" dxfId="5079" priority="5274" operator="containsText" text="Sin Información">
      <formula>NOT(ISERROR(SEARCH("Sin Información",E244)))</formula>
    </cfRule>
  </conditionalFormatting>
  <conditionalFormatting sqref="C246:D246">
    <cfRule type="containsText" dxfId="5078" priority="5273" operator="containsText" text="NO+$D$4:$D$10">
      <formula>NOT(ISERROR(SEARCH("NO+$D$4:$D$10",C246)))</formula>
    </cfRule>
  </conditionalFormatting>
  <conditionalFormatting sqref="C246:D246">
    <cfRule type="containsText" dxfId="5077" priority="5271" operator="containsText" text="SI">
      <formula>NOT(ISERROR(SEARCH("SI",C246)))</formula>
    </cfRule>
    <cfRule type="containsText" dxfId="5076" priority="5272" operator="containsText" text="NO">
      <formula>NOT(ISERROR(SEARCH("NO",C246)))</formula>
    </cfRule>
  </conditionalFormatting>
  <conditionalFormatting sqref="C246:E246">
    <cfRule type="containsText" dxfId="5075" priority="5270" operator="containsText" text="NUEVO">
      <formula>NOT(ISERROR(SEARCH("NUEVO",C246)))</formula>
    </cfRule>
  </conditionalFormatting>
  <conditionalFormatting sqref="E246">
    <cfRule type="containsText" dxfId="5074" priority="5269" operator="containsText" text="Sin Información">
      <formula>NOT(ISERROR(SEARCH("Sin Información",E246)))</formula>
    </cfRule>
  </conditionalFormatting>
  <conditionalFormatting sqref="C248:D248">
    <cfRule type="containsText" dxfId="5073" priority="5268" operator="containsText" text="NO+$D$4:$D$10">
      <formula>NOT(ISERROR(SEARCH("NO+$D$4:$D$10",C248)))</formula>
    </cfRule>
  </conditionalFormatting>
  <conditionalFormatting sqref="C248:D248">
    <cfRule type="containsText" dxfId="5072" priority="5266" operator="containsText" text="SI">
      <formula>NOT(ISERROR(SEARCH("SI",C248)))</formula>
    </cfRule>
    <cfRule type="containsText" dxfId="5071" priority="5267" operator="containsText" text="NO">
      <formula>NOT(ISERROR(SEARCH("NO",C248)))</formula>
    </cfRule>
  </conditionalFormatting>
  <conditionalFormatting sqref="C248:E248">
    <cfRule type="containsText" dxfId="5070" priority="5265" operator="containsText" text="NUEVO">
      <formula>NOT(ISERROR(SEARCH("NUEVO",C248)))</formula>
    </cfRule>
  </conditionalFormatting>
  <conditionalFormatting sqref="E248">
    <cfRule type="containsText" dxfId="5069" priority="5264" operator="containsText" text="Sin Información">
      <formula>NOT(ISERROR(SEARCH("Sin Información",E248)))</formula>
    </cfRule>
  </conditionalFormatting>
  <conditionalFormatting sqref="C249:D249">
    <cfRule type="containsText" dxfId="5068" priority="5263" operator="containsText" text="NO+$D$4:$D$10">
      <formula>NOT(ISERROR(SEARCH("NO+$D$4:$D$10",C249)))</formula>
    </cfRule>
  </conditionalFormatting>
  <conditionalFormatting sqref="C249:D249">
    <cfRule type="containsText" dxfId="5067" priority="5261" operator="containsText" text="SI">
      <formula>NOT(ISERROR(SEARCH("SI",C249)))</formula>
    </cfRule>
    <cfRule type="containsText" dxfId="5066" priority="5262" operator="containsText" text="NO">
      <formula>NOT(ISERROR(SEARCH("NO",C249)))</formula>
    </cfRule>
  </conditionalFormatting>
  <conditionalFormatting sqref="C249:E249">
    <cfRule type="containsText" dxfId="5065" priority="5260" operator="containsText" text="NUEVO">
      <formula>NOT(ISERROR(SEARCH("NUEVO",C249)))</formula>
    </cfRule>
  </conditionalFormatting>
  <conditionalFormatting sqref="E249">
    <cfRule type="containsText" dxfId="5064" priority="5259" operator="containsText" text="Sin Información">
      <formula>NOT(ISERROR(SEARCH("Sin Información",E249)))</formula>
    </cfRule>
  </conditionalFormatting>
  <conditionalFormatting sqref="C250:D250">
    <cfRule type="containsText" dxfId="5063" priority="5258" operator="containsText" text="NO+$D$4:$D$10">
      <formula>NOT(ISERROR(SEARCH("NO+$D$4:$D$10",C250)))</formula>
    </cfRule>
  </conditionalFormatting>
  <conditionalFormatting sqref="C250:D250">
    <cfRule type="containsText" dxfId="5062" priority="5256" operator="containsText" text="SI">
      <formula>NOT(ISERROR(SEARCH("SI",C250)))</formula>
    </cfRule>
    <cfRule type="containsText" dxfId="5061" priority="5257" operator="containsText" text="NO">
      <formula>NOT(ISERROR(SEARCH("NO",C250)))</formula>
    </cfRule>
  </conditionalFormatting>
  <conditionalFormatting sqref="C250:E250">
    <cfRule type="containsText" dxfId="5060" priority="5255" operator="containsText" text="NUEVO">
      <formula>NOT(ISERROR(SEARCH("NUEVO",C250)))</formula>
    </cfRule>
  </conditionalFormatting>
  <conditionalFormatting sqref="E250">
    <cfRule type="containsText" dxfId="5059" priority="5254" operator="containsText" text="Sin Información">
      <formula>NOT(ISERROR(SEARCH("Sin Información",E250)))</formula>
    </cfRule>
  </conditionalFormatting>
  <conditionalFormatting sqref="C251:D251">
    <cfRule type="containsText" dxfId="5058" priority="5253" operator="containsText" text="NO+$D$4:$D$10">
      <formula>NOT(ISERROR(SEARCH("NO+$D$4:$D$10",C251)))</formula>
    </cfRule>
  </conditionalFormatting>
  <conditionalFormatting sqref="C251:D251">
    <cfRule type="containsText" dxfId="5057" priority="5251" operator="containsText" text="SI">
      <formula>NOT(ISERROR(SEARCH("SI",C251)))</formula>
    </cfRule>
    <cfRule type="containsText" dxfId="5056" priority="5252" operator="containsText" text="NO">
      <formula>NOT(ISERROR(SEARCH("NO",C251)))</formula>
    </cfRule>
  </conditionalFormatting>
  <conditionalFormatting sqref="C251:E251">
    <cfRule type="containsText" dxfId="5055" priority="5250" operator="containsText" text="NUEVO">
      <formula>NOT(ISERROR(SEARCH("NUEVO",C251)))</formula>
    </cfRule>
  </conditionalFormatting>
  <conditionalFormatting sqref="E251">
    <cfRule type="containsText" dxfId="5054" priority="5249" operator="containsText" text="Sin Información">
      <formula>NOT(ISERROR(SEARCH("Sin Información",E251)))</formula>
    </cfRule>
  </conditionalFormatting>
  <conditionalFormatting sqref="C252:D252">
    <cfRule type="containsText" dxfId="5053" priority="5248" operator="containsText" text="NO+$D$4:$D$10">
      <formula>NOT(ISERROR(SEARCH("NO+$D$4:$D$10",C252)))</formula>
    </cfRule>
  </conditionalFormatting>
  <conditionalFormatting sqref="C252:D252">
    <cfRule type="containsText" dxfId="5052" priority="5246" operator="containsText" text="SI">
      <formula>NOT(ISERROR(SEARCH("SI",C252)))</formula>
    </cfRule>
    <cfRule type="containsText" dxfId="5051" priority="5247" operator="containsText" text="NO">
      <formula>NOT(ISERROR(SEARCH("NO",C252)))</formula>
    </cfRule>
  </conditionalFormatting>
  <conditionalFormatting sqref="C252:E252">
    <cfRule type="containsText" dxfId="5050" priority="5245" operator="containsText" text="NUEVO">
      <formula>NOT(ISERROR(SEARCH("NUEVO",C252)))</formula>
    </cfRule>
  </conditionalFormatting>
  <conditionalFormatting sqref="E252">
    <cfRule type="containsText" dxfId="5049" priority="5244" operator="containsText" text="Sin Información">
      <formula>NOT(ISERROR(SEARCH("Sin Información",E252)))</formula>
    </cfRule>
  </conditionalFormatting>
  <conditionalFormatting sqref="C253:D253">
    <cfRule type="containsText" dxfId="5048" priority="5243" operator="containsText" text="NO+$D$4:$D$10">
      <formula>NOT(ISERROR(SEARCH("NO+$D$4:$D$10",C253)))</formula>
    </cfRule>
  </conditionalFormatting>
  <conditionalFormatting sqref="C253:D253">
    <cfRule type="containsText" dxfId="5047" priority="5241" operator="containsText" text="SI">
      <formula>NOT(ISERROR(SEARCH("SI",C253)))</formula>
    </cfRule>
    <cfRule type="containsText" dxfId="5046" priority="5242" operator="containsText" text="NO">
      <formula>NOT(ISERROR(SEARCH("NO",C253)))</formula>
    </cfRule>
  </conditionalFormatting>
  <conditionalFormatting sqref="C253:E253">
    <cfRule type="containsText" dxfId="5045" priority="5240" operator="containsText" text="NUEVO">
      <formula>NOT(ISERROR(SEARCH("NUEVO",C253)))</formula>
    </cfRule>
  </conditionalFormatting>
  <conditionalFormatting sqref="E253">
    <cfRule type="containsText" dxfId="5044" priority="5239" operator="containsText" text="Sin Información">
      <formula>NOT(ISERROR(SEARCH("Sin Información",E253)))</formula>
    </cfRule>
  </conditionalFormatting>
  <conditionalFormatting sqref="C254:D254">
    <cfRule type="containsText" dxfId="5043" priority="5238" operator="containsText" text="NO+$D$4:$D$10">
      <formula>NOT(ISERROR(SEARCH("NO+$D$4:$D$10",C254)))</formula>
    </cfRule>
  </conditionalFormatting>
  <conditionalFormatting sqref="C254:D254">
    <cfRule type="containsText" dxfId="5042" priority="5236" operator="containsText" text="SI">
      <formula>NOT(ISERROR(SEARCH("SI",C254)))</formula>
    </cfRule>
    <cfRule type="containsText" dxfId="5041" priority="5237" operator="containsText" text="NO">
      <formula>NOT(ISERROR(SEARCH("NO",C254)))</formula>
    </cfRule>
  </conditionalFormatting>
  <conditionalFormatting sqref="C254:E254">
    <cfRule type="containsText" dxfId="5040" priority="5235" operator="containsText" text="NUEVO">
      <formula>NOT(ISERROR(SEARCH("NUEVO",C254)))</formula>
    </cfRule>
  </conditionalFormatting>
  <conditionalFormatting sqref="E254">
    <cfRule type="containsText" dxfId="5039" priority="5234" operator="containsText" text="Sin Información">
      <formula>NOT(ISERROR(SEARCH("Sin Información",E254)))</formula>
    </cfRule>
  </conditionalFormatting>
  <conditionalFormatting sqref="C255:D255">
    <cfRule type="containsText" dxfId="5038" priority="5233" operator="containsText" text="NO+$D$4:$D$10">
      <formula>NOT(ISERROR(SEARCH("NO+$D$4:$D$10",C255)))</formula>
    </cfRule>
  </conditionalFormatting>
  <conditionalFormatting sqref="C255:D255">
    <cfRule type="containsText" dxfId="5037" priority="5231" operator="containsText" text="SI">
      <formula>NOT(ISERROR(SEARCH("SI",C255)))</formula>
    </cfRule>
    <cfRule type="containsText" dxfId="5036" priority="5232" operator="containsText" text="NO">
      <formula>NOT(ISERROR(SEARCH("NO",C255)))</formula>
    </cfRule>
  </conditionalFormatting>
  <conditionalFormatting sqref="C255:E255">
    <cfRule type="containsText" dxfId="5035" priority="5230" operator="containsText" text="NUEVO">
      <formula>NOT(ISERROR(SEARCH("NUEVO",C255)))</formula>
    </cfRule>
  </conditionalFormatting>
  <conditionalFormatting sqref="E255">
    <cfRule type="containsText" dxfId="5034" priority="5229" operator="containsText" text="Sin Información">
      <formula>NOT(ISERROR(SEARCH("Sin Información",E255)))</formula>
    </cfRule>
  </conditionalFormatting>
  <conditionalFormatting sqref="C221:D221">
    <cfRule type="containsText" dxfId="5033" priority="5228" operator="containsText" text="NO+$D$4:$D$10">
      <formula>NOT(ISERROR(SEARCH("NO+$D$4:$D$10",C221)))</formula>
    </cfRule>
  </conditionalFormatting>
  <conditionalFormatting sqref="C221:D221">
    <cfRule type="containsText" dxfId="5032" priority="5226" operator="containsText" text="SI">
      <formula>NOT(ISERROR(SEARCH("SI",C221)))</formula>
    </cfRule>
    <cfRule type="containsText" dxfId="5031" priority="5227" operator="containsText" text="NO">
      <formula>NOT(ISERROR(SEARCH("NO",C221)))</formula>
    </cfRule>
  </conditionalFormatting>
  <conditionalFormatting sqref="C221:E221">
    <cfRule type="containsText" dxfId="5030" priority="5225" operator="containsText" text="NUEVO">
      <formula>NOT(ISERROR(SEARCH("NUEVO",C221)))</formula>
    </cfRule>
  </conditionalFormatting>
  <conditionalFormatting sqref="E221">
    <cfRule type="containsText" dxfId="5029" priority="5224" operator="containsText" text="Sin Información">
      <formula>NOT(ISERROR(SEARCH("Sin Información",E221)))</formula>
    </cfRule>
  </conditionalFormatting>
  <conditionalFormatting sqref="C223:D223">
    <cfRule type="containsText" dxfId="5028" priority="5223" operator="containsText" text="NO+$D$4:$D$10">
      <formula>NOT(ISERROR(SEARCH("NO+$D$4:$D$10",C223)))</formula>
    </cfRule>
  </conditionalFormatting>
  <conditionalFormatting sqref="C223:D223">
    <cfRule type="containsText" dxfId="5027" priority="5221" operator="containsText" text="SI">
      <formula>NOT(ISERROR(SEARCH("SI",C223)))</formula>
    </cfRule>
    <cfRule type="containsText" dxfId="5026" priority="5222" operator="containsText" text="NO">
      <formula>NOT(ISERROR(SEARCH("NO",C223)))</formula>
    </cfRule>
  </conditionalFormatting>
  <conditionalFormatting sqref="C223:E223">
    <cfRule type="containsText" dxfId="5025" priority="5220" operator="containsText" text="NUEVO">
      <formula>NOT(ISERROR(SEARCH("NUEVO",C223)))</formula>
    </cfRule>
  </conditionalFormatting>
  <conditionalFormatting sqref="E223">
    <cfRule type="containsText" dxfId="5024" priority="5219" operator="containsText" text="Sin Información">
      <formula>NOT(ISERROR(SEARCH("Sin Información",E223)))</formula>
    </cfRule>
  </conditionalFormatting>
  <conditionalFormatting sqref="C256:D256">
    <cfRule type="containsText" dxfId="5023" priority="5213" operator="containsText" text="NO+$D$4:$D$10">
      <formula>NOT(ISERROR(SEARCH("NO+$D$4:$D$10",C256)))</formula>
    </cfRule>
  </conditionalFormatting>
  <conditionalFormatting sqref="C256:D256">
    <cfRule type="containsText" dxfId="5022" priority="5211" operator="containsText" text="SI">
      <formula>NOT(ISERROR(SEARCH("SI",C256)))</formula>
    </cfRule>
    <cfRule type="containsText" dxfId="5021" priority="5212" operator="containsText" text="NO">
      <formula>NOT(ISERROR(SEARCH("NO",C256)))</formula>
    </cfRule>
  </conditionalFormatting>
  <conditionalFormatting sqref="C256:E256">
    <cfRule type="containsText" dxfId="5020" priority="5210" operator="containsText" text="NUEVO">
      <formula>NOT(ISERROR(SEARCH("NUEVO",C256)))</formula>
    </cfRule>
  </conditionalFormatting>
  <conditionalFormatting sqref="E256">
    <cfRule type="containsText" dxfId="5019" priority="5209" operator="containsText" text="Sin Información">
      <formula>NOT(ISERROR(SEARCH("Sin Información",E256)))</formula>
    </cfRule>
  </conditionalFormatting>
  <conditionalFormatting sqref="C257:D257">
    <cfRule type="containsText" dxfId="5018" priority="5208" operator="containsText" text="NO+$D$4:$D$10">
      <formula>NOT(ISERROR(SEARCH("NO+$D$4:$D$10",C257)))</formula>
    </cfRule>
  </conditionalFormatting>
  <conditionalFormatting sqref="C257:D257">
    <cfRule type="containsText" dxfId="5017" priority="5206" operator="containsText" text="SI">
      <formula>NOT(ISERROR(SEARCH("SI",C257)))</formula>
    </cfRule>
    <cfRule type="containsText" dxfId="5016" priority="5207" operator="containsText" text="NO">
      <formula>NOT(ISERROR(SEARCH("NO",C257)))</formula>
    </cfRule>
  </conditionalFormatting>
  <conditionalFormatting sqref="C257:E257">
    <cfRule type="containsText" dxfId="5015" priority="5205" operator="containsText" text="NUEVO">
      <formula>NOT(ISERROR(SEARCH("NUEVO",C257)))</formula>
    </cfRule>
  </conditionalFormatting>
  <conditionalFormatting sqref="E257">
    <cfRule type="containsText" dxfId="5014" priority="5204" operator="containsText" text="Sin Información">
      <formula>NOT(ISERROR(SEARCH("Sin Información",E257)))</formula>
    </cfRule>
  </conditionalFormatting>
  <conditionalFormatting sqref="C258:D258">
    <cfRule type="containsText" dxfId="5013" priority="5203" operator="containsText" text="NO+$D$4:$D$10">
      <formula>NOT(ISERROR(SEARCH("NO+$D$4:$D$10",C258)))</formula>
    </cfRule>
  </conditionalFormatting>
  <conditionalFormatting sqref="C258:D258">
    <cfRule type="containsText" dxfId="5012" priority="5201" operator="containsText" text="SI">
      <formula>NOT(ISERROR(SEARCH("SI",C258)))</formula>
    </cfRule>
    <cfRule type="containsText" dxfId="5011" priority="5202" operator="containsText" text="NO">
      <formula>NOT(ISERROR(SEARCH("NO",C258)))</formula>
    </cfRule>
  </conditionalFormatting>
  <conditionalFormatting sqref="C258:E258">
    <cfRule type="containsText" dxfId="5010" priority="5200" operator="containsText" text="NUEVO">
      <formula>NOT(ISERROR(SEARCH("NUEVO",C258)))</formula>
    </cfRule>
  </conditionalFormatting>
  <conditionalFormatting sqref="E258">
    <cfRule type="containsText" dxfId="5009" priority="5199" operator="containsText" text="Sin Información">
      <formula>NOT(ISERROR(SEARCH("Sin Información",E258)))</formula>
    </cfRule>
  </conditionalFormatting>
  <conditionalFormatting sqref="C259:D259">
    <cfRule type="containsText" dxfId="5008" priority="5198" operator="containsText" text="NO+$D$4:$D$10">
      <formula>NOT(ISERROR(SEARCH("NO+$D$4:$D$10",C259)))</formula>
    </cfRule>
  </conditionalFormatting>
  <conditionalFormatting sqref="C259:D259">
    <cfRule type="containsText" dxfId="5007" priority="5196" operator="containsText" text="SI">
      <formula>NOT(ISERROR(SEARCH("SI",C259)))</formula>
    </cfRule>
    <cfRule type="containsText" dxfId="5006" priority="5197" operator="containsText" text="NO">
      <formula>NOT(ISERROR(SEARCH("NO",C259)))</formula>
    </cfRule>
  </conditionalFormatting>
  <conditionalFormatting sqref="C259:E259">
    <cfRule type="containsText" dxfId="5005" priority="5195" operator="containsText" text="NUEVO">
      <formula>NOT(ISERROR(SEARCH("NUEVO",C259)))</formula>
    </cfRule>
  </conditionalFormatting>
  <conditionalFormatting sqref="E259">
    <cfRule type="containsText" dxfId="5004" priority="5194" operator="containsText" text="Sin Información">
      <formula>NOT(ISERROR(SEARCH("Sin Información",E259)))</formula>
    </cfRule>
  </conditionalFormatting>
  <conditionalFormatting sqref="C260:D260">
    <cfRule type="containsText" dxfId="5003" priority="5193" operator="containsText" text="NO+$D$4:$D$10">
      <formula>NOT(ISERROR(SEARCH("NO+$D$4:$D$10",C260)))</formula>
    </cfRule>
  </conditionalFormatting>
  <conditionalFormatting sqref="C260:D260">
    <cfRule type="containsText" dxfId="5002" priority="5191" operator="containsText" text="SI">
      <formula>NOT(ISERROR(SEARCH("SI",C260)))</formula>
    </cfRule>
    <cfRule type="containsText" dxfId="5001" priority="5192" operator="containsText" text="NO">
      <formula>NOT(ISERROR(SEARCH("NO",C260)))</formula>
    </cfRule>
  </conditionalFormatting>
  <conditionalFormatting sqref="C260:E260">
    <cfRule type="containsText" dxfId="5000" priority="5190" operator="containsText" text="NUEVO">
      <formula>NOT(ISERROR(SEARCH("NUEVO",C260)))</formula>
    </cfRule>
  </conditionalFormatting>
  <conditionalFormatting sqref="E260">
    <cfRule type="containsText" dxfId="4999" priority="5189" operator="containsText" text="Sin Información">
      <formula>NOT(ISERROR(SEARCH("Sin Información",E260)))</formula>
    </cfRule>
  </conditionalFormatting>
  <conditionalFormatting sqref="C261:D261">
    <cfRule type="containsText" dxfId="4998" priority="5188" operator="containsText" text="NO+$D$4:$D$10">
      <formula>NOT(ISERROR(SEARCH("NO+$D$4:$D$10",C261)))</formula>
    </cfRule>
  </conditionalFormatting>
  <conditionalFormatting sqref="C261:D261">
    <cfRule type="containsText" dxfId="4997" priority="5186" operator="containsText" text="SI">
      <formula>NOT(ISERROR(SEARCH("SI",C261)))</formula>
    </cfRule>
    <cfRule type="containsText" dxfId="4996" priority="5187" operator="containsText" text="NO">
      <formula>NOT(ISERROR(SEARCH("NO",C261)))</formula>
    </cfRule>
  </conditionalFormatting>
  <conditionalFormatting sqref="C261:E261">
    <cfRule type="containsText" dxfId="4995" priority="5185" operator="containsText" text="NUEVO">
      <formula>NOT(ISERROR(SEARCH("NUEVO",C261)))</formula>
    </cfRule>
  </conditionalFormatting>
  <conditionalFormatting sqref="E261">
    <cfRule type="containsText" dxfId="4994" priority="5184" operator="containsText" text="Sin Información">
      <formula>NOT(ISERROR(SEARCH("Sin Información",E261)))</formula>
    </cfRule>
  </conditionalFormatting>
  <conditionalFormatting sqref="C263:D263">
    <cfRule type="containsText" dxfId="4993" priority="5183" operator="containsText" text="NO+$D$4:$D$10">
      <formula>NOT(ISERROR(SEARCH("NO+$D$4:$D$10",C263)))</formula>
    </cfRule>
  </conditionalFormatting>
  <conditionalFormatting sqref="C263:D263">
    <cfRule type="containsText" dxfId="4992" priority="5181" operator="containsText" text="SI">
      <formula>NOT(ISERROR(SEARCH("SI",C263)))</formula>
    </cfRule>
    <cfRule type="containsText" dxfId="4991" priority="5182" operator="containsText" text="NO">
      <formula>NOT(ISERROR(SEARCH("NO",C263)))</formula>
    </cfRule>
  </conditionalFormatting>
  <conditionalFormatting sqref="E263">
    <cfRule type="containsText" dxfId="4990" priority="5180" operator="containsText" text="Sin información">
      <formula>NOT(ISERROR(SEARCH("Sin información",E263)))</formula>
    </cfRule>
  </conditionalFormatting>
  <conditionalFormatting sqref="C263:E263">
    <cfRule type="containsText" dxfId="4989" priority="5179" operator="containsText" text="NUEVO">
      <formula>NOT(ISERROR(SEARCH("NUEVO",C263)))</formula>
    </cfRule>
  </conditionalFormatting>
  <conditionalFormatting sqref="E263">
    <cfRule type="containsText" dxfId="4988" priority="5178" operator="containsText" text="Sin Información">
      <formula>NOT(ISERROR(SEARCH("Sin Información",E263)))</formula>
    </cfRule>
  </conditionalFormatting>
  <conditionalFormatting sqref="C264:D264">
    <cfRule type="containsText" dxfId="4987" priority="5177" operator="containsText" text="NO+$D$4:$D$10">
      <formula>NOT(ISERROR(SEARCH("NO+$D$4:$D$10",C264)))</formula>
    </cfRule>
  </conditionalFormatting>
  <conditionalFormatting sqref="C264:D264">
    <cfRule type="containsText" dxfId="4986" priority="5175" operator="containsText" text="SI">
      <formula>NOT(ISERROR(SEARCH("SI",C264)))</formula>
    </cfRule>
    <cfRule type="containsText" dxfId="4985" priority="5176" operator="containsText" text="NO">
      <formula>NOT(ISERROR(SEARCH("NO",C264)))</formula>
    </cfRule>
  </conditionalFormatting>
  <conditionalFormatting sqref="E264">
    <cfRule type="containsText" dxfId="4984" priority="5174" operator="containsText" text="Sin información">
      <formula>NOT(ISERROR(SEARCH("Sin información",E264)))</formula>
    </cfRule>
  </conditionalFormatting>
  <conditionalFormatting sqref="C264:E264">
    <cfRule type="containsText" dxfId="4983" priority="5173" operator="containsText" text="NUEVO">
      <formula>NOT(ISERROR(SEARCH("NUEVO",C264)))</formula>
    </cfRule>
  </conditionalFormatting>
  <conditionalFormatting sqref="E264">
    <cfRule type="containsText" dxfId="4982" priority="5172" operator="containsText" text="Sin Información">
      <formula>NOT(ISERROR(SEARCH("Sin Información",E264)))</formula>
    </cfRule>
  </conditionalFormatting>
  <conditionalFormatting sqref="C265:D265">
    <cfRule type="containsText" dxfId="4981" priority="5171" operator="containsText" text="NO+$D$4:$D$10">
      <formula>NOT(ISERROR(SEARCH("NO+$D$4:$D$10",C265)))</formula>
    </cfRule>
  </conditionalFormatting>
  <conditionalFormatting sqref="C265:D265">
    <cfRule type="containsText" dxfId="4980" priority="5169" operator="containsText" text="SI">
      <formula>NOT(ISERROR(SEARCH("SI",C265)))</formula>
    </cfRule>
    <cfRule type="containsText" dxfId="4979" priority="5170" operator="containsText" text="NO">
      <formula>NOT(ISERROR(SEARCH("NO",C265)))</formula>
    </cfRule>
  </conditionalFormatting>
  <conditionalFormatting sqref="E265">
    <cfRule type="containsText" dxfId="4978" priority="5168" operator="containsText" text="Sin información">
      <formula>NOT(ISERROR(SEARCH("Sin información",E265)))</formula>
    </cfRule>
  </conditionalFormatting>
  <conditionalFormatting sqref="C265:E265">
    <cfRule type="containsText" dxfId="4977" priority="5167" operator="containsText" text="NUEVO">
      <formula>NOT(ISERROR(SEARCH("NUEVO",C265)))</formula>
    </cfRule>
  </conditionalFormatting>
  <conditionalFormatting sqref="E265">
    <cfRule type="containsText" dxfId="4976" priority="5166" operator="containsText" text="Sin Información">
      <formula>NOT(ISERROR(SEARCH("Sin Información",E265)))</formula>
    </cfRule>
  </conditionalFormatting>
  <conditionalFormatting sqref="E265">
    <cfRule type="containsText" dxfId="4975" priority="5165" operator="containsText" text="Sin información">
      <formula>NOT(ISERROR(SEARCH("Sin información",E265)))</formula>
    </cfRule>
  </conditionalFormatting>
  <conditionalFormatting sqref="E265">
    <cfRule type="containsText" dxfId="4974" priority="5164" operator="containsText" text="NUEVO">
      <formula>NOT(ISERROR(SEARCH("NUEVO",E265)))</formula>
    </cfRule>
  </conditionalFormatting>
  <conditionalFormatting sqref="C266:D266">
    <cfRule type="containsText" dxfId="4973" priority="5163" operator="containsText" text="NO+$D$4:$D$10">
      <formula>NOT(ISERROR(SEARCH("NO+$D$4:$D$10",C266)))</formula>
    </cfRule>
  </conditionalFormatting>
  <conditionalFormatting sqref="C266:D266">
    <cfRule type="containsText" dxfId="4972" priority="5161" operator="containsText" text="SI">
      <formula>NOT(ISERROR(SEARCH("SI",C266)))</formula>
    </cfRule>
    <cfRule type="containsText" dxfId="4971" priority="5162" operator="containsText" text="NO">
      <formula>NOT(ISERROR(SEARCH("NO",C266)))</formula>
    </cfRule>
  </conditionalFormatting>
  <conditionalFormatting sqref="C266:E266">
    <cfRule type="containsText" dxfId="4970" priority="5160" operator="containsText" text="NUEVO">
      <formula>NOT(ISERROR(SEARCH("NUEVO",C266)))</formula>
    </cfRule>
  </conditionalFormatting>
  <conditionalFormatting sqref="E266">
    <cfRule type="containsText" dxfId="4969" priority="5159" operator="containsText" text="Sin Información">
      <formula>NOT(ISERROR(SEARCH("Sin Información",E266)))</formula>
    </cfRule>
  </conditionalFormatting>
  <conditionalFormatting sqref="C267:D267">
    <cfRule type="containsText" dxfId="4968" priority="5158" operator="containsText" text="NO+$D$4:$D$10">
      <formula>NOT(ISERROR(SEARCH("NO+$D$4:$D$10",C267)))</formula>
    </cfRule>
  </conditionalFormatting>
  <conditionalFormatting sqref="C267:D267">
    <cfRule type="containsText" dxfId="4967" priority="5156" operator="containsText" text="SI">
      <formula>NOT(ISERROR(SEARCH("SI",C267)))</formula>
    </cfRule>
    <cfRule type="containsText" dxfId="4966" priority="5157" operator="containsText" text="NO">
      <formula>NOT(ISERROR(SEARCH("NO",C267)))</formula>
    </cfRule>
  </conditionalFormatting>
  <conditionalFormatting sqref="C267:E267">
    <cfRule type="containsText" dxfId="4965" priority="5155" operator="containsText" text="NUEVO">
      <formula>NOT(ISERROR(SEARCH("NUEVO",C267)))</formula>
    </cfRule>
  </conditionalFormatting>
  <conditionalFormatting sqref="E267">
    <cfRule type="containsText" dxfId="4964" priority="5154" operator="containsText" text="Sin Información">
      <formula>NOT(ISERROR(SEARCH("Sin Información",E267)))</formula>
    </cfRule>
  </conditionalFormatting>
  <conditionalFormatting sqref="C268:D268">
    <cfRule type="containsText" dxfId="4963" priority="5153" operator="containsText" text="NO+$D$4:$D$10">
      <formula>NOT(ISERROR(SEARCH("NO+$D$4:$D$10",C268)))</formula>
    </cfRule>
  </conditionalFormatting>
  <conditionalFormatting sqref="C268:D268">
    <cfRule type="containsText" dxfId="4962" priority="5151" operator="containsText" text="SI">
      <formula>NOT(ISERROR(SEARCH("SI",C268)))</formula>
    </cfRule>
    <cfRule type="containsText" dxfId="4961" priority="5152" operator="containsText" text="NO">
      <formula>NOT(ISERROR(SEARCH("NO",C268)))</formula>
    </cfRule>
  </conditionalFormatting>
  <conditionalFormatting sqref="C268:E268">
    <cfRule type="containsText" dxfId="4960" priority="5150" operator="containsText" text="NUEVO">
      <formula>NOT(ISERROR(SEARCH("NUEVO",C268)))</formula>
    </cfRule>
  </conditionalFormatting>
  <conditionalFormatting sqref="E268">
    <cfRule type="containsText" dxfId="4959" priority="5149" operator="containsText" text="Sin Información">
      <formula>NOT(ISERROR(SEARCH("Sin Información",E268)))</formula>
    </cfRule>
  </conditionalFormatting>
  <conditionalFormatting sqref="C269:D269">
    <cfRule type="containsText" dxfId="4958" priority="5148" operator="containsText" text="NO+$D$4:$D$10">
      <formula>NOT(ISERROR(SEARCH("NO+$D$4:$D$10",C269)))</formula>
    </cfRule>
  </conditionalFormatting>
  <conditionalFormatting sqref="C269:D269">
    <cfRule type="containsText" dxfId="4957" priority="5146" operator="containsText" text="SI">
      <formula>NOT(ISERROR(SEARCH("SI",C269)))</formula>
    </cfRule>
    <cfRule type="containsText" dxfId="4956" priority="5147" operator="containsText" text="NO">
      <formula>NOT(ISERROR(SEARCH("NO",C269)))</formula>
    </cfRule>
  </conditionalFormatting>
  <conditionalFormatting sqref="C269:E269">
    <cfRule type="containsText" dxfId="4955" priority="5145" operator="containsText" text="NUEVO">
      <formula>NOT(ISERROR(SEARCH("NUEVO",C269)))</formula>
    </cfRule>
  </conditionalFormatting>
  <conditionalFormatting sqref="E269">
    <cfRule type="containsText" dxfId="4954" priority="5144" operator="containsText" text="Sin Información">
      <formula>NOT(ISERROR(SEARCH("Sin Información",E269)))</formula>
    </cfRule>
  </conditionalFormatting>
  <conditionalFormatting sqref="C270:D270">
    <cfRule type="containsText" dxfId="4953" priority="5143" operator="containsText" text="NO+$D$4:$D$10">
      <formula>NOT(ISERROR(SEARCH("NO+$D$4:$D$10",C270)))</formula>
    </cfRule>
  </conditionalFormatting>
  <conditionalFormatting sqref="C270:D270">
    <cfRule type="containsText" dxfId="4952" priority="5141" operator="containsText" text="SI">
      <formula>NOT(ISERROR(SEARCH("SI",C270)))</formula>
    </cfRule>
    <cfRule type="containsText" dxfId="4951" priority="5142" operator="containsText" text="NO">
      <formula>NOT(ISERROR(SEARCH("NO",C270)))</formula>
    </cfRule>
  </conditionalFormatting>
  <conditionalFormatting sqref="C270:E270">
    <cfRule type="containsText" dxfId="4950" priority="5140" operator="containsText" text="NUEVO">
      <formula>NOT(ISERROR(SEARCH("NUEVO",C270)))</formula>
    </cfRule>
  </conditionalFormatting>
  <conditionalFormatting sqref="E270">
    <cfRule type="containsText" dxfId="4949" priority="5139" operator="containsText" text="Sin Información">
      <formula>NOT(ISERROR(SEARCH("Sin Información",E270)))</formula>
    </cfRule>
  </conditionalFormatting>
  <conditionalFormatting sqref="C271:D271">
    <cfRule type="containsText" dxfId="4948" priority="5138" operator="containsText" text="NO+$D$4:$D$10">
      <formula>NOT(ISERROR(SEARCH("NO+$D$4:$D$10",C271)))</formula>
    </cfRule>
  </conditionalFormatting>
  <conditionalFormatting sqref="C271:D271">
    <cfRule type="containsText" dxfId="4947" priority="5136" operator="containsText" text="SI">
      <formula>NOT(ISERROR(SEARCH("SI",C271)))</formula>
    </cfRule>
    <cfRule type="containsText" dxfId="4946" priority="5137" operator="containsText" text="NO">
      <formula>NOT(ISERROR(SEARCH("NO",C271)))</formula>
    </cfRule>
  </conditionalFormatting>
  <conditionalFormatting sqref="C271:E271">
    <cfRule type="containsText" dxfId="4945" priority="5135" operator="containsText" text="NUEVO">
      <formula>NOT(ISERROR(SEARCH("NUEVO",C271)))</formula>
    </cfRule>
  </conditionalFormatting>
  <conditionalFormatting sqref="E271">
    <cfRule type="containsText" dxfId="4944" priority="5134" operator="containsText" text="Sin Información">
      <formula>NOT(ISERROR(SEARCH("Sin Información",E271)))</formula>
    </cfRule>
  </conditionalFormatting>
  <conditionalFormatting sqref="C272:D272">
    <cfRule type="containsText" dxfId="4943" priority="5133" operator="containsText" text="NO+$D$4:$D$10">
      <formula>NOT(ISERROR(SEARCH("NO+$D$4:$D$10",C272)))</formula>
    </cfRule>
  </conditionalFormatting>
  <conditionalFormatting sqref="C272:D272">
    <cfRule type="containsText" dxfId="4942" priority="5131" operator="containsText" text="SI">
      <formula>NOT(ISERROR(SEARCH("SI",C272)))</formula>
    </cfRule>
    <cfRule type="containsText" dxfId="4941" priority="5132" operator="containsText" text="NO">
      <formula>NOT(ISERROR(SEARCH("NO",C272)))</formula>
    </cfRule>
  </conditionalFormatting>
  <conditionalFormatting sqref="C272:E272">
    <cfRule type="containsText" dxfId="4940" priority="5130" operator="containsText" text="NUEVO">
      <formula>NOT(ISERROR(SEARCH("NUEVO",C272)))</formula>
    </cfRule>
  </conditionalFormatting>
  <conditionalFormatting sqref="E272">
    <cfRule type="containsText" dxfId="4939" priority="5129" operator="containsText" text="Sin Información">
      <formula>NOT(ISERROR(SEARCH("Sin Información",E272)))</formula>
    </cfRule>
  </conditionalFormatting>
  <conditionalFormatting sqref="C273:D273">
    <cfRule type="containsText" dxfId="4938" priority="5128" operator="containsText" text="NO+$D$4:$D$10">
      <formula>NOT(ISERROR(SEARCH("NO+$D$4:$D$10",C273)))</formula>
    </cfRule>
  </conditionalFormatting>
  <conditionalFormatting sqref="C273:D273">
    <cfRule type="containsText" dxfId="4937" priority="5126" operator="containsText" text="SI">
      <formula>NOT(ISERROR(SEARCH("SI",C273)))</formula>
    </cfRule>
    <cfRule type="containsText" dxfId="4936" priority="5127" operator="containsText" text="NO">
      <formula>NOT(ISERROR(SEARCH("NO",C273)))</formula>
    </cfRule>
  </conditionalFormatting>
  <conditionalFormatting sqref="C273:E273">
    <cfRule type="containsText" dxfId="4935" priority="5125" operator="containsText" text="NUEVO">
      <formula>NOT(ISERROR(SEARCH("NUEVO",C273)))</formula>
    </cfRule>
  </conditionalFormatting>
  <conditionalFormatting sqref="E273">
    <cfRule type="containsText" dxfId="4934" priority="5124" operator="containsText" text="Sin Información">
      <formula>NOT(ISERROR(SEARCH("Sin Información",E273)))</formula>
    </cfRule>
  </conditionalFormatting>
  <conditionalFormatting sqref="C274:D274">
    <cfRule type="containsText" dxfId="4933" priority="5123" operator="containsText" text="NO+$D$4:$D$10">
      <formula>NOT(ISERROR(SEARCH("NO+$D$4:$D$10",C274)))</formula>
    </cfRule>
  </conditionalFormatting>
  <conditionalFormatting sqref="C274:D274">
    <cfRule type="containsText" dxfId="4932" priority="5121" operator="containsText" text="SI">
      <formula>NOT(ISERROR(SEARCH("SI",C274)))</formula>
    </cfRule>
    <cfRule type="containsText" dxfId="4931" priority="5122" operator="containsText" text="NO">
      <formula>NOT(ISERROR(SEARCH("NO",C274)))</formula>
    </cfRule>
  </conditionalFormatting>
  <conditionalFormatting sqref="C274:E274">
    <cfRule type="containsText" dxfId="4930" priority="5120" operator="containsText" text="NUEVO">
      <formula>NOT(ISERROR(SEARCH("NUEVO",C274)))</formula>
    </cfRule>
  </conditionalFormatting>
  <conditionalFormatting sqref="E274">
    <cfRule type="containsText" dxfId="4929" priority="5119" operator="containsText" text="Sin Información">
      <formula>NOT(ISERROR(SEARCH("Sin Información",E274)))</formula>
    </cfRule>
  </conditionalFormatting>
  <conditionalFormatting sqref="C275:D275">
    <cfRule type="containsText" dxfId="4928" priority="5118" operator="containsText" text="NO+$D$4:$D$10">
      <formula>NOT(ISERROR(SEARCH("NO+$D$4:$D$10",C275)))</formula>
    </cfRule>
  </conditionalFormatting>
  <conditionalFormatting sqref="C275:D275">
    <cfRule type="containsText" dxfId="4927" priority="5116" operator="containsText" text="SI">
      <formula>NOT(ISERROR(SEARCH("SI",C275)))</formula>
    </cfRule>
    <cfRule type="containsText" dxfId="4926" priority="5117" operator="containsText" text="NO">
      <formula>NOT(ISERROR(SEARCH("NO",C275)))</formula>
    </cfRule>
  </conditionalFormatting>
  <conditionalFormatting sqref="C275:D275">
    <cfRule type="containsText" dxfId="4925" priority="5115" operator="containsText" text="NUEVO">
      <formula>NOT(ISERROR(SEARCH("NUEVO",C275)))</formula>
    </cfRule>
  </conditionalFormatting>
  <conditionalFormatting sqref="E275">
    <cfRule type="containsText" dxfId="4924" priority="5114" operator="containsText" text="NUEVO">
      <formula>NOT(ISERROR(SEARCH("NUEVO",E275)))</formula>
    </cfRule>
  </conditionalFormatting>
  <conditionalFormatting sqref="E275">
    <cfRule type="containsText" dxfId="4923" priority="5113" operator="containsText" text="Sin Información">
      <formula>NOT(ISERROR(SEARCH("Sin Información",E275)))</formula>
    </cfRule>
  </conditionalFormatting>
  <conditionalFormatting sqref="C277:D277">
    <cfRule type="containsText" dxfId="4922" priority="5112" operator="containsText" text="NO+$D$4:$D$10">
      <formula>NOT(ISERROR(SEARCH("NO+$D$4:$D$10",C277)))</formula>
    </cfRule>
  </conditionalFormatting>
  <conditionalFormatting sqref="C277:D277">
    <cfRule type="containsText" dxfId="4921" priority="5110" operator="containsText" text="SI">
      <formula>NOT(ISERROR(SEARCH("SI",C277)))</formula>
    </cfRule>
    <cfRule type="containsText" dxfId="4920" priority="5111" operator="containsText" text="NO">
      <formula>NOT(ISERROR(SEARCH("NO",C277)))</formula>
    </cfRule>
  </conditionalFormatting>
  <conditionalFormatting sqref="C277:D277">
    <cfRule type="containsText" dxfId="4919" priority="5109" operator="containsText" text="NUEVO">
      <formula>NOT(ISERROR(SEARCH("NUEVO",C277)))</formula>
    </cfRule>
  </conditionalFormatting>
  <conditionalFormatting sqref="E277">
    <cfRule type="containsText" dxfId="4918" priority="5108" operator="containsText" text="NUEVO">
      <formula>NOT(ISERROR(SEARCH("NUEVO",E277)))</formula>
    </cfRule>
  </conditionalFormatting>
  <conditionalFormatting sqref="E277">
    <cfRule type="containsText" dxfId="4917" priority="5107" operator="containsText" text="Sin Información">
      <formula>NOT(ISERROR(SEARCH("Sin Información",E277)))</formula>
    </cfRule>
  </conditionalFormatting>
  <conditionalFormatting sqref="C278:D278">
    <cfRule type="containsText" dxfId="4916" priority="5106" operator="containsText" text="NO+$D$4:$D$10">
      <formula>NOT(ISERROR(SEARCH("NO+$D$4:$D$10",C278)))</formula>
    </cfRule>
  </conditionalFormatting>
  <conditionalFormatting sqref="C278:D278">
    <cfRule type="containsText" dxfId="4915" priority="5104" operator="containsText" text="SI">
      <formula>NOT(ISERROR(SEARCH("SI",C278)))</formula>
    </cfRule>
    <cfRule type="containsText" dxfId="4914" priority="5105" operator="containsText" text="NO">
      <formula>NOT(ISERROR(SEARCH("NO",C278)))</formula>
    </cfRule>
  </conditionalFormatting>
  <conditionalFormatting sqref="C278:E278">
    <cfRule type="containsText" dxfId="4913" priority="5103" operator="containsText" text="NUEVO">
      <formula>NOT(ISERROR(SEARCH("NUEVO",C278)))</formula>
    </cfRule>
  </conditionalFormatting>
  <conditionalFormatting sqref="E278">
    <cfRule type="containsText" dxfId="4912" priority="5102" operator="containsText" text="Sin Información">
      <formula>NOT(ISERROR(SEARCH("Sin Información",E278)))</formula>
    </cfRule>
  </conditionalFormatting>
  <conditionalFormatting sqref="C279:D279">
    <cfRule type="containsText" dxfId="4911" priority="5101" operator="containsText" text="NO+$D$4:$D$10">
      <formula>NOT(ISERROR(SEARCH("NO+$D$4:$D$10",C279)))</formula>
    </cfRule>
  </conditionalFormatting>
  <conditionalFormatting sqref="C279:D279">
    <cfRule type="containsText" dxfId="4910" priority="5099" operator="containsText" text="SI">
      <formula>NOT(ISERROR(SEARCH("SI",C279)))</formula>
    </cfRule>
    <cfRule type="containsText" dxfId="4909" priority="5100" operator="containsText" text="NO">
      <formula>NOT(ISERROR(SEARCH("NO",C279)))</formula>
    </cfRule>
  </conditionalFormatting>
  <conditionalFormatting sqref="C279:E279">
    <cfRule type="containsText" dxfId="4908" priority="5098" operator="containsText" text="NUEVO">
      <formula>NOT(ISERROR(SEARCH("NUEVO",C279)))</formula>
    </cfRule>
  </conditionalFormatting>
  <conditionalFormatting sqref="E279">
    <cfRule type="containsText" dxfId="4907" priority="5097" operator="containsText" text="Sin Información">
      <formula>NOT(ISERROR(SEARCH("Sin Información",E279)))</formula>
    </cfRule>
  </conditionalFormatting>
  <conditionalFormatting sqref="C280:D280">
    <cfRule type="containsText" dxfId="4906" priority="5096" operator="containsText" text="NO+$D$4:$D$10">
      <formula>NOT(ISERROR(SEARCH("NO+$D$4:$D$10",C280)))</formula>
    </cfRule>
  </conditionalFormatting>
  <conditionalFormatting sqref="C280:D280">
    <cfRule type="containsText" dxfId="4905" priority="5094" operator="containsText" text="SI">
      <formula>NOT(ISERROR(SEARCH("SI",C280)))</formula>
    </cfRule>
    <cfRule type="containsText" dxfId="4904" priority="5095" operator="containsText" text="NO">
      <formula>NOT(ISERROR(SEARCH("NO",C280)))</formula>
    </cfRule>
  </conditionalFormatting>
  <conditionalFormatting sqref="C280:E280">
    <cfRule type="containsText" dxfId="4903" priority="5093" operator="containsText" text="NUEVO">
      <formula>NOT(ISERROR(SEARCH("NUEVO",C280)))</formula>
    </cfRule>
  </conditionalFormatting>
  <conditionalFormatting sqref="E280">
    <cfRule type="containsText" dxfId="4902" priority="5092" operator="containsText" text="Sin Información">
      <formula>NOT(ISERROR(SEARCH("Sin Información",E280)))</formula>
    </cfRule>
  </conditionalFormatting>
  <conditionalFormatting sqref="C281:D281">
    <cfRule type="containsText" dxfId="4901" priority="5091" operator="containsText" text="NO+$D$4:$D$10">
      <formula>NOT(ISERROR(SEARCH("NO+$D$4:$D$10",C281)))</formula>
    </cfRule>
  </conditionalFormatting>
  <conditionalFormatting sqref="C281:D281">
    <cfRule type="containsText" dxfId="4900" priority="5089" operator="containsText" text="SI">
      <formula>NOT(ISERROR(SEARCH("SI",C281)))</formula>
    </cfRule>
    <cfRule type="containsText" dxfId="4899" priority="5090" operator="containsText" text="NO">
      <formula>NOT(ISERROR(SEARCH("NO",C281)))</formula>
    </cfRule>
  </conditionalFormatting>
  <conditionalFormatting sqref="C281:E281">
    <cfRule type="containsText" dxfId="4898" priority="5088" operator="containsText" text="NUEVO">
      <formula>NOT(ISERROR(SEARCH("NUEVO",C281)))</formula>
    </cfRule>
  </conditionalFormatting>
  <conditionalFormatting sqref="E281">
    <cfRule type="containsText" dxfId="4897" priority="5087" operator="containsText" text="Sin Información">
      <formula>NOT(ISERROR(SEARCH("Sin Información",E281)))</formula>
    </cfRule>
  </conditionalFormatting>
  <conditionalFormatting sqref="C282:D282">
    <cfRule type="containsText" dxfId="4896" priority="5086" operator="containsText" text="NO+$D$4:$D$10">
      <formula>NOT(ISERROR(SEARCH("NO+$D$4:$D$10",C282)))</formula>
    </cfRule>
  </conditionalFormatting>
  <conditionalFormatting sqref="C282:D282">
    <cfRule type="containsText" dxfId="4895" priority="5084" operator="containsText" text="SI">
      <formula>NOT(ISERROR(SEARCH("SI",C282)))</formula>
    </cfRule>
    <cfRule type="containsText" dxfId="4894" priority="5085" operator="containsText" text="NO">
      <formula>NOT(ISERROR(SEARCH("NO",C282)))</formula>
    </cfRule>
  </conditionalFormatting>
  <conditionalFormatting sqref="C282:E282">
    <cfRule type="containsText" dxfId="4893" priority="5083" operator="containsText" text="NUEVO">
      <formula>NOT(ISERROR(SEARCH("NUEVO",C282)))</formula>
    </cfRule>
  </conditionalFormatting>
  <conditionalFormatting sqref="E282">
    <cfRule type="containsText" dxfId="4892" priority="5082" operator="containsText" text="Sin Información">
      <formula>NOT(ISERROR(SEARCH("Sin Información",E282)))</formula>
    </cfRule>
  </conditionalFormatting>
  <conditionalFormatting sqref="C283:D283">
    <cfRule type="containsText" dxfId="4891" priority="5081" operator="containsText" text="NO+$D$4:$D$10">
      <formula>NOT(ISERROR(SEARCH("NO+$D$4:$D$10",C283)))</formula>
    </cfRule>
  </conditionalFormatting>
  <conditionalFormatting sqref="C283:D283">
    <cfRule type="containsText" dxfId="4890" priority="5079" operator="containsText" text="SI">
      <formula>NOT(ISERROR(SEARCH("SI",C283)))</formula>
    </cfRule>
    <cfRule type="containsText" dxfId="4889" priority="5080" operator="containsText" text="NO">
      <formula>NOT(ISERROR(SEARCH("NO",C283)))</formula>
    </cfRule>
  </conditionalFormatting>
  <conditionalFormatting sqref="C283:E283">
    <cfRule type="containsText" dxfId="4888" priority="5078" operator="containsText" text="NUEVO">
      <formula>NOT(ISERROR(SEARCH("NUEVO",C283)))</formula>
    </cfRule>
  </conditionalFormatting>
  <conditionalFormatting sqref="E283">
    <cfRule type="containsText" dxfId="4887" priority="5077" operator="containsText" text="Sin Información">
      <formula>NOT(ISERROR(SEARCH("Sin Información",E283)))</formula>
    </cfRule>
  </conditionalFormatting>
  <conditionalFormatting sqref="C285:D285">
    <cfRule type="containsText" dxfId="4886" priority="5076" operator="containsText" text="NO+$D$4:$D$10">
      <formula>NOT(ISERROR(SEARCH("NO+$D$4:$D$10",C285)))</formula>
    </cfRule>
  </conditionalFormatting>
  <conditionalFormatting sqref="C285:D285">
    <cfRule type="containsText" dxfId="4885" priority="5074" operator="containsText" text="SI">
      <formula>NOT(ISERROR(SEARCH("SI",C285)))</formula>
    </cfRule>
    <cfRule type="containsText" dxfId="4884" priority="5075" operator="containsText" text="NO">
      <formula>NOT(ISERROR(SEARCH("NO",C285)))</formula>
    </cfRule>
  </conditionalFormatting>
  <conditionalFormatting sqref="C285:D285">
    <cfRule type="containsText" dxfId="4883" priority="5073" operator="containsText" text="NUEVO">
      <formula>NOT(ISERROR(SEARCH("NUEVO",C285)))</formula>
    </cfRule>
  </conditionalFormatting>
  <conditionalFormatting sqref="E285">
    <cfRule type="containsText" dxfId="4882" priority="5072" operator="containsText" text="NUEVO">
      <formula>NOT(ISERROR(SEARCH("NUEVO",E285)))</formula>
    </cfRule>
  </conditionalFormatting>
  <conditionalFormatting sqref="E285">
    <cfRule type="containsText" dxfId="4881" priority="5071" operator="containsText" text="Sin Información">
      <formula>NOT(ISERROR(SEARCH("Sin Información",E285)))</formula>
    </cfRule>
  </conditionalFormatting>
  <conditionalFormatting sqref="C286:D286">
    <cfRule type="containsText" dxfId="4880" priority="5070" operator="containsText" text="NO+$D$4:$D$10">
      <formula>NOT(ISERROR(SEARCH("NO+$D$4:$D$10",C286)))</formula>
    </cfRule>
  </conditionalFormatting>
  <conditionalFormatting sqref="C286:D286">
    <cfRule type="containsText" dxfId="4879" priority="5068" operator="containsText" text="SI">
      <formula>NOT(ISERROR(SEARCH("SI",C286)))</formula>
    </cfRule>
    <cfRule type="containsText" dxfId="4878" priority="5069" operator="containsText" text="NO">
      <formula>NOT(ISERROR(SEARCH("NO",C286)))</formula>
    </cfRule>
  </conditionalFormatting>
  <conditionalFormatting sqref="E286">
    <cfRule type="containsText" dxfId="4877" priority="5067" operator="containsText" text="Sin información">
      <formula>NOT(ISERROR(SEARCH("Sin información",E286)))</formula>
    </cfRule>
  </conditionalFormatting>
  <conditionalFormatting sqref="C286:E286">
    <cfRule type="containsText" dxfId="4876" priority="5066" operator="containsText" text="NUEVO">
      <formula>NOT(ISERROR(SEARCH("NUEVO",C286)))</formula>
    </cfRule>
  </conditionalFormatting>
  <conditionalFormatting sqref="E286">
    <cfRule type="containsText" dxfId="4875" priority="5065" operator="containsText" text="Sin Información">
      <formula>NOT(ISERROR(SEARCH("Sin Información",E286)))</formula>
    </cfRule>
  </conditionalFormatting>
  <conditionalFormatting sqref="E286">
    <cfRule type="containsText" dxfId="4874" priority="5064" operator="containsText" text="Sin información">
      <formula>NOT(ISERROR(SEARCH("Sin información",E286)))</formula>
    </cfRule>
  </conditionalFormatting>
  <conditionalFormatting sqref="E286">
    <cfRule type="containsText" dxfId="4873" priority="5063" operator="containsText" text="NUEVO">
      <formula>NOT(ISERROR(SEARCH("NUEVO",E286)))</formula>
    </cfRule>
  </conditionalFormatting>
  <conditionalFormatting sqref="C287:D287">
    <cfRule type="containsText" dxfId="4872" priority="5062" operator="containsText" text="NO+$D$4:$D$10">
      <formula>NOT(ISERROR(SEARCH("NO+$D$4:$D$10",C287)))</formula>
    </cfRule>
  </conditionalFormatting>
  <conditionalFormatting sqref="C287:D287">
    <cfRule type="containsText" dxfId="4871" priority="5060" operator="containsText" text="SI">
      <formula>NOT(ISERROR(SEARCH("SI",C287)))</formula>
    </cfRule>
    <cfRule type="containsText" dxfId="4870" priority="5061" operator="containsText" text="NO">
      <formula>NOT(ISERROR(SEARCH("NO",C287)))</formula>
    </cfRule>
  </conditionalFormatting>
  <conditionalFormatting sqref="E287">
    <cfRule type="containsText" dxfId="4869" priority="5059" operator="containsText" text="Sin información">
      <formula>NOT(ISERROR(SEARCH("Sin información",E287)))</formula>
    </cfRule>
  </conditionalFormatting>
  <conditionalFormatting sqref="C287:E287">
    <cfRule type="containsText" dxfId="4868" priority="5058" operator="containsText" text="NUEVO">
      <formula>NOT(ISERROR(SEARCH("NUEVO",C287)))</formula>
    </cfRule>
  </conditionalFormatting>
  <conditionalFormatting sqref="E287">
    <cfRule type="containsText" dxfId="4867" priority="5057" operator="containsText" text="Sin Información">
      <formula>NOT(ISERROR(SEARCH("Sin Información",E287)))</formula>
    </cfRule>
  </conditionalFormatting>
  <conditionalFormatting sqref="E287">
    <cfRule type="containsText" dxfId="4866" priority="5056" operator="containsText" text="Sin información">
      <formula>NOT(ISERROR(SEARCH("Sin información",E287)))</formula>
    </cfRule>
  </conditionalFormatting>
  <conditionalFormatting sqref="E287">
    <cfRule type="containsText" dxfId="4865" priority="5055" operator="containsText" text="NUEVO">
      <formula>NOT(ISERROR(SEARCH("NUEVO",E287)))</formula>
    </cfRule>
  </conditionalFormatting>
  <conditionalFormatting sqref="C288:D288">
    <cfRule type="containsText" dxfId="4864" priority="5054" operator="containsText" text="NO+$D$4:$D$10">
      <formula>NOT(ISERROR(SEARCH("NO+$D$4:$D$10",C288)))</formula>
    </cfRule>
  </conditionalFormatting>
  <conditionalFormatting sqref="C288:D288">
    <cfRule type="containsText" dxfId="4863" priority="5052" operator="containsText" text="SI">
      <formula>NOT(ISERROR(SEARCH("SI",C288)))</formula>
    </cfRule>
    <cfRule type="containsText" dxfId="4862" priority="5053" operator="containsText" text="NO">
      <formula>NOT(ISERROR(SEARCH("NO",C288)))</formula>
    </cfRule>
  </conditionalFormatting>
  <conditionalFormatting sqref="C288:E288">
    <cfRule type="containsText" dxfId="4861" priority="5051" operator="containsText" text="NUEVO">
      <formula>NOT(ISERROR(SEARCH("NUEVO",C288)))</formula>
    </cfRule>
  </conditionalFormatting>
  <conditionalFormatting sqref="E288">
    <cfRule type="containsText" dxfId="4860" priority="5050" operator="containsText" text="Sin Información">
      <formula>NOT(ISERROR(SEARCH("Sin Información",E288)))</formula>
    </cfRule>
  </conditionalFormatting>
  <conditionalFormatting sqref="C289:D289">
    <cfRule type="containsText" dxfId="4859" priority="5049" operator="containsText" text="NO+$D$4:$D$10">
      <formula>NOT(ISERROR(SEARCH("NO+$D$4:$D$10",C289)))</formula>
    </cfRule>
  </conditionalFormatting>
  <conditionalFormatting sqref="C289:D289">
    <cfRule type="containsText" dxfId="4858" priority="5047" operator="containsText" text="SI">
      <formula>NOT(ISERROR(SEARCH("SI",C289)))</formula>
    </cfRule>
    <cfRule type="containsText" dxfId="4857" priority="5048" operator="containsText" text="NO">
      <formula>NOT(ISERROR(SEARCH("NO",C289)))</formula>
    </cfRule>
  </conditionalFormatting>
  <conditionalFormatting sqref="C289:E289">
    <cfRule type="containsText" dxfId="4856" priority="5046" operator="containsText" text="NUEVO">
      <formula>NOT(ISERROR(SEARCH("NUEVO",C289)))</formula>
    </cfRule>
  </conditionalFormatting>
  <conditionalFormatting sqref="E289">
    <cfRule type="containsText" dxfId="4855" priority="5045" operator="containsText" text="Sin Información">
      <formula>NOT(ISERROR(SEARCH("Sin Información",E289)))</formula>
    </cfRule>
  </conditionalFormatting>
  <conditionalFormatting sqref="C290:D290">
    <cfRule type="containsText" dxfId="4854" priority="5044" operator="containsText" text="NO+$D$4:$D$10">
      <formula>NOT(ISERROR(SEARCH("NO+$D$4:$D$10",C290)))</formula>
    </cfRule>
  </conditionalFormatting>
  <conditionalFormatting sqref="C290:D290">
    <cfRule type="containsText" dxfId="4853" priority="5042" operator="containsText" text="SI">
      <formula>NOT(ISERROR(SEARCH("SI",C290)))</formula>
    </cfRule>
    <cfRule type="containsText" dxfId="4852" priority="5043" operator="containsText" text="NO">
      <formula>NOT(ISERROR(SEARCH("NO",C290)))</formula>
    </cfRule>
  </conditionalFormatting>
  <conditionalFormatting sqref="C290:E290">
    <cfRule type="containsText" dxfId="4851" priority="5041" operator="containsText" text="NUEVO">
      <formula>NOT(ISERROR(SEARCH("NUEVO",C290)))</formula>
    </cfRule>
  </conditionalFormatting>
  <conditionalFormatting sqref="E290">
    <cfRule type="containsText" dxfId="4850" priority="5040" operator="containsText" text="Sin Información">
      <formula>NOT(ISERROR(SEARCH("Sin Información",E290)))</formula>
    </cfRule>
  </conditionalFormatting>
  <conditionalFormatting sqref="C291:D291">
    <cfRule type="containsText" dxfId="4849" priority="5039" operator="containsText" text="NO+$D$4:$D$10">
      <formula>NOT(ISERROR(SEARCH("NO+$D$4:$D$10",C291)))</formula>
    </cfRule>
  </conditionalFormatting>
  <conditionalFormatting sqref="C291:D291">
    <cfRule type="containsText" dxfId="4848" priority="5037" operator="containsText" text="SI">
      <formula>NOT(ISERROR(SEARCH("SI",C291)))</formula>
    </cfRule>
    <cfRule type="containsText" dxfId="4847" priority="5038" operator="containsText" text="NO">
      <formula>NOT(ISERROR(SEARCH("NO",C291)))</formula>
    </cfRule>
  </conditionalFormatting>
  <conditionalFormatting sqref="C291:E291">
    <cfRule type="containsText" dxfId="4846" priority="5036" operator="containsText" text="NUEVO">
      <formula>NOT(ISERROR(SEARCH("NUEVO",C291)))</formula>
    </cfRule>
  </conditionalFormatting>
  <conditionalFormatting sqref="E291">
    <cfRule type="containsText" dxfId="4845" priority="5035" operator="containsText" text="Sin Información">
      <formula>NOT(ISERROR(SEARCH("Sin Información",E291)))</formula>
    </cfRule>
  </conditionalFormatting>
  <conditionalFormatting sqref="C292:D292">
    <cfRule type="containsText" dxfId="4844" priority="5034" operator="containsText" text="NO+$D$4:$D$10">
      <formula>NOT(ISERROR(SEARCH("NO+$D$4:$D$10",C292)))</formula>
    </cfRule>
  </conditionalFormatting>
  <conditionalFormatting sqref="C292:D292">
    <cfRule type="containsText" dxfId="4843" priority="5032" operator="containsText" text="SI">
      <formula>NOT(ISERROR(SEARCH("SI",C292)))</formula>
    </cfRule>
    <cfRule type="containsText" dxfId="4842" priority="5033" operator="containsText" text="NO">
      <formula>NOT(ISERROR(SEARCH("NO",C292)))</formula>
    </cfRule>
  </conditionalFormatting>
  <conditionalFormatting sqref="C292:E292">
    <cfRule type="containsText" dxfId="4841" priority="5031" operator="containsText" text="NUEVO">
      <formula>NOT(ISERROR(SEARCH("NUEVO",C292)))</formula>
    </cfRule>
  </conditionalFormatting>
  <conditionalFormatting sqref="E292">
    <cfRule type="containsText" dxfId="4840" priority="5030" operator="containsText" text="Sin Información">
      <formula>NOT(ISERROR(SEARCH("Sin Información",E292)))</formula>
    </cfRule>
  </conditionalFormatting>
  <conditionalFormatting sqref="C293:D293">
    <cfRule type="containsText" dxfId="4839" priority="5029" operator="containsText" text="NO+$D$4:$D$10">
      <formula>NOT(ISERROR(SEARCH("NO+$D$4:$D$10",C293)))</formula>
    </cfRule>
  </conditionalFormatting>
  <conditionalFormatting sqref="C293:D293">
    <cfRule type="containsText" dxfId="4838" priority="5027" operator="containsText" text="SI">
      <formula>NOT(ISERROR(SEARCH("SI",C293)))</formula>
    </cfRule>
    <cfRule type="containsText" dxfId="4837" priority="5028" operator="containsText" text="NO">
      <formula>NOT(ISERROR(SEARCH("NO",C293)))</formula>
    </cfRule>
  </conditionalFormatting>
  <conditionalFormatting sqref="C293:D293">
    <cfRule type="containsText" dxfId="4836" priority="5026" operator="containsText" text="NUEVO">
      <formula>NOT(ISERROR(SEARCH("NUEVO",C293)))</formula>
    </cfRule>
  </conditionalFormatting>
  <conditionalFormatting sqref="E293">
    <cfRule type="containsText" dxfId="4835" priority="5025" operator="containsText" text="NUEVO">
      <formula>NOT(ISERROR(SEARCH("NUEVO",E293)))</formula>
    </cfRule>
  </conditionalFormatting>
  <conditionalFormatting sqref="E293">
    <cfRule type="containsText" dxfId="4834" priority="5024" operator="containsText" text="Sin Información">
      <formula>NOT(ISERROR(SEARCH("Sin Información",E293)))</formula>
    </cfRule>
  </conditionalFormatting>
  <conditionalFormatting sqref="C294:D294">
    <cfRule type="containsText" dxfId="4833" priority="5023" operator="containsText" text="NO+$D$4:$D$10">
      <formula>NOT(ISERROR(SEARCH("NO+$D$4:$D$10",C294)))</formula>
    </cfRule>
  </conditionalFormatting>
  <conditionalFormatting sqref="C294:D294">
    <cfRule type="containsText" dxfId="4832" priority="5021" operator="containsText" text="SI">
      <formula>NOT(ISERROR(SEARCH("SI",C294)))</formula>
    </cfRule>
    <cfRule type="containsText" dxfId="4831" priority="5022" operator="containsText" text="NO">
      <formula>NOT(ISERROR(SEARCH("NO",C294)))</formula>
    </cfRule>
  </conditionalFormatting>
  <conditionalFormatting sqref="C294:D294">
    <cfRule type="containsText" dxfId="4830" priority="5020" operator="containsText" text="NUEVO">
      <formula>NOT(ISERROR(SEARCH("NUEVO",C294)))</formula>
    </cfRule>
  </conditionalFormatting>
  <conditionalFormatting sqref="E294">
    <cfRule type="containsText" dxfId="4829" priority="5019" operator="containsText" text="Sin Información">
      <formula>NOT(ISERROR(SEARCH("Sin Información",E294)))</formula>
    </cfRule>
  </conditionalFormatting>
  <conditionalFormatting sqref="E294">
    <cfRule type="containsText" dxfId="4828" priority="5018" operator="containsText" text="NUEVO">
      <formula>NOT(ISERROR(SEARCH("NUEVO",E294)))</formula>
    </cfRule>
  </conditionalFormatting>
  <conditionalFormatting sqref="C295:D295">
    <cfRule type="containsText" dxfId="4827" priority="5017" operator="containsText" text="NO+$D$4:$D$10">
      <formula>NOT(ISERROR(SEARCH("NO+$D$4:$D$10",C295)))</formula>
    </cfRule>
  </conditionalFormatting>
  <conditionalFormatting sqref="C295:D295">
    <cfRule type="containsText" dxfId="4826" priority="5015" operator="containsText" text="SI">
      <formula>NOT(ISERROR(SEARCH("SI",C295)))</formula>
    </cfRule>
    <cfRule type="containsText" dxfId="4825" priority="5016" operator="containsText" text="NO">
      <formula>NOT(ISERROR(SEARCH("NO",C295)))</formula>
    </cfRule>
  </conditionalFormatting>
  <conditionalFormatting sqref="C295:D295">
    <cfRule type="containsText" dxfId="4824" priority="5014" operator="containsText" text="NUEVO">
      <formula>NOT(ISERROR(SEARCH("NUEVO",C295)))</formula>
    </cfRule>
  </conditionalFormatting>
  <conditionalFormatting sqref="E295">
    <cfRule type="containsText" dxfId="4823" priority="5013" operator="containsText" text="NUEVO">
      <formula>NOT(ISERROR(SEARCH("NUEVO",E295)))</formula>
    </cfRule>
  </conditionalFormatting>
  <conditionalFormatting sqref="E295">
    <cfRule type="containsText" dxfId="4822" priority="5012" operator="containsText" text="Sin Información">
      <formula>NOT(ISERROR(SEARCH("Sin Información",E295)))</formula>
    </cfRule>
  </conditionalFormatting>
  <conditionalFormatting sqref="C296:D296">
    <cfRule type="containsText" dxfId="4821" priority="5011" operator="containsText" text="NO+$D$4:$D$10">
      <formula>NOT(ISERROR(SEARCH("NO+$D$4:$D$10",C296)))</formula>
    </cfRule>
  </conditionalFormatting>
  <conditionalFormatting sqref="C296:D296">
    <cfRule type="containsText" dxfId="4820" priority="5009" operator="containsText" text="SI">
      <formula>NOT(ISERROR(SEARCH("SI",C296)))</formula>
    </cfRule>
    <cfRule type="containsText" dxfId="4819" priority="5010" operator="containsText" text="NO">
      <formula>NOT(ISERROR(SEARCH("NO",C296)))</formula>
    </cfRule>
  </conditionalFormatting>
  <conditionalFormatting sqref="C296:D296">
    <cfRule type="containsText" dxfId="4818" priority="5008" operator="containsText" text="NUEVO">
      <formula>NOT(ISERROR(SEARCH("NUEVO",C296)))</formula>
    </cfRule>
  </conditionalFormatting>
  <conditionalFormatting sqref="E296">
    <cfRule type="containsText" dxfId="4817" priority="5007" operator="containsText" text="NUEVO">
      <formula>NOT(ISERROR(SEARCH("NUEVO",E296)))</formula>
    </cfRule>
  </conditionalFormatting>
  <conditionalFormatting sqref="E296">
    <cfRule type="containsText" dxfId="4816" priority="5006" operator="containsText" text="Sin Información">
      <formula>NOT(ISERROR(SEARCH("Sin Información",E296)))</formula>
    </cfRule>
  </conditionalFormatting>
  <conditionalFormatting sqref="C297:D297">
    <cfRule type="containsText" dxfId="4815" priority="5005" operator="containsText" text="NO+$D$4:$D$10">
      <formula>NOT(ISERROR(SEARCH("NO+$D$4:$D$10",C297)))</formula>
    </cfRule>
  </conditionalFormatting>
  <conditionalFormatting sqref="C297:D297">
    <cfRule type="containsText" dxfId="4814" priority="5003" operator="containsText" text="SI">
      <formula>NOT(ISERROR(SEARCH("SI",C297)))</formula>
    </cfRule>
    <cfRule type="containsText" dxfId="4813" priority="5004" operator="containsText" text="NO">
      <formula>NOT(ISERROR(SEARCH("NO",C297)))</formula>
    </cfRule>
  </conditionalFormatting>
  <conditionalFormatting sqref="C297:D297">
    <cfRule type="containsText" dxfId="4812" priority="5002" operator="containsText" text="NUEVO">
      <formula>NOT(ISERROR(SEARCH("NUEVO",C297)))</formula>
    </cfRule>
  </conditionalFormatting>
  <conditionalFormatting sqref="E297">
    <cfRule type="containsText" dxfId="4811" priority="5001" operator="containsText" text="NUEVO">
      <formula>NOT(ISERROR(SEARCH("NUEVO",E297)))</formula>
    </cfRule>
  </conditionalFormatting>
  <conditionalFormatting sqref="E297">
    <cfRule type="containsText" dxfId="4810" priority="5000" operator="containsText" text="Sin Información">
      <formula>NOT(ISERROR(SEARCH("Sin Información",E297)))</formula>
    </cfRule>
  </conditionalFormatting>
  <conditionalFormatting sqref="C300:D300">
    <cfRule type="containsText" dxfId="4809" priority="4999" operator="containsText" text="NO+$D$4:$D$10">
      <formula>NOT(ISERROR(SEARCH("NO+$D$4:$D$10",C300)))</formula>
    </cfRule>
  </conditionalFormatting>
  <conditionalFormatting sqref="C300:D300">
    <cfRule type="containsText" dxfId="4808" priority="4997" operator="containsText" text="SI">
      <formula>NOT(ISERROR(SEARCH("SI",C300)))</formula>
    </cfRule>
    <cfRule type="containsText" dxfId="4807" priority="4998" operator="containsText" text="NO">
      <formula>NOT(ISERROR(SEARCH("NO",C300)))</formula>
    </cfRule>
  </conditionalFormatting>
  <conditionalFormatting sqref="C300:D300">
    <cfRule type="containsText" dxfId="4806" priority="4996" operator="containsText" text="NUEVO">
      <formula>NOT(ISERROR(SEARCH("NUEVO",C300)))</formula>
    </cfRule>
  </conditionalFormatting>
  <conditionalFormatting sqref="E300">
    <cfRule type="containsText" dxfId="4805" priority="4995" operator="containsText" text="NUEVO">
      <formula>NOT(ISERROR(SEARCH("NUEVO",E300)))</formula>
    </cfRule>
  </conditionalFormatting>
  <conditionalFormatting sqref="E300">
    <cfRule type="containsText" dxfId="4804" priority="4994" operator="containsText" text="Sin Información">
      <formula>NOT(ISERROR(SEARCH("Sin Información",E300)))</formula>
    </cfRule>
  </conditionalFormatting>
  <conditionalFormatting sqref="C301:D301">
    <cfRule type="containsText" dxfId="4803" priority="4993" operator="containsText" text="NO+$D$4:$D$10">
      <formula>NOT(ISERROR(SEARCH("NO+$D$4:$D$10",C301)))</formula>
    </cfRule>
  </conditionalFormatting>
  <conditionalFormatting sqref="C301:D301">
    <cfRule type="containsText" dxfId="4802" priority="4991" operator="containsText" text="SI">
      <formula>NOT(ISERROR(SEARCH("SI",C301)))</formula>
    </cfRule>
    <cfRule type="containsText" dxfId="4801" priority="4992" operator="containsText" text="NO">
      <formula>NOT(ISERROR(SEARCH("NO",C301)))</formula>
    </cfRule>
  </conditionalFormatting>
  <conditionalFormatting sqref="C301:E301">
    <cfRule type="containsText" dxfId="4800" priority="4990" operator="containsText" text="NUEVO">
      <formula>NOT(ISERROR(SEARCH("NUEVO",C301)))</formula>
    </cfRule>
  </conditionalFormatting>
  <conditionalFormatting sqref="E301">
    <cfRule type="containsText" dxfId="4799" priority="4989" operator="containsText" text="Sin Información">
      <formula>NOT(ISERROR(SEARCH("Sin Información",E301)))</formula>
    </cfRule>
  </conditionalFormatting>
  <conditionalFormatting sqref="C302:D302">
    <cfRule type="containsText" dxfId="4798" priority="4988" operator="containsText" text="NO+$D$4:$D$10">
      <formula>NOT(ISERROR(SEARCH("NO+$D$4:$D$10",C302)))</formula>
    </cfRule>
  </conditionalFormatting>
  <conditionalFormatting sqref="C302:D302">
    <cfRule type="containsText" dxfId="4797" priority="4986" operator="containsText" text="SI">
      <formula>NOT(ISERROR(SEARCH("SI",C302)))</formula>
    </cfRule>
    <cfRule type="containsText" dxfId="4796" priority="4987" operator="containsText" text="NO">
      <formula>NOT(ISERROR(SEARCH("NO",C302)))</formula>
    </cfRule>
  </conditionalFormatting>
  <conditionalFormatting sqref="C302:E302">
    <cfRule type="containsText" dxfId="4795" priority="4985" operator="containsText" text="NUEVO">
      <formula>NOT(ISERROR(SEARCH("NUEVO",C302)))</formula>
    </cfRule>
  </conditionalFormatting>
  <conditionalFormatting sqref="E302">
    <cfRule type="containsText" dxfId="4794" priority="4984" operator="containsText" text="Sin Información">
      <formula>NOT(ISERROR(SEARCH("Sin Información",E302)))</formula>
    </cfRule>
  </conditionalFormatting>
  <conditionalFormatting sqref="C303:D303">
    <cfRule type="containsText" dxfId="4793" priority="4983" operator="containsText" text="NO+$D$4:$D$10">
      <formula>NOT(ISERROR(SEARCH("NO+$D$4:$D$10",C303)))</formula>
    </cfRule>
  </conditionalFormatting>
  <conditionalFormatting sqref="C303:D303">
    <cfRule type="containsText" dxfId="4792" priority="4981" operator="containsText" text="SI">
      <formula>NOT(ISERROR(SEARCH("SI",C303)))</formula>
    </cfRule>
    <cfRule type="containsText" dxfId="4791" priority="4982" operator="containsText" text="NO">
      <formula>NOT(ISERROR(SEARCH("NO",C303)))</formula>
    </cfRule>
  </conditionalFormatting>
  <conditionalFormatting sqref="C303:E303">
    <cfRule type="containsText" dxfId="4790" priority="4980" operator="containsText" text="NUEVO">
      <formula>NOT(ISERROR(SEARCH("NUEVO",C303)))</formula>
    </cfRule>
  </conditionalFormatting>
  <conditionalFormatting sqref="E303">
    <cfRule type="containsText" dxfId="4789" priority="4979" operator="containsText" text="Sin Información">
      <formula>NOT(ISERROR(SEARCH("Sin Información",E303)))</formula>
    </cfRule>
  </conditionalFormatting>
  <conditionalFormatting sqref="C304:D304">
    <cfRule type="containsText" dxfId="4788" priority="4978" operator="containsText" text="NO+$D$4:$D$10">
      <formula>NOT(ISERROR(SEARCH("NO+$D$4:$D$10",C304)))</formula>
    </cfRule>
  </conditionalFormatting>
  <conditionalFormatting sqref="C304:D304">
    <cfRule type="containsText" dxfId="4787" priority="4976" operator="containsText" text="SI">
      <formula>NOT(ISERROR(SEARCH("SI",C304)))</formula>
    </cfRule>
    <cfRule type="containsText" dxfId="4786" priority="4977" operator="containsText" text="NO">
      <formula>NOT(ISERROR(SEARCH("NO",C304)))</formula>
    </cfRule>
  </conditionalFormatting>
  <conditionalFormatting sqref="C304:E304">
    <cfRule type="containsText" dxfId="4785" priority="4975" operator="containsText" text="NUEVO">
      <formula>NOT(ISERROR(SEARCH("NUEVO",C304)))</formula>
    </cfRule>
  </conditionalFormatting>
  <conditionalFormatting sqref="E304">
    <cfRule type="containsText" dxfId="4784" priority="4974" operator="containsText" text="Sin Información">
      <formula>NOT(ISERROR(SEARCH("Sin Información",E304)))</formula>
    </cfRule>
  </conditionalFormatting>
  <conditionalFormatting sqref="C305:D305">
    <cfRule type="containsText" dxfId="4783" priority="4973" operator="containsText" text="NO+$D$4:$D$10">
      <formula>NOT(ISERROR(SEARCH("NO+$D$4:$D$10",C305)))</formula>
    </cfRule>
  </conditionalFormatting>
  <conditionalFormatting sqref="C305:D305">
    <cfRule type="containsText" dxfId="4782" priority="4971" operator="containsText" text="SI">
      <formula>NOT(ISERROR(SEARCH("SI",C305)))</formula>
    </cfRule>
    <cfRule type="containsText" dxfId="4781" priority="4972" operator="containsText" text="NO">
      <formula>NOT(ISERROR(SEARCH("NO",C305)))</formula>
    </cfRule>
  </conditionalFormatting>
  <conditionalFormatting sqref="C305:E305">
    <cfRule type="containsText" dxfId="4780" priority="4970" operator="containsText" text="NUEVO">
      <formula>NOT(ISERROR(SEARCH("NUEVO",C305)))</formula>
    </cfRule>
  </conditionalFormatting>
  <conditionalFormatting sqref="E305">
    <cfRule type="containsText" dxfId="4779" priority="4969" operator="containsText" text="Sin Información">
      <formula>NOT(ISERROR(SEARCH("Sin Información",E305)))</formula>
    </cfRule>
  </conditionalFormatting>
  <conditionalFormatting sqref="C306:D306">
    <cfRule type="containsText" dxfId="4778" priority="4968" operator="containsText" text="NO+$D$4:$D$10">
      <formula>NOT(ISERROR(SEARCH("NO+$D$4:$D$10",C306)))</formula>
    </cfRule>
  </conditionalFormatting>
  <conditionalFormatting sqref="C306:D306">
    <cfRule type="containsText" dxfId="4777" priority="4966" operator="containsText" text="SI">
      <formula>NOT(ISERROR(SEARCH("SI",C306)))</formula>
    </cfRule>
    <cfRule type="containsText" dxfId="4776" priority="4967" operator="containsText" text="NO">
      <formula>NOT(ISERROR(SEARCH("NO",C306)))</formula>
    </cfRule>
  </conditionalFormatting>
  <conditionalFormatting sqref="C306:D306">
    <cfRule type="containsText" dxfId="4775" priority="4965" operator="containsText" text="NUEVO">
      <formula>NOT(ISERROR(SEARCH("NUEVO",C306)))</formula>
    </cfRule>
  </conditionalFormatting>
  <conditionalFormatting sqref="E306">
    <cfRule type="containsText" dxfId="4774" priority="4964" operator="containsText" text="NUEVO">
      <formula>NOT(ISERROR(SEARCH("NUEVO",E306)))</formula>
    </cfRule>
  </conditionalFormatting>
  <conditionalFormatting sqref="E306">
    <cfRule type="containsText" dxfId="4773" priority="4963" operator="containsText" text="Sin Información">
      <formula>NOT(ISERROR(SEARCH("Sin Información",E306)))</formula>
    </cfRule>
  </conditionalFormatting>
  <conditionalFormatting sqref="C307:D307">
    <cfRule type="containsText" dxfId="4772" priority="4962" operator="containsText" text="NO+$D$4:$D$10">
      <formula>NOT(ISERROR(SEARCH("NO+$D$4:$D$10",C307)))</formula>
    </cfRule>
  </conditionalFormatting>
  <conditionalFormatting sqref="C307:D307">
    <cfRule type="containsText" dxfId="4771" priority="4960" operator="containsText" text="SI">
      <formula>NOT(ISERROR(SEARCH("SI",C307)))</formula>
    </cfRule>
    <cfRule type="containsText" dxfId="4770" priority="4961" operator="containsText" text="NO">
      <formula>NOT(ISERROR(SEARCH("NO",C307)))</formula>
    </cfRule>
  </conditionalFormatting>
  <conditionalFormatting sqref="C307:D307">
    <cfRule type="containsText" dxfId="4769" priority="4959" operator="containsText" text="NUEVO">
      <formula>NOT(ISERROR(SEARCH("NUEVO",C307)))</formula>
    </cfRule>
  </conditionalFormatting>
  <conditionalFormatting sqref="E307">
    <cfRule type="containsText" dxfId="4768" priority="4958" operator="containsText" text="NUEVO">
      <formula>NOT(ISERROR(SEARCH("NUEVO",E307)))</formula>
    </cfRule>
  </conditionalFormatting>
  <conditionalFormatting sqref="E307">
    <cfRule type="containsText" dxfId="4767" priority="4957" operator="containsText" text="Sin Información">
      <formula>NOT(ISERROR(SEARCH("Sin Información",E307)))</formula>
    </cfRule>
  </conditionalFormatting>
  <conditionalFormatting sqref="C308:D308">
    <cfRule type="containsText" dxfId="4766" priority="4956" operator="containsText" text="NO+$D$4:$D$10">
      <formula>NOT(ISERROR(SEARCH("NO+$D$4:$D$10",C308)))</formula>
    </cfRule>
  </conditionalFormatting>
  <conditionalFormatting sqref="C308:D308">
    <cfRule type="containsText" dxfId="4765" priority="4954" operator="containsText" text="SI">
      <formula>NOT(ISERROR(SEARCH("SI",C308)))</formula>
    </cfRule>
    <cfRule type="containsText" dxfId="4764" priority="4955" operator="containsText" text="NO">
      <formula>NOT(ISERROR(SEARCH("NO",C308)))</formula>
    </cfRule>
  </conditionalFormatting>
  <conditionalFormatting sqref="C308:E308">
    <cfRule type="containsText" dxfId="4763" priority="4953" operator="containsText" text="NUEVO">
      <formula>NOT(ISERROR(SEARCH("NUEVO",C308)))</formula>
    </cfRule>
  </conditionalFormatting>
  <conditionalFormatting sqref="E308">
    <cfRule type="containsText" dxfId="4762" priority="4952" operator="containsText" text="Sin Información">
      <formula>NOT(ISERROR(SEARCH("Sin Información",E308)))</formula>
    </cfRule>
  </conditionalFormatting>
  <conditionalFormatting sqref="C309:D309">
    <cfRule type="containsText" dxfId="4761" priority="4951" operator="containsText" text="NO+$D$4:$D$10">
      <formula>NOT(ISERROR(SEARCH("NO+$D$4:$D$10",C309)))</formula>
    </cfRule>
  </conditionalFormatting>
  <conditionalFormatting sqref="C309:D309">
    <cfRule type="containsText" dxfId="4760" priority="4949" operator="containsText" text="SI">
      <formula>NOT(ISERROR(SEARCH("SI",C309)))</formula>
    </cfRule>
    <cfRule type="containsText" dxfId="4759" priority="4950" operator="containsText" text="NO">
      <formula>NOT(ISERROR(SEARCH("NO",C309)))</formula>
    </cfRule>
  </conditionalFormatting>
  <conditionalFormatting sqref="C309:E309">
    <cfRule type="containsText" dxfId="4758" priority="4948" operator="containsText" text="NUEVO">
      <formula>NOT(ISERROR(SEARCH("NUEVO",C309)))</formula>
    </cfRule>
  </conditionalFormatting>
  <conditionalFormatting sqref="E309">
    <cfRule type="containsText" dxfId="4757" priority="4947" operator="containsText" text="Sin Información">
      <formula>NOT(ISERROR(SEARCH("Sin Información",E309)))</formula>
    </cfRule>
  </conditionalFormatting>
  <conditionalFormatting sqref="C310:D310">
    <cfRule type="containsText" dxfId="4756" priority="4946" operator="containsText" text="NO+$D$4:$D$10">
      <formula>NOT(ISERROR(SEARCH("NO+$D$4:$D$10",C310)))</formula>
    </cfRule>
  </conditionalFormatting>
  <conditionalFormatting sqref="C310:D310">
    <cfRule type="containsText" dxfId="4755" priority="4944" operator="containsText" text="SI">
      <formula>NOT(ISERROR(SEARCH("SI",C310)))</formula>
    </cfRule>
    <cfRule type="containsText" dxfId="4754" priority="4945" operator="containsText" text="NO">
      <formula>NOT(ISERROR(SEARCH("NO",C310)))</formula>
    </cfRule>
  </conditionalFormatting>
  <conditionalFormatting sqref="C310:E310">
    <cfRule type="containsText" dxfId="4753" priority="4943" operator="containsText" text="NUEVO">
      <formula>NOT(ISERROR(SEARCH("NUEVO",C310)))</formula>
    </cfRule>
  </conditionalFormatting>
  <conditionalFormatting sqref="E310">
    <cfRule type="containsText" dxfId="4752" priority="4942" operator="containsText" text="Sin Información">
      <formula>NOT(ISERROR(SEARCH("Sin Información",E310)))</formula>
    </cfRule>
  </conditionalFormatting>
  <conditionalFormatting sqref="C311:D311">
    <cfRule type="containsText" dxfId="4751" priority="4941" operator="containsText" text="NO+$D$4:$D$10">
      <formula>NOT(ISERROR(SEARCH("NO+$D$4:$D$10",C311)))</formula>
    </cfRule>
  </conditionalFormatting>
  <conditionalFormatting sqref="C311:D311">
    <cfRule type="containsText" dxfId="4750" priority="4939" operator="containsText" text="SI">
      <formula>NOT(ISERROR(SEARCH("SI",C311)))</formula>
    </cfRule>
    <cfRule type="containsText" dxfId="4749" priority="4940" operator="containsText" text="NO">
      <formula>NOT(ISERROR(SEARCH("NO",C311)))</formula>
    </cfRule>
  </conditionalFormatting>
  <conditionalFormatting sqref="C311:E311">
    <cfRule type="containsText" dxfId="4748" priority="4938" operator="containsText" text="NUEVO">
      <formula>NOT(ISERROR(SEARCH("NUEVO",C311)))</formula>
    </cfRule>
  </conditionalFormatting>
  <conditionalFormatting sqref="E311">
    <cfRule type="containsText" dxfId="4747" priority="4937" operator="containsText" text="Sin Información">
      <formula>NOT(ISERROR(SEARCH("Sin Información",E311)))</formula>
    </cfRule>
  </conditionalFormatting>
  <conditionalFormatting sqref="C312:D314">
    <cfRule type="containsText" dxfId="4746" priority="4936" operator="containsText" text="NO+$D$4:$D$10">
      <formula>NOT(ISERROR(SEARCH("NO+$D$4:$D$10",C312)))</formula>
    </cfRule>
  </conditionalFormatting>
  <conditionalFormatting sqref="C312:D314">
    <cfRule type="containsText" dxfId="4745" priority="4934" operator="containsText" text="SI">
      <formula>NOT(ISERROR(SEARCH("SI",C312)))</formula>
    </cfRule>
    <cfRule type="containsText" dxfId="4744" priority="4935" operator="containsText" text="NO">
      <formula>NOT(ISERROR(SEARCH("NO",C312)))</formula>
    </cfRule>
  </conditionalFormatting>
  <conditionalFormatting sqref="C312:E314">
    <cfRule type="containsText" dxfId="4743" priority="4933" operator="containsText" text="NUEVO">
      <formula>NOT(ISERROR(SEARCH("NUEVO",C312)))</formula>
    </cfRule>
  </conditionalFormatting>
  <conditionalFormatting sqref="E312:E314">
    <cfRule type="containsText" dxfId="4742" priority="4932" operator="containsText" text="Sin Información">
      <formula>NOT(ISERROR(SEARCH("Sin Información",E312)))</formula>
    </cfRule>
  </conditionalFormatting>
  <conditionalFormatting sqref="C315:D315">
    <cfRule type="containsText" dxfId="4741" priority="4931" operator="containsText" text="NO+$D$4:$D$10">
      <formula>NOT(ISERROR(SEARCH("NO+$D$4:$D$10",C315)))</formula>
    </cfRule>
  </conditionalFormatting>
  <conditionalFormatting sqref="C315:D315">
    <cfRule type="containsText" dxfId="4740" priority="4929" operator="containsText" text="SI">
      <formula>NOT(ISERROR(SEARCH("SI",C315)))</formula>
    </cfRule>
    <cfRule type="containsText" dxfId="4739" priority="4930" operator="containsText" text="NO">
      <formula>NOT(ISERROR(SEARCH("NO",C315)))</formula>
    </cfRule>
  </conditionalFormatting>
  <conditionalFormatting sqref="E315">
    <cfRule type="containsText" dxfId="4738" priority="4928" operator="containsText" text="Sin información">
      <formula>NOT(ISERROR(SEARCH("Sin información",E315)))</formula>
    </cfRule>
  </conditionalFormatting>
  <conditionalFormatting sqref="C315:E315">
    <cfRule type="containsText" dxfId="4737" priority="4927" operator="containsText" text="NUEVO">
      <formula>NOT(ISERROR(SEARCH("NUEVO",C315)))</formula>
    </cfRule>
  </conditionalFormatting>
  <conditionalFormatting sqref="E315">
    <cfRule type="containsText" dxfId="4736" priority="4926" operator="containsText" text="Sin Información">
      <formula>NOT(ISERROR(SEARCH("Sin Información",E315)))</formula>
    </cfRule>
  </conditionalFormatting>
  <conditionalFormatting sqref="E315">
    <cfRule type="containsText" dxfId="4735" priority="4925" operator="containsText" text="Sin información">
      <formula>NOT(ISERROR(SEARCH("Sin información",E315)))</formula>
    </cfRule>
  </conditionalFormatting>
  <conditionalFormatting sqref="C316:D316">
    <cfRule type="containsText" dxfId="4734" priority="4924" operator="containsText" text="NO+$D$4:$D$10">
      <formula>NOT(ISERROR(SEARCH("NO+$D$4:$D$10",C316)))</formula>
    </cfRule>
  </conditionalFormatting>
  <conditionalFormatting sqref="C316:D316">
    <cfRule type="containsText" dxfId="4733" priority="4922" operator="containsText" text="SI">
      <formula>NOT(ISERROR(SEARCH("SI",C316)))</formula>
    </cfRule>
    <cfRule type="containsText" dxfId="4732" priority="4923" operator="containsText" text="NO">
      <formula>NOT(ISERROR(SEARCH("NO",C316)))</formula>
    </cfRule>
  </conditionalFormatting>
  <conditionalFormatting sqref="C316:E316">
    <cfRule type="containsText" dxfId="4731" priority="4921" operator="containsText" text="NUEVO">
      <formula>NOT(ISERROR(SEARCH("NUEVO",C316)))</formula>
    </cfRule>
  </conditionalFormatting>
  <conditionalFormatting sqref="E316">
    <cfRule type="containsText" dxfId="4730" priority="4920" operator="containsText" text="Sin Información">
      <formula>NOT(ISERROR(SEARCH("Sin Información",E316)))</formula>
    </cfRule>
  </conditionalFormatting>
  <conditionalFormatting sqref="E319">
    <cfRule type="containsText" dxfId="4729" priority="4919" operator="containsText" text="NUEVO">
      <formula>NOT(ISERROR(SEARCH("NUEVO",E319)))</formula>
    </cfRule>
  </conditionalFormatting>
  <conditionalFormatting sqref="E319">
    <cfRule type="containsText" dxfId="4728" priority="4918" operator="containsText" text="Sin Información">
      <formula>NOT(ISERROR(SEARCH("Sin Información",E319)))</formula>
    </cfRule>
  </conditionalFormatting>
  <conditionalFormatting sqref="E318">
    <cfRule type="containsText" dxfId="4727" priority="4917" operator="containsText" text="Sin Información">
      <formula>NOT(ISERROR(SEARCH("Sin Información",E318)))</formula>
    </cfRule>
  </conditionalFormatting>
  <conditionalFormatting sqref="E318">
    <cfRule type="containsText" dxfId="4726" priority="4916" operator="containsText" text="NUEVO">
      <formula>NOT(ISERROR(SEARCH("NUEVO",E318)))</formula>
    </cfRule>
  </conditionalFormatting>
  <conditionalFormatting sqref="E320">
    <cfRule type="containsText" dxfId="4725" priority="4915" operator="containsText" text="NUEVO">
      <formula>NOT(ISERROR(SEARCH("NUEVO",E320)))</formula>
    </cfRule>
  </conditionalFormatting>
  <conditionalFormatting sqref="E320">
    <cfRule type="containsText" dxfId="4724" priority="4914" operator="containsText" text="Sin Información">
      <formula>NOT(ISERROR(SEARCH("Sin Información",E320)))</formula>
    </cfRule>
  </conditionalFormatting>
  <conditionalFormatting sqref="E324">
    <cfRule type="containsText" dxfId="4723" priority="4913" operator="containsText" text="NUEVO">
      <formula>NOT(ISERROR(SEARCH("NUEVO",E324)))</formula>
    </cfRule>
  </conditionalFormatting>
  <conditionalFormatting sqref="E324">
    <cfRule type="containsText" dxfId="4722" priority="4912" operator="containsText" text="Sin Información">
      <formula>NOT(ISERROR(SEARCH("Sin Información",E324)))</formula>
    </cfRule>
  </conditionalFormatting>
  <conditionalFormatting sqref="E321:E323">
    <cfRule type="containsText" dxfId="4721" priority="4911" operator="containsText" text="NUEVO">
      <formula>NOT(ISERROR(SEARCH("NUEVO",E321)))</formula>
    </cfRule>
  </conditionalFormatting>
  <conditionalFormatting sqref="E321:E323">
    <cfRule type="containsText" dxfId="4720" priority="4910" operator="containsText" text="Sin Información">
      <formula>NOT(ISERROR(SEARCH("Sin Información",E321)))</formula>
    </cfRule>
  </conditionalFormatting>
  <conditionalFormatting sqref="C330:D330">
    <cfRule type="containsText" dxfId="4719" priority="4909" operator="containsText" text="NO+$D$4:$D$10">
      <formula>NOT(ISERROR(SEARCH("NO+$D$4:$D$10",C330)))</formula>
    </cfRule>
  </conditionalFormatting>
  <conditionalFormatting sqref="C330:D330">
    <cfRule type="containsText" dxfId="4718" priority="4907" operator="containsText" text="SI">
      <formula>NOT(ISERROR(SEARCH("SI",C330)))</formula>
    </cfRule>
    <cfRule type="containsText" dxfId="4717" priority="4908" operator="containsText" text="NO">
      <formula>NOT(ISERROR(SEARCH("NO",C330)))</formula>
    </cfRule>
  </conditionalFormatting>
  <conditionalFormatting sqref="C330:E330">
    <cfRule type="containsText" dxfId="4716" priority="4906" operator="containsText" text="NUEVO">
      <formula>NOT(ISERROR(SEARCH("NUEVO",C330)))</formula>
    </cfRule>
  </conditionalFormatting>
  <conditionalFormatting sqref="E330">
    <cfRule type="containsText" dxfId="4715" priority="4905" operator="containsText" text="Sin Información">
      <formula>NOT(ISERROR(SEARCH("Sin Información",E330)))</formula>
    </cfRule>
  </conditionalFormatting>
  <conditionalFormatting sqref="C331:D331">
    <cfRule type="containsText" dxfId="4714" priority="4904" operator="containsText" text="NO+$D$4:$D$10">
      <formula>NOT(ISERROR(SEARCH("NO+$D$4:$D$10",C331)))</formula>
    </cfRule>
  </conditionalFormatting>
  <conditionalFormatting sqref="C331:D331">
    <cfRule type="containsText" dxfId="4713" priority="4902" operator="containsText" text="SI">
      <formula>NOT(ISERROR(SEARCH("SI",C331)))</formula>
    </cfRule>
    <cfRule type="containsText" dxfId="4712" priority="4903" operator="containsText" text="NO">
      <formula>NOT(ISERROR(SEARCH("NO",C331)))</formula>
    </cfRule>
  </conditionalFormatting>
  <conditionalFormatting sqref="C331:E331">
    <cfRule type="containsText" dxfId="4711" priority="4901" operator="containsText" text="NUEVO">
      <formula>NOT(ISERROR(SEARCH("NUEVO",C331)))</formula>
    </cfRule>
  </conditionalFormatting>
  <conditionalFormatting sqref="E331">
    <cfRule type="containsText" dxfId="4710" priority="4900" operator="containsText" text="Sin Información">
      <formula>NOT(ISERROR(SEARCH("Sin Información",E331)))</formula>
    </cfRule>
  </conditionalFormatting>
  <conditionalFormatting sqref="C332:D336">
    <cfRule type="containsText" dxfId="4709" priority="4899" operator="containsText" text="NO+$D$4:$D$10">
      <formula>NOT(ISERROR(SEARCH("NO+$D$4:$D$10",C332)))</formula>
    </cfRule>
  </conditionalFormatting>
  <conditionalFormatting sqref="C332:D336">
    <cfRule type="containsText" dxfId="4708" priority="4897" operator="containsText" text="SI">
      <formula>NOT(ISERROR(SEARCH("SI",C332)))</formula>
    </cfRule>
    <cfRule type="containsText" dxfId="4707" priority="4898" operator="containsText" text="NO">
      <formula>NOT(ISERROR(SEARCH("NO",C332)))</formula>
    </cfRule>
  </conditionalFormatting>
  <conditionalFormatting sqref="C332:E336">
    <cfRule type="containsText" dxfId="4706" priority="4896" operator="containsText" text="NUEVO">
      <formula>NOT(ISERROR(SEARCH("NUEVO",C332)))</formula>
    </cfRule>
  </conditionalFormatting>
  <conditionalFormatting sqref="E332:E336">
    <cfRule type="containsText" dxfId="4705" priority="4895" operator="containsText" text="Sin Información">
      <formula>NOT(ISERROR(SEARCH("Sin Información",E332)))</formula>
    </cfRule>
  </conditionalFormatting>
  <conditionalFormatting sqref="C337:D341">
    <cfRule type="containsText" dxfId="4704" priority="4894" operator="containsText" text="NO+$D$4:$D$10">
      <formula>NOT(ISERROR(SEARCH("NO+$D$4:$D$10",C337)))</formula>
    </cfRule>
  </conditionalFormatting>
  <conditionalFormatting sqref="C337:D341">
    <cfRule type="containsText" dxfId="4703" priority="4892" operator="containsText" text="SI">
      <formula>NOT(ISERROR(SEARCH("SI",C337)))</formula>
    </cfRule>
    <cfRule type="containsText" dxfId="4702" priority="4893" operator="containsText" text="NO">
      <formula>NOT(ISERROR(SEARCH("NO",C337)))</formula>
    </cfRule>
  </conditionalFormatting>
  <conditionalFormatting sqref="E338 C337:D341">
    <cfRule type="containsText" dxfId="4701" priority="4891" operator="containsText" text="NUEVO">
      <formula>NOT(ISERROR(SEARCH("NUEVO",C337)))</formula>
    </cfRule>
  </conditionalFormatting>
  <conditionalFormatting sqref="E338">
    <cfRule type="containsText" dxfId="4700" priority="4890" operator="containsText" text="Sin Información">
      <formula>NOT(ISERROR(SEARCH("Sin Información",E338)))</formula>
    </cfRule>
  </conditionalFormatting>
  <conditionalFormatting sqref="E337">
    <cfRule type="containsText" dxfId="4699" priority="4889" operator="containsText" text="NUEVO">
      <formula>NOT(ISERROR(SEARCH("NUEVO",E337)))</formula>
    </cfRule>
  </conditionalFormatting>
  <conditionalFormatting sqref="E337">
    <cfRule type="containsText" dxfId="4698" priority="4888" operator="containsText" text="Sin Información">
      <formula>NOT(ISERROR(SEARCH("Sin Información",E337)))</formula>
    </cfRule>
  </conditionalFormatting>
  <conditionalFormatting sqref="E339:E341">
    <cfRule type="containsText" dxfId="4697" priority="4887" operator="containsText" text="NUEVO">
      <formula>NOT(ISERROR(SEARCH("NUEVO",E339)))</formula>
    </cfRule>
  </conditionalFormatting>
  <conditionalFormatting sqref="E339:E341">
    <cfRule type="containsText" dxfId="4696" priority="4886" operator="containsText" text="Sin Información">
      <formula>NOT(ISERROR(SEARCH("Sin Información",E339)))</formula>
    </cfRule>
  </conditionalFormatting>
  <conditionalFormatting sqref="C342:D346">
    <cfRule type="containsText" dxfId="4695" priority="4885" operator="containsText" text="NO+$D$4:$D$10">
      <formula>NOT(ISERROR(SEARCH("NO+$D$4:$D$10",C342)))</formula>
    </cfRule>
  </conditionalFormatting>
  <conditionalFormatting sqref="C342:D346">
    <cfRule type="containsText" dxfId="4694" priority="4883" operator="containsText" text="SI">
      <formula>NOT(ISERROR(SEARCH("SI",C342)))</formula>
    </cfRule>
    <cfRule type="containsText" dxfId="4693" priority="4884" operator="containsText" text="NO">
      <formula>NOT(ISERROR(SEARCH("NO",C342)))</formula>
    </cfRule>
  </conditionalFormatting>
  <conditionalFormatting sqref="E344:E346 C342:D346">
    <cfRule type="containsText" dxfId="4692" priority="4882" operator="containsText" text="NUEVO">
      <formula>NOT(ISERROR(SEARCH("NUEVO",C342)))</formula>
    </cfRule>
  </conditionalFormatting>
  <conditionalFormatting sqref="E344:E346">
    <cfRule type="containsText" dxfId="4691" priority="4881" operator="containsText" text="Sin Información">
      <formula>NOT(ISERROR(SEARCH("Sin Información",E344)))</formula>
    </cfRule>
  </conditionalFormatting>
  <conditionalFormatting sqref="E342">
    <cfRule type="containsText" dxfId="4690" priority="4880" operator="containsText" text="NUEVO">
      <formula>NOT(ISERROR(SEARCH("NUEVO",E342)))</formula>
    </cfRule>
  </conditionalFormatting>
  <conditionalFormatting sqref="E342">
    <cfRule type="containsText" dxfId="4689" priority="4879" operator="containsText" text="Sin Información">
      <formula>NOT(ISERROR(SEARCH("Sin Información",E342)))</formula>
    </cfRule>
  </conditionalFormatting>
  <conditionalFormatting sqref="E343">
    <cfRule type="containsText" dxfId="4688" priority="4878" operator="containsText" text="NUEVO">
      <formula>NOT(ISERROR(SEARCH("NUEVO",E343)))</formula>
    </cfRule>
  </conditionalFormatting>
  <conditionalFormatting sqref="E343">
    <cfRule type="containsText" dxfId="4687" priority="4877" operator="containsText" text="Sin Información">
      <formula>NOT(ISERROR(SEARCH("Sin Información",E343)))</formula>
    </cfRule>
  </conditionalFormatting>
  <conditionalFormatting sqref="C347:D347">
    <cfRule type="containsText" dxfId="4686" priority="4876" operator="containsText" text="NO+$D$4:$D$10">
      <formula>NOT(ISERROR(SEARCH("NO+$D$4:$D$10",C347)))</formula>
    </cfRule>
  </conditionalFormatting>
  <conditionalFormatting sqref="C347:D347">
    <cfRule type="containsText" dxfId="4685" priority="4874" operator="containsText" text="SI">
      <formula>NOT(ISERROR(SEARCH("SI",C347)))</formula>
    </cfRule>
    <cfRule type="containsText" dxfId="4684" priority="4875" operator="containsText" text="NO">
      <formula>NOT(ISERROR(SEARCH("NO",C347)))</formula>
    </cfRule>
  </conditionalFormatting>
  <conditionalFormatting sqref="C347:D347">
    <cfRule type="containsText" dxfId="4683" priority="4873" operator="containsText" text="NUEVO">
      <formula>NOT(ISERROR(SEARCH("NUEVO",C347)))</formula>
    </cfRule>
  </conditionalFormatting>
  <conditionalFormatting sqref="E347">
    <cfRule type="containsText" dxfId="4682" priority="4872" operator="containsText" text="NUEVO">
      <formula>NOT(ISERROR(SEARCH("NUEVO",E347)))</formula>
    </cfRule>
  </conditionalFormatting>
  <conditionalFormatting sqref="E347">
    <cfRule type="containsText" dxfId="4681" priority="4871" operator="containsText" text="Sin Información">
      <formula>NOT(ISERROR(SEARCH("Sin Información",E347)))</formula>
    </cfRule>
  </conditionalFormatting>
  <conditionalFormatting sqref="C348:D348">
    <cfRule type="containsText" dxfId="4680" priority="4870" operator="containsText" text="NO+$D$4:$D$10">
      <formula>NOT(ISERROR(SEARCH("NO+$D$4:$D$10",C348)))</formula>
    </cfRule>
  </conditionalFormatting>
  <conditionalFormatting sqref="C348:D348">
    <cfRule type="containsText" dxfId="4679" priority="4868" operator="containsText" text="SI">
      <formula>NOT(ISERROR(SEARCH("SI",C348)))</formula>
    </cfRule>
    <cfRule type="containsText" dxfId="4678" priority="4869" operator="containsText" text="NO">
      <formula>NOT(ISERROR(SEARCH("NO",C348)))</formula>
    </cfRule>
  </conditionalFormatting>
  <conditionalFormatting sqref="C348:E348">
    <cfRule type="containsText" dxfId="4677" priority="4867" operator="containsText" text="NUEVO">
      <formula>NOT(ISERROR(SEARCH("NUEVO",C348)))</formula>
    </cfRule>
  </conditionalFormatting>
  <conditionalFormatting sqref="E348">
    <cfRule type="containsText" dxfId="4676" priority="4866" operator="containsText" text="Sin Información">
      <formula>NOT(ISERROR(SEARCH("Sin Información",E348)))</formula>
    </cfRule>
  </conditionalFormatting>
  <conditionalFormatting sqref="C349:D349">
    <cfRule type="containsText" dxfId="4675" priority="4865" operator="containsText" text="NO+$D$4:$D$10">
      <formula>NOT(ISERROR(SEARCH("NO+$D$4:$D$10",C349)))</formula>
    </cfRule>
  </conditionalFormatting>
  <conditionalFormatting sqref="C349:D349">
    <cfRule type="containsText" dxfId="4674" priority="4863" operator="containsText" text="SI">
      <formula>NOT(ISERROR(SEARCH("SI",C349)))</formula>
    </cfRule>
    <cfRule type="containsText" dxfId="4673" priority="4864" operator="containsText" text="NO">
      <formula>NOT(ISERROR(SEARCH("NO",C349)))</formula>
    </cfRule>
  </conditionalFormatting>
  <conditionalFormatting sqref="C349:E349">
    <cfRule type="containsText" dxfId="4672" priority="4862" operator="containsText" text="NUEVO">
      <formula>NOT(ISERROR(SEARCH("NUEVO",C349)))</formula>
    </cfRule>
  </conditionalFormatting>
  <conditionalFormatting sqref="E349">
    <cfRule type="containsText" dxfId="4671" priority="4861" operator="containsText" text="Sin Información">
      <formula>NOT(ISERROR(SEARCH("Sin Información",E349)))</formula>
    </cfRule>
  </conditionalFormatting>
  <conditionalFormatting sqref="C350:D350">
    <cfRule type="containsText" dxfId="4670" priority="4860" operator="containsText" text="NO+$D$4:$D$10">
      <formula>NOT(ISERROR(SEARCH("NO+$D$4:$D$10",C350)))</formula>
    </cfRule>
  </conditionalFormatting>
  <conditionalFormatting sqref="C350:D350">
    <cfRule type="containsText" dxfId="4669" priority="4858" operator="containsText" text="SI">
      <formula>NOT(ISERROR(SEARCH("SI",C350)))</formula>
    </cfRule>
    <cfRule type="containsText" dxfId="4668" priority="4859" operator="containsText" text="NO">
      <formula>NOT(ISERROR(SEARCH("NO",C350)))</formula>
    </cfRule>
  </conditionalFormatting>
  <conditionalFormatting sqref="C350:E350">
    <cfRule type="containsText" dxfId="4667" priority="4857" operator="containsText" text="NUEVO">
      <formula>NOT(ISERROR(SEARCH("NUEVO",C350)))</formula>
    </cfRule>
  </conditionalFormatting>
  <conditionalFormatting sqref="E350">
    <cfRule type="containsText" dxfId="4666" priority="4856" operator="containsText" text="Sin Información">
      <formula>NOT(ISERROR(SEARCH("Sin Información",E350)))</formula>
    </cfRule>
  </conditionalFormatting>
  <conditionalFormatting sqref="C351:D351">
    <cfRule type="containsText" dxfId="4665" priority="4855" operator="containsText" text="NO+$D$4:$D$10">
      <formula>NOT(ISERROR(SEARCH("NO+$D$4:$D$10",C351)))</formula>
    </cfRule>
  </conditionalFormatting>
  <conditionalFormatting sqref="C351:D351">
    <cfRule type="containsText" dxfId="4664" priority="4853" operator="containsText" text="SI">
      <formula>NOT(ISERROR(SEARCH("SI",C351)))</formula>
    </cfRule>
    <cfRule type="containsText" dxfId="4663" priority="4854" operator="containsText" text="NO">
      <formula>NOT(ISERROR(SEARCH("NO",C351)))</formula>
    </cfRule>
  </conditionalFormatting>
  <conditionalFormatting sqref="C351:E351">
    <cfRule type="containsText" dxfId="4662" priority="4852" operator="containsText" text="NUEVO">
      <formula>NOT(ISERROR(SEARCH("NUEVO",C351)))</formula>
    </cfRule>
  </conditionalFormatting>
  <conditionalFormatting sqref="E351">
    <cfRule type="containsText" dxfId="4661" priority="4851" operator="containsText" text="Sin Información">
      <formula>NOT(ISERROR(SEARCH("Sin Información",E351)))</formula>
    </cfRule>
  </conditionalFormatting>
  <conditionalFormatting sqref="C352:D352">
    <cfRule type="containsText" dxfId="4660" priority="4850" operator="containsText" text="NO+$D$4:$D$10">
      <formula>NOT(ISERROR(SEARCH("NO+$D$4:$D$10",C352)))</formula>
    </cfRule>
  </conditionalFormatting>
  <conditionalFormatting sqref="C352:D352">
    <cfRule type="containsText" dxfId="4659" priority="4848" operator="containsText" text="SI">
      <formula>NOT(ISERROR(SEARCH("SI",C352)))</formula>
    </cfRule>
    <cfRule type="containsText" dxfId="4658" priority="4849" operator="containsText" text="NO">
      <formula>NOT(ISERROR(SEARCH("NO",C352)))</formula>
    </cfRule>
  </conditionalFormatting>
  <conditionalFormatting sqref="C352:E352">
    <cfRule type="containsText" dxfId="4657" priority="4847" operator="containsText" text="NUEVO">
      <formula>NOT(ISERROR(SEARCH("NUEVO",C352)))</formula>
    </cfRule>
  </conditionalFormatting>
  <conditionalFormatting sqref="E352">
    <cfRule type="containsText" dxfId="4656" priority="4846" operator="containsText" text="Sin Información">
      <formula>NOT(ISERROR(SEARCH("Sin Información",E352)))</formula>
    </cfRule>
  </conditionalFormatting>
  <conditionalFormatting sqref="C353:D353">
    <cfRule type="containsText" dxfId="4655" priority="4845" operator="containsText" text="NO+$D$4:$D$10">
      <formula>NOT(ISERROR(SEARCH("NO+$D$4:$D$10",C353)))</formula>
    </cfRule>
  </conditionalFormatting>
  <conditionalFormatting sqref="C353:D353">
    <cfRule type="containsText" dxfId="4654" priority="4843" operator="containsText" text="SI">
      <formula>NOT(ISERROR(SEARCH("SI",C353)))</formula>
    </cfRule>
    <cfRule type="containsText" dxfId="4653" priority="4844" operator="containsText" text="NO">
      <formula>NOT(ISERROR(SEARCH("NO",C353)))</formula>
    </cfRule>
  </conditionalFormatting>
  <conditionalFormatting sqref="C353:D353">
    <cfRule type="containsText" dxfId="4652" priority="4842" operator="containsText" text="NUEVO">
      <formula>NOT(ISERROR(SEARCH("NUEVO",C353)))</formula>
    </cfRule>
  </conditionalFormatting>
  <conditionalFormatting sqref="E353">
    <cfRule type="containsText" dxfId="4651" priority="4841" operator="containsText" text="NUEVO">
      <formula>NOT(ISERROR(SEARCH("NUEVO",E353)))</formula>
    </cfRule>
  </conditionalFormatting>
  <conditionalFormatting sqref="E353">
    <cfRule type="containsText" dxfId="4650" priority="4840" operator="containsText" text="Sin Información">
      <formula>NOT(ISERROR(SEARCH("Sin Información",E353)))</formula>
    </cfRule>
  </conditionalFormatting>
  <conditionalFormatting sqref="C354:D354">
    <cfRule type="containsText" dxfId="4649" priority="4839" operator="containsText" text="NO+$D$4:$D$10">
      <formula>NOT(ISERROR(SEARCH("NO+$D$4:$D$10",C354)))</formula>
    </cfRule>
  </conditionalFormatting>
  <conditionalFormatting sqref="C354:D354">
    <cfRule type="containsText" dxfId="4648" priority="4837" operator="containsText" text="SI">
      <formula>NOT(ISERROR(SEARCH("SI",C354)))</formula>
    </cfRule>
    <cfRule type="containsText" dxfId="4647" priority="4838" operator="containsText" text="NO">
      <formula>NOT(ISERROR(SEARCH("NO",C354)))</formula>
    </cfRule>
  </conditionalFormatting>
  <conditionalFormatting sqref="C354:D354">
    <cfRule type="containsText" dxfId="4646" priority="4836" operator="containsText" text="NUEVO">
      <formula>NOT(ISERROR(SEARCH("NUEVO",C354)))</formula>
    </cfRule>
  </conditionalFormatting>
  <conditionalFormatting sqref="E354">
    <cfRule type="containsText" dxfId="4645" priority="4835" operator="containsText" text="NUEVO">
      <formula>NOT(ISERROR(SEARCH("NUEVO",E354)))</formula>
    </cfRule>
  </conditionalFormatting>
  <conditionalFormatting sqref="E354">
    <cfRule type="containsText" dxfId="4644" priority="4834" operator="containsText" text="Sin Información">
      <formula>NOT(ISERROR(SEARCH("Sin Información",E354)))</formula>
    </cfRule>
  </conditionalFormatting>
  <conditionalFormatting sqref="C355:D355">
    <cfRule type="containsText" dxfId="4643" priority="4833" operator="containsText" text="NO+$D$4:$D$10">
      <formula>NOT(ISERROR(SEARCH("NO+$D$4:$D$10",C355)))</formula>
    </cfRule>
  </conditionalFormatting>
  <conditionalFormatting sqref="C355:D355">
    <cfRule type="containsText" dxfId="4642" priority="4831" operator="containsText" text="SI">
      <formula>NOT(ISERROR(SEARCH("SI",C355)))</formula>
    </cfRule>
    <cfRule type="containsText" dxfId="4641" priority="4832" operator="containsText" text="NO">
      <formula>NOT(ISERROR(SEARCH("NO",C355)))</formula>
    </cfRule>
  </conditionalFormatting>
  <conditionalFormatting sqref="C355:D355">
    <cfRule type="containsText" dxfId="4640" priority="4830" operator="containsText" text="NUEVO">
      <formula>NOT(ISERROR(SEARCH("NUEVO",C355)))</formula>
    </cfRule>
  </conditionalFormatting>
  <conditionalFormatting sqref="E355">
    <cfRule type="containsText" dxfId="4639" priority="4829" operator="containsText" text="NUEVO">
      <formula>NOT(ISERROR(SEARCH("NUEVO",E355)))</formula>
    </cfRule>
  </conditionalFormatting>
  <conditionalFormatting sqref="E355">
    <cfRule type="containsText" dxfId="4638" priority="4828" operator="containsText" text="Sin Información">
      <formula>NOT(ISERROR(SEARCH("Sin Información",E355)))</formula>
    </cfRule>
  </conditionalFormatting>
  <conditionalFormatting sqref="C356:D356">
    <cfRule type="containsText" dxfId="4637" priority="4827" operator="containsText" text="NO+$D$4:$D$10">
      <formula>NOT(ISERROR(SEARCH("NO+$D$4:$D$10",C356)))</formula>
    </cfRule>
  </conditionalFormatting>
  <conditionalFormatting sqref="C356:D356">
    <cfRule type="containsText" dxfId="4636" priority="4825" operator="containsText" text="SI">
      <formula>NOT(ISERROR(SEARCH("SI",C356)))</formula>
    </cfRule>
    <cfRule type="containsText" dxfId="4635" priority="4826" operator="containsText" text="NO">
      <formula>NOT(ISERROR(SEARCH("NO",C356)))</formula>
    </cfRule>
  </conditionalFormatting>
  <conditionalFormatting sqref="C356:D356">
    <cfRule type="containsText" dxfId="4634" priority="4824" operator="containsText" text="NUEVO">
      <formula>NOT(ISERROR(SEARCH("NUEVO",C356)))</formula>
    </cfRule>
  </conditionalFormatting>
  <conditionalFormatting sqref="E356">
    <cfRule type="containsText" dxfId="4633" priority="4823" operator="containsText" text="NUEVO">
      <formula>NOT(ISERROR(SEARCH("NUEVO",E356)))</formula>
    </cfRule>
  </conditionalFormatting>
  <conditionalFormatting sqref="E356">
    <cfRule type="containsText" dxfId="4632" priority="4822" operator="containsText" text="Sin Información">
      <formula>NOT(ISERROR(SEARCH("Sin Información",E356)))</formula>
    </cfRule>
  </conditionalFormatting>
  <conditionalFormatting sqref="C357:D357">
    <cfRule type="containsText" dxfId="4631" priority="4821" operator="containsText" text="NO+$D$4:$D$10">
      <formula>NOT(ISERROR(SEARCH("NO+$D$4:$D$10",C357)))</formula>
    </cfRule>
  </conditionalFormatting>
  <conditionalFormatting sqref="C357:D357">
    <cfRule type="containsText" dxfId="4630" priority="4819" operator="containsText" text="SI">
      <formula>NOT(ISERROR(SEARCH("SI",C357)))</formula>
    </cfRule>
    <cfRule type="containsText" dxfId="4629" priority="4820" operator="containsText" text="NO">
      <formula>NOT(ISERROR(SEARCH("NO",C357)))</formula>
    </cfRule>
  </conditionalFormatting>
  <conditionalFormatting sqref="C357:D357">
    <cfRule type="containsText" dxfId="4628" priority="4818" operator="containsText" text="NUEVO">
      <formula>NOT(ISERROR(SEARCH("NUEVO",C357)))</formula>
    </cfRule>
  </conditionalFormatting>
  <conditionalFormatting sqref="E357">
    <cfRule type="containsText" dxfId="4627" priority="4817" operator="containsText" text="NUEVO">
      <formula>NOT(ISERROR(SEARCH("NUEVO",E357)))</formula>
    </cfRule>
  </conditionalFormatting>
  <conditionalFormatting sqref="E357">
    <cfRule type="containsText" dxfId="4626" priority="4816" operator="containsText" text="Sin Información">
      <formula>NOT(ISERROR(SEARCH("Sin Información",E357)))</formula>
    </cfRule>
  </conditionalFormatting>
  <conditionalFormatting sqref="C358:D358">
    <cfRule type="containsText" dxfId="4625" priority="4815" operator="containsText" text="NO+$D$4:$D$10">
      <formula>NOT(ISERROR(SEARCH("NO+$D$4:$D$10",C358)))</formula>
    </cfRule>
  </conditionalFormatting>
  <conditionalFormatting sqref="C358:D358">
    <cfRule type="containsText" dxfId="4624" priority="4813" operator="containsText" text="SI">
      <formula>NOT(ISERROR(SEARCH("SI",C358)))</formula>
    </cfRule>
    <cfRule type="containsText" dxfId="4623" priority="4814" operator="containsText" text="NO">
      <formula>NOT(ISERROR(SEARCH("NO",C358)))</formula>
    </cfRule>
  </conditionalFormatting>
  <conditionalFormatting sqref="C358:D358">
    <cfRule type="containsText" dxfId="4622" priority="4812" operator="containsText" text="NUEVO">
      <formula>NOT(ISERROR(SEARCH("NUEVO",C358)))</formula>
    </cfRule>
  </conditionalFormatting>
  <conditionalFormatting sqref="E358">
    <cfRule type="containsText" dxfId="4621" priority="4811" operator="containsText" text="NUEVO">
      <formula>NOT(ISERROR(SEARCH("NUEVO",E358)))</formula>
    </cfRule>
  </conditionalFormatting>
  <conditionalFormatting sqref="E358">
    <cfRule type="containsText" dxfId="4620" priority="4810" operator="containsText" text="Sin Información">
      <formula>NOT(ISERROR(SEARCH("Sin Información",E358)))</formula>
    </cfRule>
  </conditionalFormatting>
  <conditionalFormatting sqref="C359:D359">
    <cfRule type="containsText" dxfId="4619" priority="4809" operator="containsText" text="NO+$D$4:$D$10">
      <formula>NOT(ISERROR(SEARCH("NO+$D$4:$D$10",C359)))</formula>
    </cfRule>
  </conditionalFormatting>
  <conditionalFormatting sqref="C359:D359">
    <cfRule type="containsText" dxfId="4618" priority="4807" operator="containsText" text="SI">
      <formula>NOT(ISERROR(SEARCH("SI",C359)))</formula>
    </cfRule>
    <cfRule type="containsText" dxfId="4617" priority="4808" operator="containsText" text="NO">
      <formula>NOT(ISERROR(SEARCH("NO",C359)))</formula>
    </cfRule>
  </conditionalFormatting>
  <conditionalFormatting sqref="C359:D359">
    <cfRule type="containsText" dxfId="4616" priority="4806" operator="containsText" text="NUEVO">
      <formula>NOT(ISERROR(SEARCH("NUEVO",C359)))</formula>
    </cfRule>
  </conditionalFormatting>
  <conditionalFormatting sqref="E359">
    <cfRule type="containsText" dxfId="4615" priority="4805" operator="containsText" text="NUEVO">
      <formula>NOT(ISERROR(SEARCH("NUEVO",E359)))</formula>
    </cfRule>
  </conditionalFormatting>
  <conditionalFormatting sqref="E359">
    <cfRule type="containsText" dxfId="4614" priority="4804" operator="containsText" text="Sin Información">
      <formula>NOT(ISERROR(SEARCH("Sin Información",E359)))</formula>
    </cfRule>
  </conditionalFormatting>
  <conditionalFormatting sqref="C360:D360">
    <cfRule type="containsText" dxfId="4613" priority="4803" operator="containsText" text="NO+$D$4:$D$10">
      <formula>NOT(ISERROR(SEARCH("NO+$D$4:$D$10",C360)))</formula>
    </cfRule>
  </conditionalFormatting>
  <conditionalFormatting sqref="C360:D360">
    <cfRule type="containsText" dxfId="4612" priority="4801" operator="containsText" text="SI">
      <formula>NOT(ISERROR(SEARCH("SI",C360)))</formula>
    </cfRule>
    <cfRule type="containsText" dxfId="4611" priority="4802" operator="containsText" text="NO">
      <formula>NOT(ISERROR(SEARCH("NO",C360)))</formula>
    </cfRule>
  </conditionalFormatting>
  <conditionalFormatting sqref="C360:D360">
    <cfRule type="containsText" dxfId="4610" priority="4800" operator="containsText" text="NUEVO">
      <formula>NOT(ISERROR(SEARCH("NUEVO",C360)))</formula>
    </cfRule>
  </conditionalFormatting>
  <conditionalFormatting sqref="E360">
    <cfRule type="containsText" dxfId="4609" priority="4799" operator="containsText" text="NUEVO">
      <formula>NOT(ISERROR(SEARCH("NUEVO",E360)))</formula>
    </cfRule>
  </conditionalFormatting>
  <conditionalFormatting sqref="E360">
    <cfRule type="containsText" dxfId="4608" priority="4798" operator="containsText" text="Sin Información">
      <formula>NOT(ISERROR(SEARCH("Sin Información",E360)))</formula>
    </cfRule>
  </conditionalFormatting>
  <conditionalFormatting sqref="C361:D361">
    <cfRule type="containsText" dxfId="4607" priority="4797" operator="containsText" text="NO+$D$4:$D$10">
      <formula>NOT(ISERROR(SEARCH("NO+$D$4:$D$10",C361)))</formula>
    </cfRule>
  </conditionalFormatting>
  <conditionalFormatting sqref="C361:D361">
    <cfRule type="containsText" dxfId="4606" priority="4795" operator="containsText" text="SI">
      <formula>NOT(ISERROR(SEARCH("SI",C361)))</formula>
    </cfRule>
    <cfRule type="containsText" dxfId="4605" priority="4796" operator="containsText" text="NO">
      <formula>NOT(ISERROR(SEARCH("NO",C361)))</formula>
    </cfRule>
  </conditionalFormatting>
  <conditionalFormatting sqref="C361:D361">
    <cfRule type="containsText" dxfId="4604" priority="4794" operator="containsText" text="NUEVO">
      <formula>NOT(ISERROR(SEARCH("NUEVO",C361)))</formula>
    </cfRule>
  </conditionalFormatting>
  <conditionalFormatting sqref="E361">
    <cfRule type="containsText" dxfId="4603" priority="4793" operator="containsText" text="NUEVO">
      <formula>NOT(ISERROR(SEARCH("NUEVO",E361)))</formula>
    </cfRule>
  </conditionalFormatting>
  <conditionalFormatting sqref="E361">
    <cfRule type="containsText" dxfId="4602" priority="4792" operator="containsText" text="Sin Información">
      <formula>NOT(ISERROR(SEARCH("Sin Información",E361)))</formula>
    </cfRule>
  </conditionalFormatting>
  <conditionalFormatting sqref="C362:D362">
    <cfRule type="containsText" dxfId="4601" priority="4791" operator="containsText" text="NO+$D$4:$D$10">
      <formula>NOT(ISERROR(SEARCH("NO+$D$4:$D$10",C362)))</formula>
    </cfRule>
  </conditionalFormatting>
  <conditionalFormatting sqref="C362:D362">
    <cfRule type="containsText" dxfId="4600" priority="4789" operator="containsText" text="SI">
      <formula>NOT(ISERROR(SEARCH("SI",C362)))</formula>
    </cfRule>
    <cfRule type="containsText" dxfId="4599" priority="4790" operator="containsText" text="NO">
      <formula>NOT(ISERROR(SEARCH("NO",C362)))</formula>
    </cfRule>
  </conditionalFormatting>
  <conditionalFormatting sqref="C362:E362">
    <cfRule type="containsText" dxfId="4598" priority="4788" operator="containsText" text="NUEVO">
      <formula>NOT(ISERROR(SEARCH("NUEVO",C362)))</formula>
    </cfRule>
  </conditionalFormatting>
  <conditionalFormatting sqref="E362">
    <cfRule type="containsText" dxfId="4597" priority="4787" operator="containsText" text="Sin Información">
      <formula>NOT(ISERROR(SEARCH("Sin Información",E362)))</formula>
    </cfRule>
  </conditionalFormatting>
  <conditionalFormatting sqref="C366:D366">
    <cfRule type="containsText" dxfId="4596" priority="4786" operator="containsText" text="NO+$D$4:$D$10">
      <formula>NOT(ISERROR(SEARCH("NO+$D$4:$D$10",C366)))</formula>
    </cfRule>
  </conditionalFormatting>
  <conditionalFormatting sqref="C366:D366">
    <cfRule type="containsText" dxfId="4595" priority="4784" operator="containsText" text="SI">
      <formula>NOT(ISERROR(SEARCH("SI",C366)))</formula>
    </cfRule>
    <cfRule type="containsText" dxfId="4594" priority="4785" operator="containsText" text="NO">
      <formula>NOT(ISERROR(SEARCH("NO",C366)))</formula>
    </cfRule>
  </conditionalFormatting>
  <conditionalFormatting sqref="C366:D366">
    <cfRule type="containsText" dxfId="4593" priority="4783" operator="containsText" text="NUEVO">
      <formula>NOT(ISERROR(SEARCH("NUEVO",C366)))</formula>
    </cfRule>
  </conditionalFormatting>
  <conditionalFormatting sqref="E366">
    <cfRule type="containsText" dxfId="4592" priority="4782" operator="containsText" text="NUEVO">
      <formula>NOT(ISERROR(SEARCH("NUEVO",E366)))</formula>
    </cfRule>
  </conditionalFormatting>
  <conditionalFormatting sqref="E366">
    <cfRule type="containsText" dxfId="4591" priority="4781" operator="containsText" text="Sin Información">
      <formula>NOT(ISERROR(SEARCH("Sin Información",E366)))</formula>
    </cfRule>
  </conditionalFormatting>
  <conditionalFormatting sqref="C367:D367">
    <cfRule type="containsText" dxfId="4590" priority="4780" operator="containsText" text="NO+$D$4:$D$10">
      <formula>NOT(ISERROR(SEARCH("NO+$D$4:$D$10",C367)))</formula>
    </cfRule>
  </conditionalFormatting>
  <conditionalFormatting sqref="C367:D367">
    <cfRule type="containsText" dxfId="4589" priority="4778" operator="containsText" text="SI">
      <formula>NOT(ISERROR(SEARCH("SI",C367)))</formula>
    </cfRule>
    <cfRule type="containsText" dxfId="4588" priority="4779" operator="containsText" text="NO">
      <formula>NOT(ISERROR(SEARCH("NO",C367)))</formula>
    </cfRule>
  </conditionalFormatting>
  <conditionalFormatting sqref="C367:E367">
    <cfRule type="containsText" dxfId="4587" priority="4777" operator="containsText" text="NUEVO">
      <formula>NOT(ISERROR(SEARCH("NUEVO",C367)))</formula>
    </cfRule>
  </conditionalFormatting>
  <conditionalFormatting sqref="E367">
    <cfRule type="containsText" dxfId="4586" priority="4776" operator="containsText" text="Sin Información">
      <formula>NOT(ISERROR(SEARCH("Sin Información",E367)))</formula>
    </cfRule>
  </conditionalFormatting>
  <conditionalFormatting sqref="E368">
    <cfRule type="containsText" dxfId="4585" priority="4775" operator="containsText" text="NUEVO">
      <formula>NOT(ISERROR(SEARCH("NUEVO",E368)))</formula>
    </cfRule>
  </conditionalFormatting>
  <conditionalFormatting sqref="E368">
    <cfRule type="containsText" dxfId="4584" priority="4774" operator="containsText" text="Sin Información">
      <formula>NOT(ISERROR(SEARCH("Sin Información",E368)))</formula>
    </cfRule>
  </conditionalFormatting>
  <conditionalFormatting sqref="C369:D369">
    <cfRule type="containsText" dxfId="4583" priority="4773" operator="containsText" text="NO+$D$4:$D$10">
      <formula>NOT(ISERROR(SEARCH("NO+$D$4:$D$10",C369)))</formula>
    </cfRule>
  </conditionalFormatting>
  <conditionalFormatting sqref="C369:D369">
    <cfRule type="containsText" dxfId="4582" priority="4771" operator="containsText" text="SI">
      <formula>NOT(ISERROR(SEARCH("SI",C369)))</formula>
    </cfRule>
    <cfRule type="containsText" dxfId="4581" priority="4772" operator="containsText" text="NO">
      <formula>NOT(ISERROR(SEARCH("NO",C369)))</formula>
    </cfRule>
  </conditionalFormatting>
  <conditionalFormatting sqref="C369:E369">
    <cfRule type="containsText" dxfId="4580" priority="4770" operator="containsText" text="NUEVO">
      <formula>NOT(ISERROR(SEARCH("NUEVO",C369)))</formula>
    </cfRule>
  </conditionalFormatting>
  <conditionalFormatting sqref="E369">
    <cfRule type="containsText" dxfId="4579" priority="4769" operator="containsText" text="Sin Información">
      <formula>NOT(ISERROR(SEARCH("Sin Información",E369)))</formula>
    </cfRule>
  </conditionalFormatting>
  <conditionalFormatting sqref="C371:D371">
    <cfRule type="containsText" dxfId="4578" priority="4768" operator="containsText" text="NO+$D$4:$D$10">
      <formula>NOT(ISERROR(SEARCH("NO+$D$4:$D$10",C371)))</formula>
    </cfRule>
  </conditionalFormatting>
  <conditionalFormatting sqref="C371:D371">
    <cfRule type="containsText" dxfId="4577" priority="4766" operator="containsText" text="SI">
      <formula>NOT(ISERROR(SEARCH("SI",C371)))</formula>
    </cfRule>
    <cfRule type="containsText" dxfId="4576" priority="4767" operator="containsText" text="NO">
      <formula>NOT(ISERROR(SEARCH("NO",C371)))</formula>
    </cfRule>
  </conditionalFormatting>
  <conditionalFormatting sqref="C371:E371">
    <cfRule type="containsText" dxfId="4575" priority="4765" operator="containsText" text="NUEVO">
      <formula>NOT(ISERROR(SEARCH("NUEVO",C371)))</formula>
    </cfRule>
  </conditionalFormatting>
  <conditionalFormatting sqref="E371">
    <cfRule type="containsText" dxfId="4574" priority="4764" operator="containsText" text="Sin Información">
      <formula>NOT(ISERROR(SEARCH("Sin Información",E371)))</formula>
    </cfRule>
  </conditionalFormatting>
  <conditionalFormatting sqref="C372:D372">
    <cfRule type="containsText" dxfId="4573" priority="4763" operator="containsText" text="NO+$D$4:$D$10">
      <formula>NOT(ISERROR(SEARCH("NO+$D$4:$D$10",C372)))</formula>
    </cfRule>
  </conditionalFormatting>
  <conditionalFormatting sqref="C372:D372">
    <cfRule type="containsText" dxfId="4572" priority="4761" operator="containsText" text="SI">
      <formula>NOT(ISERROR(SEARCH("SI",C372)))</formula>
    </cfRule>
    <cfRule type="containsText" dxfId="4571" priority="4762" operator="containsText" text="NO">
      <formula>NOT(ISERROR(SEARCH("NO",C372)))</formula>
    </cfRule>
  </conditionalFormatting>
  <conditionalFormatting sqref="C372:E372">
    <cfRule type="containsText" dxfId="4570" priority="4760" operator="containsText" text="NUEVO">
      <formula>NOT(ISERROR(SEARCH("NUEVO",C372)))</formula>
    </cfRule>
  </conditionalFormatting>
  <conditionalFormatting sqref="E372">
    <cfRule type="containsText" dxfId="4569" priority="4759" operator="containsText" text="Sin Información">
      <formula>NOT(ISERROR(SEARCH("Sin Información",E372)))</formula>
    </cfRule>
  </conditionalFormatting>
  <conditionalFormatting sqref="C373:D373">
    <cfRule type="containsText" dxfId="4568" priority="4758" operator="containsText" text="NO+$D$4:$D$10">
      <formula>NOT(ISERROR(SEARCH("NO+$D$4:$D$10",C373)))</formula>
    </cfRule>
  </conditionalFormatting>
  <conditionalFormatting sqref="C373:D373">
    <cfRule type="containsText" dxfId="4567" priority="4756" operator="containsText" text="SI">
      <formula>NOT(ISERROR(SEARCH("SI",C373)))</formula>
    </cfRule>
    <cfRule type="containsText" dxfId="4566" priority="4757" operator="containsText" text="NO">
      <formula>NOT(ISERROR(SEARCH("NO",C373)))</formula>
    </cfRule>
  </conditionalFormatting>
  <conditionalFormatting sqref="C373:D373">
    <cfRule type="containsText" dxfId="4565" priority="4755" operator="containsText" text="NUEVO">
      <formula>NOT(ISERROR(SEARCH("NUEVO",C373)))</formula>
    </cfRule>
  </conditionalFormatting>
  <conditionalFormatting sqref="E373">
    <cfRule type="containsText" dxfId="4564" priority="4754" operator="containsText" text="NUEVO">
      <formula>NOT(ISERROR(SEARCH("NUEVO",E373)))</formula>
    </cfRule>
  </conditionalFormatting>
  <conditionalFormatting sqref="E373">
    <cfRule type="containsText" dxfId="4563" priority="4753" operator="containsText" text="Sin Información">
      <formula>NOT(ISERROR(SEARCH("Sin Información",E373)))</formula>
    </cfRule>
  </conditionalFormatting>
  <conditionalFormatting sqref="C374:D374">
    <cfRule type="containsText" dxfId="4562" priority="4752" operator="containsText" text="NO+$D$4:$D$10">
      <formula>NOT(ISERROR(SEARCH("NO+$D$4:$D$10",C374)))</formula>
    </cfRule>
  </conditionalFormatting>
  <conditionalFormatting sqref="C374:D374">
    <cfRule type="containsText" dxfId="4561" priority="4750" operator="containsText" text="SI">
      <formula>NOT(ISERROR(SEARCH("SI",C374)))</formula>
    </cfRule>
    <cfRule type="containsText" dxfId="4560" priority="4751" operator="containsText" text="NO">
      <formula>NOT(ISERROR(SEARCH("NO",C374)))</formula>
    </cfRule>
  </conditionalFormatting>
  <conditionalFormatting sqref="C374:E374">
    <cfRule type="containsText" dxfId="4559" priority="4749" operator="containsText" text="NUEVO">
      <formula>NOT(ISERROR(SEARCH("NUEVO",C374)))</formula>
    </cfRule>
  </conditionalFormatting>
  <conditionalFormatting sqref="E374">
    <cfRule type="containsText" dxfId="4558" priority="4748" operator="containsText" text="Sin Información">
      <formula>NOT(ISERROR(SEARCH("Sin Información",E374)))</formula>
    </cfRule>
  </conditionalFormatting>
  <conditionalFormatting sqref="C376:D376">
    <cfRule type="containsText" dxfId="4557" priority="4747" operator="containsText" text="NO+$D$4:$D$10">
      <formula>NOT(ISERROR(SEARCH("NO+$D$4:$D$10",C376)))</formula>
    </cfRule>
  </conditionalFormatting>
  <conditionalFormatting sqref="C376:D376">
    <cfRule type="containsText" dxfId="4556" priority="4745" operator="containsText" text="SI">
      <formula>NOT(ISERROR(SEARCH("SI",C376)))</formula>
    </cfRule>
    <cfRule type="containsText" dxfId="4555" priority="4746" operator="containsText" text="NO">
      <formula>NOT(ISERROR(SEARCH("NO",C376)))</formula>
    </cfRule>
  </conditionalFormatting>
  <conditionalFormatting sqref="C376:E376">
    <cfRule type="containsText" dxfId="4554" priority="4744" operator="containsText" text="NUEVO">
      <formula>NOT(ISERROR(SEARCH("NUEVO",C376)))</formula>
    </cfRule>
  </conditionalFormatting>
  <conditionalFormatting sqref="E376">
    <cfRule type="containsText" dxfId="4553" priority="4743" operator="containsText" text="Sin Información">
      <formula>NOT(ISERROR(SEARCH("Sin Información",E376)))</formula>
    </cfRule>
  </conditionalFormatting>
  <conditionalFormatting sqref="E378:E380">
    <cfRule type="containsText" dxfId="4552" priority="4742" operator="containsText" text="NUEVO">
      <formula>NOT(ISERROR(SEARCH("NUEVO",E378)))</formula>
    </cfRule>
  </conditionalFormatting>
  <conditionalFormatting sqref="E378:E380">
    <cfRule type="containsText" dxfId="4551" priority="4741" operator="containsText" text="Sin Información">
      <formula>NOT(ISERROR(SEARCH("Sin Información",E378)))</formula>
    </cfRule>
  </conditionalFormatting>
  <conditionalFormatting sqref="E377">
    <cfRule type="containsText" dxfId="4550" priority="4740" operator="containsText" text="NUEVO">
      <formula>NOT(ISERROR(SEARCH("NUEVO",E377)))</formula>
    </cfRule>
  </conditionalFormatting>
  <conditionalFormatting sqref="E377">
    <cfRule type="containsText" dxfId="4549" priority="4739" operator="containsText" text="Sin Información">
      <formula>NOT(ISERROR(SEARCH("Sin Información",E377)))</formula>
    </cfRule>
  </conditionalFormatting>
  <conditionalFormatting sqref="E381">
    <cfRule type="containsText" dxfId="4548" priority="4738" operator="containsText" text="NUEVO">
      <formula>NOT(ISERROR(SEARCH("NUEVO",E381)))</formula>
    </cfRule>
  </conditionalFormatting>
  <conditionalFormatting sqref="E381">
    <cfRule type="containsText" dxfId="4547" priority="4737" operator="containsText" text="Sin Información">
      <formula>NOT(ISERROR(SEARCH("Sin Información",E381)))</formula>
    </cfRule>
  </conditionalFormatting>
  <conditionalFormatting sqref="E390">
    <cfRule type="containsText" dxfId="4546" priority="4736" operator="containsText" text="NUEVO">
      <formula>NOT(ISERROR(SEARCH("NUEVO",E390)))</formula>
    </cfRule>
  </conditionalFormatting>
  <conditionalFormatting sqref="E390">
    <cfRule type="containsText" dxfId="4545" priority="4735" operator="containsText" text="Sin Información">
      <formula>NOT(ISERROR(SEARCH("Sin Información",E390)))</formula>
    </cfRule>
  </conditionalFormatting>
  <conditionalFormatting sqref="C393:D394">
    <cfRule type="containsText" dxfId="4544" priority="4734" operator="containsText" text="NO+$D$4:$D$10">
      <formula>NOT(ISERROR(SEARCH("NO+$D$4:$D$10",C393)))</formula>
    </cfRule>
  </conditionalFormatting>
  <conditionalFormatting sqref="C393:D394">
    <cfRule type="containsText" dxfId="4543" priority="4732" operator="containsText" text="SI">
      <formula>NOT(ISERROR(SEARCH("SI",C393)))</formula>
    </cfRule>
    <cfRule type="containsText" dxfId="4542" priority="4733" operator="containsText" text="NO">
      <formula>NOT(ISERROR(SEARCH("NO",C393)))</formula>
    </cfRule>
  </conditionalFormatting>
  <conditionalFormatting sqref="E393:E394">
    <cfRule type="containsText" dxfId="4541" priority="4731" operator="containsText" text="Sin información">
      <formula>NOT(ISERROR(SEARCH("Sin información",E393)))</formula>
    </cfRule>
  </conditionalFormatting>
  <conditionalFormatting sqref="C393:E394">
    <cfRule type="containsText" dxfId="4540" priority="4730" operator="containsText" text="NUEVO">
      <formula>NOT(ISERROR(SEARCH("NUEVO",C393)))</formula>
    </cfRule>
  </conditionalFormatting>
  <conditionalFormatting sqref="E393:E394">
    <cfRule type="containsText" dxfId="4539" priority="4729" operator="containsText" text="Sin Información">
      <formula>NOT(ISERROR(SEARCH("Sin Información",E393)))</formula>
    </cfRule>
  </conditionalFormatting>
  <conditionalFormatting sqref="C396:D396">
    <cfRule type="containsText" dxfId="4538" priority="4728" operator="containsText" text="NO+$D$4:$D$10">
      <formula>NOT(ISERROR(SEARCH("NO+$D$4:$D$10",C396)))</formula>
    </cfRule>
  </conditionalFormatting>
  <conditionalFormatting sqref="C396:D396">
    <cfRule type="containsText" dxfId="4537" priority="4726" operator="containsText" text="SI">
      <formula>NOT(ISERROR(SEARCH("SI",C396)))</formula>
    </cfRule>
    <cfRule type="containsText" dxfId="4536" priority="4727" operator="containsText" text="NO">
      <formula>NOT(ISERROR(SEARCH("NO",C396)))</formula>
    </cfRule>
  </conditionalFormatting>
  <conditionalFormatting sqref="C396:E396">
    <cfRule type="containsText" dxfId="4535" priority="4725" operator="containsText" text="NUEVO">
      <formula>NOT(ISERROR(SEARCH("NUEVO",C396)))</formula>
    </cfRule>
  </conditionalFormatting>
  <conditionalFormatting sqref="E396">
    <cfRule type="containsText" dxfId="4534" priority="4724" operator="containsText" text="Sin Información">
      <formula>NOT(ISERROR(SEARCH("Sin Información",E396)))</formula>
    </cfRule>
  </conditionalFormatting>
  <conditionalFormatting sqref="C397:D397">
    <cfRule type="containsText" dxfId="4533" priority="4723" operator="containsText" text="NO+$D$4:$D$10">
      <formula>NOT(ISERROR(SEARCH("NO+$D$4:$D$10",C397)))</formula>
    </cfRule>
  </conditionalFormatting>
  <conditionalFormatting sqref="C397:D397">
    <cfRule type="containsText" dxfId="4532" priority="4721" operator="containsText" text="SI">
      <formula>NOT(ISERROR(SEARCH("SI",C397)))</formula>
    </cfRule>
    <cfRule type="containsText" dxfId="4531" priority="4722" operator="containsText" text="NO">
      <formula>NOT(ISERROR(SEARCH("NO",C397)))</formula>
    </cfRule>
  </conditionalFormatting>
  <conditionalFormatting sqref="C397:E397">
    <cfRule type="containsText" dxfId="4530" priority="4720" operator="containsText" text="NUEVO">
      <formula>NOT(ISERROR(SEARCH("NUEVO",C397)))</formula>
    </cfRule>
  </conditionalFormatting>
  <conditionalFormatting sqref="E397">
    <cfRule type="containsText" dxfId="4529" priority="4719" operator="containsText" text="Sin Información">
      <formula>NOT(ISERROR(SEARCH("Sin Información",E397)))</formula>
    </cfRule>
  </conditionalFormatting>
  <conditionalFormatting sqref="C398:D399">
    <cfRule type="containsText" dxfId="4528" priority="4718" operator="containsText" text="NO+$D$4:$D$10">
      <formula>NOT(ISERROR(SEARCH("NO+$D$4:$D$10",C398)))</formula>
    </cfRule>
  </conditionalFormatting>
  <conditionalFormatting sqref="C398:D399">
    <cfRule type="containsText" dxfId="4527" priority="4716" operator="containsText" text="SI">
      <formula>NOT(ISERROR(SEARCH("SI",C398)))</formula>
    </cfRule>
    <cfRule type="containsText" dxfId="4526" priority="4717" operator="containsText" text="NO">
      <formula>NOT(ISERROR(SEARCH("NO",C398)))</formula>
    </cfRule>
  </conditionalFormatting>
  <conditionalFormatting sqref="E398:E399">
    <cfRule type="containsText" dxfId="4525" priority="4715" operator="containsText" text="Sin información">
      <formula>NOT(ISERROR(SEARCH("Sin información",E398)))</formula>
    </cfRule>
  </conditionalFormatting>
  <conditionalFormatting sqref="C398:E399">
    <cfRule type="containsText" dxfId="4524" priority="4714" operator="containsText" text="NUEVO">
      <formula>NOT(ISERROR(SEARCH("NUEVO",C398)))</formula>
    </cfRule>
  </conditionalFormatting>
  <conditionalFormatting sqref="E398:E399">
    <cfRule type="containsText" dxfId="4523" priority="4713" operator="containsText" text="Sin Información">
      <formula>NOT(ISERROR(SEARCH("Sin Información",E398)))</formula>
    </cfRule>
  </conditionalFormatting>
  <conditionalFormatting sqref="C400:D400">
    <cfRule type="containsText" dxfId="4522" priority="4712" operator="containsText" text="NO+$D$4:$D$10">
      <formula>NOT(ISERROR(SEARCH("NO+$D$4:$D$10",C400)))</formula>
    </cfRule>
  </conditionalFormatting>
  <conditionalFormatting sqref="C400:D400">
    <cfRule type="containsText" dxfId="4521" priority="4710" operator="containsText" text="SI">
      <formula>NOT(ISERROR(SEARCH("SI",C400)))</formula>
    </cfRule>
    <cfRule type="containsText" dxfId="4520" priority="4711" operator="containsText" text="NO">
      <formula>NOT(ISERROR(SEARCH("NO",C400)))</formula>
    </cfRule>
  </conditionalFormatting>
  <conditionalFormatting sqref="C400:E400">
    <cfRule type="containsText" dxfId="4519" priority="4709" operator="containsText" text="NUEVO">
      <formula>NOT(ISERROR(SEARCH("NUEVO",C400)))</formula>
    </cfRule>
  </conditionalFormatting>
  <conditionalFormatting sqref="E400">
    <cfRule type="containsText" dxfId="4518" priority="4708" operator="containsText" text="Sin Información">
      <formula>NOT(ISERROR(SEARCH("Sin Información",E400)))</formula>
    </cfRule>
  </conditionalFormatting>
  <conditionalFormatting sqref="C401:D401">
    <cfRule type="containsText" dxfId="4517" priority="4707" operator="containsText" text="NO+$D$4:$D$10">
      <formula>NOT(ISERROR(SEARCH("NO+$D$4:$D$10",C401)))</formula>
    </cfRule>
  </conditionalFormatting>
  <conditionalFormatting sqref="C401:D401">
    <cfRule type="containsText" dxfId="4516" priority="4705" operator="containsText" text="SI">
      <formula>NOT(ISERROR(SEARCH("SI",C401)))</formula>
    </cfRule>
    <cfRule type="containsText" dxfId="4515" priority="4706" operator="containsText" text="NO">
      <formula>NOT(ISERROR(SEARCH("NO",C401)))</formula>
    </cfRule>
  </conditionalFormatting>
  <conditionalFormatting sqref="C401:D401">
    <cfRule type="containsText" dxfId="4514" priority="4704" operator="containsText" text="NUEVO">
      <formula>NOT(ISERROR(SEARCH("NUEVO",C401)))</formula>
    </cfRule>
  </conditionalFormatting>
  <conditionalFormatting sqref="E401">
    <cfRule type="containsText" dxfId="4513" priority="4703" operator="containsText" text="NUEVO">
      <formula>NOT(ISERROR(SEARCH("NUEVO",E401)))</formula>
    </cfRule>
  </conditionalFormatting>
  <conditionalFormatting sqref="E401">
    <cfRule type="containsText" dxfId="4512" priority="4702" operator="containsText" text="Sin Información">
      <formula>NOT(ISERROR(SEARCH("Sin Información",E401)))</formula>
    </cfRule>
  </conditionalFormatting>
  <conditionalFormatting sqref="C402:D402">
    <cfRule type="containsText" dxfId="4511" priority="4701" operator="containsText" text="NO+$D$4:$D$10">
      <formula>NOT(ISERROR(SEARCH("NO+$D$4:$D$10",C402)))</formula>
    </cfRule>
  </conditionalFormatting>
  <conditionalFormatting sqref="C402:D402">
    <cfRule type="containsText" dxfId="4510" priority="4699" operator="containsText" text="SI">
      <formula>NOT(ISERROR(SEARCH("SI",C402)))</formula>
    </cfRule>
    <cfRule type="containsText" dxfId="4509" priority="4700" operator="containsText" text="NO">
      <formula>NOT(ISERROR(SEARCH("NO",C402)))</formula>
    </cfRule>
  </conditionalFormatting>
  <conditionalFormatting sqref="C402:E402">
    <cfRule type="containsText" dxfId="4508" priority="4698" operator="containsText" text="NUEVO">
      <formula>NOT(ISERROR(SEARCH("NUEVO",C402)))</formula>
    </cfRule>
  </conditionalFormatting>
  <conditionalFormatting sqref="E402">
    <cfRule type="containsText" dxfId="4507" priority="4697" operator="containsText" text="Sin Información">
      <formula>NOT(ISERROR(SEARCH("Sin Información",E402)))</formula>
    </cfRule>
  </conditionalFormatting>
  <conditionalFormatting sqref="C403:D403">
    <cfRule type="containsText" dxfId="4506" priority="4696" operator="containsText" text="NO+$D$4:$D$10">
      <formula>NOT(ISERROR(SEARCH("NO+$D$4:$D$10",C403)))</formula>
    </cfRule>
  </conditionalFormatting>
  <conditionalFormatting sqref="C403:D403">
    <cfRule type="containsText" dxfId="4505" priority="4694" operator="containsText" text="SI">
      <formula>NOT(ISERROR(SEARCH("SI",C403)))</formula>
    </cfRule>
    <cfRule type="containsText" dxfId="4504" priority="4695" operator="containsText" text="NO">
      <formula>NOT(ISERROR(SEARCH("NO",C403)))</formula>
    </cfRule>
  </conditionalFormatting>
  <conditionalFormatting sqref="C403:E403">
    <cfRule type="containsText" dxfId="4503" priority="4693" operator="containsText" text="NUEVO">
      <formula>NOT(ISERROR(SEARCH("NUEVO",C403)))</formula>
    </cfRule>
  </conditionalFormatting>
  <conditionalFormatting sqref="E403">
    <cfRule type="containsText" dxfId="4502" priority="4692" operator="containsText" text="Sin Información">
      <formula>NOT(ISERROR(SEARCH("Sin Información",E403)))</formula>
    </cfRule>
  </conditionalFormatting>
  <conditionalFormatting sqref="C404:D406">
    <cfRule type="containsText" dxfId="4501" priority="4691" operator="containsText" text="NO+$D$4:$D$10">
      <formula>NOT(ISERROR(SEARCH("NO+$D$4:$D$10",C404)))</formula>
    </cfRule>
  </conditionalFormatting>
  <conditionalFormatting sqref="C404:D406">
    <cfRule type="containsText" dxfId="4500" priority="4689" operator="containsText" text="SI">
      <formula>NOT(ISERROR(SEARCH("SI",C404)))</formula>
    </cfRule>
    <cfRule type="containsText" dxfId="4499" priority="4690" operator="containsText" text="NO">
      <formula>NOT(ISERROR(SEARCH("NO",C404)))</formula>
    </cfRule>
  </conditionalFormatting>
  <conditionalFormatting sqref="C404:E406">
    <cfRule type="containsText" dxfId="4498" priority="4688" operator="containsText" text="NUEVO">
      <formula>NOT(ISERROR(SEARCH("NUEVO",C404)))</formula>
    </cfRule>
  </conditionalFormatting>
  <conditionalFormatting sqref="E404:E406">
    <cfRule type="containsText" dxfId="4497" priority="4687" operator="containsText" text="Sin Información">
      <formula>NOT(ISERROR(SEARCH("Sin Información",E404)))</formula>
    </cfRule>
  </conditionalFormatting>
  <conditionalFormatting sqref="C407:D408">
    <cfRule type="containsText" dxfId="4496" priority="4686" operator="containsText" text="NO+$D$4:$D$10">
      <formula>NOT(ISERROR(SEARCH("NO+$D$4:$D$10",C407)))</formula>
    </cfRule>
  </conditionalFormatting>
  <conditionalFormatting sqref="C407:D408">
    <cfRule type="containsText" dxfId="4495" priority="4684" operator="containsText" text="SI">
      <formula>NOT(ISERROR(SEARCH("SI",C407)))</formula>
    </cfRule>
    <cfRule type="containsText" dxfId="4494" priority="4685" operator="containsText" text="NO">
      <formula>NOT(ISERROR(SEARCH("NO",C407)))</formula>
    </cfRule>
  </conditionalFormatting>
  <conditionalFormatting sqref="C407:E408">
    <cfRule type="containsText" dxfId="4493" priority="4683" operator="containsText" text="NUEVO">
      <formula>NOT(ISERROR(SEARCH("NUEVO",C407)))</formula>
    </cfRule>
  </conditionalFormatting>
  <conditionalFormatting sqref="E407:E408">
    <cfRule type="containsText" dxfId="4492" priority="4682" operator="containsText" text="Sin Información">
      <formula>NOT(ISERROR(SEARCH("Sin Información",E407)))</formula>
    </cfRule>
  </conditionalFormatting>
  <conditionalFormatting sqref="C409:D411">
    <cfRule type="containsText" dxfId="4491" priority="4681" operator="containsText" text="NO+$D$4:$D$10">
      <formula>NOT(ISERROR(SEARCH("NO+$D$4:$D$10",C409)))</formula>
    </cfRule>
  </conditionalFormatting>
  <conditionalFormatting sqref="C409:D411">
    <cfRule type="containsText" dxfId="4490" priority="4679" operator="containsText" text="SI">
      <formula>NOT(ISERROR(SEARCH("SI",C409)))</formula>
    </cfRule>
    <cfRule type="containsText" dxfId="4489" priority="4680" operator="containsText" text="NO">
      <formula>NOT(ISERROR(SEARCH("NO",C409)))</formula>
    </cfRule>
  </conditionalFormatting>
  <conditionalFormatting sqref="C409:D411">
    <cfRule type="containsText" dxfId="4488" priority="4678" operator="containsText" text="NUEVO">
      <formula>NOT(ISERROR(SEARCH("NUEVO",C409)))</formula>
    </cfRule>
  </conditionalFormatting>
  <conditionalFormatting sqref="E409:E411">
    <cfRule type="containsText" dxfId="4487" priority="4677" operator="containsText" text="NUEVO">
      <formula>NOT(ISERROR(SEARCH("NUEVO",E409)))</formula>
    </cfRule>
  </conditionalFormatting>
  <conditionalFormatting sqref="E409:E411">
    <cfRule type="containsText" dxfId="4486" priority="4676" operator="containsText" text="Sin Información">
      <formula>NOT(ISERROR(SEARCH("Sin Información",E409)))</formula>
    </cfRule>
  </conditionalFormatting>
  <conditionalFormatting sqref="C412:D412">
    <cfRule type="containsText" dxfId="4485" priority="4675" operator="containsText" text="NO+$D$4:$D$10">
      <formula>NOT(ISERROR(SEARCH("NO+$D$4:$D$10",C412)))</formula>
    </cfRule>
  </conditionalFormatting>
  <conditionalFormatting sqref="C412:D412">
    <cfRule type="containsText" dxfId="4484" priority="4673" operator="containsText" text="SI">
      <formula>NOT(ISERROR(SEARCH("SI",C412)))</formula>
    </cfRule>
    <cfRule type="containsText" dxfId="4483" priority="4674" operator="containsText" text="NO">
      <formula>NOT(ISERROR(SEARCH("NO",C412)))</formula>
    </cfRule>
  </conditionalFormatting>
  <conditionalFormatting sqref="C412:D412">
    <cfRule type="containsText" dxfId="4482" priority="4672" operator="containsText" text="NUEVO">
      <formula>NOT(ISERROR(SEARCH("NUEVO",C412)))</formula>
    </cfRule>
  </conditionalFormatting>
  <conditionalFormatting sqref="E412">
    <cfRule type="containsText" dxfId="4481" priority="4671" operator="containsText" text="NUEVO">
      <formula>NOT(ISERROR(SEARCH("NUEVO",E412)))</formula>
    </cfRule>
  </conditionalFormatting>
  <conditionalFormatting sqref="E412">
    <cfRule type="containsText" dxfId="4480" priority="4670" operator="containsText" text="Sin Información">
      <formula>NOT(ISERROR(SEARCH("Sin Información",E412)))</formula>
    </cfRule>
  </conditionalFormatting>
  <conditionalFormatting sqref="C413:D414">
    <cfRule type="containsText" dxfId="4479" priority="4669" operator="containsText" text="NO+$D$4:$D$10">
      <formula>NOT(ISERROR(SEARCH("NO+$D$4:$D$10",C413)))</formula>
    </cfRule>
  </conditionalFormatting>
  <conditionalFormatting sqref="C413:D414">
    <cfRule type="containsText" dxfId="4478" priority="4667" operator="containsText" text="SI">
      <formula>NOT(ISERROR(SEARCH("SI",C413)))</formula>
    </cfRule>
    <cfRule type="containsText" dxfId="4477" priority="4668" operator="containsText" text="NO">
      <formula>NOT(ISERROR(SEARCH("NO",C413)))</formula>
    </cfRule>
  </conditionalFormatting>
  <conditionalFormatting sqref="C413:E414">
    <cfRule type="containsText" dxfId="4476" priority="4666" operator="containsText" text="NUEVO">
      <formula>NOT(ISERROR(SEARCH("NUEVO",C413)))</formula>
    </cfRule>
  </conditionalFormatting>
  <conditionalFormatting sqref="E413:E414">
    <cfRule type="containsText" dxfId="4475" priority="4665" operator="containsText" text="Sin Información">
      <formula>NOT(ISERROR(SEARCH("Sin Información",E413)))</formula>
    </cfRule>
  </conditionalFormatting>
  <conditionalFormatting sqref="C415:D416">
    <cfRule type="containsText" dxfId="4474" priority="4664" operator="containsText" text="NO+$D$4:$D$10">
      <formula>NOT(ISERROR(SEARCH("NO+$D$4:$D$10",C415)))</formula>
    </cfRule>
  </conditionalFormatting>
  <conditionalFormatting sqref="C415:D416">
    <cfRule type="containsText" dxfId="4473" priority="4662" operator="containsText" text="SI">
      <formula>NOT(ISERROR(SEARCH("SI",C415)))</formula>
    </cfRule>
    <cfRule type="containsText" dxfId="4472" priority="4663" operator="containsText" text="NO">
      <formula>NOT(ISERROR(SEARCH("NO",C415)))</formula>
    </cfRule>
  </conditionalFormatting>
  <conditionalFormatting sqref="C415:E416">
    <cfRule type="containsText" dxfId="4471" priority="4661" operator="containsText" text="NUEVO">
      <formula>NOT(ISERROR(SEARCH("NUEVO",C415)))</formula>
    </cfRule>
  </conditionalFormatting>
  <conditionalFormatting sqref="E415:E416">
    <cfRule type="containsText" dxfId="4470" priority="4660" operator="containsText" text="Sin Información">
      <formula>NOT(ISERROR(SEARCH("Sin Información",E415)))</formula>
    </cfRule>
  </conditionalFormatting>
  <conditionalFormatting sqref="C417:D421">
    <cfRule type="containsText" dxfId="4469" priority="4659" operator="containsText" text="NO+$D$4:$D$10">
      <formula>NOT(ISERROR(SEARCH("NO+$D$4:$D$10",C417)))</formula>
    </cfRule>
  </conditionalFormatting>
  <conditionalFormatting sqref="C417:D421">
    <cfRule type="containsText" dxfId="4468" priority="4657" operator="containsText" text="SI">
      <formula>NOT(ISERROR(SEARCH("SI",C417)))</formula>
    </cfRule>
    <cfRule type="containsText" dxfId="4467" priority="4658" operator="containsText" text="NO">
      <formula>NOT(ISERROR(SEARCH("NO",C417)))</formula>
    </cfRule>
  </conditionalFormatting>
  <conditionalFormatting sqref="C417:E421">
    <cfRule type="containsText" dxfId="4466" priority="4656" operator="containsText" text="NUEVO">
      <formula>NOT(ISERROR(SEARCH("NUEVO",C417)))</formula>
    </cfRule>
  </conditionalFormatting>
  <conditionalFormatting sqref="E417:E421">
    <cfRule type="containsText" dxfId="4465" priority="4655" operator="containsText" text="Sin Información">
      <formula>NOT(ISERROR(SEARCH("Sin Información",E417)))</formula>
    </cfRule>
  </conditionalFormatting>
  <conditionalFormatting sqref="C422:D426">
    <cfRule type="containsText" dxfId="4464" priority="4654" operator="containsText" text="NO+$D$4:$D$10">
      <formula>NOT(ISERROR(SEARCH("NO+$D$4:$D$10",C422)))</formula>
    </cfRule>
  </conditionalFormatting>
  <conditionalFormatting sqref="C422:D426">
    <cfRule type="containsText" dxfId="4463" priority="4652" operator="containsText" text="SI">
      <formula>NOT(ISERROR(SEARCH("SI",C422)))</formula>
    </cfRule>
    <cfRule type="containsText" dxfId="4462" priority="4653" operator="containsText" text="NO">
      <formula>NOT(ISERROR(SEARCH("NO",C422)))</formula>
    </cfRule>
  </conditionalFormatting>
  <conditionalFormatting sqref="C422:E426">
    <cfRule type="containsText" dxfId="4461" priority="4651" operator="containsText" text="NUEVO">
      <formula>NOT(ISERROR(SEARCH("NUEVO",C422)))</formula>
    </cfRule>
  </conditionalFormatting>
  <conditionalFormatting sqref="E422:E426">
    <cfRule type="containsText" dxfId="4460" priority="4650" operator="containsText" text="Sin Información">
      <formula>NOT(ISERROR(SEARCH("Sin Información",E422)))</formula>
    </cfRule>
  </conditionalFormatting>
  <conditionalFormatting sqref="C436:D436">
    <cfRule type="containsText" dxfId="4459" priority="4649" operator="containsText" text="NO+$D$4:$D$10">
      <formula>NOT(ISERROR(SEARCH("NO+$D$4:$D$10",C436)))</formula>
    </cfRule>
  </conditionalFormatting>
  <conditionalFormatting sqref="C436:D436">
    <cfRule type="containsText" dxfId="4458" priority="4647" operator="containsText" text="SI">
      <formula>NOT(ISERROR(SEARCH("SI",C436)))</formula>
    </cfRule>
    <cfRule type="containsText" dxfId="4457" priority="4648" operator="containsText" text="NO">
      <formula>NOT(ISERROR(SEARCH("NO",C436)))</formula>
    </cfRule>
  </conditionalFormatting>
  <conditionalFormatting sqref="C436:E436">
    <cfRule type="containsText" dxfId="4456" priority="4646" operator="containsText" text="NUEVO">
      <formula>NOT(ISERROR(SEARCH("NUEVO",C436)))</formula>
    </cfRule>
  </conditionalFormatting>
  <conditionalFormatting sqref="E436">
    <cfRule type="containsText" dxfId="4455" priority="4645" operator="containsText" text="Sin Información">
      <formula>NOT(ISERROR(SEARCH("Sin Información",E436)))</formula>
    </cfRule>
  </conditionalFormatting>
  <conditionalFormatting sqref="C437:D437">
    <cfRule type="containsText" dxfId="4454" priority="4644" operator="containsText" text="NO+$D$4:$D$10">
      <formula>NOT(ISERROR(SEARCH("NO+$D$4:$D$10",C437)))</formula>
    </cfRule>
  </conditionalFormatting>
  <conditionalFormatting sqref="C437:D437">
    <cfRule type="containsText" dxfId="4453" priority="4642" operator="containsText" text="SI">
      <formula>NOT(ISERROR(SEARCH("SI",C437)))</formula>
    </cfRule>
    <cfRule type="containsText" dxfId="4452" priority="4643" operator="containsText" text="NO">
      <formula>NOT(ISERROR(SEARCH("NO",C437)))</formula>
    </cfRule>
  </conditionalFormatting>
  <conditionalFormatting sqref="C437:E437">
    <cfRule type="containsText" dxfId="4451" priority="4641" operator="containsText" text="NUEVO">
      <formula>NOT(ISERROR(SEARCH("NUEVO",C437)))</formula>
    </cfRule>
  </conditionalFormatting>
  <conditionalFormatting sqref="E437">
    <cfRule type="containsText" dxfId="4450" priority="4640" operator="containsText" text="Sin Información">
      <formula>NOT(ISERROR(SEARCH("Sin Información",E437)))</formula>
    </cfRule>
  </conditionalFormatting>
  <conditionalFormatting sqref="C438:D438">
    <cfRule type="containsText" dxfId="4449" priority="4639" operator="containsText" text="NO+$D$4:$D$10">
      <formula>NOT(ISERROR(SEARCH("NO+$D$4:$D$10",C438)))</formula>
    </cfRule>
  </conditionalFormatting>
  <conditionalFormatting sqref="C438:D438">
    <cfRule type="containsText" dxfId="4448" priority="4637" operator="containsText" text="SI">
      <formula>NOT(ISERROR(SEARCH("SI",C438)))</formula>
    </cfRule>
    <cfRule type="containsText" dxfId="4447" priority="4638" operator="containsText" text="NO">
      <formula>NOT(ISERROR(SEARCH("NO",C438)))</formula>
    </cfRule>
  </conditionalFormatting>
  <conditionalFormatting sqref="C438:E438">
    <cfRule type="containsText" dxfId="4446" priority="4636" operator="containsText" text="NUEVO">
      <formula>NOT(ISERROR(SEARCH("NUEVO",C438)))</formula>
    </cfRule>
  </conditionalFormatting>
  <conditionalFormatting sqref="E438">
    <cfRule type="containsText" dxfId="4445" priority="4635" operator="containsText" text="Sin Información">
      <formula>NOT(ISERROR(SEARCH("Sin Información",E438)))</formula>
    </cfRule>
  </conditionalFormatting>
  <conditionalFormatting sqref="C439:D439">
    <cfRule type="containsText" dxfId="4444" priority="4634" operator="containsText" text="NO+$D$4:$D$10">
      <formula>NOT(ISERROR(SEARCH("NO+$D$4:$D$10",C439)))</formula>
    </cfRule>
  </conditionalFormatting>
  <conditionalFormatting sqref="C439:D439">
    <cfRule type="containsText" dxfId="4443" priority="4632" operator="containsText" text="SI">
      <formula>NOT(ISERROR(SEARCH("SI",C439)))</formula>
    </cfRule>
    <cfRule type="containsText" dxfId="4442" priority="4633" operator="containsText" text="NO">
      <formula>NOT(ISERROR(SEARCH("NO",C439)))</formula>
    </cfRule>
  </conditionalFormatting>
  <conditionalFormatting sqref="C439:E439">
    <cfRule type="containsText" dxfId="4441" priority="4631" operator="containsText" text="NUEVO">
      <formula>NOT(ISERROR(SEARCH("NUEVO",C439)))</formula>
    </cfRule>
  </conditionalFormatting>
  <conditionalFormatting sqref="E439">
    <cfRule type="containsText" dxfId="4440" priority="4630" operator="containsText" text="Sin Información">
      <formula>NOT(ISERROR(SEARCH("Sin Información",E439)))</formula>
    </cfRule>
  </conditionalFormatting>
  <conditionalFormatting sqref="C440:D440">
    <cfRule type="containsText" dxfId="4439" priority="4629" operator="containsText" text="NO+$D$4:$D$10">
      <formula>NOT(ISERROR(SEARCH("NO+$D$4:$D$10",C440)))</formula>
    </cfRule>
  </conditionalFormatting>
  <conditionalFormatting sqref="C440:D440">
    <cfRule type="containsText" dxfId="4438" priority="4627" operator="containsText" text="SI">
      <formula>NOT(ISERROR(SEARCH("SI",C440)))</formula>
    </cfRule>
    <cfRule type="containsText" dxfId="4437" priority="4628" operator="containsText" text="NO">
      <formula>NOT(ISERROR(SEARCH("NO",C440)))</formula>
    </cfRule>
  </conditionalFormatting>
  <conditionalFormatting sqref="C440:E440">
    <cfRule type="containsText" dxfId="4436" priority="4626" operator="containsText" text="NUEVO">
      <formula>NOT(ISERROR(SEARCH("NUEVO",C440)))</formula>
    </cfRule>
  </conditionalFormatting>
  <conditionalFormatting sqref="E440">
    <cfRule type="containsText" dxfId="4435" priority="4625" operator="containsText" text="Sin Información">
      <formula>NOT(ISERROR(SEARCH("Sin Información",E440)))</formula>
    </cfRule>
  </conditionalFormatting>
  <conditionalFormatting sqref="C444:D444">
    <cfRule type="containsText" dxfId="4434" priority="4624" operator="containsText" text="NO+$D$4:$D$10">
      <formula>NOT(ISERROR(SEARCH("NO+$D$4:$D$10",C444)))</formula>
    </cfRule>
  </conditionalFormatting>
  <conditionalFormatting sqref="C444:D444">
    <cfRule type="containsText" dxfId="4433" priority="4622" operator="containsText" text="SI">
      <formula>NOT(ISERROR(SEARCH("SI",C444)))</formula>
    </cfRule>
    <cfRule type="containsText" dxfId="4432" priority="4623" operator="containsText" text="NO">
      <formula>NOT(ISERROR(SEARCH("NO",C444)))</formula>
    </cfRule>
  </conditionalFormatting>
  <conditionalFormatting sqref="C444:D444">
    <cfRule type="containsText" dxfId="4431" priority="4621" operator="containsText" text="NUEVO">
      <formula>NOT(ISERROR(SEARCH("NUEVO",C444)))</formula>
    </cfRule>
  </conditionalFormatting>
  <conditionalFormatting sqref="E444">
    <cfRule type="containsText" dxfId="4430" priority="4620" operator="containsText" text="NUEVO">
      <formula>NOT(ISERROR(SEARCH("NUEVO",E444)))</formula>
    </cfRule>
  </conditionalFormatting>
  <conditionalFormatting sqref="E444">
    <cfRule type="containsText" dxfId="4429" priority="4619" operator="containsText" text="Sin Información">
      <formula>NOT(ISERROR(SEARCH("Sin Información",E444)))</formula>
    </cfRule>
  </conditionalFormatting>
  <conditionalFormatting sqref="C445:D445">
    <cfRule type="containsText" dxfId="4428" priority="4618" operator="containsText" text="NO+$D$4:$D$10">
      <formula>NOT(ISERROR(SEARCH("NO+$D$4:$D$10",C445)))</formula>
    </cfRule>
  </conditionalFormatting>
  <conditionalFormatting sqref="C445:D445">
    <cfRule type="containsText" dxfId="4427" priority="4616" operator="containsText" text="SI">
      <formula>NOT(ISERROR(SEARCH("SI",C445)))</formula>
    </cfRule>
    <cfRule type="containsText" dxfId="4426" priority="4617" operator="containsText" text="NO">
      <formula>NOT(ISERROR(SEARCH("NO",C445)))</formula>
    </cfRule>
  </conditionalFormatting>
  <conditionalFormatting sqref="C445:D445">
    <cfRule type="containsText" dxfId="4425" priority="4615" operator="containsText" text="NUEVO">
      <formula>NOT(ISERROR(SEARCH("NUEVO",C445)))</formula>
    </cfRule>
  </conditionalFormatting>
  <conditionalFormatting sqref="E445">
    <cfRule type="containsText" dxfId="4424" priority="4614" operator="containsText" text="NUEVO">
      <formula>NOT(ISERROR(SEARCH("NUEVO",E445)))</formula>
    </cfRule>
  </conditionalFormatting>
  <conditionalFormatting sqref="E445">
    <cfRule type="containsText" dxfId="4423" priority="4613" operator="containsText" text="Sin Información">
      <formula>NOT(ISERROR(SEARCH("Sin Información",E445)))</formula>
    </cfRule>
  </conditionalFormatting>
  <conditionalFormatting sqref="C446:D446">
    <cfRule type="containsText" dxfId="4422" priority="4612" operator="containsText" text="NO+$D$4:$D$10">
      <formula>NOT(ISERROR(SEARCH("NO+$D$4:$D$10",C446)))</formula>
    </cfRule>
  </conditionalFormatting>
  <conditionalFormatting sqref="C446:D446">
    <cfRule type="containsText" dxfId="4421" priority="4610" operator="containsText" text="SI">
      <formula>NOT(ISERROR(SEARCH("SI",C446)))</formula>
    </cfRule>
    <cfRule type="containsText" dxfId="4420" priority="4611" operator="containsText" text="NO">
      <formula>NOT(ISERROR(SEARCH("NO",C446)))</formula>
    </cfRule>
  </conditionalFormatting>
  <conditionalFormatting sqref="C446:D446">
    <cfRule type="containsText" dxfId="4419" priority="4609" operator="containsText" text="NUEVO">
      <formula>NOT(ISERROR(SEARCH("NUEVO",C446)))</formula>
    </cfRule>
  </conditionalFormatting>
  <conditionalFormatting sqref="E446">
    <cfRule type="containsText" dxfId="4418" priority="4608" operator="containsText" text="NUEVO">
      <formula>NOT(ISERROR(SEARCH("NUEVO",E446)))</formula>
    </cfRule>
  </conditionalFormatting>
  <conditionalFormatting sqref="E446">
    <cfRule type="containsText" dxfId="4417" priority="4607" operator="containsText" text="Sin Información">
      <formula>NOT(ISERROR(SEARCH("Sin Información",E446)))</formula>
    </cfRule>
  </conditionalFormatting>
  <conditionalFormatting sqref="C447:D447">
    <cfRule type="containsText" dxfId="4416" priority="4606" operator="containsText" text="NO+$D$4:$D$10">
      <formula>NOT(ISERROR(SEARCH("NO+$D$4:$D$10",C447)))</formula>
    </cfRule>
  </conditionalFormatting>
  <conditionalFormatting sqref="C447:D447">
    <cfRule type="containsText" dxfId="4415" priority="4604" operator="containsText" text="SI">
      <formula>NOT(ISERROR(SEARCH("SI",C447)))</formula>
    </cfRule>
    <cfRule type="containsText" dxfId="4414" priority="4605" operator="containsText" text="NO">
      <formula>NOT(ISERROR(SEARCH("NO",C447)))</formula>
    </cfRule>
  </conditionalFormatting>
  <conditionalFormatting sqref="C447:E447">
    <cfRule type="containsText" dxfId="4413" priority="4603" operator="containsText" text="NUEVO">
      <formula>NOT(ISERROR(SEARCH("NUEVO",C447)))</formula>
    </cfRule>
  </conditionalFormatting>
  <conditionalFormatting sqref="E447">
    <cfRule type="containsText" dxfId="4412" priority="4602" operator="containsText" text="Sin Información">
      <formula>NOT(ISERROR(SEARCH("Sin Información",E447)))</formula>
    </cfRule>
  </conditionalFormatting>
  <conditionalFormatting sqref="C448:D448">
    <cfRule type="containsText" dxfId="4411" priority="4601" operator="containsText" text="NO+$D$4:$D$10">
      <formula>NOT(ISERROR(SEARCH("NO+$D$4:$D$10",C448)))</formula>
    </cfRule>
  </conditionalFormatting>
  <conditionalFormatting sqref="C448:D448">
    <cfRule type="containsText" dxfId="4410" priority="4599" operator="containsText" text="SI">
      <formula>NOT(ISERROR(SEARCH("SI",C448)))</formula>
    </cfRule>
    <cfRule type="containsText" dxfId="4409" priority="4600" operator="containsText" text="NO">
      <formula>NOT(ISERROR(SEARCH("NO",C448)))</formula>
    </cfRule>
  </conditionalFormatting>
  <conditionalFormatting sqref="C448:E448">
    <cfRule type="containsText" dxfId="4408" priority="4598" operator="containsText" text="NUEVO">
      <formula>NOT(ISERROR(SEARCH("NUEVO",C448)))</formula>
    </cfRule>
  </conditionalFormatting>
  <conditionalFormatting sqref="E448">
    <cfRule type="containsText" dxfId="4407" priority="4597" operator="containsText" text="Sin Información">
      <formula>NOT(ISERROR(SEARCH("Sin Información",E448)))</formula>
    </cfRule>
  </conditionalFormatting>
  <conditionalFormatting sqref="C449:D449">
    <cfRule type="containsText" dxfId="4406" priority="4596" operator="containsText" text="NO+$D$4:$D$10">
      <formula>NOT(ISERROR(SEARCH("NO+$D$4:$D$10",C449)))</formula>
    </cfRule>
  </conditionalFormatting>
  <conditionalFormatting sqref="C449:D449">
    <cfRule type="containsText" dxfId="4405" priority="4594" operator="containsText" text="SI">
      <formula>NOT(ISERROR(SEARCH("SI",C449)))</formula>
    </cfRule>
    <cfRule type="containsText" dxfId="4404" priority="4595" operator="containsText" text="NO">
      <formula>NOT(ISERROR(SEARCH("NO",C449)))</formula>
    </cfRule>
  </conditionalFormatting>
  <conditionalFormatting sqref="C449:E449">
    <cfRule type="containsText" dxfId="4403" priority="4593" operator="containsText" text="NUEVO">
      <formula>NOT(ISERROR(SEARCH("NUEVO",C449)))</formula>
    </cfRule>
  </conditionalFormatting>
  <conditionalFormatting sqref="E449">
    <cfRule type="containsText" dxfId="4402" priority="4592" operator="containsText" text="Sin Información">
      <formula>NOT(ISERROR(SEARCH("Sin Información",E449)))</formula>
    </cfRule>
  </conditionalFormatting>
  <conditionalFormatting sqref="E454">
    <cfRule type="containsText" dxfId="4401" priority="4591" operator="containsText" text="NUEVO">
      <formula>NOT(ISERROR(SEARCH("NUEVO",E454)))</formula>
    </cfRule>
  </conditionalFormatting>
  <conditionalFormatting sqref="E454">
    <cfRule type="containsText" dxfId="4400" priority="4590" operator="containsText" text="Sin Información">
      <formula>NOT(ISERROR(SEARCH("Sin Información",E454)))</formula>
    </cfRule>
  </conditionalFormatting>
  <conditionalFormatting sqref="C455:D455">
    <cfRule type="containsText" dxfId="4399" priority="4589" operator="containsText" text="NO+$D$4:$D$10">
      <formula>NOT(ISERROR(SEARCH("NO+$D$4:$D$10",C455)))</formula>
    </cfRule>
  </conditionalFormatting>
  <conditionalFormatting sqref="C455:D455">
    <cfRule type="containsText" dxfId="4398" priority="4587" operator="containsText" text="SI">
      <formula>NOT(ISERROR(SEARCH("SI",C455)))</formula>
    </cfRule>
    <cfRule type="containsText" dxfId="4397" priority="4588" operator="containsText" text="NO">
      <formula>NOT(ISERROR(SEARCH("NO",C455)))</formula>
    </cfRule>
  </conditionalFormatting>
  <conditionalFormatting sqref="E455">
    <cfRule type="containsText" dxfId="4396" priority="4586" operator="containsText" text="Sin información">
      <formula>NOT(ISERROR(SEARCH("Sin información",E455)))</formula>
    </cfRule>
  </conditionalFormatting>
  <conditionalFormatting sqref="C455:E455">
    <cfRule type="containsText" dxfId="4395" priority="4585" operator="containsText" text="NUEVO">
      <formula>NOT(ISERROR(SEARCH("NUEVO",C455)))</formula>
    </cfRule>
  </conditionalFormatting>
  <conditionalFormatting sqref="E455">
    <cfRule type="containsText" dxfId="4394" priority="4584" operator="containsText" text="Sin Información">
      <formula>NOT(ISERROR(SEARCH("Sin Información",E455)))</formula>
    </cfRule>
  </conditionalFormatting>
  <conditionalFormatting sqref="C456:D456">
    <cfRule type="containsText" dxfId="4393" priority="4583" operator="containsText" text="NO+$D$4:$D$10">
      <formula>NOT(ISERROR(SEARCH("NO+$D$4:$D$10",C456)))</formula>
    </cfRule>
  </conditionalFormatting>
  <conditionalFormatting sqref="C456:D456">
    <cfRule type="containsText" dxfId="4392" priority="4581" operator="containsText" text="SI">
      <formula>NOT(ISERROR(SEARCH("SI",C456)))</formula>
    </cfRule>
    <cfRule type="containsText" dxfId="4391" priority="4582" operator="containsText" text="NO">
      <formula>NOT(ISERROR(SEARCH("NO",C456)))</formula>
    </cfRule>
  </conditionalFormatting>
  <conditionalFormatting sqref="E456">
    <cfRule type="containsText" dxfId="4390" priority="4580" operator="containsText" text="Sin información">
      <formula>NOT(ISERROR(SEARCH("Sin información",E456)))</formula>
    </cfRule>
  </conditionalFormatting>
  <conditionalFormatting sqref="C456:E456">
    <cfRule type="containsText" dxfId="4389" priority="4579" operator="containsText" text="NUEVO">
      <formula>NOT(ISERROR(SEARCH("NUEVO",C456)))</formula>
    </cfRule>
  </conditionalFormatting>
  <conditionalFormatting sqref="E456">
    <cfRule type="containsText" dxfId="4388" priority="4578" operator="containsText" text="Sin Información">
      <formula>NOT(ISERROR(SEARCH("Sin Información",E456)))</formula>
    </cfRule>
  </conditionalFormatting>
  <conditionalFormatting sqref="C457:D457">
    <cfRule type="containsText" dxfId="4387" priority="4577" operator="containsText" text="NO+$D$4:$D$10">
      <formula>NOT(ISERROR(SEARCH("NO+$D$4:$D$10",C457)))</formula>
    </cfRule>
  </conditionalFormatting>
  <conditionalFormatting sqref="C457:D457">
    <cfRule type="containsText" dxfId="4386" priority="4575" operator="containsText" text="SI">
      <formula>NOT(ISERROR(SEARCH("SI",C457)))</formula>
    </cfRule>
    <cfRule type="containsText" dxfId="4385" priority="4576" operator="containsText" text="NO">
      <formula>NOT(ISERROR(SEARCH("NO",C457)))</formula>
    </cfRule>
  </conditionalFormatting>
  <conditionalFormatting sqref="C457:D457">
    <cfRule type="containsText" dxfId="4384" priority="4574" operator="containsText" text="NUEVO">
      <formula>NOT(ISERROR(SEARCH("NUEVO",C457)))</formula>
    </cfRule>
  </conditionalFormatting>
  <conditionalFormatting sqref="E457">
    <cfRule type="containsText" dxfId="4383" priority="4573" operator="containsText" text="Sin información">
      <formula>NOT(ISERROR(SEARCH("Sin información",E457)))</formula>
    </cfRule>
  </conditionalFormatting>
  <conditionalFormatting sqref="E457">
    <cfRule type="containsText" dxfId="4382" priority="4572" operator="containsText" text="NUEVO">
      <formula>NOT(ISERROR(SEARCH("NUEVO",E457)))</formula>
    </cfRule>
  </conditionalFormatting>
  <conditionalFormatting sqref="E457">
    <cfRule type="containsText" dxfId="4381" priority="4571" operator="containsText" text="Sin Información">
      <formula>NOT(ISERROR(SEARCH("Sin Información",E457)))</formula>
    </cfRule>
  </conditionalFormatting>
  <conditionalFormatting sqref="C458:D458">
    <cfRule type="containsText" dxfId="4380" priority="4570" operator="containsText" text="NO+$D$4:$D$10">
      <formula>NOT(ISERROR(SEARCH("NO+$D$4:$D$10",C458)))</formula>
    </cfRule>
  </conditionalFormatting>
  <conditionalFormatting sqref="C458:D458">
    <cfRule type="containsText" dxfId="4379" priority="4568" operator="containsText" text="SI">
      <formula>NOT(ISERROR(SEARCH("SI",C458)))</formula>
    </cfRule>
    <cfRule type="containsText" dxfId="4378" priority="4569" operator="containsText" text="NO">
      <formula>NOT(ISERROR(SEARCH("NO",C458)))</formula>
    </cfRule>
  </conditionalFormatting>
  <conditionalFormatting sqref="E458">
    <cfRule type="containsText" dxfId="4377" priority="4567" operator="containsText" text="Sin información">
      <formula>NOT(ISERROR(SEARCH("Sin información",E458)))</formula>
    </cfRule>
  </conditionalFormatting>
  <conditionalFormatting sqref="C458:E458">
    <cfRule type="containsText" dxfId="4376" priority="4566" operator="containsText" text="NUEVO">
      <formula>NOT(ISERROR(SEARCH("NUEVO",C458)))</formula>
    </cfRule>
  </conditionalFormatting>
  <conditionalFormatting sqref="E458">
    <cfRule type="containsText" dxfId="4375" priority="4565" operator="containsText" text="Sin Información">
      <formula>NOT(ISERROR(SEARCH("Sin Información",E458)))</formula>
    </cfRule>
  </conditionalFormatting>
  <conditionalFormatting sqref="C459:D459">
    <cfRule type="containsText" dxfId="4374" priority="4564" operator="containsText" text="NO+$D$4:$D$10">
      <formula>NOT(ISERROR(SEARCH("NO+$D$4:$D$10",C459)))</formula>
    </cfRule>
  </conditionalFormatting>
  <conditionalFormatting sqref="C459:D459">
    <cfRule type="containsText" dxfId="4373" priority="4562" operator="containsText" text="SI">
      <formula>NOT(ISERROR(SEARCH("SI",C459)))</formula>
    </cfRule>
    <cfRule type="containsText" dxfId="4372" priority="4563" operator="containsText" text="NO">
      <formula>NOT(ISERROR(SEARCH("NO",C459)))</formula>
    </cfRule>
  </conditionalFormatting>
  <conditionalFormatting sqref="C459:D459">
    <cfRule type="containsText" dxfId="4371" priority="4561" operator="containsText" text="NUEVO">
      <formula>NOT(ISERROR(SEARCH("NUEVO",C459)))</formula>
    </cfRule>
  </conditionalFormatting>
  <conditionalFormatting sqref="E459">
    <cfRule type="containsText" dxfId="4370" priority="4560" operator="containsText" text="Sin información">
      <formula>NOT(ISERROR(SEARCH("Sin información",E459)))</formula>
    </cfRule>
  </conditionalFormatting>
  <conditionalFormatting sqref="E459">
    <cfRule type="containsText" dxfId="4369" priority="4559" operator="containsText" text="NUEVO">
      <formula>NOT(ISERROR(SEARCH("NUEVO",E459)))</formula>
    </cfRule>
  </conditionalFormatting>
  <conditionalFormatting sqref="E459">
    <cfRule type="containsText" dxfId="4368" priority="4558" operator="containsText" text="Sin Información">
      <formula>NOT(ISERROR(SEARCH("Sin Información",E459)))</formula>
    </cfRule>
  </conditionalFormatting>
  <conditionalFormatting sqref="E459">
    <cfRule type="containsText" dxfId="4367" priority="4557" operator="containsText" text="Sin información">
      <formula>NOT(ISERROR(SEARCH("Sin información",E459)))</formula>
    </cfRule>
  </conditionalFormatting>
  <conditionalFormatting sqref="C460:D460">
    <cfRule type="containsText" dxfId="4366" priority="4556" operator="containsText" text="NO+$D$4:$D$10">
      <formula>NOT(ISERROR(SEARCH("NO+$D$4:$D$10",C460)))</formula>
    </cfRule>
  </conditionalFormatting>
  <conditionalFormatting sqref="C460:D460">
    <cfRule type="containsText" dxfId="4365" priority="4554" operator="containsText" text="SI">
      <formula>NOT(ISERROR(SEARCH("SI",C460)))</formula>
    </cfRule>
    <cfRule type="containsText" dxfId="4364" priority="4555" operator="containsText" text="NO">
      <formula>NOT(ISERROR(SEARCH("NO",C460)))</formula>
    </cfRule>
  </conditionalFormatting>
  <conditionalFormatting sqref="C460:E460">
    <cfRule type="containsText" dxfId="4363" priority="4553" operator="containsText" text="NUEVO">
      <formula>NOT(ISERROR(SEARCH("NUEVO",C460)))</formula>
    </cfRule>
  </conditionalFormatting>
  <conditionalFormatting sqref="E460">
    <cfRule type="containsText" dxfId="4362" priority="4552" operator="containsText" text="Sin Información">
      <formula>NOT(ISERROR(SEARCH("Sin Información",E460)))</formula>
    </cfRule>
  </conditionalFormatting>
  <conditionalFormatting sqref="C461:D461">
    <cfRule type="containsText" dxfId="4361" priority="4551" operator="containsText" text="NO+$D$4:$D$10">
      <formula>NOT(ISERROR(SEARCH("NO+$D$4:$D$10",C461)))</formula>
    </cfRule>
  </conditionalFormatting>
  <conditionalFormatting sqref="C461:D461">
    <cfRule type="containsText" dxfId="4360" priority="4549" operator="containsText" text="SI">
      <formula>NOT(ISERROR(SEARCH("SI",C461)))</formula>
    </cfRule>
    <cfRule type="containsText" dxfId="4359" priority="4550" operator="containsText" text="NO">
      <formula>NOT(ISERROR(SEARCH("NO",C461)))</formula>
    </cfRule>
  </conditionalFormatting>
  <conditionalFormatting sqref="C461:E461">
    <cfRule type="containsText" dxfId="4358" priority="4548" operator="containsText" text="NUEVO">
      <formula>NOT(ISERROR(SEARCH("NUEVO",C461)))</formula>
    </cfRule>
  </conditionalFormatting>
  <conditionalFormatting sqref="E461">
    <cfRule type="containsText" dxfId="4357" priority="4547" operator="containsText" text="Sin Información">
      <formula>NOT(ISERROR(SEARCH("Sin Información",E461)))</formula>
    </cfRule>
  </conditionalFormatting>
  <conditionalFormatting sqref="C462:D462">
    <cfRule type="containsText" dxfId="4356" priority="4546" operator="containsText" text="NO+$D$4:$D$10">
      <formula>NOT(ISERROR(SEARCH("NO+$D$4:$D$10",C462)))</formula>
    </cfRule>
  </conditionalFormatting>
  <conditionalFormatting sqref="C462:D462">
    <cfRule type="containsText" dxfId="4355" priority="4544" operator="containsText" text="SI">
      <formula>NOT(ISERROR(SEARCH("SI",C462)))</formula>
    </cfRule>
    <cfRule type="containsText" dxfId="4354" priority="4545" operator="containsText" text="NO">
      <formula>NOT(ISERROR(SEARCH("NO",C462)))</formula>
    </cfRule>
  </conditionalFormatting>
  <conditionalFormatting sqref="C462:E462">
    <cfRule type="containsText" dxfId="4353" priority="4543" operator="containsText" text="NUEVO">
      <formula>NOT(ISERROR(SEARCH("NUEVO",C462)))</formula>
    </cfRule>
  </conditionalFormatting>
  <conditionalFormatting sqref="E462">
    <cfRule type="containsText" dxfId="4352" priority="4542" operator="containsText" text="Sin Información">
      <formula>NOT(ISERROR(SEARCH("Sin Información",E462)))</formula>
    </cfRule>
  </conditionalFormatting>
  <conditionalFormatting sqref="C463:D463">
    <cfRule type="containsText" dxfId="4351" priority="4541" operator="containsText" text="NO+$D$4:$D$10">
      <formula>NOT(ISERROR(SEARCH("NO+$D$4:$D$10",C463)))</formula>
    </cfRule>
  </conditionalFormatting>
  <conditionalFormatting sqref="C463:D463">
    <cfRule type="containsText" dxfId="4350" priority="4539" operator="containsText" text="SI">
      <formula>NOT(ISERROR(SEARCH("SI",C463)))</formula>
    </cfRule>
    <cfRule type="containsText" dxfId="4349" priority="4540" operator="containsText" text="NO">
      <formula>NOT(ISERROR(SEARCH("NO",C463)))</formula>
    </cfRule>
  </conditionalFormatting>
  <conditionalFormatting sqref="C463:E463">
    <cfRule type="containsText" dxfId="4348" priority="4538" operator="containsText" text="NUEVO">
      <formula>NOT(ISERROR(SEARCH("NUEVO",C463)))</formula>
    </cfRule>
  </conditionalFormatting>
  <conditionalFormatting sqref="E463">
    <cfRule type="containsText" dxfId="4347" priority="4537" operator="containsText" text="Sin Información">
      <formula>NOT(ISERROR(SEARCH("Sin Información",E463)))</formula>
    </cfRule>
  </conditionalFormatting>
  <conditionalFormatting sqref="C464:D464">
    <cfRule type="containsText" dxfId="4346" priority="4536" operator="containsText" text="NO+$D$4:$D$10">
      <formula>NOT(ISERROR(SEARCH("NO+$D$4:$D$10",C464)))</formula>
    </cfRule>
  </conditionalFormatting>
  <conditionalFormatting sqref="C464:D464">
    <cfRule type="containsText" dxfId="4345" priority="4534" operator="containsText" text="SI">
      <formula>NOT(ISERROR(SEARCH("SI",C464)))</formula>
    </cfRule>
    <cfRule type="containsText" dxfId="4344" priority="4535" operator="containsText" text="NO">
      <formula>NOT(ISERROR(SEARCH("NO",C464)))</formula>
    </cfRule>
  </conditionalFormatting>
  <conditionalFormatting sqref="C464:E464">
    <cfRule type="containsText" dxfId="4343" priority="4533" operator="containsText" text="NUEVO">
      <formula>NOT(ISERROR(SEARCH("NUEVO",C464)))</formula>
    </cfRule>
  </conditionalFormatting>
  <conditionalFormatting sqref="E464">
    <cfRule type="containsText" dxfId="4342" priority="4532" operator="containsText" text="Sin Información">
      <formula>NOT(ISERROR(SEARCH("Sin Información",E464)))</formula>
    </cfRule>
  </conditionalFormatting>
  <conditionalFormatting sqref="C465:D465">
    <cfRule type="containsText" dxfId="4341" priority="4531" operator="containsText" text="NO+$D$4:$D$10">
      <formula>NOT(ISERROR(SEARCH("NO+$D$4:$D$10",C465)))</formula>
    </cfRule>
  </conditionalFormatting>
  <conditionalFormatting sqref="C465:D465">
    <cfRule type="containsText" dxfId="4340" priority="4529" operator="containsText" text="SI">
      <formula>NOT(ISERROR(SEARCH("SI",C465)))</formula>
    </cfRule>
    <cfRule type="containsText" dxfId="4339" priority="4530" operator="containsText" text="NO">
      <formula>NOT(ISERROR(SEARCH("NO",C465)))</formula>
    </cfRule>
  </conditionalFormatting>
  <conditionalFormatting sqref="C465:D465">
    <cfRule type="containsText" dxfId="4338" priority="4528" operator="containsText" text="NUEVO">
      <formula>NOT(ISERROR(SEARCH("NUEVO",C465)))</formula>
    </cfRule>
  </conditionalFormatting>
  <conditionalFormatting sqref="E465">
    <cfRule type="containsText" dxfId="4337" priority="4527" operator="containsText" text="NUEVO">
      <formula>NOT(ISERROR(SEARCH("NUEVO",E465)))</formula>
    </cfRule>
  </conditionalFormatting>
  <conditionalFormatting sqref="E465">
    <cfRule type="containsText" dxfId="4336" priority="4526" operator="containsText" text="Sin Información">
      <formula>NOT(ISERROR(SEARCH("Sin Información",E465)))</formula>
    </cfRule>
  </conditionalFormatting>
  <conditionalFormatting sqref="C469:D469">
    <cfRule type="containsText" dxfId="4335" priority="4525" operator="containsText" text="NO+$D$4:$D$10">
      <formula>NOT(ISERROR(SEARCH("NO+$D$4:$D$10",C469)))</formula>
    </cfRule>
  </conditionalFormatting>
  <conditionalFormatting sqref="C469:D469">
    <cfRule type="containsText" dxfId="4334" priority="4523" operator="containsText" text="SI">
      <formula>NOT(ISERROR(SEARCH("SI",C469)))</formula>
    </cfRule>
    <cfRule type="containsText" dxfId="4333" priority="4524" operator="containsText" text="NO">
      <formula>NOT(ISERROR(SEARCH("NO",C469)))</formula>
    </cfRule>
  </conditionalFormatting>
  <conditionalFormatting sqref="C469:E469">
    <cfRule type="containsText" dxfId="4332" priority="4522" operator="containsText" text="NUEVO">
      <formula>NOT(ISERROR(SEARCH("NUEVO",C469)))</formula>
    </cfRule>
  </conditionalFormatting>
  <conditionalFormatting sqref="E469">
    <cfRule type="containsText" dxfId="4331" priority="4521" operator="containsText" text="Sin Información">
      <formula>NOT(ISERROR(SEARCH("Sin Información",E469)))</formula>
    </cfRule>
  </conditionalFormatting>
  <conditionalFormatting sqref="C470:D470">
    <cfRule type="containsText" dxfId="4330" priority="4520" operator="containsText" text="NO+$D$4:$D$10">
      <formula>NOT(ISERROR(SEARCH("NO+$D$4:$D$10",C470)))</formula>
    </cfRule>
  </conditionalFormatting>
  <conditionalFormatting sqref="C470:D470">
    <cfRule type="containsText" dxfId="4329" priority="4518" operator="containsText" text="SI">
      <formula>NOT(ISERROR(SEARCH("SI",C470)))</formula>
    </cfRule>
    <cfRule type="containsText" dxfId="4328" priority="4519" operator="containsText" text="NO">
      <formula>NOT(ISERROR(SEARCH("NO",C470)))</formula>
    </cfRule>
  </conditionalFormatting>
  <conditionalFormatting sqref="E470">
    <cfRule type="containsText" dxfId="4327" priority="4517" operator="containsText" text="Sin información">
      <formula>NOT(ISERROR(SEARCH("Sin información",E470)))</formula>
    </cfRule>
  </conditionalFormatting>
  <conditionalFormatting sqref="C470:E470">
    <cfRule type="containsText" dxfId="4326" priority="4516" operator="containsText" text="NUEVO">
      <formula>NOT(ISERROR(SEARCH("NUEVO",C470)))</formula>
    </cfRule>
  </conditionalFormatting>
  <conditionalFormatting sqref="E470">
    <cfRule type="containsText" dxfId="4325" priority="4515" operator="containsText" text="Sin Información">
      <formula>NOT(ISERROR(SEARCH("Sin Información",E470)))</formula>
    </cfRule>
  </conditionalFormatting>
  <conditionalFormatting sqref="C472:D472">
    <cfRule type="containsText" dxfId="4324" priority="4514" operator="containsText" text="NO+$D$4:$D$10">
      <formula>NOT(ISERROR(SEARCH("NO+$D$4:$D$10",C472)))</formula>
    </cfRule>
  </conditionalFormatting>
  <conditionalFormatting sqref="C472:D472">
    <cfRule type="containsText" dxfId="4323" priority="4512" operator="containsText" text="SI">
      <formula>NOT(ISERROR(SEARCH("SI",C472)))</formula>
    </cfRule>
    <cfRule type="containsText" dxfId="4322" priority="4513" operator="containsText" text="NO">
      <formula>NOT(ISERROR(SEARCH("NO",C472)))</formula>
    </cfRule>
  </conditionalFormatting>
  <conditionalFormatting sqref="C472:E472">
    <cfRule type="containsText" dxfId="4321" priority="4511" operator="containsText" text="NUEVO">
      <formula>NOT(ISERROR(SEARCH("NUEVO",C472)))</formula>
    </cfRule>
  </conditionalFormatting>
  <conditionalFormatting sqref="E472">
    <cfRule type="containsText" dxfId="4320" priority="4510" operator="containsText" text="Sin Información">
      <formula>NOT(ISERROR(SEARCH("Sin Información",E472)))</formula>
    </cfRule>
  </conditionalFormatting>
  <conditionalFormatting sqref="C473:D473">
    <cfRule type="containsText" dxfId="4319" priority="4509" operator="containsText" text="NO+$D$4:$D$10">
      <formula>NOT(ISERROR(SEARCH("NO+$D$4:$D$10",C473)))</formula>
    </cfRule>
  </conditionalFormatting>
  <conditionalFormatting sqref="C473:D473">
    <cfRule type="containsText" dxfId="4318" priority="4507" operator="containsText" text="SI">
      <formula>NOT(ISERROR(SEARCH("SI",C473)))</formula>
    </cfRule>
    <cfRule type="containsText" dxfId="4317" priority="4508" operator="containsText" text="NO">
      <formula>NOT(ISERROR(SEARCH("NO",C473)))</formula>
    </cfRule>
  </conditionalFormatting>
  <conditionalFormatting sqref="C473:E473">
    <cfRule type="containsText" dxfId="4316" priority="4506" operator="containsText" text="NUEVO">
      <formula>NOT(ISERROR(SEARCH("NUEVO",C473)))</formula>
    </cfRule>
  </conditionalFormatting>
  <conditionalFormatting sqref="E473">
    <cfRule type="containsText" dxfId="4315" priority="4505" operator="containsText" text="Sin Información">
      <formula>NOT(ISERROR(SEARCH("Sin Información",E473)))</formula>
    </cfRule>
  </conditionalFormatting>
  <conditionalFormatting sqref="C474:D474">
    <cfRule type="containsText" dxfId="4314" priority="4504" operator="containsText" text="NO+$D$4:$D$10">
      <formula>NOT(ISERROR(SEARCH("NO+$D$4:$D$10",C474)))</formula>
    </cfRule>
  </conditionalFormatting>
  <conditionalFormatting sqref="C474:D474">
    <cfRule type="containsText" dxfId="4313" priority="4502" operator="containsText" text="SI">
      <formula>NOT(ISERROR(SEARCH("SI",C474)))</formula>
    </cfRule>
    <cfRule type="containsText" dxfId="4312" priority="4503" operator="containsText" text="NO">
      <formula>NOT(ISERROR(SEARCH("NO",C474)))</formula>
    </cfRule>
  </conditionalFormatting>
  <conditionalFormatting sqref="C474:E474">
    <cfRule type="containsText" dxfId="4311" priority="4501" operator="containsText" text="NUEVO">
      <formula>NOT(ISERROR(SEARCH("NUEVO",C474)))</formula>
    </cfRule>
  </conditionalFormatting>
  <conditionalFormatting sqref="E474">
    <cfRule type="containsText" dxfId="4310" priority="4500" operator="containsText" text="Sin Información">
      <formula>NOT(ISERROR(SEARCH("Sin Información",E474)))</formula>
    </cfRule>
  </conditionalFormatting>
  <conditionalFormatting sqref="C475:D475">
    <cfRule type="containsText" dxfId="4309" priority="4499" operator="containsText" text="NO+$D$4:$D$10">
      <formula>NOT(ISERROR(SEARCH("NO+$D$4:$D$10",C475)))</formula>
    </cfRule>
  </conditionalFormatting>
  <conditionalFormatting sqref="C475:D475">
    <cfRule type="containsText" dxfId="4308" priority="4497" operator="containsText" text="SI">
      <formula>NOT(ISERROR(SEARCH("SI",C475)))</formula>
    </cfRule>
    <cfRule type="containsText" dxfId="4307" priority="4498" operator="containsText" text="NO">
      <formula>NOT(ISERROR(SEARCH("NO",C475)))</formula>
    </cfRule>
  </conditionalFormatting>
  <conditionalFormatting sqref="C475:E475">
    <cfRule type="containsText" dxfId="4306" priority="4496" operator="containsText" text="NUEVO">
      <formula>NOT(ISERROR(SEARCH("NUEVO",C475)))</formula>
    </cfRule>
  </conditionalFormatting>
  <conditionalFormatting sqref="E475">
    <cfRule type="containsText" dxfId="4305" priority="4495" operator="containsText" text="Sin Información">
      <formula>NOT(ISERROR(SEARCH("Sin Información",E475)))</formula>
    </cfRule>
  </conditionalFormatting>
  <conditionalFormatting sqref="C476:D476">
    <cfRule type="containsText" dxfId="4304" priority="4494" operator="containsText" text="NO+$D$4:$D$10">
      <formula>NOT(ISERROR(SEARCH("NO+$D$4:$D$10",C476)))</formula>
    </cfRule>
  </conditionalFormatting>
  <conditionalFormatting sqref="C476:D476">
    <cfRule type="containsText" dxfId="4303" priority="4492" operator="containsText" text="SI">
      <formula>NOT(ISERROR(SEARCH("SI",C476)))</formula>
    </cfRule>
    <cfRule type="containsText" dxfId="4302" priority="4493" operator="containsText" text="NO">
      <formula>NOT(ISERROR(SEARCH("NO",C476)))</formula>
    </cfRule>
  </conditionalFormatting>
  <conditionalFormatting sqref="C476:E476">
    <cfRule type="containsText" dxfId="4301" priority="4491" operator="containsText" text="NUEVO">
      <formula>NOT(ISERROR(SEARCH("NUEVO",C476)))</formula>
    </cfRule>
  </conditionalFormatting>
  <conditionalFormatting sqref="E476">
    <cfRule type="containsText" dxfId="4300" priority="4490" operator="containsText" text="Sin Información">
      <formula>NOT(ISERROR(SEARCH("Sin Información",E476)))</formula>
    </cfRule>
  </conditionalFormatting>
  <conditionalFormatting sqref="C477:D477">
    <cfRule type="containsText" dxfId="4299" priority="4489" operator="containsText" text="NO+$D$4:$D$10">
      <formula>NOT(ISERROR(SEARCH("NO+$D$4:$D$10",C477)))</formula>
    </cfRule>
  </conditionalFormatting>
  <conditionalFormatting sqref="C477:D477">
    <cfRule type="containsText" dxfId="4298" priority="4487" operator="containsText" text="SI">
      <formula>NOT(ISERROR(SEARCH("SI",C477)))</formula>
    </cfRule>
    <cfRule type="containsText" dxfId="4297" priority="4488" operator="containsText" text="NO">
      <formula>NOT(ISERROR(SEARCH("NO",C477)))</formula>
    </cfRule>
  </conditionalFormatting>
  <conditionalFormatting sqref="C477:E477">
    <cfRule type="containsText" dxfId="4296" priority="4486" operator="containsText" text="NUEVO">
      <formula>NOT(ISERROR(SEARCH("NUEVO",C477)))</formula>
    </cfRule>
  </conditionalFormatting>
  <conditionalFormatting sqref="E477">
    <cfRule type="containsText" dxfId="4295" priority="4485" operator="containsText" text="Sin Información">
      <formula>NOT(ISERROR(SEARCH("Sin Información",E477)))</formula>
    </cfRule>
  </conditionalFormatting>
  <conditionalFormatting sqref="C478:D478">
    <cfRule type="containsText" dxfId="4294" priority="4484" operator="containsText" text="NO+$D$4:$D$10">
      <formula>NOT(ISERROR(SEARCH("NO+$D$4:$D$10",C478)))</formula>
    </cfRule>
  </conditionalFormatting>
  <conditionalFormatting sqref="C478:D478">
    <cfRule type="containsText" dxfId="4293" priority="4482" operator="containsText" text="SI">
      <formula>NOT(ISERROR(SEARCH("SI",C478)))</formula>
    </cfRule>
    <cfRule type="containsText" dxfId="4292" priority="4483" operator="containsText" text="NO">
      <formula>NOT(ISERROR(SEARCH("NO",C478)))</formula>
    </cfRule>
  </conditionalFormatting>
  <conditionalFormatting sqref="C478:E478">
    <cfRule type="containsText" dxfId="4291" priority="4481" operator="containsText" text="NUEVO">
      <formula>NOT(ISERROR(SEARCH("NUEVO",C478)))</formula>
    </cfRule>
  </conditionalFormatting>
  <conditionalFormatting sqref="E478">
    <cfRule type="containsText" dxfId="4290" priority="4480" operator="containsText" text="Sin Información">
      <formula>NOT(ISERROR(SEARCH("Sin Información",E478)))</formula>
    </cfRule>
  </conditionalFormatting>
  <conditionalFormatting sqref="C479:D479">
    <cfRule type="containsText" dxfId="4289" priority="4479" operator="containsText" text="NO+$D$4:$D$10">
      <formula>NOT(ISERROR(SEARCH("NO+$D$4:$D$10",C479)))</formula>
    </cfRule>
  </conditionalFormatting>
  <conditionalFormatting sqref="C479:D479">
    <cfRule type="containsText" dxfId="4288" priority="4477" operator="containsText" text="SI">
      <formula>NOT(ISERROR(SEARCH("SI",C479)))</formula>
    </cfRule>
    <cfRule type="containsText" dxfId="4287" priority="4478" operator="containsText" text="NO">
      <formula>NOT(ISERROR(SEARCH("NO",C479)))</formula>
    </cfRule>
  </conditionalFormatting>
  <conditionalFormatting sqref="E479">
    <cfRule type="containsText" dxfId="4286" priority="4476" operator="containsText" text="Sin información">
      <formula>NOT(ISERROR(SEARCH("Sin información",E479)))</formula>
    </cfRule>
  </conditionalFormatting>
  <conditionalFormatting sqref="C479:E479">
    <cfRule type="containsText" dxfId="4285" priority="4475" operator="containsText" text="NUEVO">
      <formula>NOT(ISERROR(SEARCH("NUEVO",C479)))</formula>
    </cfRule>
  </conditionalFormatting>
  <conditionalFormatting sqref="E479">
    <cfRule type="containsText" dxfId="4284" priority="4474" operator="containsText" text="Sin Información">
      <formula>NOT(ISERROR(SEARCH("Sin Información",E479)))</formula>
    </cfRule>
  </conditionalFormatting>
  <conditionalFormatting sqref="C481:D481">
    <cfRule type="containsText" dxfId="4283" priority="4473" operator="containsText" text="NO+$D$4:$D$10">
      <formula>NOT(ISERROR(SEARCH("NO+$D$4:$D$10",C481)))</formula>
    </cfRule>
  </conditionalFormatting>
  <conditionalFormatting sqref="C481:D481">
    <cfRule type="containsText" dxfId="4282" priority="4471" operator="containsText" text="SI">
      <formula>NOT(ISERROR(SEARCH("SI",C481)))</formula>
    </cfRule>
    <cfRule type="containsText" dxfId="4281" priority="4472" operator="containsText" text="NO">
      <formula>NOT(ISERROR(SEARCH("NO",C481)))</formula>
    </cfRule>
  </conditionalFormatting>
  <conditionalFormatting sqref="C481:E481">
    <cfRule type="containsText" dxfId="4280" priority="4470" operator="containsText" text="NUEVO">
      <formula>NOT(ISERROR(SEARCH("NUEVO",C481)))</formula>
    </cfRule>
  </conditionalFormatting>
  <conditionalFormatting sqref="E481">
    <cfRule type="containsText" dxfId="4279" priority="4469" operator="containsText" text="Sin Información">
      <formula>NOT(ISERROR(SEARCH("Sin Información",E481)))</formula>
    </cfRule>
  </conditionalFormatting>
  <conditionalFormatting sqref="C482:D482">
    <cfRule type="containsText" dxfId="4278" priority="4468" operator="containsText" text="NO+$D$4:$D$10">
      <formula>NOT(ISERROR(SEARCH("NO+$D$4:$D$10",C482)))</formula>
    </cfRule>
  </conditionalFormatting>
  <conditionalFormatting sqref="C482:D482">
    <cfRule type="containsText" dxfId="4277" priority="4466" operator="containsText" text="SI">
      <formula>NOT(ISERROR(SEARCH("SI",C482)))</formula>
    </cfRule>
    <cfRule type="containsText" dxfId="4276" priority="4467" operator="containsText" text="NO">
      <formula>NOT(ISERROR(SEARCH("NO",C482)))</formula>
    </cfRule>
  </conditionalFormatting>
  <conditionalFormatting sqref="C482:E482">
    <cfRule type="containsText" dxfId="4275" priority="4465" operator="containsText" text="NUEVO">
      <formula>NOT(ISERROR(SEARCH("NUEVO",C482)))</formula>
    </cfRule>
  </conditionalFormatting>
  <conditionalFormatting sqref="E482">
    <cfRule type="containsText" dxfId="4274" priority="4464" operator="containsText" text="Sin Información">
      <formula>NOT(ISERROR(SEARCH("Sin Información",E482)))</formula>
    </cfRule>
  </conditionalFormatting>
  <conditionalFormatting sqref="C483:D483">
    <cfRule type="containsText" dxfId="4273" priority="4463" operator="containsText" text="NO+$D$4:$D$10">
      <formula>NOT(ISERROR(SEARCH("NO+$D$4:$D$10",C483)))</formula>
    </cfRule>
  </conditionalFormatting>
  <conditionalFormatting sqref="C483:D483">
    <cfRule type="containsText" dxfId="4272" priority="4461" operator="containsText" text="SI">
      <formula>NOT(ISERROR(SEARCH("SI",C483)))</formula>
    </cfRule>
    <cfRule type="containsText" dxfId="4271" priority="4462" operator="containsText" text="NO">
      <formula>NOT(ISERROR(SEARCH("NO",C483)))</formula>
    </cfRule>
  </conditionalFormatting>
  <conditionalFormatting sqref="C483:E483">
    <cfRule type="containsText" dxfId="4270" priority="4460" operator="containsText" text="NUEVO">
      <formula>NOT(ISERROR(SEARCH("NUEVO",C483)))</formula>
    </cfRule>
  </conditionalFormatting>
  <conditionalFormatting sqref="E483">
    <cfRule type="containsText" dxfId="4269" priority="4459" operator="containsText" text="Sin Información">
      <formula>NOT(ISERROR(SEARCH("Sin Información",E483)))</formula>
    </cfRule>
  </conditionalFormatting>
  <conditionalFormatting sqref="C484:D484">
    <cfRule type="containsText" dxfId="4268" priority="4458" operator="containsText" text="NO+$D$4:$D$10">
      <formula>NOT(ISERROR(SEARCH("NO+$D$4:$D$10",C484)))</formula>
    </cfRule>
  </conditionalFormatting>
  <conditionalFormatting sqref="C484:D484">
    <cfRule type="containsText" dxfId="4267" priority="4456" operator="containsText" text="SI">
      <formula>NOT(ISERROR(SEARCH("SI",C484)))</formula>
    </cfRule>
    <cfRule type="containsText" dxfId="4266" priority="4457" operator="containsText" text="NO">
      <formula>NOT(ISERROR(SEARCH("NO",C484)))</formula>
    </cfRule>
  </conditionalFormatting>
  <conditionalFormatting sqref="C484:E484">
    <cfRule type="containsText" dxfId="4265" priority="4455" operator="containsText" text="NUEVO">
      <formula>NOT(ISERROR(SEARCH("NUEVO",C484)))</formula>
    </cfRule>
  </conditionalFormatting>
  <conditionalFormatting sqref="E484">
    <cfRule type="containsText" dxfId="4264" priority="4454" operator="containsText" text="Sin Información">
      <formula>NOT(ISERROR(SEARCH("Sin Información",E484)))</formula>
    </cfRule>
  </conditionalFormatting>
  <conditionalFormatting sqref="C485:D485">
    <cfRule type="containsText" dxfId="4263" priority="4453" operator="containsText" text="NO+$D$4:$D$10">
      <formula>NOT(ISERROR(SEARCH("NO+$D$4:$D$10",C485)))</formula>
    </cfRule>
  </conditionalFormatting>
  <conditionalFormatting sqref="C485:D485">
    <cfRule type="containsText" dxfId="4262" priority="4451" operator="containsText" text="SI">
      <formula>NOT(ISERROR(SEARCH("SI",C485)))</formula>
    </cfRule>
    <cfRule type="containsText" dxfId="4261" priority="4452" operator="containsText" text="NO">
      <formula>NOT(ISERROR(SEARCH("NO",C485)))</formula>
    </cfRule>
  </conditionalFormatting>
  <conditionalFormatting sqref="C485:E485">
    <cfRule type="containsText" dxfId="4260" priority="4450" operator="containsText" text="NUEVO">
      <formula>NOT(ISERROR(SEARCH("NUEVO",C485)))</formula>
    </cfRule>
  </conditionalFormatting>
  <conditionalFormatting sqref="E485">
    <cfRule type="containsText" dxfId="4259" priority="4449" operator="containsText" text="Sin Información">
      <formula>NOT(ISERROR(SEARCH("Sin Información",E485)))</formula>
    </cfRule>
  </conditionalFormatting>
  <conditionalFormatting sqref="C486:D486">
    <cfRule type="containsText" dxfId="4258" priority="4448" operator="containsText" text="NO+$D$4:$D$10">
      <formula>NOT(ISERROR(SEARCH("NO+$D$4:$D$10",C486)))</formula>
    </cfRule>
  </conditionalFormatting>
  <conditionalFormatting sqref="C486:D486">
    <cfRule type="containsText" dxfId="4257" priority="4446" operator="containsText" text="SI">
      <formula>NOT(ISERROR(SEARCH("SI",C486)))</formula>
    </cfRule>
    <cfRule type="containsText" dxfId="4256" priority="4447" operator="containsText" text="NO">
      <formula>NOT(ISERROR(SEARCH("NO",C486)))</formula>
    </cfRule>
  </conditionalFormatting>
  <conditionalFormatting sqref="C486:D486">
    <cfRule type="containsText" dxfId="4255" priority="4445" operator="containsText" text="NUEVO">
      <formula>NOT(ISERROR(SEARCH("NUEVO",C486)))</formula>
    </cfRule>
  </conditionalFormatting>
  <conditionalFormatting sqref="E486">
    <cfRule type="containsText" dxfId="4254" priority="4444" operator="containsText" text="NUEVO">
      <formula>NOT(ISERROR(SEARCH("NUEVO",E486)))</formula>
    </cfRule>
  </conditionalFormatting>
  <conditionalFormatting sqref="E486">
    <cfRule type="containsText" dxfId="4253" priority="4443" operator="containsText" text="Sin Información">
      <formula>NOT(ISERROR(SEARCH("Sin Información",E486)))</formula>
    </cfRule>
  </conditionalFormatting>
  <conditionalFormatting sqref="C487:D487">
    <cfRule type="containsText" dxfId="4252" priority="4442" operator="containsText" text="NO+$D$4:$D$10">
      <formula>NOT(ISERROR(SEARCH("NO+$D$4:$D$10",C487)))</formula>
    </cfRule>
  </conditionalFormatting>
  <conditionalFormatting sqref="C487:D487">
    <cfRule type="containsText" dxfId="4251" priority="4440" operator="containsText" text="SI">
      <formula>NOT(ISERROR(SEARCH("SI",C487)))</formula>
    </cfRule>
    <cfRule type="containsText" dxfId="4250" priority="4441" operator="containsText" text="NO">
      <formula>NOT(ISERROR(SEARCH("NO",C487)))</formula>
    </cfRule>
  </conditionalFormatting>
  <conditionalFormatting sqref="E487">
    <cfRule type="containsText" dxfId="4249" priority="4439" operator="containsText" text="Sin información">
      <formula>NOT(ISERROR(SEARCH("Sin información",E487)))</formula>
    </cfRule>
  </conditionalFormatting>
  <conditionalFormatting sqref="C487:E487">
    <cfRule type="containsText" dxfId="4248" priority="4438" operator="containsText" text="NUEVO">
      <formula>NOT(ISERROR(SEARCH("NUEVO",C487)))</formula>
    </cfRule>
  </conditionalFormatting>
  <conditionalFormatting sqref="E487">
    <cfRule type="containsText" dxfId="4247" priority="4437" operator="containsText" text="Sin Información">
      <formula>NOT(ISERROR(SEARCH("Sin Información",E487)))</formula>
    </cfRule>
  </conditionalFormatting>
  <conditionalFormatting sqref="C488:D488">
    <cfRule type="containsText" dxfId="4246" priority="4436" operator="containsText" text="NO+$D$4:$D$10">
      <formula>NOT(ISERROR(SEARCH("NO+$D$4:$D$10",C488)))</formula>
    </cfRule>
  </conditionalFormatting>
  <conditionalFormatting sqref="C488:D488">
    <cfRule type="containsText" dxfId="4245" priority="4434" operator="containsText" text="SI">
      <formula>NOT(ISERROR(SEARCH("SI",C488)))</formula>
    </cfRule>
    <cfRule type="containsText" dxfId="4244" priority="4435" operator="containsText" text="NO">
      <formula>NOT(ISERROR(SEARCH("NO",C488)))</formula>
    </cfRule>
  </conditionalFormatting>
  <conditionalFormatting sqref="C488:D488">
    <cfRule type="containsText" dxfId="4243" priority="4433" operator="containsText" text="NUEVO">
      <formula>NOT(ISERROR(SEARCH("NUEVO",C488)))</formula>
    </cfRule>
  </conditionalFormatting>
  <conditionalFormatting sqref="E488">
    <cfRule type="containsText" dxfId="4242" priority="4432" operator="containsText" text="NUEVO">
      <formula>NOT(ISERROR(SEARCH("NUEVO",E488)))</formula>
    </cfRule>
  </conditionalFormatting>
  <conditionalFormatting sqref="E488">
    <cfRule type="containsText" dxfId="4241" priority="4431" operator="containsText" text="Sin Información">
      <formula>NOT(ISERROR(SEARCH("Sin Información",E488)))</formula>
    </cfRule>
  </conditionalFormatting>
  <conditionalFormatting sqref="C489:D489">
    <cfRule type="containsText" dxfId="4240" priority="4430" operator="containsText" text="NO+$D$4:$D$10">
      <formula>NOT(ISERROR(SEARCH("NO+$D$4:$D$10",C489)))</formula>
    </cfRule>
  </conditionalFormatting>
  <conditionalFormatting sqref="C489:D489">
    <cfRule type="containsText" dxfId="4239" priority="4428" operator="containsText" text="SI">
      <formula>NOT(ISERROR(SEARCH("SI",C489)))</formula>
    </cfRule>
    <cfRule type="containsText" dxfId="4238" priority="4429" operator="containsText" text="NO">
      <formula>NOT(ISERROR(SEARCH("NO",C489)))</formula>
    </cfRule>
  </conditionalFormatting>
  <conditionalFormatting sqref="C489:E489">
    <cfRule type="containsText" dxfId="4237" priority="4427" operator="containsText" text="NUEVO">
      <formula>NOT(ISERROR(SEARCH("NUEVO",C489)))</formula>
    </cfRule>
  </conditionalFormatting>
  <conditionalFormatting sqref="E489">
    <cfRule type="containsText" dxfId="4236" priority="4426" operator="containsText" text="Sin Información">
      <formula>NOT(ISERROR(SEARCH("Sin Información",E489)))</formula>
    </cfRule>
  </conditionalFormatting>
  <conditionalFormatting sqref="C490:D490">
    <cfRule type="containsText" dxfId="4235" priority="4425" operator="containsText" text="NO+$D$4:$D$10">
      <formula>NOT(ISERROR(SEARCH("NO+$D$4:$D$10",C490)))</formula>
    </cfRule>
  </conditionalFormatting>
  <conditionalFormatting sqref="C490:D490">
    <cfRule type="containsText" dxfId="4234" priority="4423" operator="containsText" text="SI">
      <formula>NOT(ISERROR(SEARCH("SI",C490)))</formula>
    </cfRule>
    <cfRule type="containsText" dxfId="4233" priority="4424" operator="containsText" text="NO">
      <formula>NOT(ISERROR(SEARCH("NO",C490)))</formula>
    </cfRule>
  </conditionalFormatting>
  <conditionalFormatting sqref="C490:E490">
    <cfRule type="containsText" dxfId="4232" priority="4422" operator="containsText" text="NUEVO">
      <formula>NOT(ISERROR(SEARCH("NUEVO",C490)))</formula>
    </cfRule>
  </conditionalFormatting>
  <conditionalFormatting sqref="E490">
    <cfRule type="containsText" dxfId="4231" priority="4421" operator="containsText" text="Sin Información">
      <formula>NOT(ISERROR(SEARCH("Sin Información",E490)))</formula>
    </cfRule>
  </conditionalFormatting>
  <conditionalFormatting sqref="C491:D491">
    <cfRule type="containsText" dxfId="4230" priority="4420" operator="containsText" text="NO+$D$4:$D$10">
      <formula>NOT(ISERROR(SEARCH("NO+$D$4:$D$10",C491)))</formula>
    </cfRule>
  </conditionalFormatting>
  <conditionalFormatting sqref="C491:D491">
    <cfRule type="containsText" dxfId="4229" priority="4418" operator="containsText" text="SI">
      <formula>NOT(ISERROR(SEARCH("SI",C491)))</formula>
    </cfRule>
    <cfRule type="containsText" dxfId="4228" priority="4419" operator="containsText" text="NO">
      <formula>NOT(ISERROR(SEARCH("NO",C491)))</formula>
    </cfRule>
  </conditionalFormatting>
  <conditionalFormatting sqref="C491:E491">
    <cfRule type="containsText" dxfId="4227" priority="4417" operator="containsText" text="NUEVO">
      <formula>NOT(ISERROR(SEARCH("NUEVO",C491)))</formula>
    </cfRule>
  </conditionalFormatting>
  <conditionalFormatting sqref="E491">
    <cfRule type="containsText" dxfId="4226" priority="4416" operator="containsText" text="Sin Información">
      <formula>NOT(ISERROR(SEARCH("Sin Información",E491)))</formula>
    </cfRule>
  </conditionalFormatting>
  <conditionalFormatting sqref="C492:D492">
    <cfRule type="containsText" dxfId="4225" priority="4415" operator="containsText" text="NO+$D$4:$D$10">
      <formula>NOT(ISERROR(SEARCH("NO+$D$4:$D$10",C492)))</formula>
    </cfRule>
  </conditionalFormatting>
  <conditionalFormatting sqref="C492:D492">
    <cfRule type="containsText" dxfId="4224" priority="4413" operator="containsText" text="SI">
      <formula>NOT(ISERROR(SEARCH("SI",C492)))</formula>
    </cfRule>
    <cfRule type="containsText" dxfId="4223" priority="4414" operator="containsText" text="NO">
      <formula>NOT(ISERROR(SEARCH("NO",C492)))</formula>
    </cfRule>
  </conditionalFormatting>
  <conditionalFormatting sqref="E492">
    <cfRule type="containsText" dxfId="4222" priority="4412" operator="containsText" text="Sin información">
      <formula>NOT(ISERROR(SEARCH("Sin información",E492)))</formula>
    </cfRule>
  </conditionalFormatting>
  <conditionalFormatting sqref="C492:E492">
    <cfRule type="containsText" dxfId="4221" priority="4411" operator="containsText" text="NUEVO">
      <formula>NOT(ISERROR(SEARCH("NUEVO",C492)))</formula>
    </cfRule>
  </conditionalFormatting>
  <conditionalFormatting sqref="E492">
    <cfRule type="containsText" dxfId="4220" priority="4410" operator="containsText" text="Sin Información">
      <formula>NOT(ISERROR(SEARCH("Sin Información",E492)))</formula>
    </cfRule>
  </conditionalFormatting>
  <conditionalFormatting sqref="C493:D493">
    <cfRule type="containsText" dxfId="4219" priority="4409" operator="containsText" text="NO+$D$4:$D$10">
      <formula>NOT(ISERROR(SEARCH("NO+$D$4:$D$10",C493)))</formula>
    </cfRule>
  </conditionalFormatting>
  <conditionalFormatting sqref="C493:D493">
    <cfRule type="containsText" dxfId="4218" priority="4407" operator="containsText" text="SI">
      <formula>NOT(ISERROR(SEARCH("SI",C493)))</formula>
    </cfRule>
    <cfRule type="containsText" dxfId="4217" priority="4408" operator="containsText" text="NO">
      <formula>NOT(ISERROR(SEARCH("NO",C493)))</formula>
    </cfRule>
  </conditionalFormatting>
  <conditionalFormatting sqref="C493:E493">
    <cfRule type="containsText" dxfId="4216" priority="4406" operator="containsText" text="NUEVO">
      <formula>NOT(ISERROR(SEARCH("NUEVO",C493)))</formula>
    </cfRule>
  </conditionalFormatting>
  <conditionalFormatting sqref="E493">
    <cfRule type="containsText" dxfId="4215" priority="4405" operator="containsText" text="Sin Información">
      <formula>NOT(ISERROR(SEARCH("Sin Información",E493)))</formula>
    </cfRule>
  </conditionalFormatting>
  <conditionalFormatting sqref="C494:D494">
    <cfRule type="containsText" dxfId="4214" priority="4404" operator="containsText" text="NO+$D$4:$D$10">
      <formula>NOT(ISERROR(SEARCH("NO+$D$4:$D$10",C494)))</formula>
    </cfRule>
  </conditionalFormatting>
  <conditionalFormatting sqref="C494:D494">
    <cfRule type="containsText" dxfId="4213" priority="4402" operator="containsText" text="SI">
      <formula>NOT(ISERROR(SEARCH("SI",C494)))</formula>
    </cfRule>
    <cfRule type="containsText" dxfId="4212" priority="4403" operator="containsText" text="NO">
      <formula>NOT(ISERROR(SEARCH("NO",C494)))</formula>
    </cfRule>
  </conditionalFormatting>
  <conditionalFormatting sqref="C494:E494">
    <cfRule type="containsText" dxfId="4211" priority="4401" operator="containsText" text="NUEVO">
      <formula>NOT(ISERROR(SEARCH("NUEVO",C494)))</formula>
    </cfRule>
  </conditionalFormatting>
  <conditionalFormatting sqref="E494">
    <cfRule type="containsText" dxfId="4210" priority="4400" operator="containsText" text="Sin Información">
      <formula>NOT(ISERROR(SEARCH("Sin Información",E494)))</formula>
    </cfRule>
  </conditionalFormatting>
  <conditionalFormatting sqref="C495:D495">
    <cfRule type="containsText" dxfId="4209" priority="4399" operator="containsText" text="NO+$D$4:$D$10">
      <formula>NOT(ISERROR(SEARCH("NO+$D$4:$D$10",C495)))</formula>
    </cfRule>
  </conditionalFormatting>
  <conditionalFormatting sqref="C495:D495">
    <cfRule type="containsText" dxfId="4208" priority="4397" operator="containsText" text="SI">
      <formula>NOT(ISERROR(SEARCH("SI",C495)))</formula>
    </cfRule>
    <cfRule type="containsText" dxfId="4207" priority="4398" operator="containsText" text="NO">
      <formula>NOT(ISERROR(SEARCH("NO",C495)))</formula>
    </cfRule>
  </conditionalFormatting>
  <conditionalFormatting sqref="C495:D495">
    <cfRule type="containsText" dxfId="4206" priority="4396" operator="containsText" text="NUEVO">
      <formula>NOT(ISERROR(SEARCH("NUEVO",C495)))</formula>
    </cfRule>
  </conditionalFormatting>
  <conditionalFormatting sqref="E495">
    <cfRule type="containsText" dxfId="4205" priority="4395" operator="containsText" text="NUEVO">
      <formula>NOT(ISERROR(SEARCH("NUEVO",E495)))</formula>
    </cfRule>
  </conditionalFormatting>
  <conditionalFormatting sqref="E495">
    <cfRule type="containsText" dxfId="4204" priority="4394" operator="containsText" text="Sin Información">
      <formula>NOT(ISERROR(SEARCH("Sin Información",E495)))</formula>
    </cfRule>
  </conditionalFormatting>
  <conditionalFormatting sqref="C496:D496">
    <cfRule type="containsText" dxfId="4203" priority="4393" operator="containsText" text="NO+$D$4:$D$10">
      <formula>NOT(ISERROR(SEARCH("NO+$D$4:$D$10",C496)))</formula>
    </cfRule>
  </conditionalFormatting>
  <conditionalFormatting sqref="C496:D496">
    <cfRule type="containsText" dxfId="4202" priority="4391" operator="containsText" text="SI">
      <formula>NOT(ISERROR(SEARCH("SI",C496)))</formula>
    </cfRule>
    <cfRule type="containsText" dxfId="4201" priority="4392" operator="containsText" text="NO">
      <formula>NOT(ISERROR(SEARCH("NO",C496)))</formula>
    </cfRule>
  </conditionalFormatting>
  <conditionalFormatting sqref="C496:D496">
    <cfRule type="containsText" dxfId="4200" priority="4390" operator="containsText" text="NUEVO">
      <formula>NOT(ISERROR(SEARCH("NUEVO",C496)))</formula>
    </cfRule>
  </conditionalFormatting>
  <conditionalFormatting sqref="E496">
    <cfRule type="containsText" dxfId="4199" priority="4388" operator="containsText" text="Sin Información">
      <formula>NOT(ISERROR(SEARCH("Sin Información",E496)))</formula>
    </cfRule>
  </conditionalFormatting>
  <conditionalFormatting sqref="E496">
    <cfRule type="containsText" dxfId="4198" priority="4389" operator="containsText" text="NUEVO">
      <formula>NOT(ISERROR(SEARCH("NUEVO",E496)))</formula>
    </cfRule>
  </conditionalFormatting>
  <conditionalFormatting sqref="C497:D497">
    <cfRule type="containsText" dxfId="4197" priority="4387" operator="containsText" text="NO+$D$4:$D$10">
      <formula>NOT(ISERROR(SEARCH("NO+$D$4:$D$10",C497)))</formula>
    </cfRule>
  </conditionalFormatting>
  <conditionalFormatting sqref="C497:D497">
    <cfRule type="containsText" dxfId="4196" priority="4385" operator="containsText" text="SI">
      <formula>NOT(ISERROR(SEARCH("SI",C497)))</formula>
    </cfRule>
    <cfRule type="containsText" dxfId="4195" priority="4386" operator="containsText" text="NO">
      <formula>NOT(ISERROR(SEARCH("NO",C497)))</formula>
    </cfRule>
  </conditionalFormatting>
  <conditionalFormatting sqref="C497:D497">
    <cfRule type="containsText" dxfId="4194" priority="4384" operator="containsText" text="NUEVO">
      <formula>NOT(ISERROR(SEARCH("NUEVO",C497)))</formula>
    </cfRule>
  </conditionalFormatting>
  <conditionalFormatting sqref="E497">
    <cfRule type="containsText" dxfId="4193" priority="4383" operator="containsText" text="NUEVO">
      <formula>NOT(ISERROR(SEARCH("NUEVO",E497)))</formula>
    </cfRule>
  </conditionalFormatting>
  <conditionalFormatting sqref="E497">
    <cfRule type="containsText" dxfId="4192" priority="4382" operator="containsText" text="Sin Información">
      <formula>NOT(ISERROR(SEARCH("Sin Información",E497)))</formula>
    </cfRule>
  </conditionalFormatting>
  <conditionalFormatting sqref="C499:D499">
    <cfRule type="containsText" dxfId="4191" priority="4381" operator="containsText" text="NO+$D$4:$D$10">
      <formula>NOT(ISERROR(SEARCH("NO+$D$4:$D$10",C499)))</formula>
    </cfRule>
  </conditionalFormatting>
  <conditionalFormatting sqref="C499:D499">
    <cfRule type="containsText" dxfId="4190" priority="4379" operator="containsText" text="SI">
      <formula>NOT(ISERROR(SEARCH("SI",C499)))</formula>
    </cfRule>
    <cfRule type="containsText" dxfId="4189" priority="4380" operator="containsText" text="NO">
      <formula>NOT(ISERROR(SEARCH("NO",C499)))</formula>
    </cfRule>
  </conditionalFormatting>
  <conditionalFormatting sqref="C499:E499">
    <cfRule type="containsText" dxfId="4188" priority="4378" operator="containsText" text="NUEVO">
      <formula>NOT(ISERROR(SEARCH("NUEVO",C499)))</formula>
    </cfRule>
  </conditionalFormatting>
  <conditionalFormatting sqref="E499">
    <cfRule type="containsText" dxfId="4187" priority="4377" operator="containsText" text="Sin Información">
      <formula>NOT(ISERROR(SEARCH("Sin Información",E499)))</formula>
    </cfRule>
  </conditionalFormatting>
  <conditionalFormatting sqref="C501:D501">
    <cfRule type="containsText" dxfId="4186" priority="4376" operator="containsText" text="NO+$D$4:$D$10">
      <formula>NOT(ISERROR(SEARCH("NO+$D$4:$D$10",C501)))</formula>
    </cfRule>
  </conditionalFormatting>
  <conditionalFormatting sqref="C501:D501">
    <cfRule type="containsText" dxfId="4185" priority="4374" operator="containsText" text="SI">
      <formula>NOT(ISERROR(SEARCH("SI",C501)))</formula>
    </cfRule>
    <cfRule type="containsText" dxfId="4184" priority="4375" operator="containsText" text="NO">
      <formula>NOT(ISERROR(SEARCH("NO",C501)))</formula>
    </cfRule>
  </conditionalFormatting>
  <conditionalFormatting sqref="C501:E501">
    <cfRule type="containsText" dxfId="4183" priority="4373" operator="containsText" text="NUEVO">
      <formula>NOT(ISERROR(SEARCH("NUEVO",C501)))</formula>
    </cfRule>
  </conditionalFormatting>
  <conditionalFormatting sqref="E501">
    <cfRule type="containsText" dxfId="4182" priority="4372" operator="containsText" text="Sin Información">
      <formula>NOT(ISERROR(SEARCH("Sin Información",E501)))</formula>
    </cfRule>
  </conditionalFormatting>
  <conditionalFormatting sqref="C502:D502">
    <cfRule type="containsText" dxfId="4181" priority="4371" operator="containsText" text="NO+$D$4:$D$10">
      <formula>NOT(ISERROR(SEARCH("NO+$D$4:$D$10",C502)))</formula>
    </cfRule>
  </conditionalFormatting>
  <conditionalFormatting sqref="C502:D502">
    <cfRule type="containsText" dxfId="4180" priority="4369" operator="containsText" text="SI">
      <formula>NOT(ISERROR(SEARCH("SI",C502)))</formula>
    </cfRule>
    <cfRule type="containsText" dxfId="4179" priority="4370" operator="containsText" text="NO">
      <formula>NOT(ISERROR(SEARCH("NO",C502)))</formula>
    </cfRule>
  </conditionalFormatting>
  <conditionalFormatting sqref="C502:E502">
    <cfRule type="containsText" dxfId="4178" priority="4368" operator="containsText" text="NUEVO">
      <formula>NOT(ISERROR(SEARCH("NUEVO",C502)))</formula>
    </cfRule>
  </conditionalFormatting>
  <conditionalFormatting sqref="E502">
    <cfRule type="containsText" dxfId="4177" priority="4367" operator="containsText" text="Sin Información">
      <formula>NOT(ISERROR(SEARCH("Sin Información",E502)))</formula>
    </cfRule>
  </conditionalFormatting>
  <conditionalFormatting sqref="C503:D503">
    <cfRule type="containsText" dxfId="4176" priority="4366" operator="containsText" text="NO+$D$4:$D$10">
      <formula>NOT(ISERROR(SEARCH("NO+$D$4:$D$10",C503)))</formula>
    </cfRule>
  </conditionalFormatting>
  <conditionalFormatting sqref="C503:D503">
    <cfRule type="containsText" dxfId="4175" priority="4364" operator="containsText" text="SI">
      <formula>NOT(ISERROR(SEARCH("SI",C503)))</formula>
    </cfRule>
    <cfRule type="containsText" dxfId="4174" priority="4365" operator="containsText" text="NO">
      <formula>NOT(ISERROR(SEARCH("NO",C503)))</formula>
    </cfRule>
  </conditionalFormatting>
  <conditionalFormatting sqref="C503:D503">
    <cfRule type="containsText" dxfId="4173" priority="4363" operator="containsText" text="NUEVO">
      <formula>NOT(ISERROR(SEARCH("NUEVO",C503)))</formula>
    </cfRule>
  </conditionalFormatting>
  <conditionalFormatting sqref="E503">
    <cfRule type="containsText" dxfId="4172" priority="4362" operator="containsText" text="NUEVO">
      <formula>NOT(ISERROR(SEARCH("NUEVO",E503)))</formula>
    </cfRule>
  </conditionalFormatting>
  <conditionalFormatting sqref="E503">
    <cfRule type="containsText" dxfId="4171" priority="4361" operator="containsText" text="Sin Información">
      <formula>NOT(ISERROR(SEARCH("Sin Información",E503)))</formula>
    </cfRule>
  </conditionalFormatting>
  <conditionalFormatting sqref="C504:D504">
    <cfRule type="containsText" dxfId="4170" priority="4360" operator="containsText" text="NO+$D$4:$D$10">
      <formula>NOT(ISERROR(SEARCH("NO+$D$4:$D$10",C504)))</formula>
    </cfRule>
  </conditionalFormatting>
  <conditionalFormatting sqref="C504:D504">
    <cfRule type="containsText" dxfId="4169" priority="4358" operator="containsText" text="SI">
      <formula>NOT(ISERROR(SEARCH("SI",C504)))</formula>
    </cfRule>
    <cfRule type="containsText" dxfId="4168" priority="4359" operator="containsText" text="NO">
      <formula>NOT(ISERROR(SEARCH("NO",C504)))</formula>
    </cfRule>
  </conditionalFormatting>
  <conditionalFormatting sqref="C504:D504">
    <cfRule type="containsText" dxfId="4167" priority="4357" operator="containsText" text="NUEVO">
      <formula>NOT(ISERROR(SEARCH("NUEVO",C504)))</formula>
    </cfRule>
  </conditionalFormatting>
  <conditionalFormatting sqref="E504">
    <cfRule type="containsText" dxfId="4166" priority="4355" operator="containsText" text="Sin Información">
      <formula>NOT(ISERROR(SEARCH("Sin Información",E504)))</formula>
    </cfRule>
  </conditionalFormatting>
  <conditionalFormatting sqref="E504">
    <cfRule type="containsText" dxfId="4165" priority="4356" operator="containsText" text="NUEVO">
      <formula>NOT(ISERROR(SEARCH("NUEVO",E504)))</formula>
    </cfRule>
  </conditionalFormatting>
  <conditionalFormatting sqref="C505:D505">
    <cfRule type="containsText" dxfId="4164" priority="4354" operator="containsText" text="NO+$D$4:$D$10">
      <formula>NOT(ISERROR(SEARCH("NO+$D$4:$D$10",C505)))</formula>
    </cfRule>
  </conditionalFormatting>
  <conditionalFormatting sqref="C505:D505">
    <cfRule type="containsText" dxfId="4163" priority="4352" operator="containsText" text="SI">
      <formula>NOT(ISERROR(SEARCH("SI",C505)))</formula>
    </cfRule>
    <cfRule type="containsText" dxfId="4162" priority="4353" operator="containsText" text="NO">
      <formula>NOT(ISERROR(SEARCH("NO",C505)))</formula>
    </cfRule>
  </conditionalFormatting>
  <conditionalFormatting sqref="C505:D505">
    <cfRule type="containsText" dxfId="4161" priority="4351" operator="containsText" text="NUEVO">
      <formula>NOT(ISERROR(SEARCH("NUEVO",C505)))</formula>
    </cfRule>
  </conditionalFormatting>
  <conditionalFormatting sqref="E505">
    <cfRule type="containsText" dxfId="4160" priority="4350" operator="containsText" text="NUEVO">
      <formula>NOT(ISERROR(SEARCH("NUEVO",E505)))</formula>
    </cfRule>
  </conditionalFormatting>
  <conditionalFormatting sqref="E505">
    <cfRule type="containsText" dxfId="4159" priority="4349" operator="containsText" text="Sin Información">
      <formula>NOT(ISERROR(SEARCH("Sin Información",E505)))</formula>
    </cfRule>
  </conditionalFormatting>
  <conditionalFormatting sqref="C506:D512">
    <cfRule type="containsText" dxfId="4158" priority="4348" operator="containsText" text="NO+$D$4:$D$10">
      <formula>NOT(ISERROR(SEARCH("NO+$D$4:$D$10",C506)))</formula>
    </cfRule>
  </conditionalFormatting>
  <conditionalFormatting sqref="C506:D512">
    <cfRule type="containsText" dxfId="4157" priority="4346" operator="containsText" text="SI">
      <formula>NOT(ISERROR(SEARCH("SI",C506)))</formula>
    </cfRule>
    <cfRule type="containsText" dxfId="4156" priority="4347" operator="containsText" text="NO">
      <formula>NOT(ISERROR(SEARCH("NO",C506)))</formula>
    </cfRule>
  </conditionalFormatting>
  <conditionalFormatting sqref="C506:D512">
    <cfRule type="containsText" dxfId="4155" priority="4345" operator="containsText" text="NUEVO">
      <formula>NOT(ISERROR(SEARCH("NUEVO",C506)))</formula>
    </cfRule>
  </conditionalFormatting>
  <conditionalFormatting sqref="E506:E509">
    <cfRule type="containsText" dxfId="4154" priority="4344" operator="containsText" text="NUEVO">
      <formula>NOT(ISERROR(SEARCH("NUEVO",E506)))</formula>
    </cfRule>
  </conditionalFormatting>
  <conditionalFormatting sqref="E506:E509">
    <cfRule type="containsText" dxfId="4153" priority="4343" operator="containsText" text="Sin Información">
      <formula>NOT(ISERROR(SEARCH("Sin Información",E506)))</formula>
    </cfRule>
  </conditionalFormatting>
  <conditionalFormatting sqref="E510">
    <cfRule type="containsText" dxfId="4152" priority="4342" operator="containsText" text="NUEVO">
      <formula>NOT(ISERROR(SEARCH("NUEVO",E510)))</formula>
    </cfRule>
  </conditionalFormatting>
  <conditionalFormatting sqref="E510">
    <cfRule type="containsText" dxfId="4151" priority="4341" operator="containsText" text="Sin Información">
      <formula>NOT(ISERROR(SEARCH("Sin Información",E510)))</formula>
    </cfRule>
  </conditionalFormatting>
  <conditionalFormatting sqref="E511:E512">
    <cfRule type="containsText" dxfId="4150" priority="4340" operator="containsText" text="NUEVO">
      <formula>NOT(ISERROR(SEARCH("NUEVO",E511)))</formula>
    </cfRule>
  </conditionalFormatting>
  <conditionalFormatting sqref="E511:E512">
    <cfRule type="containsText" dxfId="4149" priority="4339" operator="containsText" text="Sin Información">
      <formula>NOT(ISERROR(SEARCH("Sin Información",E511)))</formula>
    </cfRule>
  </conditionalFormatting>
  <conditionalFormatting sqref="C513:D515">
    <cfRule type="containsText" dxfId="4148" priority="4338" operator="containsText" text="NO+$D$4:$D$10">
      <formula>NOT(ISERROR(SEARCH("NO+$D$4:$D$10",C513)))</formula>
    </cfRule>
  </conditionalFormatting>
  <conditionalFormatting sqref="C513:D515">
    <cfRule type="containsText" dxfId="4147" priority="4336" operator="containsText" text="SI">
      <formula>NOT(ISERROR(SEARCH("SI",C513)))</formula>
    </cfRule>
    <cfRule type="containsText" dxfId="4146" priority="4337" operator="containsText" text="NO">
      <formula>NOT(ISERROR(SEARCH("NO",C513)))</formula>
    </cfRule>
  </conditionalFormatting>
  <conditionalFormatting sqref="C513:D515">
    <cfRule type="containsText" dxfId="4145" priority="4335" operator="containsText" text="NUEVO">
      <formula>NOT(ISERROR(SEARCH("NUEVO",C513)))</formula>
    </cfRule>
  </conditionalFormatting>
  <conditionalFormatting sqref="E513:E515">
    <cfRule type="containsText" dxfId="4144" priority="4334" operator="containsText" text="NUEVO">
      <formula>NOT(ISERROR(SEARCH("NUEVO",E513)))</formula>
    </cfRule>
  </conditionalFormatting>
  <conditionalFormatting sqref="E513:E515">
    <cfRule type="containsText" dxfId="4143" priority="4333" operator="containsText" text="Sin Información">
      <formula>NOT(ISERROR(SEARCH("Sin Información",E513)))</formula>
    </cfRule>
  </conditionalFormatting>
  <conditionalFormatting sqref="C516:D516 C518:D521">
    <cfRule type="containsText" dxfId="4142" priority="4332" operator="containsText" text="NO+$D$4:$D$10">
      <formula>NOT(ISERROR(SEARCH("NO+$D$4:$D$10",C516)))</formula>
    </cfRule>
  </conditionalFormatting>
  <conditionalFormatting sqref="C516:D516 C518:D521">
    <cfRule type="containsText" dxfId="4141" priority="4330" operator="containsText" text="SI">
      <formula>NOT(ISERROR(SEARCH("SI",C516)))</formula>
    </cfRule>
    <cfRule type="containsText" dxfId="4140" priority="4331" operator="containsText" text="NO">
      <formula>NOT(ISERROR(SEARCH("NO",C516)))</formula>
    </cfRule>
  </conditionalFormatting>
  <conditionalFormatting sqref="C516:D516 C518:D521">
    <cfRule type="containsText" dxfId="4139" priority="4329" operator="containsText" text="NUEVO">
      <formula>NOT(ISERROR(SEARCH("NUEVO",C516)))</formula>
    </cfRule>
  </conditionalFormatting>
  <conditionalFormatting sqref="E516">
    <cfRule type="containsText" dxfId="4138" priority="4328" operator="containsText" text="NUEVO">
      <formula>NOT(ISERROR(SEARCH("NUEVO",E516)))</formula>
    </cfRule>
  </conditionalFormatting>
  <conditionalFormatting sqref="E516">
    <cfRule type="containsText" dxfId="4137" priority="4327" operator="containsText" text="Sin Información">
      <formula>NOT(ISERROR(SEARCH("Sin Información",E516)))</formula>
    </cfRule>
  </conditionalFormatting>
  <conditionalFormatting sqref="E521">
    <cfRule type="containsText" dxfId="4136" priority="4324" operator="containsText" text="NUEVO">
      <formula>NOT(ISERROR(SEARCH("NUEVO",E521)))</formula>
    </cfRule>
  </conditionalFormatting>
  <conditionalFormatting sqref="E521">
    <cfRule type="containsText" dxfId="4135" priority="4323" operator="containsText" text="Sin Información">
      <formula>NOT(ISERROR(SEARCH("Sin Información",E521)))</formula>
    </cfRule>
  </conditionalFormatting>
  <conditionalFormatting sqref="E518:E520">
    <cfRule type="containsText" dxfId="4134" priority="4326" operator="containsText" text="NUEVO">
      <formula>NOT(ISERROR(SEARCH("NUEVO",E518)))</formula>
    </cfRule>
  </conditionalFormatting>
  <conditionalFormatting sqref="E518:E520">
    <cfRule type="containsText" dxfId="4133" priority="4325" operator="containsText" text="Sin Información">
      <formula>NOT(ISERROR(SEARCH("Sin Información",E518)))</formula>
    </cfRule>
  </conditionalFormatting>
  <conditionalFormatting sqref="C522:D522">
    <cfRule type="containsText" dxfId="4132" priority="4322" operator="containsText" text="NO+$D$4:$D$10">
      <formula>NOT(ISERROR(SEARCH("NO+$D$4:$D$10",C522)))</formula>
    </cfRule>
  </conditionalFormatting>
  <conditionalFormatting sqref="C522:D522">
    <cfRule type="containsText" dxfId="4131" priority="4320" operator="containsText" text="SI">
      <formula>NOT(ISERROR(SEARCH("SI",C522)))</formula>
    </cfRule>
    <cfRule type="containsText" dxfId="4130" priority="4321" operator="containsText" text="NO">
      <formula>NOT(ISERROR(SEARCH("NO",C522)))</formula>
    </cfRule>
  </conditionalFormatting>
  <conditionalFormatting sqref="C522:E522">
    <cfRule type="containsText" dxfId="4129" priority="4319" operator="containsText" text="NUEVO">
      <formula>NOT(ISERROR(SEARCH("NUEVO",C522)))</formula>
    </cfRule>
  </conditionalFormatting>
  <conditionalFormatting sqref="E522">
    <cfRule type="containsText" dxfId="4128" priority="4318" operator="containsText" text="Sin Información">
      <formula>NOT(ISERROR(SEARCH("Sin Información",E522)))</formula>
    </cfRule>
  </conditionalFormatting>
  <conditionalFormatting sqref="C525:D525">
    <cfRule type="containsText" dxfId="4127" priority="4312" operator="containsText" text="NO+$D$4:$D$10">
      <formula>NOT(ISERROR(SEARCH("NO+$D$4:$D$10",C525)))</formula>
    </cfRule>
  </conditionalFormatting>
  <conditionalFormatting sqref="C525:D525">
    <cfRule type="containsText" dxfId="4126" priority="4310" operator="containsText" text="SI">
      <formula>NOT(ISERROR(SEARCH("SI",C525)))</formula>
    </cfRule>
    <cfRule type="containsText" dxfId="4125" priority="4311" operator="containsText" text="NO">
      <formula>NOT(ISERROR(SEARCH("NO",C525)))</formula>
    </cfRule>
  </conditionalFormatting>
  <conditionalFormatting sqref="C525:E525">
    <cfRule type="containsText" dxfId="4124" priority="4309" operator="containsText" text="NUEVO">
      <formula>NOT(ISERROR(SEARCH("NUEVO",C525)))</formula>
    </cfRule>
  </conditionalFormatting>
  <conditionalFormatting sqref="E525">
    <cfRule type="containsText" dxfId="4123" priority="4308" operator="containsText" text="Sin Información">
      <formula>NOT(ISERROR(SEARCH("Sin Información",E525)))</formula>
    </cfRule>
  </conditionalFormatting>
  <conditionalFormatting sqref="C526:D526">
    <cfRule type="containsText" dxfId="4122" priority="4307" operator="containsText" text="NO+$D$4:$D$10">
      <formula>NOT(ISERROR(SEARCH("NO+$D$4:$D$10",C526)))</formula>
    </cfRule>
  </conditionalFormatting>
  <conditionalFormatting sqref="C526:D526">
    <cfRule type="containsText" dxfId="4121" priority="4305" operator="containsText" text="SI">
      <formula>NOT(ISERROR(SEARCH("SI",C526)))</formula>
    </cfRule>
    <cfRule type="containsText" dxfId="4120" priority="4306" operator="containsText" text="NO">
      <formula>NOT(ISERROR(SEARCH("NO",C526)))</formula>
    </cfRule>
  </conditionalFormatting>
  <conditionalFormatting sqref="C526:D526">
    <cfRule type="containsText" dxfId="4119" priority="4304" operator="containsText" text="NUEVO">
      <formula>NOT(ISERROR(SEARCH("NUEVO",C526)))</formula>
    </cfRule>
  </conditionalFormatting>
  <conditionalFormatting sqref="E526">
    <cfRule type="containsText" dxfId="4118" priority="4303" operator="containsText" text="NUEVO">
      <formula>NOT(ISERROR(SEARCH("NUEVO",E526)))</formula>
    </cfRule>
  </conditionalFormatting>
  <conditionalFormatting sqref="E526">
    <cfRule type="containsText" dxfId="4117" priority="4302" operator="containsText" text="Sin Información">
      <formula>NOT(ISERROR(SEARCH("Sin Información",E526)))</formula>
    </cfRule>
  </conditionalFormatting>
  <conditionalFormatting sqref="C527:D527">
    <cfRule type="containsText" dxfId="4116" priority="4301" operator="containsText" text="NO+$D$4:$D$10">
      <formula>NOT(ISERROR(SEARCH("NO+$D$4:$D$10",C527)))</formula>
    </cfRule>
  </conditionalFormatting>
  <conditionalFormatting sqref="C527:D527">
    <cfRule type="containsText" dxfId="4115" priority="4299" operator="containsText" text="SI">
      <formula>NOT(ISERROR(SEARCH("SI",C527)))</formula>
    </cfRule>
    <cfRule type="containsText" dxfId="4114" priority="4300" operator="containsText" text="NO">
      <formula>NOT(ISERROR(SEARCH("NO",C527)))</formula>
    </cfRule>
  </conditionalFormatting>
  <conditionalFormatting sqref="C527:E527">
    <cfRule type="containsText" dxfId="4113" priority="4298" operator="containsText" text="NUEVO">
      <formula>NOT(ISERROR(SEARCH("NUEVO",C527)))</formula>
    </cfRule>
  </conditionalFormatting>
  <conditionalFormatting sqref="E527">
    <cfRule type="containsText" dxfId="4112" priority="4297" operator="containsText" text="Sin Información">
      <formula>NOT(ISERROR(SEARCH("Sin Información",E527)))</formula>
    </cfRule>
  </conditionalFormatting>
  <conditionalFormatting sqref="C528:D528">
    <cfRule type="containsText" dxfId="4111" priority="4296" operator="containsText" text="NO+$D$4:$D$10">
      <formula>NOT(ISERROR(SEARCH("NO+$D$4:$D$10",C528)))</formula>
    </cfRule>
  </conditionalFormatting>
  <conditionalFormatting sqref="C528:D528">
    <cfRule type="containsText" dxfId="4110" priority="4294" operator="containsText" text="SI">
      <formula>NOT(ISERROR(SEARCH("SI",C528)))</formula>
    </cfRule>
    <cfRule type="containsText" dxfId="4109" priority="4295" operator="containsText" text="NO">
      <formula>NOT(ISERROR(SEARCH("NO",C528)))</formula>
    </cfRule>
  </conditionalFormatting>
  <conditionalFormatting sqref="C528:E528">
    <cfRule type="containsText" dxfId="4108" priority="4293" operator="containsText" text="NUEVO">
      <formula>NOT(ISERROR(SEARCH("NUEVO",C528)))</formula>
    </cfRule>
  </conditionalFormatting>
  <conditionalFormatting sqref="E528">
    <cfRule type="containsText" dxfId="4107" priority="4292" operator="containsText" text="Sin Información">
      <formula>NOT(ISERROR(SEARCH("Sin Información",E528)))</formula>
    </cfRule>
  </conditionalFormatting>
  <conditionalFormatting sqref="C529:D529">
    <cfRule type="containsText" dxfId="4106" priority="4291" operator="containsText" text="NO+$D$4:$D$10">
      <formula>NOT(ISERROR(SEARCH("NO+$D$4:$D$10",C529)))</formula>
    </cfRule>
  </conditionalFormatting>
  <conditionalFormatting sqref="C529:D529">
    <cfRule type="containsText" dxfId="4105" priority="4289" operator="containsText" text="SI">
      <formula>NOT(ISERROR(SEARCH("SI",C529)))</formula>
    </cfRule>
    <cfRule type="containsText" dxfId="4104" priority="4290" operator="containsText" text="NO">
      <formula>NOT(ISERROR(SEARCH("NO",C529)))</formula>
    </cfRule>
  </conditionalFormatting>
  <conditionalFormatting sqref="C529:E529">
    <cfRule type="containsText" dxfId="4103" priority="4288" operator="containsText" text="NUEVO">
      <formula>NOT(ISERROR(SEARCH("NUEVO",C529)))</formula>
    </cfRule>
  </conditionalFormatting>
  <conditionalFormatting sqref="E529">
    <cfRule type="containsText" dxfId="4102" priority="4287" operator="containsText" text="Sin Información">
      <formula>NOT(ISERROR(SEARCH("Sin Información",E529)))</formula>
    </cfRule>
  </conditionalFormatting>
  <conditionalFormatting sqref="C530:D530">
    <cfRule type="containsText" dxfId="4101" priority="4286" operator="containsText" text="NO+$D$4:$D$10">
      <formula>NOT(ISERROR(SEARCH("NO+$D$4:$D$10",C530)))</formula>
    </cfRule>
  </conditionalFormatting>
  <conditionalFormatting sqref="C530:D530">
    <cfRule type="containsText" dxfId="4100" priority="4284" operator="containsText" text="SI">
      <formula>NOT(ISERROR(SEARCH("SI",C530)))</formula>
    </cfRule>
    <cfRule type="containsText" dxfId="4099" priority="4285" operator="containsText" text="NO">
      <formula>NOT(ISERROR(SEARCH("NO",C530)))</formula>
    </cfRule>
  </conditionalFormatting>
  <conditionalFormatting sqref="C530:E530">
    <cfRule type="containsText" dxfId="4098" priority="4283" operator="containsText" text="NUEVO">
      <formula>NOT(ISERROR(SEARCH("NUEVO",C530)))</formula>
    </cfRule>
  </conditionalFormatting>
  <conditionalFormatting sqref="E530">
    <cfRule type="containsText" dxfId="4097" priority="4282" operator="containsText" text="Sin Información">
      <formula>NOT(ISERROR(SEARCH("Sin Información",E530)))</formula>
    </cfRule>
  </conditionalFormatting>
  <conditionalFormatting sqref="C532:D532">
    <cfRule type="containsText" dxfId="4096" priority="4281" operator="containsText" text="NO+$D$4:$D$10">
      <formula>NOT(ISERROR(SEARCH("NO+$D$4:$D$10",C532)))</formula>
    </cfRule>
  </conditionalFormatting>
  <conditionalFormatting sqref="C532:D532">
    <cfRule type="containsText" dxfId="4095" priority="4279" operator="containsText" text="SI">
      <formula>NOT(ISERROR(SEARCH("SI",C532)))</formula>
    </cfRule>
    <cfRule type="containsText" dxfId="4094" priority="4280" operator="containsText" text="NO">
      <formula>NOT(ISERROR(SEARCH("NO",C532)))</formula>
    </cfRule>
  </conditionalFormatting>
  <conditionalFormatting sqref="E532">
    <cfRule type="containsText" dxfId="4093" priority="4278" operator="containsText" text="Sin información">
      <formula>NOT(ISERROR(SEARCH("Sin información",E532)))</formula>
    </cfRule>
  </conditionalFormatting>
  <conditionalFormatting sqref="C532:E532">
    <cfRule type="containsText" dxfId="4092" priority="4277" operator="containsText" text="NUEVO">
      <formula>NOT(ISERROR(SEARCH("NUEVO",C532)))</formula>
    </cfRule>
  </conditionalFormatting>
  <conditionalFormatting sqref="E532">
    <cfRule type="containsText" dxfId="4091" priority="4276" operator="containsText" text="Sin Información">
      <formula>NOT(ISERROR(SEARCH("Sin Información",E532)))</formula>
    </cfRule>
  </conditionalFormatting>
  <conditionalFormatting sqref="E532">
    <cfRule type="containsText" dxfId="4090" priority="4275" operator="containsText" text="Sin información">
      <formula>NOT(ISERROR(SEARCH("Sin información",E532)))</formula>
    </cfRule>
  </conditionalFormatting>
  <conditionalFormatting sqref="E532">
    <cfRule type="containsText" dxfId="4089" priority="4274" operator="containsText" text="NUEVO">
      <formula>NOT(ISERROR(SEARCH("NUEVO",E532)))</formula>
    </cfRule>
  </conditionalFormatting>
  <conditionalFormatting sqref="C533:D533">
    <cfRule type="containsText" dxfId="4088" priority="4273" operator="containsText" text="NO+$D$4:$D$10">
      <formula>NOT(ISERROR(SEARCH("NO+$D$4:$D$10",C533)))</formula>
    </cfRule>
  </conditionalFormatting>
  <conditionalFormatting sqref="C533:D533">
    <cfRule type="containsText" dxfId="4087" priority="4271" operator="containsText" text="SI">
      <formula>NOT(ISERROR(SEARCH("SI",C533)))</formula>
    </cfRule>
    <cfRule type="containsText" dxfId="4086" priority="4272" operator="containsText" text="NO">
      <formula>NOT(ISERROR(SEARCH("NO",C533)))</formula>
    </cfRule>
  </conditionalFormatting>
  <conditionalFormatting sqref="C533:D533">
    <cfRule type="containsText" dxfId="4085" priority="4270" operator="containsText" text="NUEVO">
      <formula>NOT(ISERROR(SEARCH("NUEVO",C533)))</formula>
    </cfRule>
  </conditionalFormatting>
  <conditionalFormatting sqref="E533">
    <cfRule type="containsText" dxfId="4084" priority="4269" operator="containsText" text="NUEVO">
      <formula>NOT(ISERROR(SEARCH("NUEVO",E533)))</formula>
    </cfRule>
  </conditionalFormatting>
  <conditionalFormatting sqref="E533">
    <cfRule type="containsText" dxfId="4083" priority="4268" operator="containsText" text="Sin Información">
      <formula>NOT(ISERROR(SEARCH("Sin Información",E533)))</formula>
    </cfRule>
  </conditionalFormatting>
  <conditionalFormatting sqref="C534:D534">
    <cfRule type="containsText" dxfId="4082" priority="4267" operator="containsText" text="NO+$D$4:$D$10">
      <formula>NOT(ISERROR(SEARCH("NO+$D$4:$D$10",C534)))</formula>
    </cfRule>
  </conditionalFormatting>
  <conditionalFormatting sqref="C534:D534">
    <cfRule type="containsText" dxfId="4081" priority="4265" operator="containsText" text="SI">
      <formula>NOT(ISERROR(SEARCH("SI",C534)))</formula>
    </cfRule>
    <cfRule type="containsText" dxfId="4080" priority="4266" operator="containsText" text="NO">
      <formula>NOT(ISERROR(SEARCH("NO",C534)))</formula>
    </cfRule>
  </conditionalFormatting>
  <conditionalFormatting sqref="C534:E534">
    <cfRule type="containsText" dxfId="4079" priority="4264" operator="containsText" text="NUEVO">
      <formula>NOT(ISERROR(SEARCH("NUEVO",C534)))</formula>
    </cfRule>
  </conditionalFormatting>
  <conditionalFormatting sqref="E534">
    <cfRule type="containsText" dxfId="4078" priority="4263" operator="containsText" text="Sin Información">
      <formula>NOT(ISERROR(SEARCH("Sin Información",E534)))</formula>
    </cfRule>
  </conditionalFormatting>
  <conditionalFormatting sqref="C535:D537">
    <cfRule type="containsText" dxfId="4077" priority="4262" operator="containsText" text="NO+$D$4:$D$10">
      <formula>NOT(ISERROR(SEARCH("NO+$D$4:$D$10",C535)))</formula>
    </cfRule>
  </conditionalFormatting>
  <conditionalFormatting sqref="C535:D537">
    <cfRule type="containsText" dxfId="4076" priority="4260" operator="containsText" text="SI">
      <formula>NOT(ISERROR(SEARCH("SI",C535)))</formula>
    </cfRule>
    <cfRule type="containsText" dxfId="4075" priority="4261" operator="containsText" text="NO">
      <formula>NOT(ISERROR(SEARCH("NO",C535)))</formula>
    </cfRule>
  </conditionalFormatting>
  <conditionalFormatting sqref="C535:E537">
    <cfRule type="containsText" dxfId="4074" priority="4259" operator="containsText" text="NUEVO">
      <formula>NOT(ISERROR(SEARCH("NUEVO",C535)))</formula>
    </cfRule>
  </conditionalFormatting>
  <conditionalFormatting sqref="E535:E537">
    <cfRule type="containsText" dxfId="4073" priority="4258" operator="containsText" text="Sin Información">
      <formula>NOT(ISERROR(SEARCH("Sin Información",E535)))</formula>
    </cfRule>
  </conditionalFormatting>
  <conditionalFormatting sqref="E538">
    <cfRule type="containsText" dxfId="4072" priority="4257" operator="containsText" text="NUEVO">
      <formula>NOT(ISERROR(SEARCH("NUEVO",E538)))</formula>
    </cfRule>
  </conditionalFormatting>
  <conditionalFormatting sqref="E538">
    <cfRule type="containsText" dxfId="4071" priority="4256" operator="containsText" text="Sin Información">
      <formula>NOT(ISERROR(SEARCH("Sin Información",E538)))</formula>
    </cfRule>
  </conditionalFormatting>
  <conditionalFormatting sqref="E539:E540">
    <cfRule type="containsText" dxfId="4070" priority="4255" operator="containsText" text="NUEVO">
      <formula>NOT(ISERROR(SEARCH("NUEVO",E539)))</formula>
    </cfRule>
  </conditionalFormatting>
  <conditionalFormatting sqref="E539:E540">
    <cfRule type="containsText" dxfId="4069" priority="4254" operator="containsText" text="Sin Información">
      <formula>NOT(ISERROR(SEARCH("Sin Información",E539)))</formula>
    </cfRule>
  </conditionalFormatting>
  <conditionalFormatting sqref="E543">
    <cfRule type="containsText" dxfId="4068" priority="4253" operator="containsText" text="NUEVO">
      <formula>NOT(ISERROR(SEARCH("NUEVO",E543)))</formula>
    </cfRule>
  </conditionalFormatting>
  <conditionalFormatting sqref="E543">
    <cfRule type="containsText" dxfId="4067" priority="4252" operator="containsText" text="Sin Información">
      <formula>NOT(ISERROR(SEARCH("Sin Información",E543)))</formula>
    </cfRule>
  </conditionalFormatting>
  <conditionalFormatting sqref="C544:D548">
    <cfRule type="containsText" dxfId="4066" priority="4251" operator="containsText" text="NO+$D$4:$D$10">
      <formula>NOT(ISERROR(SEARCH("NO+$D$4:$D$10",C544)))</formula>
    </cfRule>
  </conditionalFormatting>
  <conditionalFormatting sqref="C544:D548">
    <cfRule type="containsText" dxfId="4065" priority="4249" operator="containsText" text="SI">
      <formula>NOT(ISERROR(SEARCH("SI",C544)))</formula>
    </cfRule>
    <cfRule type="containsText" dxfId="4064" priority="4250" operator="containsText" text="NO">
      <formula>NOT(ISERROR(SEARCH("NO",C544)))</formula>
    </cfRule>
  </conditionalFormatting>
  <conditionalFormatting sqref="C544:D548">
    <cfRule type="containsText" dxfId="4063" priority="4248" operator="containsText" text="NUEVO">
      <formula>NOT(ISERROR(SEARCH("NUEVO",C544)))</formula>
    </cfRule>
  </conditionalFormatting>
  <conditionalFormatting sqref="E544:E548">
    <cfRule type="containsText" dxfId="4062" priority="4247" operator="containsText" text="NUEVO">
      <formula>NOT(ISERROR(SEARCH("NUEVO",E544)))</formula>
    </cfRule>
  </conditionalFormatting>
  <conditionalFormatting sqref="E544:E548">
    <cfRule type="containsText" dxfId="4061" priority="4246" operator="containsText" text="Sin Información">
      <formula>NOT(ISERROR(SEARCH("Sin Información",E544)))</formula>
    </cfRule>
  </conditionalFormatting>
  <conditionalFormatting sqref="C549:D553">
    <cfRule type="containsText" dxfId="4060" priority="4245" operator="containsText" text="NO+$D$4:$D$10">
      <formula>NOT(ISERROR(SEARCH("NO+$D$4:$D$10",C549)))</formula>
    </cfRule>
  </conditionalFormatting>
  <conditionalFormatting sqref="C549:D553">
    <cfRule type="containsText" dxfId="4059" priority="4243" operator="containsText" text="SI">
      <formula>NOT(ISERROR(SEARCH("SI",C549)))</formula>
    </cfRule>
    <cfRule type="containsText" dxfId="4058" priority="4244" operator="containsText" text="NO">
      <formula>NOT(ISERROR(SEARCH("NO",C549)))</formula>
    </cfRule>
  </conditionalFormatting>
  <conditionalFormatting sqref="C549:D553">
    <cfRule type="containsText" dxfId="4057" priority="4242" operator="containsText" text="NUEVO">
      <formula>NOT(ISERROR(SEARCH("NUEVO",C549)))</formula>
    </cfRule>
  </conditionalFormatting>
  <conditionalFormatting sqref="E549">
    <cfRule type="containsText" dxfId="4056" priority="4241" operator="containsText" text="NUEVO">
      <formula>NOT(ISERROR(SEARCH("NUEVO",E549)))</formula>
    </cfRule>
  </conditionalFormatting>
  <conditionalFormatting sqref="E549">
    <cfRule type="containsText" dxfId="4055" priority="4240" operator="containsText" text="Sin Información">
      <formula>NOT(ISERROR(SEARCH("Sin Información",E549)))</formula>
    </cfRule>
  </conditionalFormatting>
  <conditionalFormatting sqref="E550:E552">
    <cfRule type="containsText" dxfId="4054" priority="4239" operator="containsText" text="NUEVO">
      <formula>NOT(ISERROR(SEARCH("NUEVO",E550)))</formula>
    </cfRule>
  </conditionalFormatting>
  <conditionalFormatting sqref="E550:E552">
    <cfRule type="containsText" dxfId="4053" priority="4238" operator="containsText" text="Sin Información">
      <formula>NOT(ISERROR(SEARCH("Sin Información",E550)))</formula>
    </cfRule>
  </conditionalFormatting>
  <conditionalFormatting sqref="E553">
    <cfRule type="containsText" dxfId="4052" priority="4237" operator="containsText" text="NUEVO">
      <formula>NOT(ISERROR(SEARCH("NUEVO",E553)))</formula>
    </cfRule>
  </conditionalFormatting>
  <conditionalFormatting sqref="E553">
    <cfRule type="containsText" dxfId="4051" priority="4236" operator="containsText" text="Sin Información">
      <formula>NOT(ISERROR(SEARCH("Sin Información",E553)))</formula>
    </cfRule>
  </conditionalFormatting>
  <conditionalFormatting sqref="C554:D557">
    <cfRule type="containsText" dxfId="4050" priority="4235" operator="containsText" text="NO+$D$4:$D$10">
      <formula>NOT(ISERROR(SEARCH("NO+$D$4:$D$10",C554)))</formula>
    </cfRule>
  </conditionalFormatting>
  <conditionalFormatting sqref="C554:D557">
    <cfRule type="containsText" dxfId="4049" priority="4233" operator="containsText" text="SI">
      <formula>NOT(ISERROR(SEARCH("SI",C554)))</formula>
    </cfRule>
    <cfRule type="containsText" dxfId="4048" priority="4234" operator="containsText" text="NO">
      <formula>NOT(ISERROR(SEARCH("NO",C554)))</formula>
    </cfRule>
  </conditionalFormatting>
  <conditionalFormatting sqref="C557:D557 C554:E556">
    <cfRule type="containsText" dxfId="4047" priority="4232" operator="containsText" text="NUEVO">
      <formula>NOT(ISERROR(SEARCH("NUEVO",C554)))</formula>
    </cfRule>
  </conditionalFormatting>
  <conditionalFormatting sqref="E554:E556">
    <cfRule type="containsText" dxfId="4046" priority="4231" operator="containsText" text="Sin Información">
      <formula>NOT(ISERROR(SEARCH("Sin Información",E554)))</formula>
    </cfRule>
  </conditionalFormatting>
  <conditionalFormatting sqref="E557">
    <cfRule type="containsText" dxfId="4045" priority="4230" operator="containsText" text="NUEVO">
      <formula>NOT(ISERROR(SEARCH("NUEVO",E557)))</formula>
    </cfRule>
  </conditionalFormatting>
  <conditionalFormatting sqref="E557">
    <cfRule type="containsText" dxfId="4044" priority="4229" operator="containsText" text="Sin Información">
      <formula>NOT(ISERROR(SEARCH("Sin Información",E557)))</formula>
    </cfRule>
  </conditionalFormatting>
  <conditionalFormatting sqref="C441:E441">
    <cfRule type="containsText" dxfId="4043" priority="4215" operator="containsText" text="NUEVO">
      <formula>NOT(ISERROR(SEARCH("NUEVO",C441)))</formula>
    </cfRule>
  </conditionalFormatting>
  <conditionalFormatting sqref="C328:D328">
    <cfRule type="containsText" dxfId="4042" priority="4228" operator="containsText" text="NO+$D$4:$D$10">
      <formula>NOT(ISERROR(SEARCH("NO+$D$4:$D$10",C328)))</formula>
    </cfRule>
  </conditionalFormatting>
  <conditionalFormatting sqref="C328:D328">
    <cfRule type="containsText" dxfId="4041" priority="4226" operator="containsText" text="SI">
      <formula>NOT(ISERROR(SEARCH("SI",C328)))</formula>
    </cfRule>
    <cfRule type="containsText" dxfId="4040" priority="4227" operator="containsText" text="NO">
      <formula>NOT(ISERROR(SEARCH("NO",C328)))</formula>
    </cfRule>
  </conditionalFormatting>
  <conditionalFormatting sqref="C328:E328">
    <cfRule type="containsText" dxfId="4039" priority="4225" operator="containsText" text="NUEVO">
      <formula>NOT(ISERROR(SEARCH("NUEVO",C328)))</formula>
    </cfRule>
  </conditionalFormatting>
  <conditionalFormatting sqref="E328">
    <cfRule type="containsText" dxfId="4038" priority="4224" operator="containsText" text="Sin Información">
      <formula>NOT(ISERROR(SEARCH("Sin Información",E328)))</formula>
    </cfRule>
  </conditionalFormatting>
  <conditionalFormatting sqref="C395:D395">
    <cfRule type="containsText" dxfId="4037" priority="4223" operator="containsText" text="NO+$D$4:$D$10">
      <formula>NOT(ISERROR(SEARCH("NO+$D$4:$D$10",C395)))</formula>
    </cfRule>
  </conditionalFormatting>
  <conditionalFormatting sqref="C395:D395">
    <cfRule type="containsText" dxfId="4036" priority="4221" operator="containsText" text="SI">
      <formula>NOT(ISERROR(SEARCH("SI",C395)))</formula>
    </cfRule>
    <cfRule type="containsText" dxfId="4035" priority="4222" operator="containsText" text="NO">
      <formula>NOT(ISERROR(SEARCH("NO",C395)))</formula>
    </cfRule>
  </conditionalFormatting>
  <conditionalFormatting sqref="C395:E395">
    <cfRule type="containsText" dxfId="4034" priority="4220" operator="containsText" text="NUEVO">
      <formula>NOT(ISERROR(SEARCH("NUEVO",C395)))</formula>
    </cfRule>
  </conditionalFormatting>
  <conditionalFormatting sqref="E395">
    <cfRule type="containsText" dxfId="4033" priority="4219" operator="containsText" text="Sin Información">
      <formula>NOT(ISERROR(SEARCH("Sin Información",E395)))</formula>
    </cfRule>
  </conditionalFormatting>
  <conditionalFormatting sqref="C441:D441">
    <cfRule type="containsText" dxfId="4032" priority="4218" operator="containsText" text="NO+$D$4:$D$10">
      <formula>NOT(ISERROR(SEARCH("NO+$D$4:$D$10",C441)))</formula>
    </cfRule>
  </conditionalFormatting>
  <conditionalFormatting sqref="C441:D441">
    <cfRule type="containsText" dxfId="4031" priority="4216" operator="containsText" text="SI">
      <formula>NOT(ISERROR(SEARCH("SI",C441)))</formula>
    </cfRule>
    <cfRule type="containsText" dxfId="4030" priority="4217" operator="containsText" text="NO">
      <formula>NOT(ISERROR(SEARCH("NO",C441)))</formula>
    </cfRule>
  </conditionalFormatting>
  <conditionalFormatting sqref="E441">
    <cfRule type="containsText" dxfId="4029" priority="4214" operator="containsText" text="Sin Información">
      <formula>NOT(ISERROR(SEARCH("Sin Información",E441)))</formula>
    </cfRule>
  </conditionalFormatting>
  <conditionalFormatting sqref="C442:D442">
    <cfRule type="containsText" dxfId="4028" priority="4213" operator="containsText" text="NO+$D$4:$D$10">
      <formula>NOT(ISERROR(SEARCH("NO+$D$4:$D$10",C442)))</formula>
    </cfRule>
  </conditionalFormatting>
  <conditionalFormatting sqref="C442:D442">
    <cfRule type="containsText" dxfId="4027" priority="4211" operator="containsText" text="SI">
      <formula>NOT(ISERROR(SEARCH("SI",C442)))</formula>
    </cfRule>
    <cfRule type="containsText" dxfId="4026" priority="4212" operator="containsText" text="NO">
      <formula>NOT(ISERROR(SEARCH("NO",C442)))</formula>
    </cfRule>
  </conditionalFormatting>
  <conditionalFormatting sqref="C442:E442">
    <cfRule type="containsText" dxfId="4025" priority="4210" operator="containsText" text="NUEVO">
      <formula>NOT(ISERROR(SEARCH("NUEVO",C442)))</formula>
    </cfRule>
  </conditionalFormatting>
  <conditionalFormatting sqref="E442">
    <cfRule type="containsText" dxfId="4024" priority="4209" operator="containsText" text="Sin Información">
      <formula>NOT(ISERROR(SEARCH("Sin Información",E442)))</formula>
    </cfRule>
  </conditionalFormatting>
  <conditionalFormatting sqref="C467:D467">
    <cfRule type="containsText" dxfId="4023" priority="4208" operator="containsText" text="NO+$D$4:$D$10">
      <formula>NOT(ISERROR(SEARCH("NO+$D$4:$D$10",C467)))</formula>
    </cfRule>
  </conditionalFormatting>
  <conditionalFormatting sqref="C467:D467">
    <cfRule type="containsText" dxfId="4022" priority="4206" operator="containsText" text="SI">
      <formula>NOT(ISERROR(SEARCH("SI",C467)))</formula>
    </cfRule>
    <cfRule type="containsText" dxfId="4021" priority="4207" operator="containsText" text="NO">
      <formula>NOT(ISERROR(SEARCH("NO",C467)))</formula>
    </cfRule>
  </conditionalFormatting>
  <conditionalFormatting sqref="C467:E467">
    <cfRule type="containsText" dxfId="4020" priority="4205" operator="containsText" text="NUEVO">
      <formula>NOT(ISERROR(SEARCH("NUEVO",C467)))</formula>
    </cfRule>
  </conditionalFormatting>
  <conditionalFormatting sqref="E467">
    <cfRule type="containsText" dxfId="4019" priority="4204" operator="containsText" text="Sin Información">
      <formula>NOT(ISERROR(SEARCH("Sin Información",E467)))</formula>
    </cfRule>
  </conditionalFormatting>
  <conditionalFormatting sqref="C468:D468">
    <cfRule type="containsText" dxfId="4018" priority="4203" operator="containsText" text="NO+$D$4:$D$10">
      <formula>NOT(ISERROR(SEARCH("NO+$D$4:$D$10",C468)))</formula>
    </cfRule>
  </conditionalFormatting>
  <conditionalFormatting sqref="C468:D468">
    <cfRule type="containsText" dxfId="4017" priority="4201" operator="containsText" text="SI">
      <formula>NOT(ISERROR(SEARCH("SI",C468)))</formula>
    </cfRule>
    <cfRule type="containsText" dxfId="4016" priority="4202" operator="containsText" text="NO">
      <formula>NOT(ISERROR(SEARCH("NO",C468)))</formula>
    </cfRule>
  </conditionalFormatting>
  <conditionalFormatting sqref="C468:E468">
    <cfRule type="containsText" dxfId="4015" priority="4200" operator="containsText" text="NUEVO">
      <formula>NOT(ISERROR(SEARCH("NUEVO",C468)))</formula>
    </cfRule>
  </conditionalFormatting>
  <conditionalFormatting sqref="E468">
    <cfRule type="containsText" dxfId="4014" priority="4199" operator="containsText" text="Sin Información">
      <formula>NOT(ISERROR(SEARCH("Sin Información",E468)))</formula>
    </cfRule>
  </conditionalFormatting>
  <conditionalFormatting sqref="C480:D480">
    <cfRule type="containsText" dxfId="4013" priority="4198" operator="containsText" text="NO+$D$4:$D$10">
      <formula>NOT(ISERROR(SEARCH("NO+$D$4:$D$10",C480)))</formula>
    </cfRule>
  </conditionalFormatting>
  <conditionalFormatting sqref="C480:D480">
    <cfRule type="containsText" dxfId="4012" priority="4196" operator="containsText" text="SI">
      <formula>NOT(ISERROR(SEARCH("SI",C480)))</formula>
    </cfRule>
    <cfRule type="containsText" dxfId="4011" priority="4197" operator="containsText" text="NO">
      <formula>NOT(ISERROR(SEARCH("NO",C480)))</formula>
    </cfRule>
  </conditionalFormatting>
  <conditionalFormatting sqref="C480:E480">
    <cfRule type="containsText" dxfId="4010" priority="4195" operator="containsText" text="NUEVO">
      <formula>NOT(ISERROR(SEARCH("NUEVO",C480)))</formula>
    </cfRule>
  </conditionalFormatting>
  <conditionalFormatting sqref="E480">
    <cfRule type="containsText" dxfId="4009" priority="4194" operator="containsText" text="Sin Información">
      <formula>NOT(ISERROR(SEARCH("Sin Información",E480)))</formula>
    </cfRule>
  </conditionalFormatting>
  <conditionalFormatting sqref="C558:D560">
    <cfRule type="containsText" dxfId="4008" priority="4193" operator="containsText" text="NO+$D$4:$D$10">
      <formula>NOT(ISERROR(SEARCH("NO+$D$4:$D$10",C558)))</formula>
    </cfRule>
  </conditionalFormatting>
  <conditionalFormatting sqref="C558:D560">
    <cfRule type="containsText" dxfId="4007" priority="4191" operator="containsText" text="SI">
      <formula>NOT(ISERROR(SEARCH("SI",C558)))</formula>
    </cfRule>
    <cfRule type="containsText" dxfId="4006" priority="4192" operator="containsText" text="NO">
      <formula>NOT(ISERROR(SEARCH("NO",C558)))</formula>
    </cfRule>
  </conditionalFormatting>
  <conditionalFormatting sqref="C558:D560">
    <cfRule type="containsText" dxfId="4005" priority="4190" operator="containsText" text="NUEVO">
      <formula>NOT(ISERROR(SEARCH("NUEVO",C558)))</formula>
    </cfRule>
  </conditionalFormatting>
  <conditionalFormatting sqref="E558:E560">
    <cfRule type="containsText" dxfId="4004" priority="4189" operator="containsText" text="NUEVO">
      <formula>NOT(ISERROR(SEARCH("NUEVO",E558)))</formula>
    </cfRule>
  </conditionalFormatting>
  <conditionalFormatting sqref="E558:E560">
    <cfRule type="containsText" dxfId="4003" priority="4188" operator="containsText" text="Sin Información">
      <formula>NOT(ISERROR(SEARCH("Sin Información",E558)))</formula>
    </cfRule>
  </conditionalFormatting>
  <conditionalFormatting sqref="C561:D562">
    <cfRule type="containsText" dxfId="4002" priority="4187" operator="containsText" text="NO+$D$4:$D$10">
      <formula>NOT(ISERROR(SEARCH("NO+$D$4:$D$10",C561)))</formula>
    </cfRule>
  </conditionalFormatting>
  <conditionalFormatting sqref="C561:D562">
    <cfRule type="containsText" dxfId="4001" priority="4185" operator="containsText" text="SI">
      <formula>NOT(ISERROR(SEARCH("SI",C561)))</formula>
    </cfRule>
    <cfRule type="containsText" dxfId="4000" priority="4186" operator="containsText" text="NO">
      <formula>NOT(ISERROR(SEARCH("NO",C561)))</formula>
    </cfRule>
  </conditionalFormatting>
  <conditionalFormatting sqref="C561:D562">
    <cfRule type="containsText" dxfId="3999" priority="4184" operator="containsText" text="NUEVO">
      <formula>NOT(ISERROR(SEARCH("NUEVO",C561)))</formula>
    </cfRule>
  </conditionalFormatting>
  <conditionalFormatting sqref="E561">
    <cfRule type="containsText" dxfId="3998" priority="4183" operator="containsText" text="NUEVO">
      <formula>NOT(ISERROR(SEARCH("NUEVO",E561)))</formula>
    </cfRule>
  </conditionalFormatting>
  <conditionalFormatting sqref="E561">
    <cfRule type="containsText" dxfId="3997" priority="4182" operator="containsText" text="Sin Información">
      <formula>NOT(ISERROR(SEARCH("Sin Información",E561)))</formula>
    </cfRule>
  </conditionalFormatting>
  <conditionalFormatting sqref="E562">
    <cfRule type="containsText" dxfId="3996" priority="4181" operator="containsText" text="NUEVO">
      <formula>NOT(ISERROR(SEARCH("NUEVO",E562)))</formula>
    </cfRule>
  </conditionalFormatting>
  <conditionalFormatting sqref="E562">
    <cfRule type="containsText" dxfId="3995" priority="4180" operator="containsText" text="Sin Información">
      <formula>NOT(ISERROR(SEARCH("Sin Información",E562)))</formula>
    </cfRule>
  </conditionalFormatting>
  <conditionalFormatting sqref="C370:D370">
    <cfRule type="containsText" dxfId="3994" priority="4179" operator="containsText" text="NO+$D$4:$D$10">
      <formula>NOT(ISERROR(SEARCH("NO+$D$4:$D$10",C370)))</formula>
    </cfRule>
  </conditionalFormatting>
  <conditionalFormatting sqref="C370:D370">
    <cfRule type="containsText" dxfId="3993" priority="4177" operator="containsText" text="SI">
      <formula>NOT(ISERROR(SEARCH("SI",C370)))</formula>
    </cfRule>
    <cfRule type="containsText" dxfId="3992" priority="4178" operator="containsText" text="NO">
      <formula>NOT(ISERROR(SEARCH("NO",C370)))</formula>
    </cfRule>
  </conditionalFormatting>
  <conditionalFormatting sqref="C370:E370">
    <cfRule type="containsText" dxfId="3991" priority="4176" operator="containsText" text="NUEVO">
      <formula>NOT(ISERROR(SEARCH("NUEVO",C370)))</formula>
    </cfRule>
  </conditionalFormatting>
  <conditionalFormatting sqref="E370">
    <cfRule type="containsText" dxfId="3990" priority="4175" operator="containsText" text="Sin Información">
      <formula>NOT(ISERROR(SEARCH("Sin Información",E370)))</formula>
    </cfRule>
  </conditionalFormatting>
  <conditionalFormatting sqref="C500:D500">
    <cfRule type="containsText" dxfId="3989" priority="4174" operator="containsText" text="NO+$D$4:$D$10">
      <formula>NOT(ISERROR(SEARCH("NO+$D$4:$D$10",C500)))</formula>
    </cfRule>
  </conditionalFormatting>
  <conditionalFormatting sqref="C500:D500">
    <cfRule type="containsText" dxfId="3988" priority="4172" operator="containsText" text="SI">
      <formula>NOT(ISERROR(SEARCH("SI",C500)))</formula>
    </cfRule>
    <cfRule type="containsText" dxfId="3987" priority="4173" operator="containsText" text="NO">
      <formula>NOT(ISERROR(SEARCH("NO",C500)))</formula>
    </cfRule>
  </conditionalFormatting>
  <conditionalFormatting sqref="E500">
    <cfRule type="containsText" dxfId="3986" priority="4171" operator="containsText" text="Sin información">
      <formula>NOT(ISERROR(SEARCH("Sin información",E500)))</formula>
    </cfRule>
  </conditionalFormatting>
  <conditionalFormatting sqref="C500:E500">
    <cfRule type="containsText" dxfId="3985" priority="4170" operator="containsText" text="NUEVO">
      <formula>NOT(ISERROR(SEARCH("NUEVO",C500)))</formula>
    </cfRule>
  </conditionalFormatting>
  <conditionalFormatting sqref="E500">
    <cfRule type="containsText" dxfId="3984" priority="4169" operator="containsText" text="Sin Información">
      <formula>NOT(ISERROR(SEARCH("Sin Información",E500)))</formula>
    </cfRule>
  </conditionalFormatting>
  <conditionalFormatting sqref="C517:D517">
    <cfRule type="containsText" dxfId="3983" priority="4168" operator="containsText" text="NO+$D$4:$D$10">
      <formula>NOT(ISERROR(SEARCH("NO+$D$4:$D$10",C517)))</formula>
    </cfRule>
  </conditionalFormatting>
  <conditionalFormatting sqref="C517:D517">
    <cfRule type="containsText" dxfId="3982" priority="4166" operator="containsText" text="SI">
      <formula>NOT(ISERROR(SEARCH("SI",C517)))</formula>
    </cfRule>
    <cfRule type="containsText" dxfId="3981" priority="4167" operator="containsText" text="NO">
      <formula>NOT(ISERROR(SEARCH("NO",C517)))</formula>
    </cfRule>
  </conditionalFormatting>
  <conditionalFormatting sqref="C517:E517">
    <cfRule type="containsText" dxfId="3980" priority="4165" operator="containsText" text="NUEVO">
      <formula>NOT(ISERROR(SEARCH("NUEVO",C517)))</formula>
    </cfRule>
  </conditionalFormatting>
  <conditionalFormatting sqref="E517">
    <cfRule type="containsText" dxfId="3979" priority="4164" operator="containsText" text="Sin Información">
      <formula>NOT(ISERROR(SEARCH("Sin Información",E517)))</formula>
    </cfRule>
  </conditionalFormatting>
  <conditionalFormatting sqref="C523:D523">
    <cfRule type="containsText" dxfId="3978" priority="4163" operator="containsText" text="NO+$D$4:$D$10">
      <formula>NOT(ISERROR(SEARCH("NO+$D$4:$D$10",C523)))</formula>
    </cfRule>
  </conditionalFormatting>
  <conditionalFormatting sqref="C523:D523">
    <cfRule type="containsText" dxfId="3977" priority="4161" operator="containsText" text="SI">
      <formula>NOT(ISERROR(SEARCH("SI",C523)))</formula>
    </cfRule>
    <cfRule type="containsText" dxfId="3976" priority="4162" operator="containsText" text="NO">
      <formula>NOT(ISERROR(SEARCH("NO",C523)))</formula>
    </cfRule>
  </conditionalFormatting>
  <conditionalFormatting sqref="C523:E523">
    <cfRule type="containsText" dxfId="3975" priority="4160" operator="containsText" text="NUEVO">
      <formula>NOT(ISERROR(SEARCH("NUEVO",C523)))</formula>
    </cfRule>
  </conditionalFormatting>
  <conditionalFormatting sqref="E523">
    <cfRule type="containsText" dxfId="3974" priority="4159" operator="containsText" text="Sin Información">
      <formula>NOT(ISERROR(SEARCH("Sin Información",E523)))</formula>
    </cfRule>
  </conditionalFormatting>
  <conditionalFormatting sqref="C563:D563">
    <cfRule type="containsText" dxfId="3973" priority="4158" operator="containsText" text="NO+$D$4:$D$10">
      <formula>NOT(ISERROR(SEARCH("NO+$D$4:$D$10",C563)))</formula>
    </cfRule>
  </conditionalFormatting>
  <conditionalFormatting sqref="C563:D563">
    <cfRule type="containsText" dxfId="3972" priority="4156" operator="containsText" text="SI">
      <formula>NOT(ISERROR(SEARCH("SI",C563)))</formula>
    </cfRule>
    <cfRule type="containsText" dxfId="3971" priority="4157" operator="containsText" text="NO">
      <formula>NOT(ISERROR(SEARCH("NO",C563)))</formula>
    </cfRule>
  </conditionalFormatting>
  <conditionalFormatting sqref="C563:E563">
    <cfRule type="containsText" dxfId="3970" priority="4155" operator="containsText" text="NUEVO">
      <formula>NOT(ISERROR(SEARCH("NUEVO",C563)))</formula>
    </cfRule>
  </conditionalFormatting>
  <conditionalFormatting sqref="E563">
    <cfRule type="containsText" dxfId="3969" priority="4154" operator="containsText" text="Sin Información">
      <formula>NOT(ISERROR(SEARCH("Sin Información",E563)))</formula>
    </cfRule>
  </conditionalFormatting>
  <conditionalFormatting sqref="C564:D564">
    <cfRule type="containsText" dxfId="3968" priority="4153" operator="containsText" text="NO+$D$4:$D$10">
      <formula>NOT(ISERROR(SEARCH("NO+$D$4:$D$10",C564)))</formula>
    </cfRule>
  </conditionalFormatting>
  <conditionalFormatting sqref="C564:D564">
    <cfRule type="containsText" dxfId="3967" priority="4151" operator="containsText" text="SI">
      <formula>NOT(ISERROR(SEARCH("SI",C564)))</formula>
    </cfRule>
    <cfRule type="containsText" dxfId="3966" priority="4152" operator="containsText" text="NO">
      <formula>NOT(ISERROR(SEARCH("NO",C564)))</formula>
    </cfRule>
  </conditionalFormatting>
  <conditionalFormatting sqref="C564:E564">
    <cfRule type="containsText" dxfId="3965" priority="4150" operator="containsText" text="NUEVO">
      <formula>NOT(ISERROR(SEARCH("NUEVO",C564)))</formula>
    </cfRule>
  </conditionalFormatting>
  <conditionalFormatting sqref="E564">
    <cfRule type="containsText" dxfId="3964" priority="4149" operator="containsText" text="Sin Información">
      <formula>NOT(ISERROR(SEARCH("Sin Información",E564)))</formula>
    </cfRule>
  </conditionalFormatting>
  <conditionalFormatting sqref="C565:D565">
    <cfRule type="containsText" dxfId="3963" priority="4148" operator="containsText" text="NO+$D$4:$D$10">
      <formula>NOT(ISERROR(SEARCH("NO+$D$4:$D$10",C565)))</formula>
    </cfRule>
  </conditionalFormatting>
  <conditionalFormatting sqref="C565:D565">
    <cfRule type="containsText" dxfId="3962" priority="4146" operator="containsText" text="SI">
      <formula>NOT(ISERROR(SEARCH("SI",C565)))</formula>
    </cfRule>
    <cfRule type="containsText" dxfId="3961" priority="4147" operator="containsText" text="NO">
      <formula>NOT(ISERROR(SEARCH("NO",C565)))</formula>
    </cfRule>
  </conditionalFormatting>
  <conditionalFormatting sqref="C565:D565">
    <cfRule type="containsText" dxfId="3960" priority="4145" operator="containsText" text="NUEVO">
      <formula>NOT(ISERROR(SEARCH("NUEVO",C565)))</formula>
    </cfRule>
  </conditionalFormatting>
  <conditionalFormatting sqref="E565">
    <cfRule type="containsText" dxfId="3959" priority="4144" operator="containsText" text="NUEVO">
      <formula>NOT(ISERROR(SEARCH("NUEVO",E565)))</formula>
    </cfRule>
  </conditionalFormatting>
  <conditionalFormatting sqref="E565">
    <cfRule type="containsText" dxfId="3958" priority="4143" operator="containsText" text="Sin Información">
      <formula>NOT(ISERROR(SEARCH("Sin Información",E565)))</formula>
    </cfRule>
  </conditionalFormatting>
  <conditionalFormatting sqref="C566:D566">
    <cfRule type="containsText" dxfId="3957" priority="4142" operator="containsText" text="NO+$D$4:$D$10">
      <formula>NOT(ISERROR(SEARCH("NO+$D$4:$D$10",C566)))</formula>
    </cfRule>
  </conditionalFormatting>
  <conditionalFormatting sqref="C566:D566">
    <cfRule type="containsText" dxfId="3956" priority="4140" operator="containsText" text="SI">
      <formula>NOT(ISERROR(SEARCH("SI",C566)))</formula>
    </cfRule>
    <cfRule type="containsText" dxfId="3955" priority="4141" operator="containsText" text="NO">
      <formula>NOT(ISERROR(SEARCH("NO",C566)))</formula>
    </cfRule>
  </conditionalFormatting>
  <conditionalFormatting sqref="C566:D566">
    <cfRule type="containsText" dxfId="3954" priority="4139" operator="containsText" text="NUEVO">
      <formula>NOT(ISERROR(SEARCH("NUEVO",C566)))</formula>
    </cfRule>
  </conditionalFormatting>
  <conditionalFormatting sqref="E566">
    <cfRule type="containsText" dxfId="3953" priority="4138" operator="containsText" text="NUEVO">
      <formula>NOT(ISERROR(SEARCH("NUEVO",E566)))</formula>
    </cfRule>
  </conditionalFormatting>
  <conditionalFormatting sqref="E566">
    <cfRule type="containsText" dxfId="3952" priority="4137" operator="containsText" text="Sin Información">
      <formula>NOT(ISERROR(SEARCH("Sin Información",E566)))</formula>
    </cfRule>
  </conditionalFormatting>
  <conditionalFormatting sqref="C567:D567">
    <cfRule type="containsText" dxfId="3951" priority="4136" operator="containsText" text="NO+$D$4:$D$10">
      <formula>NOT(ISERROR(SEARCH("NO+$D$4:$D$10",C567)))</formula>
    </cfRule>
  </conditionalFormatting>
  <conditionalFormatting sqref="C567:D567">
    <cfRule type="containsText" dxfId="3950" priority="4134" operator="containsText" text="SI">
      <formula>NOT(ISERROR(SEARCH("SI",C567)))</formula>
    </cfRule>
    <cfRule type="containsText" dxfId="3949" priority="4135" operator="containsText" text="NO">
      <formula>NOT(ISERROR(SEARCH("NO",C567)))</formula>
    </cfRule>
  </conditionalFormatting>
  <conditionalFormatting sqref="C567:D567">
    <cfRule type="containsText" dxfId="3948" priority="4133" operator="containsText" text="NUEVO">
      <formula>NOT(ISERROR(SEARCH("NUEVO",C567)))</formula>
    </cfRule>
  </conditionalFormatting>
  <conditionalFormatting sqref="E567">
    <cfRule type="containsText" dxfId="3947" priority="4131" operator="containsText" text="Sin Información">
      <formula>NOT(ISERROR(SEARCH("Sin Información",E567)))</formula>
    </cfRule>
  </conditionalFormatting>
  <conditionalFormatting sqref="E567">
    <cfRule type="containsText" dxfId="3946" priority="4132" operator="containsText" text="NUEVO">
      <formula>NOT(ISERROR(SEARCH("NUEVO",E567)))</formula>
    </cfRule>
  </conditionalFormatting>
  <conditionalFormatting sqref="C568:D568">
    <cfRule type="containsText" dxfId="3945" priority="4130" operator="containsText" text="NO+$D$4:$D$10">
      <formula>NOT(ISERROR(SEARCH("NO+$D$4:$D$10",C568)))</formula>
    </cfRule>
  </conditionalFormatting>
  <conditionalFormatting sqref="C568:D568">
    <cfRule type="containsText" dxfId="3944" priority="4128" operator="containsText" text="SI">
      <formula>NOT(ISERROR(SEARCH("SI",C568)))</formula>
    </cfRule>
    <cfRule type="containsText" dxfId="3943" priority="4129" operator="containsText" text="NO">
      <formula>NOT(ISERROR(SEARCH("NO",C568)))</formula>
    </cfRule>
  </conditionalFormatting>
  <conditionalFormatting sqref="C568:E568">
    <cfRule type="containsText" dxfId="3942" priority="4127" operator="containsText" text="NUEVO">
      <formula>NOT(ISERROR(SEARCH("NUEVO",C568)))</formula>
    </cfRule>
  </conditionalFormatting>
  <conditionalFormatting sqref="E568">
    <cfRule type="containsText" dxfId="3941" priority="4126" operator="containsText" text="Sin Información">
      <formula>NOT(ISERROR(SEARCH("Sin Información",E568)))</formula>
    </cfRule>
  </conditionalFormatting>
  <conditionalFormatting sqref="C569:D570">
    <cfRule type="containsText" dxfId="3940" priority="4125" operator="containsText" text="NO+$D$4:$D$10">
      <formula>NOT(ISERROR(SEARCH("NO+$D$4:$D$10",C569)))</formula>
    </cfRule>
  </conditionalFormatting>
  <conditionalFormatting sqref="C569:D570">
    <cfRule type="containsText" dxfId="3939" priority="4123" operator="containsText" text="SI">
      <formula>NOT(ISERROR(SEARCH("SI",C569)))</formula>
    </cfRule>
    <cfRule type="containsText" dxfId="3938" priority="4124" operator="containsText" text="NO">
      <formula>NOT(ISERROR(SEARCH("NO",C569)))</formula>
    </cfRule>
  </conditionalFormatting>
  <conditionalFormatting sqref="C569:E570">
    <cfRule type="containsText" dxfId="3937" priority="4122" operator="containsText" text="NUEVO">
      <formula>NOT(ISERROR(SEARCH("NUEVO",C569)))</formula>
    </cfRule>
  </conditionalFormatting>
  <conditionalFormatting sqref="E569:E570">
    <cfRule type="containsText" dxfId="3936" priority="4121" operator="containsText" text="Sin Información">
      <formula>NOT(ISERROR(SEARCH("Sin Información",E569)))</formula>
    </cfRule>
  </conditionalFormatting>
  <conditionalFormatting sqref="C571:D571">
    <cfRule type="containsText" dxfId="3935" priority="4120" operator="containsText" text="NO+$D$4:$D$10">
      <formula>NOT(ISERROR(SEARCH("NO+$D$4:$D$10",C571)))</formula>
    </cfRule>
  </conditionalFormatting>
  <conditionalFormatting sqref="C571:D571">
    <cfRule type="containsText" dxfId="3934" priority="4118" operator="containsText" text="SI">
      <formula>NOT(ISERROR(SEARCH("SI",C571)))</formula>
    </cfRule>
    <cfRule type="containsText" dxfId="3933" priority="4119" operator="containsText" text="NO">
      <formula>NOT(ISERROR(SEARCH("NO",C571)))</formula>
    </cfRule>
  </conditionalFormatting>
  <conditionalFormatting sqref="C571:D571">
    <cfRule type="containsText" dxfId="3932" priority="4117" operator="containsText" text="NUEVO">
      <formula>NOT(ISERROR(SEARCH("NUEVO",C571)))</formula>
    </cfRule>
  </conditionalFormatting>
  <conditionalFormatting sqref="E571">
    <cfRule type="containsText" dxfId="3931" priority="4116" operator="containsText" text="NUEVO">
      <formula>NOT(ISERROR(SEARCH("NUEVO",E571)))</formula>
    </cfRule>
  </conditionalFormatting>
  <conditionalFormatting sqref="E571">
    <cfRule type="containsText" dxfId="3930" priority="4115" operator="containsText" text="Sin Información">
      <formula>NOT(ISERROR(SEARCH("Sin Información",E571)))</formula>
    </cfRule>
  </conditionalFormatting>
  <conditionalFormatting sqref="C572:D573">
    <cfRule type="containsText" dxfId="3929" priority="4114" operator="containsText" text="NO+$D$4:$D$10">
      <formula>NOT(ISERROR(SEARCH("NO+$D$4:$D$10",C572)))</formula>
    </cfRule>
  </conditionalFormatting>
  <conditionalFormatting sqref="C572:D573">
    <cfRule type="containsText" dxfId="3928" priority="4112" operator="containsText" text="SI">
      <formula>NOT(ISERROR(SEARCH("SI",C572)))</formula>
    </cfRule>
    <cfRule type="containsText" dxfId="3927" priority="4113" operator="containsText" text="NO">
      <formula>NOT(ISERROR(SEARCH("NO",C572)))</formula>
    </cfRule>
  </conditionalFormatting>
  <conditionalFormatting sqref="C572:D573">
    <cfRule type="containsText" dxfId="3926" priority="4111" operator="containsText" text="NUEVO">
      <formula>NOT(ISERROR(SEARCH("NUEVO",C572)))</formula>
    </cfRule>
  </conditionalFormatting>
  <conditionalFormatting sqref="E572:E573">
    <cfRule type="containsText" dxfId="3925" priority="4110" operator="containsText" text="NUEVO">
      <formula>NOT(ISERROR(SEARCH("NUEVO",E572)))</formula>
    </cfRule>
  </conditionalFormatting>
  <conditionalFormatting sqref="E572:E573">
    <cfRule type="containsText" dxfId="3924" priority="4109" operator="containsText" text="Sin Información">
      <formula>NOT(ISERROR(SEARCH("Sin Información",E572)))</formula>
    </cfRule>
  </conditionalFormatting>
  <conditionalFormatting sqref="C574:D576">
    <cfRule type="containsText" dxfId="3923" priority="4108" operator="containsText" text="NO+$D$4:$D$10">
      <formula>NOT(ISERROR(SEARCH("NO+$D$4:$D$10",C574)))</formula>
    </cfRule>
  </conditionalFormatting>
  <conditionalFormatting sqref="C574:D576">
    <cfRule type="containsText" dxfId="3922" priority="4106" operator="containsText" text="SI">
      <formula>NOT(ISERROR(SEARCH("SI",C574)))</formula>
    </cfRule>
    <cfRule type="containsText" dxfId="3921" priority="4107" operator="containsText" text="NO">
      <formula>NOT(ISERROR(SEARCH("NO",C574)))</formula>
    </cfRule>
  </conditionalFormatting>
  <conditionalFormatting sqref="C574:D576">
    <cfRule type="containsText" dxfId="3920" priority="4105" operator="containsText" text="NUEVO">
      <formula>NOT(ISERROR(SEARCH("NUEVO",C574)))</formula>
    </cfRule>
  </conditionalFormatting>
  <conditionalFormatting sqref="E574:E576">
    <cfRule type="containsText" dxfId="3919" priority="4104" operator="containsText" text="NUEVO">
      <formula>NOT(ISERROR(SEARCH("NUEVO",E574)))</formula>
    </cfRule>
  </conditionalFormatting>
  <conditionalFormatting sqref="E574:E576">
    <cfRule type="containsText" dxfId="3918" priority="4103" operator="containsText" text="Sin Información">
      <formula>NOT(ISERROR(SEARCH("Sin Información",E574)))</formula>
    </cfRule>
  </conditionalFormatting>
  <conditionalFormatting sqref="C577:D579">
    <cfRule type="containsText" dxfId="3917" priority="4102" operator="containsText" text="NO+$D$4:$D$10">
      <formula>NOT(ISERROR(SEARCH("NO+$D$4:$D$10",C577)))</formula>
    </cfRule>
  </conditionalFormatting>
  <conditionalFormatting sqref="C577:D579">
    <cfRule type="containsText" dxfId="3916" priority="4100" operator="containsText" text="SI">
      <formula>NOT(ISERROR(SEARCH("SI",C577)))</formula>
    </cfRule>
    <cfRule type="containsText" dxfId="3915" priority="4101" operator="containsText" text="NO">
      <formula>NOT(ISERROR(SEARCH("NO",C577)))</formula>
    </cfRule>
  </conditionalFormatting>
  <conditionalFormatting sqref="C577:D579">
    <cfRule type="containsText" dxfId="3914" priority="4099" operator="containsText" text="NUEVO">
      <formula>NOT(ISERROR(SEARCH("NUEVO",C577)))</formula>
    </cfRule>
  </conditionalFormatting>
  <conditionalFormatting sqref="E577:E579">
    <cfRule type="containsText" dxfId="3913" priority="4098" operator="containsText" text="NUEVO">
      <formula>NOT(ISERROR(SEARCH("NUEVO",E577)))</formula>
    </cfRule>
  </conditionalFormatting>
  <conditionalFormatting sqref="E577:E579">
    <cfRule type="containsText" dxfId="3912" priority="4097" operator="containsText" text="Sin Información">
      <formula>NOT(ISERROR(SEARCH("Sin Información",E577)))</formula>
    </cfRule>
  </conditionalFormatting>
  <conditionalFormatting sqref="C580:D580">
    <cfRule type="containsText" dxfId="3911" priority="4096" operator="containsText" text="NO+$D$4:$D$10">
      <formula>NOT(ISERROR(SEARCH("NO+$D$4:$D$10",C580)))</formula>
    </cfRule>
  </conditionalFormatting>
  <conditionalFormatting sqref="C580:D580">
    <cfRule type="containsText" dxfId="3910" priority="4094" operator="containsText" text="SI">
      <formula>NOT(ISERROR(SEARCH("SI",C580)))</formula>
    </cfRule>
    <cfRule type="containsText" dxfId="3909" priority="4095" operator="containsText" text="NO">
      <formula>NOT(ISERROR(SEARCH("NO",C580)))</formula>
    </cfRule>
  </conditionalFormatting>
  <conditionalFormatting sqref="C580:D580">
    <cfRule type="containsText" dxfId="3908" priority="4093" operator="containsText" text="NUEVO">
      <formula>NOT(ISERROR(SEARCH("NUEVO",C580)))</formula>
    </cfRule>
  </conditionalFormatting>
  <conditionalFormatting sqref="E580">
    <cfRule type="containsText" dxfId="3907" priority="4092" operator="containsText" text="NUEVO">
      <formula>NOT(ISERROR(SEARCH("NUEVO",E580)))</formula>
    </cfRule>
  </conditionalFormatting>
  <conditionalFormatting sqref="E580">
    <cfRule type="containsText" dxfId="3906" priority="4091" operator="containsText" text="Sin Información">
      <formula>NOT(ISERROR(SEARCH("Sin Información",E580)))</formula>
    </cfRule>
  </conditionalFormatting>
  <conditionalFormatting sqref="C581:D581">
    <cfRule type="containsText" dxfId="3905" priority="4090" operator="containsText" text="NO+$D$4:$D$10">
      <formula>NOT(ISERROR(SEARCH("NO+$D$4:$D$10",C581)))</formula>
    </cfRule>
  </conditionalFormatting>
  <conditionalFormatting sqref="C581:D581">
    <cfRule type="containsText" dxfId="3904" priority="4088" operator="containsText" text="SI">
      <formula>NOT(ISERROR(SEARCH("SI",C581)))</formula>
    </cfRule>
    <cfRule type="containsText" dxfId="3903" priority="4089" operator="containsText" text="NO">
      <formula>NOT(ISERROR(SEARCH("NO",C581)))</formula>
    </cfRule>
  </conditionalFormatting>
  <conditionalFormatting sqref="C581:D581">
    <cfRule type="containsText" dxfId="3902" priority="4087" operator="containsText" text="NUEVO">
      <formula>NOT(ISERROR(SEARCH("NUEVO",C581)))</formula>
    </cfRule>
  </conditionalFormatting>
  <conditionalFormatting sqref="E581">
    <cfRule type="containsText" dxfId="3901" priority="4085" operator="containsText" text="Sin Información">
      <formula>NOT(ISERROR(SEARCH("Sin Información",E581)))</formula>
    </cfRule>
  </conditionalFormatting>
  <conditionalFormatting sqref="E581">
    <cfRule type="containsText" dxfId="3900" priority="4086" operator="containsText" text="NUEVO">
      <formula>NOT(ISERROR(SEARCH("NUEVO",E581)))</formula>
    </cfRule>
  </conditionalFormatting>
  <conditionalFormatting sqref="C582:D582">
    <cfRule type="containsText" dxfId="3899" priority="4084" operator="containsText" text="NO+$D$4:$D$10">
      <formula>NOT(ISERROR(SEARCH("NO+$D$4:$D$10",C582)))</formula>
    </cfRule>
  </conditionalFormatting>
  <conditionalFormatting sqref="C582:D582">
    <cfRule type="containsText" dxfId="3898" priority="4082" operator="containsText" text="SI">
      <formula>NOT(ISERROR(SEARCH("SI",C582)))</formula>
    </cfRule>
    <cfRule type="containsText" dxfId="3897" priority="4083" operator="containsText" text="NO">
      <formula>NOT(ISERROR(SEARCH("NO",C582)))</formula>
    </cfRule>
  </conditionalFormatting>
  <conditionalFormatting sqref="C582:D582">
    <cfRule type="containsText" dxfId="3896" priority="4081" operator="containsText" text="NUEVO">
      <formula>NOT(ISERROR(SEARCH("NUEVO",C582)))</formula>
    </cfRule>
  </conditionalFormatting>
  <conditionalFormatting sqref="E582">
    <cfRule type="containsText" dxfId="3895" priority="4079" operator="containsText" text="Sin Información">
      <formula>NOT(ISERROR(SEARCH("Sin Información",E582)))</formula>
    </cfRule>
  </conditionalFormatting>
  <conditionalFormatting sqref="E582">
    <cfRule type="containsText" dxfId="3894" priority="4080" operator="containsText" text="NUEVO">
      <formula>NOT(ISERROR(SEARCH("NUEVO",E582)))</formula>
    </cfRule>
  </conditionalFormatting>
  <conditionalFormatting sqref="C583:D583">
    <cfRule type="containsText" dxfId="3893" priority="4078" operator="containsText" text="NO+$D$4:$D$10">
      <formula>NOT(ISERROR(SEARCH("NO+$D$4:$D$10",C583)))</formula>
    </cfRule>
  </conditionalFormatting>
  <conditionalFormatting sqref="C583:D583">
    <cfRule type="containsText" dxfId="3892" priority="4076" operator="containsText" text="SI">
      <formula>NOT(ISERROR(SEARCH("SI",C583)))</formula>
    </cfRule>
    <cfRule type="containsText" dxfId="3891" priority="4077" operator="containsText" text="NO">
      <formula>NOT(ISERROR(SEARCH("NO",C583)))</formula>
    </cfRule>
  </conditionalFormatting>
  <conditionalFormatting sqref="C583:D583">
    <cfRule type="containsText" dxfId="3890" priority="4075" operator="containsText" text="NUEVO">
      <formula>NOT(ISERROR(SEARCH("NUEVO",C583)))</formula>
    </cfRule>
  </conditionalFormatting>
  <conditionalFormatting sqref="E583">
    <cfRule type="containsText" dxfId="3889" priority="4073" operator="containsText" text="Sin Información">
      <formula>NOT(ISERROR(SEARCH("Sin Información",E583)))</formula>
    </cfRule>
  </conditionalFormatting>
  <conditionalFormatting sqref="E583">
    <cfRule type="containsText" dxfId="3888" priority="4074" operator="containsText" text="NUEVO">
      <formula>NOT(ISERROR(SEARCH("NUEVO",E583)))</formula>
    </cfRule>
  </conditionalFormatting>
  <conditionalFormatting sqref="C584:D586">
    <cfRule type="containsText" dxfId="3887" priority="4072" operator="containsText" text="NO+$D$4:$D$10">
      <formula>NOT(ISERROR(SEARCH("NO+$D$4:$D$10",C584)))</formula>
    </cfRule>
  </conditionalFormatting>
  <conditionalFormatting sqref="C584:D586">
    <cfRule type="containsText" dxfId="3886" priority="4070" operator="containsText" text="SI">
      <formula>NOT(ISERROR(SEARCH("SI",C584)))</formula>
    </cfRule>
    <cfRule type="containsText" dxfId="3885" priority="4071" operator="containsText" text="NO">
      <formula>NOT(ISERROR(SEARCH("NO",C584)))</formula>
    </cfRule>
  </conditionalFormatting>
  <conditionalFormatting sqref="C584:D586">
    <cfRule type="containsText" dxfId="3884" priority="4069" operator="containsText" text="NUEVO">
      <formula>NOT(ISERROR(SEARCH("NUEVO",C584)))</formula>
    </cfRule>
  </conditionalFormatting>
  <conditionalFormatting sqref="E584:E586">
    <cfRule type="containsText" dxfId="3883" priority="4068" operator="containsText" text="NUEVO">
      <formula>NOT(ISERROR(SEARCH("NUEVO",E584)))</formula>
    </cfRule>
  </conditionalFormatting>
  <conditionalFormatting sqref="E584:E586">
    <cfRule type="containsText" dxfId="3882" priority="4067" operator="containsText" text="Sin Información">
      <formula>NOT(ISERROR(SEARCH("Sin Información",E584)))</formula>
    </cfRule>
  </conditionalFormatting>
  <conditionalFormatting sqref="C587:D588">
    <cfRule type="containsText" dxfId="3881" priority="4066" operator="containsText" text="NO+$D$4:$D$10">
      <formula>NOT(ISERROR(SEARCH("NO+$D$4:$D$10",C587)))</formula>
    </cfRule>
  </conditionalFormatting>
  <conditionalFormatting sqref="C587:D588">
    <cfRule type="containsText" dxfId="3880" priority="4064" operator="containsText" text="SI">
      <formula>NOT(ISERROR(SEARCH("SI",C587)))</formula>
    </cfRule>
    <cfRule type="containsText" dxfId="3879" priority="4065" operator="containsText" text="NO">
      <formula>NOT(ISERROR(SEARCH("NO",C587)))</formula>
    </cfRule>
  </conditionalFormatting>
  <conditionalFormatting sqref="C587:D588">
    <cfRule type="containsText" dxfId="3878" priority="4063" operator="containsText" text="NUEVO">
      <formula>NOT(ISERROR(SEARCH("NUEVO",C587)))</formula>
    </cfRule>
  </conditionalFormatting>
  <conditionalFormatting sqref="E587">
    <cfRule type="containsText" dxfId="3877" priority="4062" operator="containsText" text="NUEVO">
      <formula>NOT(ISERROR(SEARCH("NUEVO",E587)))</formula>
    </cfRule>
  </conditionalFormatting>
  <conditionalFormatting sqref="E587">
    <cfRule type="containsText" dxfId="3876" priority="4061" operator="containsText" text="Sin Información">
      <formula>NOT(ISERROR(SEARCH("Sin Información",E587)))</formula>
    </cfRule>
  </conditionalFormatting>
  <conditionalFormatting sqref="E588">
    <cfRule type="containsText" dxfId="3875" priority="4060" operator="containsText" text="NUEVO">
      <formula>NOT(ISERROR(SEARCH("NUEVO",E588)))</formula>
    </cfRule>
  </conditionalFormatting>
  <conditionalFormatting sqref="E588">
    <cfRule type="containsText" dxfId="3874" priority="4059" operator="containsText" text="Sin Información">
      <formula>NOT(ISERROR(SEARCH("Sin Información",E588)))</formula>
    </cfRule>
  </conditionalFormatting>
  <conditionalFormatting sqref="C391:D392">
    <cfRule type="containsText" dxfId="3873" priority="4053" operator="containsText" text="NO+$D$4:$D$10">
      <formula>NOT(ISERROR(SEARCH("NO+$D$4:$D$10",C391)))</formula>
    </cfRule>
  </conditionalFormatting>
  <conditionalFormatting sqref="C391:D392">
    <cfRule type="containsText" dxfId="3872" priority="4051" operator="containsText" text="SI">
      <formula>NOT(ISERROR(SEARCH("SI",C391)))</formula>
    </cfRule>
    <cfRule type="containsText" dxfId="3871" priority="4052" operator="containsText" text="NO">
      <formula>NOT(ISERROR(SEARCH("NO",C391)))</formula>
    </cfRule>
  </conditionalFormatting>
  <conditionalFormatting sqref="C391:E392">
    <cfRule type="containsText" dxfId="3870" priority="4050" operator="containsText" text="NUEVO">
      <formula>NOT(ISERROR(SEARCH("NUEVO",C391)))</formula>
    </cfRule>
  </conditionalFormatting>
  <conditionalFormatting sqref="E391:E392">
    <cfRule type="containsText" dxfId="3869" priority="4049" operator="containsText" text="Sin Información">
      <formula>NOT(ISERROR(SEARCH("Sin Información",E391)))</formula>
    </cfRule>
  </conditionalFormatting>
  <conditionalFormatting sqref="C443:D443">
    <cfRule type="containsText" dxfId="3868" priority="4048" operator="containsText" text="NO+$D$4:$D$10">
      <formula>NOT(ISERROR(SEARCH("NO+$D$4:$D$10",C443)))</formula>
    </cfRule>
  </conditionalFormatting>
  <conditionalFormatting sqref="C443:D443">
    <cfRule type="containsText" dxfId="3867" priority="4046" operator="containsText" text="SI">
      <formula>NOT(ISERROR(SEARCH("SI",C443)))</formula>
    </cfRule>
    <cfRule type="containsText" dxfId="3866" priority="4047" operator="containsText" text="NO">
      <formula>NOT(ISERROR(SEARCH("NO",C443)))</formula>
    </cfRule>
  </conditionalFormatting>
  <conditionalFormatting sqref="C443:D443">
    <cfRule type="containsText" dxfId="3865" priority="4045" operator="containsText" text="NUEVO">
      <formula>NOT(ISERROR(SEARCH("NUEVO",C443)))</formula>
    </cfRule>
  </conditionalFormatting>
  <conditionalFormatting sqref="E443">
    <cfRule type="containsText" dxfId="3864" priority="4044" operator="containsText" text="NUEVO">
      <formula>NOT(ISERROR(SEARCH("NUEVO",E443)))</formula>
    </cfRule>
  </conditionalFormatting>
  <conditionalFormatting sqref="E443">
    <cfRule type="containsText" dxfId="3863" priority="4043" operator="containsText" text="Sin Información">
      <formula>NOT(ISERROR(SEARCH("Sin Información",E443)))</formula>
    </cfRule>
  </conditionalFormatting>
  <conditionalFormatting sqref="C466:D466">
    <cfRule type="containsText" dxfId="3862" priority="4042" operator="containsText" text="NO+$D$4:$D$10">
      <formula>NOT(ISERROR(SEARCH("NO+$D$4:$D$10",C466)))</formula>
    </cfRule>
  </conditionalFormatting>
  <conditionalFormatting sqref="C466:D466">
    <cfRule type="containsText" dxfId="3861" priority="4040" operator="containsText" text="SI">
      <formula>NOT(ISERROR(SEARCH("SI",C466)))</formula>
    </cfRule>
    <cfRule type="containsText" dxfId="3860" priority="4041" operator="containsText" text="NO">
      <formula>NOT(ISERROR(SEARCH("NO",C466)))</formula>
    </cfRule>
  </conditionalFormatting>
  <conditionalFormatting sqref="C466:E466">
    <cfRule type="containsText" dxfId="3859" priority="4039" operator="containsText" text="NUEVO">
      <formula>NOT(ISERROR(SEARCH("NUEVO",C466)))</formula>
    </cfRule>
  </conditionalFormatting>
  <conditionalFormatting sqref="E466">
    <cfRule type="containsText" dxfId="3858" priority="4038" operator="containsText" text="Sin Información">
      <formula>NOT(ISERROR(SEARCH("Sin Información",E466)))</formula>
    </cfRule>
  </conditionalFormatting>
  <conditionalFormatting sqref="C471:D471">
    <cfRule type="containsText" dxfId="3857" priority="4037" operator="containsText" text="NO+$D$4:$D$10">
      <formula>NOT(ISERROR(SEARCH("NO+$D$4:$D$10",C471)))</formula>
    </cfRule>
  </conditionalFormatting>
  <conditionalFormatting sqref="C471:D471">
    <cfRule type="containsText" dxfId="3856" priority="4035" operator="containsText" text="SI">
      <formula>NOT(ISERROR(SEARCH("SI",C471)))</formula>
    </cfRule>
    <cfRule type="containsText" dxfId="3855" priority="4036" operator="containsText" text="NO">
      <formula>NOT(ISERROR(SEARCH("NO",C471)))</formula>
    </cfRule>
  </conditionalFormatting>
  <conditionalFormatting sqref="C471:D471">
    <cfRule type="containsText" dxfId="3854" priority="4034" operator="containsText" text="NUEVO">
      <formula>NOT(ISERROR(SEARCH("NUEVO",C471)))</formula>
    </cfRule>
  </conditionalFormatting>
  <conditionalFormatting sqref="E471">
    <cfRule type="containsText" dxfId="3853" priority="4033" operator="containsText" text="NUEVO">
      <formula>NOT(ISERROR(SEARCH("NUEVO",E471)))</formula>
    </cfRule>
  </conditionalFormatting>
  <conditionalFormatting sqref="E471">
    <cfRule type="containsText" dxfId="3852" priority="4032" operator="containsText" text="Sin Información">
      <formula>NOT(ISERROR(SEARCH("Sin Información",E471)))</formula>
    </cfRule>
  </conditionalFormatting>
  <conditionalFormatting sqref="C589:D591">
    <cfRule type="containsText" dxfId="3851" priority="4031" operator="containsText" text="NO+$D$4:$D$10">
      <formula>NOT(ISERROR(SEARCH("NO+$D$4:$D$10",C589)))</formula>
    </cfRule>
  </conditionalFormatting>
  <conditionalFormatting sqref="C589:D591">
    <cfRule type="containsText" dxfId="3850" priority="4029" operator="containsText" text="SI">
      <formula>NOT(ISERROR(SEARCH("SI",C589)))</formula>
    </cfRule>
    <cfRule type="containsText" dxfId="3849" priority="4030" operator="containsText" text="NO">
      <formula>NOT(ISERROR(SEARCH("NO",C589)))</formula>
    </cfRule>
  </conditionalFormatting>
  <conditionalFormatting sqref="C589:D591">
    <cfRule type="containsText" dxfId="3848" priority="4028" operator="containsText" text="NUEVO">
      <formula>NOT(ISERROR(SEARCH("NUEVO",C589)))</formula>
    </cfRule>
  </conditionalFormatting>
  <conditionalFormatting sqref="E590:E591">
    <cfRule type="containsText" dxfId="3847" priority="4027" operator="containsText" text="NUEVO">
      <formula>NOT(ISERROR(SEARCH("NUEVO",E590)))</formula>
    </cfRule>
  </conditionalFormatting>
  <conditionalFormatting sqref="E590:E591">
    <cfRule type="containsText" dxfId="3846" priority="4026" operator="containsText" text="Sin Información">
      <formula>NOT(ISERROR(SEARCH("Sin Información",E590)))</formula>
    </cfRule>
  </conditionalFormatting>
  <conditionalFormatting sqref="E589">
    <cfRule type="containsText" dxfId="3845" priority="4025" operator="containsText" text="NUEVO">
      <formula>NOT(ISERROR(SEARCH("NUEVO",E589)))</formula>
    </cfRule>
  </conditionalFormatting>
  <conditionalFormatting sqref="E589">
    <cfRule type="containsText" dxfId="3844" priority="4024" operator="containsText" text="Sin Información">
      <formula>NOT(ISERROR(SEARCH("Sin Información",E589)))</formula>
    </cfRule>
  </conditionalFormatting>
  <conditionalFormatting sqref="C592:D595">
    <cfRule type="containsText" dxfId="3843" priority="4023" operator="containsText" text="NO+$D$4:$D$10">
      <formula>NOT(ISERROR(SEARCH("NO+$D$4:$D$10",C592)))</formula>
    </cfRule>
  </conditionalFormatting>
  <conditionalFormatting sqref="C592:D595">
    <cfRule type="containsText" dxfId="3842" priority="4021" operator="containsText" text="SI">
      <formula>NOT(ISERROR(SEARCH("SI",C592)))</formula>
    </cfRule>
    <cfRule type="containsText" dxfId="3841" priority="4022" operator="containsText" text="NO">
      <formula>NOT(ISERROR(SEARCH("NO",C592)))</formula>
    </cfRule>
  </conditionalFormatting>
  <conditionalFormatting sqref="C592:D595">
    <cfRule type="containsText" dxfId="3840" priority="4020" operator="containsText" text="NUEVO">
      <formula>NOT(ISERROR(SEARCH("NUEVO",C592)))</formula>
    </cfRule>
  </conditionalFormatting>
  <conditionalFormatting sqref="E592:E595">
    <cfRule type="containsText" dxfId="3839" priority="4019" operator="containsText" text="NUEVO">
      <formula>NOT(ISERROR(SEARCH("NUEVO",E592)))</formula>
    </cfRule>
  </conditionalFormatting>
  <conditionalFormatting sqref="E592:E595">
    <cfRule type="containsText" dxfId="3838" priority="4018" operator="containsText" text="Sin Información">
      <formula>NOT(ISERROR(SEARCH("Sin Información",E592)))</formula>
    </cfRule>
  </conditionalFormatting>
  <conditionalFormatting sqref="C596:D597">
    <cfRule type="containsText" dxfId="3837" priority="4017" operator="containsText" text="NO+$D$4:$D$10">
      <formula>NOT(ISERROR(SEARCH("NO+$D$4:$D$10",C596)))</formula>
    </cfRule>
  </conditionalFormatting>
  <conditionalFormatting sqref="C596:D597">
    <cfRule type="containsText" dxfId="3836" priority="4015" operator="containsText" text="SI">
      <formula>NOT(ISERROR(SEARCH("SI",C596)))</formula>
    </cfRule>
    <cfRule type="containsText" dxfId="3835" priority="4016" operator="containsText" text="NO">
      <formula>NOT(ISERROR(SEARCH("NO",C596)))</formula>
    </cfRule>
  </conditionalFormatting>
  <conditionalFormatting sqref="C596:D597">
    <cfRule type="containsText" dxfId="3834" priority="4014" operator="containsText" text="NUEVO">
      <formula>NOT(ISERROR(SEARCH("NUEVO",C596)))</formula>
    </cfRule>
  </conditionalFormatting>
  <conditionalFormatting sqref="E597">
    <cfRule type="containsText" dxfId="3833" priority="4013" operator="containsText" text="NUEVO">
      <formula>NOT(ISERROR(SEARCH("NUEVO",E597)))</formula>
    </cfRule>
  </conditionalFormatting>
  <conditionalFormatting sqref="E597">
    <cfRule type="containsText" dxfId="3832" priority="4012" operator="containsText" text="Sin Información">
      <formula>NOT(ISERROR(SEARCH("Sin Información",E597)))</formula>
    </cfRule>
  </conditionalFormatting>
  <conditionalFormatting sqref="E596">
    <cfRule type="containsText" dxfId="3831" priority="4011" operator="containsText" text="NUEVO">
      <formula>NOT(ISERROR(SEARCH("NUEVO",E596)))</formula>
    </cfRule>
  </conditionalFormatting>
  <conditionalFormatting sqref="E596">
    <cfRule type="containsText" dxfId="3830" priority="4010" operator="containsText" text="Sin Información">
      <formula>NOT(ISERROR(SEARCH("Sin Información",E596)))</formula>
    </cfRule>
  </conditionalFormatting>
  <conditionalFormatting sqref="C598:D598">
    <cfRule type="containsText" dxfId="3829" priority="4009" operator="containsText" text="NO+$D$4:$D$10">
      <formula>NOT(ISERROR(SEARCH("NO+$D$4:$D$10",C598)))</formula>
    </cfRule>
  </conditionalFormatting>
  <conditionalFormatting sqref="C598:D598">
    <cfRule type="containsText" dxfId="3828" priority="4007" operator="containsText" text="SI">
      <formula>NOT(ISERROR(SEARCH("SI",C598)))</formula>
    </cfRule>
    <cfRule type="containsText" dxfId="3827" priority="4008" operator="containsText" text="NO">
      <formula>NOT(ISERROR(SEARCH("NO",C598)))</formula>
    </cfRule>
  </conditionalFormatting>
  <conditionalFormatting sqref="C598:D598">
    <cfRule type="containsText" dxfId="3826" priority="4006" operator="containsText" text="NUEVO">
      <formula>NOT(ISERROR(SEARCH("NUEVO",C598)))</formula>
    </cfRule>
  </conditionalFormatting>
  <conditionalFormatting sqref="E598">
    <cfRule type="containsText" dxfId="3825" priority="4005" operator="containsText" text="NUEVO">
      <formula>NOT(ISERROR(SEARCH("NUEVO",E598)))</formula>
    </cfRule>
  </conditionalFormatting>
  <conditionalFormatting sqref="E598">
    <cfRule type="containsText" dxfId="3824" priority="4004" operator="containsText" text="Sin Información">
      <formula>NOT(ISERROR(SEARCH("Sin Información",E598)))</formula>
    </cfRule>
  </conditionalFormatting>
  <conditionalFormatting sqref="C599:D599">
    <cfRule type="containsText" dxfId="3823" priority="4003" operator="containsText" text="NO+$D$4:$D$10">
      <formula>NOT(ISERROR(SEARCH("NO+$D$4:$D$10",C599)))</formula>
    </cfRule>
  </conditionalFormatting>
  <conditionalFormatting sqref="C599:D599">
    <cfRule type="containsText" dxfId="3822" priority="4001" operator="containsText" text="SI">
      <formula>NOT(ISERROR(SEARCH("SI",C599)))</formula>
    </cfRule>
    <cfRule type="containsText" dxfId="3821" priority="4002" operator="containsText" text="NO">
      <formula>NOT(ISERROR(SEARCH("NO",C599)))</formula>
    </cfRule>
  </conditionalFormatting>
  <conditionalFormatting sqref="C599:D599">
    <cfRule type="containsText" dxfId="3820" priority="4000" operator="containsText" text="NUEVO">
      <formula>NOT(ISERROR(SEARCH("NUEVO",C599)))</formula>
    </cfRule>
  </conditionalFormatting>
  <conditionalFormatting sqref="E599">
    <cfRule type="containsText" dxfId="3819" priority="3998" operator="containsText" text="Sin Información">
      <formula>NOT(ISERROR(SEARCH("Sin Información",E599)))</formula>
    </cfRule>
  </conditionalFormatting>
  <conditionalFormatting sqref="E599">
    <cfRule type="containsText" dxfId="3818" priority="3999" operator="containsText" text="NUEVO">
      <formula>NOT(ISERROR(SEARCH("NUEVO",E599)))</formula>
    </cfRule>
  </conditionalFormatting>
  <conditionalFormatting sqref="C600:D602">
    <cfRule type="containsText" dxfId="3817" priority="3997" operator="containsText" text="NO+$D$4:$D$10">
      <formula>NOT(ISERROR(SEARCH("NO+$D$4:$D$10",C600)))</formula>
    </cfRule>
  </conditionalFormatting>
  <conditionalFormatting sqref="C600:D602">
    <cfRule type="containsText" dxfId="3816" priority="3995" operator="containsText" text="SI">
      <formula>NOT(ISERROR(SEARCH("SI",C600)))</formula>
    </cfRule>
    <cfRule type="containsText" dxfId="3815" priority="3996" operator="containsText" text="NO">
      <formula>NOT(ISERROR(SEARCH("NO",C600)))</formula>
    </cfRule>
  </conditionalFormatting>
  <conditionalFormatting sqref="C600:D602">
    <cfRule type="containsText" dxfId="3814" priority="3994" operator="containsText" text="NUEVO">
      <formula>NOT(ISERROR(SEARCH("NUEVO",C600)))</formula>
    </cfRule>
  </conditionalFormatting>
  <conditionalFormatting sqref="E600:E601">
    <cfRule type="containsText" dxfId="3813" priority="3992" operator="containsText" text="Sin Información">
      <formula>NOT(ISERROR(SEARCH("Sin Información",E600)))</formula>
    </cfRule>
  </conditionalFormatting>
  <conditionalFormatting sqref="E600:E601">
    <cfRule type="containsText" dxfId="3812" priority="3993" operator="containsText" text="NUEVO">
      <formula>NOT(ISERROR(SEARCH("NUEVO",E600)))</formula>
    </cfRule>
  </conditionalFormatting>
  <conditionalFormatting sqref="E602">
    <cfRule type="containsText" dxfId="3811" priority="3990" operator="containsText" text="Sin Información">
      <formula>NOT(ISERROR(SEARCH("Sin Información",E602)))</formula>
    </cfRule>
  </conditionalFormatting>
  <conditionalFormatting sqref="E602">
    <cfRule type="containsText" dxfId="3810" priority="3991" operator="containsText" text="NUEVO">
      <formula>NOT(ISERROR(SEARCH("NUEVO",E602)))</formula>
    </cfRule>
  </conditionalFormatting>
  <conditionalFormatting sqref="C603:D603">
    <cfRule type="containsText" dxfId="3809" priority="3989" operator="containsText" text="NO+$D$4:$D$10">
      <formula>NOT(ISERROR(SEARCH("NO+$D$4:$D$10",C603)))</formula>
    </cfRule>
  </conditionalFormatting>
  <conditionalFormatting sqref="C603:D603">
    <cfRule type="containsText" dxfId="3808" priority="3987" operator="containsText" text="SI">
      <formula>NOT(ISERROR(SEARCH("SI",C603)))</formula>
    </cfRule>
    <cfRule type="containsText" dxfId="3807" priority="3988" operator="containsText" text="NO">
      <formula>NOT(ISERROR(SEARCH("NO",C603)))</formula>
    </cfRule>
  </conditionalFormatting>
  <conditionalFormatting sqref="C603:D603">
    <cfRule type="containsText" dxfId="3806" priority="3986" operator="containsText" text="NUEVO">
      <formula>NOT(ISERROR(SEARCH("NUEVO",C603)))</formula>
    </cfRule>
  </conditionalFormatting>
  <conditionalFormatting sqref="E603">
    <cfRule type="containsText" dxfId="3805" priority="3985" operator="containsText" text="NUEVO">
      <formula>NOT(ISERROR(SEARCH("NUEVO",E603)))</formula>
    </cfRule>
  </conditionalFormatting>
  <conditionalFormatting sqref="E603">
    <cfRule type="containsText" dxfId="3804" priority="3984" operator="containsText" text="Sin Información">
      <formula>NOT(ISERROR(SEARCH("Sin Información",E603)))</formula>
    </cfRule>
  </conditionalFormatting>
  <conditionalFormatting sqref="C604:D604">
    <cfRule type="containsText" dxfId="3803" priority="3983" operator="containsText" text="NO+$D$4:$D$10">
      <formula>NOT(ISERROR(SEARCH("NO+$D$4:$D$10",C604)))</formula>
    </cfRule>
  </conditionalFormatting>
  <conditionalFormatting sqref="C604:D604">
    <cfRule type="containsText" dxfId="3802" priority="3981" operator="containsText" text="SI">
      <formula>NOT(ISERROR(SEARCH("SI",C604)))</formula>
    </cfRule>
    <cfRule type="containsText" dxfId="3801" priority="3982" operator="containsText" text="NO">
      <formula>NOT(ISERROR(SEARCH("NO",C604)))</formula>
    </cfRule>
  </conditionalFormatting>
  <conditionalFormatting sqref="C604:D604">
    <cfRule type="containsText" dxfId="3800" priority="3980" operator="containsText" text="NUEVO">
      <formula>NOT(ISERROR(SEARCH("NUEVO",C604)))</formula>
    </cfRule>
  </conditionalFormatting>
  <conditionalFormatting sqref="E604">
    <cfRule type="containsText" dxfId="3799" priority="3979" operator="containsText" text="NUEVO">
      <formula>NOT(ISERROR(SEARCH("NUEVO",E604)))</formula>
    </cfRule>
  </conditionalFormatting>
  <conditionalFormatting sqref="E604">
    <cfRule type="containsText" dxfId="3798" priority="3978" operator="containsText" text="Sin Información">
      <formula>NOT(ISERROR(SEARCH("Sin Información",E604)))</formula>
    </cfRule>
  </conditionalFormatting>
  <conditionalFormatting sqref="C605:D605">
    <cfRule type="containsText" dxfId="3797" priority="3977" operator="containsText" text="NO+$D$4:$D$10">
      <formula>NOT(ISERROR(SEARCH("NO+$D$4:$D$10",C605)))</formula>
    </cfRule>
  </conditionalFormatting>
  <conditionalFormatting sqref="C605:D605">
    <cfRule type="containsText" dxfId="3796" priority="3975" operator="containsText" text="SI">
      <formula>NOT(ISERROR(SEARCH("SI",C605)))</formula>
    </cfRule>
    <cfRule type="containsText" dxfId="3795" priority="3976" operator="containsText" text="NO">
      <formula>NOT(ISERROR(SEARCH("NO",C605)))</formula>
    </cfRule>
  </conditionalFormatting>
  <conditionalFormatting sqref="C605:D605">
    <cfRule type="containsText" dxfId="3794" priority="3974" operator="containsText" text="NUEVO">
      <formula>NOT(ISERROR(SEARCH("NUEVO",C605)))</formula>
    </cfRule>
  </conditionalFormatting>
  <conditionalFormatting sqref="E605">
    <cfRule type="containsText" dxfId="3793" priority="3973" operator="containsText" text="NUEVO">
      <formula>NOT(ISERROR(SEARCH("NUEVO",E605)))</formula>
    </cfRule>
  </conditionalFormatting>
  <conditionalFormatting sqref="E605">
    <cfRule type="containsText" dxfId="3792" priority="3972" operator="containsText" text="Sin Información">
      <formula>NOT(ISERROR(SEARCH("Sin Información",E605)))</formula>
    </cfRule>
  </conditionalFormatting>
  <conditionalFormatting sqref="C606:D607">
    <cfRule type="containsText" dxfId="3791" priority="3971" operator="containsText" text="NO+$D$4:$D$10">
      <formula>NOT(ISERROR(SEARCH("NO+$D$4:$D$10",C606)))</formula>
    </cfRule>
  </conditionalFormatting>
  <conditionalFormatting sqref="C606:D607">
    <cfRule type="containsText" dxfId="3790" priority="3969" operator="containsText" text="SI">
      <formula>NOT(ISERROR(SEARCH("SI",C606)))</formula>
    </cfRule>
    <cfRule type="containsText" dxfId="3789" priority="3970" operator="containsText" text="NO">
      <formula>NOT(ISERROR(SEARCH("NO",C606)))</formula>
    </cfRule>
  </conditionalFormatting>
  <conditionalFormatting sqref="C606:E607">
    <cfRule type="containsText" dxfId="3788" priority="3968" operator="containsText" text="NUEVO">
      <formula>NOT(ISERROR(SEARCH("NUEVO",C606)))</formula>
    </cfRule>
  </conditionalFormatting>
  <conditionalFormatting sqref="E606:E607">
    <cfRule type="containsText" dxfId="3787" priority="3967" operator="containsText" text="Sin Información">
      <formula>NOT(ISERROR(SEARCH("Sin Información",E606)))</formula>
    </cfRule>
  </conditionalFormatting>
  <conditionalFormatting sqref="C608:D608">
    <cfRule type="containsText" dxfId="3786" priority="3966" operator="containsText" text="NO+$D$4:$D$10">
      <formula>NOT(ISERROR(SEARCH("NO+$D$4:$D$10",C608)))</formula>
    </cfRule>
  </conditionalFormatting>
  <conditionalFormatting sqref="C608:D608">
    <cfRule type="containsText" dxfId="3785" priority="3964" operator="containsText" text="SI">
      <formula>NOT(ISERROR(SEARCH("SI",C608)))</formula>
    </cfRule>
    <cfRule type="containsText" dxfId="3784" priority="3965" operator="containsText" text="NO">
      <formula>NOT(ISERROR(SEARCH("NO",C608)))</formula>
    </cfRule>
  </conditionalFormatting>
  <conditionalFormatting sqref="C608:D608">
    <cfRule type="containsText" dxfId="3783" priority="3963" operator="containsText" text="NUEVO">
      <formula>NOT(ISERROR(SEARCH("NUEVO",C608)))</formula>
    </cfRule>
  </conditionalFormatting>
  <conditionalFormatting sqref="E608">
    <cfRule type="containsText" dxfId="3782" priority="3962" operator="containsText" text="NUEVO">
      <formula>NOT(ISERROR(SEARCH("NUEVO",E608)))</formula>
    </cfRule>
  </conditionalFormatting>
  <conditionalFormatting sqref="E608">
    <cfRule type="containsText" dxfId="3781" priority="3961" operator="containsText" text="Sin Información">
      <formula>NOT(ISERROR(SEARCH("Sin Información",E608)))</formula>
    </cfRule>
  </conditionalFormatting>
  <conditionalFormatting sqref="C609:D609">
    <cfRule type="containsText" dxfId="3780" priority="3960" operator="containsText" text="NO+$D$4:$D$10">
      <formula>NOT(ISERROR(SEARCH("NO+$D$4:$D$10",C609)))</formula>
    </cfRule>
  </conditionalFormatting>
  <conditionalFormatting sqref="C609:D609">
    <cfRule type="containsText" dxfId="3779" priority="3958" operator="containsText" text="SI">
      <formula>NOT(ISERROR(SEARCH("SI",C609)))</formula>
    </cfRule>
    <cfRule type="containsText" dxfId="3778" priority="3959" operator="containsText" text="NO">
      <formula>NOT(ISERROR(SEARCH("NO",C609)))</formula>
    </cfRule>
  </conditionalFormatting>
  <conditionalFormatting sqref="C609:D609">
    <cfRule type="containsText" dxfId="3777" priority="3957" operator="containsText" text="NUEVO">
      <formula>NOT(ISERROR(SEARCH("NUEVO",C609)))</formula>
    </cfRule>
  </conditionalFormatting>
  <conditionalFormatting sqref="E609">
    <cfRule type="containsText" dxfId="3776" priority="3956" operator="containsText" text="Sin información">
      <formula>NOT(ISERROR(SEARCH("Sin información",E609)))</formula>
    </cfRule>
  </conditionalFormatting>
  <conditionalFormatting sqref="E609">
    <cfRule type="containsText" dxfId="3775" priority="3955" operator="containsText" text="NUEVO">
      <formula>NOT(ISERROR(SEARCH("NUEVO",E609)))</formula>
    </cfRule>
  </conditionalFormatting>
  <conditionalFormatting sqref="E609">
    <cfRule type="containsText" dxfId="3774" priority="3954" operator="containsText" text="Sin Información">
      <formula>NOT(ISERROR(SEARCH("Sin Información",E609)))</formula>
    </cfRule>
  </conditionalFormatting>
  <conditionalFormatting sqref="C610:D610">
    <cfRule type="containsText" dxfId="3773" priority="3953" operator="containsText" text="NO+$D$4:$D$10">
      <formula>NOT(ISERROR(SEARCH("NO+$D$4:$D$10",C610)))</formula>
    </cfRule>
  </conditionalFormatting>
  <conditionalFormatting sqref="C610:D610">
    <cfRule type="containsText" dxfId="3772" priority="3951" operator="containsText" text="SI">
      <formula>NOT(ISERROR(SEARCH("SI",C610)))</formula>
    </cfRule>
    <cfRule type="containsText" dxfId="3771" priority="3952" operator="containsText" text="NO">
      <formula>NOT(ISERROR(SEARCH("NO",C610)))</formula>
    </cfRule>
  </conditionalFormatting>
  <conditionalFormatting sqref="C610:D610">
    <cfRule type="containsText" dxfId="3770" priority="3950" operator="containsText" text="NUEVO">
      <formula>NOT(ISERROR(SEARCH("NUEVO",C610)))</formula>
    </cfRule>
  </conditionalFormatting>
  <conditionalFormatting sqref="E610">
    <cfRule type="containsText" dxfId="3769" priority="3948" operator="containsText" text="Sin Información">
      <formula>NOT(ISERROR(SEARCH("Sin Información",E610)))</formula>
    </cfRule>
  </conditionalFormatting>
  <conditionalFormatting sqref="E610">
    <cfRule type="containsText" dxfId="3768" priority="3949" operator="containsText" text="NUEVO">
      <formula>NOT(ISERROR(SEARCH("NUEVO",E610)))</formula>
    </cfRule>
  </conditionalFormatting>
  <conditionalFormatting sqref="C611:D611">
    <cfRule type="containsText" dxfId="3767" priority="3947" operator="containsText" text="NO+$D$4:$D$10">
      <formula>NOT(ISERROR(SEARCH("NO+$D$4:$D$10",C611)))</formula>
    </cfRule>
  </conditionalFormatting>
  <conditionalFormatting sqref="C611:D611">
    <cfRule type="containsText" dxfId="3766" priority="3945" operator="containsText" text="SI">
      <formula>NOT(ISERROR(SEARCH("SI",C611)))</formula>
    </cfRule>
    <cfRule type="containsText" dxfId="3765" priority="3946" operator="containsText" text="NO">
      <formula>NOT(ISERROR(SEARCH("NO",C611)))</formula>
    </cfRule>
  </conditionalFormatting>
  <conditionalFormatting sqref="C611:E611">
    <cfRule type="containsText" dxfId="3764" priority="3944" operator="containsText" text="NUEVO">
      <formula>NOT(ISERROR(SEARCH("NUEVO",C611)))</formula>
    </cfRule>
  </conditionalFormatting>
  <conditionalFormatting sqref="E611">
    <cfRule type="containsText" dxfId="3763" priority="3943" operator="containsText" text="Sin Información">
      <formula>NOT(ISERROR(SEARCH("Sin Información",E611)))</formula>
    </cfRule>
  </conditionalFormatting>
  <conditionalFormatting sqref="C612:D613">
    <cfRule type="containsText" dxfId="3762" priority="3942" operator="containsText" text="NO+$D$4:$D$10">
      <formula>NOT(ISERROR(SEARCH("NO+$D$4:$D$10",C612)))</formula>
    </cfRule>
  </conditionalFormatting>
  <conditionalFormatting sqref="C612:D613">
    <cfRule type="containsText" dxfId="3761" priority="3940" operator="containsText" text="SI">
      <formula>NOT(ISERROR(SEARCH("SI",C612)))</formula>
    </cfRule>
    <cfRule type="containsText" dxfId="3760" priority="3941" operator="containsText" text="NO">
      <formula>NOT(ISERROR(SEARCH("NO",C612)))</formula>
    </cfRule>
  </conditionalFormatting>
  <conditionalFormatting sqref="E612 C612:D613">
    <cfRule type="containsText" dxfId="3759" priority="3939" operator="containsText" text="NUEVO">
      <formula>NOT(ISERROR(SEARCH("NUEVO",C612)))</formula>
    </cfRule>
  </conditionalFormatting>
  <conditionalFormatting sqref="E612">
    <cfRule type="containsText" dxfId="3758" priority="3938" operator="containsText" text="Sin Información">
      <formula>NOT(ISERROR(SEARCH("Sin Información",E612)))</formula>
    </cfRule>
  </conditionalFormatting>
  <conditionalFormatting sqref="E613">
    <cfRule type="containsText" dxfId="3757" priority="3937" operator="containsText" text="NUEVO">
      <formula>NOT(ISERROR(SEARCH("NUEVO",E613)))</formula>
    </cfRule>
  </conditionalFormatting>
  <conditionalFormatting sqref="E613">
    <cfRule type="containsText" dxfId="3756" priority="3936" operator="containsText" text="Sin Información">
      <formula>NOT(ISERROR(SEARCH("Sin Información",E613)))</formula>
    </cfRule>
  </conditionalFormatting>
  <conditionalFormatting sqref="C614:D614">
    <cfRule type="containsText" dxfId="3755" priority="3935" operator="containsText" text="NO+$D$4:$D$10">
      <formula>NOT(ISERROR(SEARCH("NO+$D$4:$D$10",C614)))</formula>
    </cfRule>
  </conditionalFormatting>
  <conditionalFormatting sqref="C614:D614">
    <cfRule type="containsText" dxfId="3754" priority="3933" operator="containsText" text="SI">
      <formula>NOT(ISERROR(SEARCH("SI",C614)))</formula>
    </cfRule>
    <cfRule type="containsText" dxfId="3753" priority="3934" operator="containsText" text="NO">
      <formula>NOT(ISERROR(SEARCH("NO",C614)))</formula>
    </cfRule>
  </conditionalFormatting>
  <conditionalFormatting sqref="C614:D614">
    <cfRule type="containsText" dxfId="3752" priority="3932" operator="containsText" text="NUEVO">
      <formula>NOT(ISERROR(SEARCH("NUEVO",C614)))</formula>
    </cfRule>
  </conditionalFormatting>
  <conditionalFormatting sqref="E614">
    <cfRule type="containsText" dxfId="3751" priority="3931" operator="containsText" text="NUEVO">
      <formula>NOT(ISERROR(SEARCH("NUEVO",E614)))</formula>
    </cfRule>
  </conditionalFormatting>
  <conditionalFormatting sqref="E614">
    <cfRule type="containsText" dxfId="3750" priority="3930" operator="containsText" text="Sin Información">
      <formula>NOT(ISERROR(SEARCH("Sin Información",E614)))</formula>
    </cfRule>
  </conditionalFormatting>
  <conditionalFormatting sqref="C615:D615">
    <cfRule type="containsText" dxfId="3749" priority="3929" operator="containsText" text="NO+$D$4:$D$10">
      <formula>NOT(ISERROR(SEARCH("NO+$D$4:$D$10",C615)))</formula>
    </cfRule>
  </conditionalFormatting>
  <conditionalFormatting sqref="C615:D615">
    <cfRule type="containsText" dxfId="3748" priority="3927" operator="containsText" text="SI">
      <formula>NOT(ISERROR(SEARCH("SI",C615)))</formula>
    </cfRule>
    <cfRule type="containsText" dxfId="3747" priority="3928" operator="containsText" text="NO">
      <formula>NOT(ISERROR(SEARCH("NO",C615)))</formula>
    </cfRule>
  </conditionalFormatting>
  <conditionalFormatting sqref="C615:D615">
    <cfRule type="containsText" dxfId="3746" priority="3926" operator="containsText" text="NUEVO">
      <formula>NOT(ISERROR(SEARCH("NUEVO",C615)))</formula>
    </cfRule>
  </conditionalFormatting>
  <conditionalFormatting sqref="E615">
    <cfRule type="containsText" dxfId="3745" priority="3925" operator="containsText" text="NUEVO">
      <formula>NOT(ISERROR(SEARCH("NUEVO",E615)))</formula>
    </cfRule>
  </conditionalFormatting>
  <conditionalFormatting sqref="E615">
    <cfRule type="containsText" dxfId="3744" priority="3924" operator="containsText" text="Sin Información">
      <formula>NOT(ISERROR(SEARCH("Sin Información",E615)))</formula>
    </cfRule>
  </conditionalFormatting>
  <conditionalFormatting sqref="C616:D616">
    <cfRule type="containsText" dxfId="3743" priority="3923" operator="containsText" text="NO+$D$4:$D$10">
      <formula>NOT(ISERROR(SEARCH("NO+$D$4:$D$10",C616)))</formula>
    </cfRule>
  </conditionalFormatting>
  <conditionalFormatting sqref="C616:D616">
    <cfRule type="containsText" dxfId="3742" priority="3921" operator="containsText" text="SI">
      <formula>NOT(ISERROR(SEARCH("SI",C616)))</formula>
    </cfRule>
    <cfRule type="containsText" dxfId="3741" priority="3922" operator="containsText" text="NO">
      <formula>NOT(ISERROR(SEARCH("NO",C616)))</formula>
    </cfRule>
  </conditionalFormatting>
  <conditionalFormatting sqref="C616:D616">
    <cfRule type="containsText" dxfId="3740" priority="3920" operator="containsText" text="NUEVO">
      <formula>NOT(ISERROR(SEARCH("NUEVO",C616)))</formula>
    </cfRule>
  </conditionalFormatting>
  <conditionalFormatting sqref="E616">
    <cfRule type="containsText" dxfId="3739" priority="3919" operator="containsText" text="Sin información">
      <formula>NOT(ISERROR(SEARCH("Sin información",E616)))</formula>
    </cfRule>
  </conditionalFormatting>
  <conditionalFormatting sqref="E616">
    <cfRule type="containsText" dxfId="3738" priority="3918" operator="containsText" text="NUEVO">
      <formula>NOT(ISERROR(SEARCH("NUEVO",E616)))</formula>
    </cfRule>
  </conditionalFormatting>
  <conditionalFormatting sqref="C617:D617">
    <cfRule type="containsText" dxfId="3737" priority="3917" operator="containsText" text="NO+$D$4:$D$10">
      <formula>NOT(ISERROR(SEARCH("NO+$D$4:$D$10",C617)))</formula>
    </cfRule>
  </conditionalFormatting>
  <conditionalFormatting sqref="C617:D617">
    <cfRule type="containsText" dxfId="3736" priority="3915" operator="containsText" text="SI">
      <formula>NOT(ISERROR(SEARCH("SI",C617)))</formula>
    </cfRule>
    <cfRule type="containsText" dxfId="3735" priority="3916" operator="containsText" text="NO">
      <formula>NOT(ISERROR(SEARCH("NO",C617)))</formula>
    </cfRule>
  </conditionalFormatting>
  <conditionalFormatting sqref="C617:D617">
    <cfRule type="containsText" dxfId="3734" priority="3914" operator="containsText" text="NUEVO">
      <formula>NOT(ISERROR(SEARCH("NUEVO",C617)))</formula>
    </cfRule>
  </conditionalFormatting>
  <conditionalFormatting sqref="E617">
    <cfRule type="containsText" dxfId="3733" priority="3913" operator="containsText" text="NUEVO">
      <formula>NOT(ISERROR(SEARCH("NUEVO",E617)))</formula>
    </cfRule>
  </conditionalFormatting>
  <conditionalFormatting sqref="E617">
    <cfRule type="containsText" dxfId="3732" priority="3912" operator="containsText" text="Sin Información">
      <formula>NOT(ISERROR(SEARCH("Sin Información",E617)))</formula>
    </cfRule>
  </conditionalFormatting>
  <conditionalFormatting sqref="C618:D619">
    <cfRule type="containsText" dxfId="3731" priority="3911" operator="containsText" text="NO+$D$4:$D$10">
      <formula>NOT(ISERROR(SEARCH("NO+$D$4:$D$10",C618)))</formula>
    </cfRule>
  </conditionalFormatting>
  <conditionalFormatting sqref="C618:D619">
    <cfRule type="containsText" dxfId="3730" priority="3909" operator="containsText" text="SI">
      <formula>NOT(ISERROR(SEARCH("SI",C618)))</formula>
    </cfRule>
    <cfRule type="containsText" dxfId="3729" priority="3910" operator="containsText" text="NO">
      <formula>NOT(ISERROR(SEARCH("NO",C618)))</formula>
    </cfRule>
  </conditionalFormatting>
  <conditionalFormatting sqref="C618:D619">
    <cfRule type="containsText" dxfId="3728" priority="3908" operator="containsText" text="NUEVO">
      <formula>NOT(ISERROR(SEARCH("NUEVO",C618)))</formula>
    </cfRule>
  </conditionalFormatting>
  <conditionalFormatting sqref="E618">
    <cfRule type="containsText" dxfId="3727" priority="3907" operator="containsText" text="NUEVO">
      <formula>NOT(ISERROR(SEARCH("NUEVO",E618)))</formula>
    </cfRule>
  </conditionalFormatting>
  <conditionalFormatting sqref="E618">
    <cfRule type="containsText" dxfId="3726" priority="3906" operator="containsText" text="Sin Información">
      <formula>NOT(ISERROR(SEARCH("Sin Información",E618)))</formula>
    </cfRule>
  </conditionalFormatting>
  <conditionalFormatting sqref="E619">
    <cfRule type="containsText" dxfId="3725" priority="3905" operator="containsText" text="NUEVO">
      <formula>NOT(ISERROR(SEARCH("NUEVO",E619)))</formula>
    </cfRule>
  </conditionalFormatting>
  <conditionalFormatting sqref="E619">
    <cfRule type="containsText" dxfId="3724" priority="3904" operator="containsText" text="Sin Información">
      <formula>NOT(ISERROR(SEARCH("Sin Información",E619)))</formula>
    </cfRule>
  </conditionalFormatting>
  <conditionalFormatting sqref="C620:D621">
    <cfRule type="containsText" dxfId="3723" priority="3903" operator="containsText" text="NO+$D$4:$D$10">
      <formula>NOT(ISERROR(SEARCH("NO+$D$4:$D$10",C620)))</formula>
    </cfRule>
  </conditionalFormatting>
  <conditionalFormatting sqref="C620:D621">
    <cfRule type="containsText" dxfId="3722" priority="3901" operator="containsText" text="SI">
      <formula>NOT(ISERROR(SEARCH("SI",C620)))</formula>
    </cfRule>
    <cfRule type="containsText" dxfId="3721" priority="3902" operator="containsText" text="NO">
      <formula>NOT(ISERROR(SEARCH("NO",C620)))</formula>
    </cfRule>
  </conditionalFormatting>
  <conditionalFormatting sqref="C620:D621">
    <cfRule type="containsText" dxfId="3720" priority="3900" operator="containsText" text="NUEVO">
      <formula>NOT(ISERROR(SEARCH("NUEVO",C620)))</formula>
    </cfRule>
  </conditionalFormatting>
  <conditionalFormatting sqref="E621">
    <cfRule type="containsText" dxfId="3719" priority="3899" operator="containsText" text="NUEVO">
      <formula>NOT(ISERROR(SEARCH("NUEVO",E621)))</formula>
    </cfRule>
  </conditionalFormatting>
  <conditionalFormatting sqref="E621">
    <cfRule type="containsText" dxfId="3718" priority="3898" operator="containsText" text="Sin Información">
      <formula>NOT(ISERROR(SEARCH("Sin Información",E621)))</formula>
    </cfRule>
  </conditionalFormatting>
  <conditionalFormatting sqref="E620">
    <cfRule type="containsText" dxfId="3717" priority="3897" operator="containsText" text="NUEVO">
      <formula>NOT(ISERROR(SEARCH("NUEVO",E620)))</formula>
    </cfRule>
  </conditionalFormatting>
  <conditionalFormatting sqref="E620">
    <cfRule type="containsText" dxfId="3716" priority="3896" operator="containsText" text="Sin Información">
      <formula>NOT(ISERROR(SEARCH("Sin Información",E620)))</formula>
    </cfRule>
  </conditionalFormatting>
  <conditionalFormatting sqref="C622:D622">
    <cfRule type="containsText" dxfId="3715" priority="3895" operator="containsText" text="NO+$D$4:$D$10">
      <formula>NOT(ISERROR(SEARCH("NO+$D$4:$D$10",C622)))</formula>
    </cfRule>
  </conditionalFormatting>
  <conditionalFormatting sqref="C622:D622">
    <cfRule type="containsText" dxfId="3714" priority="3893" operator="containsText" text="SI">
      <formula>NOT(ISERROR(SEARCH("SI",C622)))</formula>
    </cfRule>
    <cfRule type="containsText" dxfId="3713" priority="3894" operator="containsText" text="NO">
      <formula>NOT(ISERROR(SEARCH("NO",C622)))</formula>
    </cfRule>
  </conditionalFormatting>
  <conditionalFormatting sqref="C622:D622">
    <cfRule type="containsText" dxfId="3712" priority="3892" operator="containsText" text="NUEVO">
      <formula>NOT(ISERROR(SEARCH("NUEVO",C622)))</formula>
    </cfRule>
  </conditionalFormatting>
  <conditionalFormatting sqref="E622">
    <cfRule type="containsText" dxfId="3711" priority="3890" operator="containsText" text="Sin Información">
      <formula>NOT(ISERROR(SEARCH("Sin Información",E622)))</formula>
    </cfRule>
  </conditionalFormatting>
  <conditionalFormatting sqref="E622">
    <cfRule type="containsText" dxfId="3710" priority="3891" operator="containsText" text="NUEVO">
      <formula>NOT(ISERROR(SEARCH("NUEVO",E622)))</formula>
    </cfRule>
  </conditionalFormatting>
  <conditionalFormatting sqref="C623:D623">
    <cfRule type="containsText" dxfId="3709" priority="3889" operator="containsText" text="NO+$D$4:$D$10">
      <formula>NOT(ISERROR(SEARCH("NO+$D$4:$D$10",C623)))</formula>
    </cfRule>
  </conditionalFormatting>
  <conditionalFormatting sqref="C623:D623">
    <cfRule type="containsText" dxfId="3708" priority="3887" operator="containsText" text="SI">
      <formula>NOT(ISERROR(SEARCH("SI",C623)))</formula>
    </cfRule>
    <cfRule type="containsText" dxfId="3707" priority="3888" operator="containsText" text="NO">
      <formula>NOT(ISERROR(SEARCH("NO",C623)))</formula>
    </cfRule>
  </conditionalFormatting>
  <conditionalFormatting sqref="C623:D623">
    <cfRule type="containsText" dxfId="3706" priority="3886" operator="containsText" text="NUEVO">
      <formula>NOT(ISERROR(SEARCH("NUEVO",C623)))</formula>
    </cfRule>
  </conditionalFormatting>
  <conditionalFormatting sqref="E623">
    <cfRule type="containsText" dxfId="3705" priority="3884" operator="containsText" text="Sin Información">
      <formula>NOT(ISERROR(SEARCH("Sin Información",E623)))</formula>
    </cfRule>
  </conditionalFormatting>
  <conditionalFormatting sqref="E623">
    <cfRule type="containsText" dxfId="3704" priority="3885" operator="containsText" text="NUEVO">
      <formula>NOT(ISERROR(SEARCH("NUEVO",E623)))</formula>
    </cfRule>
  </conditionalFormatting>
  <conditionalFormatting sqref="C624:D625">
    <cfRule type="containsText" dxfId="3703" priority="3883" operator="containsText" text="NO+$D$4:$D$10">
      <formula>NOT(ISERROR(SEARCH("NO+$D$4:$D$10",C624)))</formula>
    </cfRule>
  </conditionalFormatting>
  <conditionalFormatting sqref="C624:D625">
    <cfRule type="containsText" dxfId="3702" priority="3881" operator="containsText" text="SI">
      <formula>NOT(ISERROR(SEARCH("SI",C624)))</formula>
    </cfRule>
    <cfRule type="containsText" dxfId="3701" priority="3882" operator="containsText" text="NO">
      <formula>NOT(ISERROR(SEARCH("NO",C624)))</formula>
    </cfRule>
  </conditionalFormatting>
  <conditionalFormatting sqref="E625 C624:D625">
    <cfRule type="containsText" dxfId="3700" priority="3880" operator="containsText" text="NUEVO">
      <formula>NOT(ISERROR(SEARCH("NUEVO",C624)))</formula>
    </cfRule>
  </conditionalFormatting>
  <conditionalFormatting sqref="E625">
    <cfRule type="containsText" dxfId="3699" priority="3879" operator="containsText" text="Sin Información">
      <formula>NOT(ISERROR(SEARCH("Sin Información",E625)))</formula>
    </cfRule>
  </conditionalFormatting>
  <conditionalFormatting sqref="E624">
    <cfRule type="containsText" dxfId="3698" priority="3877" operator="containsText" text="Sin Información">
      <formula>NOT(ISERROR(SEARCH("Sin Información",E624)))</formula>
    </cfRule>
  </conditionalFormatting>
  <conditionalFormatting sqref="E624">
    <cfRule type="containsText" dxfId="3697" priority="3878" operator="containsText" text="NUEVO">
      <formula>NOT(ISERROR(SEARCH("NUEVO",E624)))</formula>
    </cfRule>
  </conditionalFormatting>
  <conditionalFormatting sqref="C628:D630">
    <cfRule type="containsText" dxfId="3696" priority="3871" operator="containsText" text="NO+$D$4:$D$10">
      <formula>NOT(ISERROR(SEARCH("NO+$D$4:$D$10",C628)))</formula>
    </cfRule>
  </conditionalFormatting>
  <conditionalFormatting sqref="C628:D630">
    <cfRule type="containsText" dxfId="3695" priority="3869" operator="containsText" text="SI">
      <formula>NOT(ISERROR(SEARCH("SI",C628)))</formula>
    </cfRule>
    <cfRule type="containsText" dxfId="3694" priority="3870" operator="containsText" text="NO">
      <formula>NOT(ISERROR(SEARCH("NO",C628)))</formula>
    </cfRule>
  </conditionalFormatting>
  <conditionalFormatting sqref="C628:D630 E628:E629">
    <cfRule type="containsText" dxfId="3693" priority="3868" operator="containsText" text="NUEVO">
      <formula>NOT(ISERROR(SEARCH("NUEVO",C628)))</formula>
    </cfRule>
  </conditionalFormatting>
  <conditionalFormatting sqref="E628:E629">
    <cfRule type="containsText" dxfId="3692" priority="3867" operator="containsText" text="Sin Información">
      <formula>NOT(ISERROR(SEARCH("Sin Información",E628)))</formula>
    </cfRule>
  </conditionalFormatting>
  <conditionalFormatting sqref="E630">
    <cfRule type="containsText" dxfId="3691" priority="3865" operator="containsText" text="Sin Información">
      <formula>NOT(ISERROR(SEARCH("Sin Información",E630)))</formula>
    </cfRule>
  </conditionalFormatting>
  <conditionalFormatting sqref="E630">
    <cfRule type="containsText" dxfId="3690" priority="3866" operator="containsText" text="NUEVO">
      <formula>NOT(ISERROR(SEARCH("NUEVO",E630)))</formula>
    </cfRule>
  </conditionalFormatting>
  <conditionalFormatting sqref="C498:D498">
    <cfRule type="containsText" dxfId="3689" priority="3864" operator="containsText" text="NO+$D$4:$D$10">
      <formula>NOT(ISERROR(SEARCH("NO+$D$4:$D$10",C498)))</formula>
    </cfRule>
  </conditionalFormatting>
  <conditionalFormatting sqref="C498:D498">
    <cfRule type="containsText" dxfId="3688" priority="3862" operator="containsText" text="SI">
      <formula>NOT(ISERROR(SEARCH("SI",C498)))</formula>
    </cfRule>
    <cfRule type="containsText" dxfId="3687" priority="3863" operator="containsText" text="NO">
      <formula>NOT(ISERROR(SEARCH("NO",C498)))</formula>
    </cfRule>
  </conditionalFormatting>
  <conditionalFormatting sqref="C498:E498">
    <cfRule type="containsText" dxfId="3686" priority="3861" operator="containsText" text="NUEVO">
      <formula>NOT(ISERROR(SEARCH("NUEVO",C498)))</formula>
    </cfRule>
  </conditionalFormatting>
  <conditionalFormatting sqref="E498">
    <cfRule type="containsText" dxfId="3685" priority="3860" operator="containsText" text="Sin Información">
      <formula>NOT(ISERROR(SEARCH("Sin Información",E498)))</formula>
    </cfRule>
  </conditionalFormatting>
  <conditionalFormatting sqref="C524:D524">
    <cfRule type="containsText" dxfId="3684" priority="3859" operator="containsText" text="NO+$D$4:$D$10">
      <formula>NOT(ISERROR(SEARCH("NO+$D$4:$D$10",C524)))</formula>
    </cfRule>
  </conditionalFormatting>
  <conditionalFormatting sqref="C524:D524">
    <cfRule type="containsText" dxfId="3683" priority="3857" operator="containsText" text="SI">
      <formula>NOT(ISERROR(SEARCH("SI",C524)))</formula>
    </cfRule>
    <cfRule type="containsText" dxfId="3682" priority="3858" operator="containsText" text="NO">
      <formula>NOT(ISERROR(SEARCH("NO",C524)))</formula>
    </cfRule>
  </conditionalFormatting>
  <conditionalFormatting sqref="C524:E524">
    <cfRule type="containsText" dxfId="3681" priority="3856" operator="containsText" text="NUEVO">
      <formula>NOT(ISERROR(SEARCH("NUEVO",C524)))</formula>
    </cfRule>
  </conditionalFormatting>
  <conditionalFormatting sqref="E524">
    <cfRule type="containsText" dxfId="3680" priority="3855" operator="containsText" text="Sin Información">
      <formula>NOT(ISERROR(SEARCH("Sin Información",E524)))</formula>
    </cfRule>
  </conditionalFormatting>
  <conditionalFormatting sqref="C531:D531">
    <cfRule type="containsText" dxfId="3679" priority="3854" operator="containsText" text="NO+$D$4:$D$10">
      <formula>NOT(ISERROR(SEARCH("NO+$D$4:$D$10",C531)))</formula>
    </cfRule>
  </conditionalFormatting>
  <conditionalFormatting sqref="C531:D531">
    <cfRule type="containsText" dxfId="3678" priority="3852" operator="containsText" text="SI">
      <formula>NOT(ISERROR(SEARCH("SI",C531)))</formula>
    </cfRule>
    <cfRule type="containsText" dxfId="3677" priority="3853" operator="containsText" text="NO">
      <formula>NOT(ISERROR(SEARCH("NO",C531)))</formula>
    </cfRule>
  </conditionalFormatting>
  <conditionalFormatting sqref="C531:D531">
    <cfRule type="containsText" dxfId="3676" priority="3851" operator="containsText" text="NUEVO">
      <formula>NOT(ISERROR(SEARCH("NUEVO",C531)))</formula>
    </cfRule>
  </conditionalFormatting>
  <conditionalFormatting sqref="E531">
    <cfRule type="containsText" dxfId="3675" priority="3850" operator="containsText" text="NUEVO">
      <formula>NOT(ISERROR(SEARCH("NUEVO",E531)))</formula>
    </cfRule>
  </conditionalFormatting>
  <conditionalFormatting sqref="E531">
    <cfRule type="containsText" dxfId="3674" priority="3849" operator="containsText" text="Sin Información">
      <formula>NOT(ISERROR(SEARCH("Sin Información",E531)))</formula>
    </cfRule>
  </conditionalFormatting>
  <conditionalFormatting sqref="C665:D665">
    <cfRule type="containsText" dxfId="3673" priority="3843" operator="containsText" text="NO+$D$4:$D$10">
      <formula>NOT(ISERROR(SEARCH("NO+$D$4:$D$10",C665)))</formula>
    </cfRule>
  </conditionalFormatting>
  <conditionalFormatting sqref="C665:D665">
    <cfRule type="containsText" dxfId="3672" priority="3841" operator="containsText" text="SI">
      <formula>NOT(ISERROR(SEARCH("SI",C665)))</formula>
    </cfRule>
    <cfRule type="containsText" dxfId="3671" priority="3842" operator="containsText" text="NO">
      <formula>NOT(ISERROR(SEARCH("NO",C665)))</formula>
    </cfRule>
  </conditionalFormatting>
  <conditionalFormatting sqref="C665:D665">
    <cfRule type="containsText" dxfId="3670" priority="3840" operator="containsText" text="NUEVO">
      <formula>NOT(ISERROR(SEARCH("NUEVO",C665)))</formula>
    </cfRule>
  </conditionalFormatting>
  <conditionalFormatting sqref="E665">
    <cfRule type="containsText" dxfId="3669" priority="3839" operator="containsText" text="NUEVO">
      <formula>NOT(ISERROR(SEARCH("NUEVO",E665)))</formula>
    </cfRule>
  </conditionalFormatting>
  <conditionalFormatting sqref="E665">
    <cfRule type="containsText" dxfId="3668" priority="3838" operator="containsText" text="Sin Información">
      <formula>NOT(ISERROR(SEARCH("Sin Información",E665)))</formula>
    </cfRule>
  </conditionalFormatting>
  <conditionalFormatting sqref="C666:D667">
    <cfRule type="containsText" dxfId="3667" priority="3837" operator="containsText" text="NO+$D$4:$D$10">
      <formula>NOT(ISERROR(SEARCH("NO+$D$4:$D$10",C666)))</formula>
    </cfRule>
  </conditionalFormatting>
  <conditionalFormatting sqref="C666:D667">
    <cfRule type="containsText" dxfId="3666" priority="3835" operator="containsText" text="SI">
      <formula>NOT(ISERROR(SEARCH("SI",C666)))</formula>
    </cfRule>
    <cfRule type="containsText" dxfId="3665" priority="3836" operator="containsText" text="NO">
      <formula>NOT(ISERROR(SEARCH("NO",C666)))</formula>
    </cfRule>
  </conditionalFormatting>
  <conditionalFormatting sqref="C666:D667">
    <cfRule type="containsText" dxfId="3664" priority="3834" operator="containsText" text="NUEVO">
      <formula>NOT(ISERROR(SEARCH("NUEVO",C666)))</formula>
    </cfRule>
  </conditionalFormatting>
  <conditionalFormatting sqref="E666:E667">
    <cfRule type="containsText" dxfId="3663" priority="3833" operator="containsText" text="NUEVO">
      <formula>NOT(ISERROR(SEARCH("NUEVO",E666)))</formula>
    </cfRule>
  </conditionalFormatting>
  <conditionalFormatting sqref="E666:E667">
    <cfRule type="containsText" dxfId="3662" priority="3832" operator="containsText" text="Sin Información">
      <formula>NOT(ISERROR(SEARCH("Sin Información",E666)))</formula>
    </cfRule>
  </conditionalFormatting>
  <conditionalFormatting sqref="C668:D668">
    <cfRule type="containsText" dxfId="3661" priority="3831" operator="containsText" text="NO+$D$4:$D$10">
      <formula>NOT(ISERROR(SEARCH("NO+$D$4:$D$10",C668)))</formula>
    </cfRule>
  </conditionalFormatting>
  <conditionalFormatting sqref="C668:D668">
    <cfRule type="containsText" dxfId="3660" priority="3829" operator="containsText" text="SI">
      <formula>NOT(ISERROR(SEARCH("SI",C668)))</formula>
    </cfRule>
    <cfRule type="containsText" dxfId="3659" priority="3830" operator="containsText" text="NO">
      <formula>NOT(ISERROR(SEARCH("NO",C668)))</formula>
    </cfRule>
  </conditionalFormatting>
  <conditionalFormatting sqref="C668:D668">
    <cfRule type="containsText" dxfId="3658" priority="3828" operator="containsText" text="NUEVO">
      <formula>NOT(ISERROR(SEARCH("NUEVO",C668)))</formula>
    </cfRule>
  </conditionalFormatting>
  <conditionalFormatting sqref="E668">
    <cfRule type="containsText" dxfId="3657" priority="3827" operator="containsText" text="NUEVO">
      <formula>NOT(ISERROR(SEARCH("NUEVO",E668)))</formula>
    </cfRule>
  </conditionalFormatting>
  <conditionalFormatting sqref="E668">
    <cfRule type="containsText" dxfId="3656" priority="3826" operator="containsText" text="Sin Información">
      <formula>NOT(ISERROR(SEARCH("Sin Información",E668)))</formula>
    </cfRule>
  </conditionalFormatting>
  <conditionalFormatting sqref="C669:D669">
    <cfRule type="containsText" dxfId="3655" priority="3825" operator="containsText" text="NO+$D$4:$D$10">
      <formula>NOT(ISERROR(SEARCH("NO+$D$4:$D$10",C669)))</formula>
    </cfRule>
  </conditionalFormatting>
  <conditionalFormatting sqref="C669:D669">
    <cfRule type="containsText" dxfId="3654" priority="3823" operator="containsText" text="SI">
      <formula>NOT(ISERROR(SEARCH("SI",C669)))</formula>
    </cfRule>
    <cfRule type="containsText" dxfId="3653" priority="3824" operator="containsText" text="NO">
      <formula>NOT(ISERROR(SEARCH("NO",C669)))</formula>
    </cfRule>
  </conditionalFormatting>
  <conditionalFormatting sqref="C669:D669">
    <cfRule type="containsText" dxfId="3652" priority="3822" operator="containsText" text="NUEVO">
      <formula>NOT(ISERROR(SEARCH("NUEVO",C669)))</formula>
    </cfRule>
  </conditionalFormatting>
  <conditionalFormatting sqref="E669">
    <cfRule type="containsText" dxfId="3651" priority="3820" operator="containsText" text="Sin Información">
      <formula>NOT(ISERROR(SEARCH("Sin Información",E669)))</formula>
    </cfRule>
  </conditionalFormatting>
  <conditionalFormatting sqref="E669">
    <cfRule type="containsText" dxfId="3650" priority="3821" operator="containsText" text="NUEVO">
      <formula>NOT(ISERROR(SEARCH("NUEVO",E669)))</formula>
    </cfRule>
  </conditionalFormatting>
  <conditionalFormatting sqref="C670:D670">
    <cfRule type="containsText" dxfId="3649" priority="3819" operator="containsText" text="NO+$D$4:$D$10">
      <formula>NOT(ISERROR(SEARCH("NO+$D$4:$D$10",C670)))</formula>
    </cfRule>
  </conditionalFormatting>
  <conditionalFormatting sqref="C670:D670">
    <cfRule type="containsText" dxfId="3648" priority="3817" operator="containsText" text="SI">
      <formula>NOT(ISERROR(SEARCH("SI",C670)))</formula>
    </cfRule>
    <cfRule type="containsText" dxfId="3647" priority="3818" operator="containsText" text="NO">
      <formula>NOT(ISERROR(SEARCH("NO",C670)))</formula>
    </cfRule>
  </conditionalFormatting>
  <conditionalFormatting sqref="C670:D670">
    <cfRule type="containsText" dxfId="3646" priority="3816" operator="containsText" text="NUEVO">
      <formula>NOT(ISERROR(SEARCH("NUEVO",C670)))</formula>
    </cfRule>
  </conditionalFormatting>
  <conditionalFormatting sqref="E670">
    <cfRule type="containsText" dxfId="3645" priority="3815" operator="containsText" text="NUEVO">
      <formula>NOT(ISERROR(SEARCH("NUEVO",E670)))</formula>
    </cfRule>
  </conditionalFormatting>
  <conditionalFormatting sqref="E670">
    <cfRule type="containsText" dxfId="3644" priority="3814" operator="containsText" text="Sin Información">
      <formula>NOT(ISERROR(SEARCH("Sin Información",E670)))</formula>
    </cfRule>
  </conditionalFormatting>
  <conditionalFormatting sqref="C671:D671">
    <cfRule type="containsText" dxfId="3643" priority="3813" operator="containsText" text="NO+$D$4:$D$10">
      <formula>NOT(ISERROR(SEARCH("NO+$D$4:$D$10",C671)))</formula>
    </cfRule>
  </conditionalFormatting>
  <conditionalFormatting sqref="C671:D671">
    <cfRule type="containsText" dxfId="3642" priority="3811" operator="containsText" text="SI">
      <formula>NOT(ISERROR(SEARCH("SI",C671)))</formula>
    </cfRule>
    <cfRule type="containsText" dxfId="3641" priority="3812" operator="containsText" text="NO">
      <formula>NOT(ISERROR(SEARCH("NO",C671)))</formula>
    </cfRule>
  </conditionalFormatting>
  <conditionalFormatting sqref="C671:D671">
    <cfRule type="containsText" dxfId="3640" priority="3810" operator="containsText" text="NUEVO">
      <formula>NOT(ISERROR(SEARCH("NUEVO",C671)))</formula>
    </cfRule>
  </conditionalFormatting>
  <conditionalFormatting sqref="E671">
    <cfRule type="containsText" dxfId="3639" priority="3809" operator="containsText" text="NUEVO">
      <formula>NOT(ISERROR(SEARCH("NUEVO",E671)))</formula>
    </cfRule>
  </conditionalFormatting>
  <conditionalFormatting sqref="E671">
    <cfRule type="containsText" dxfId="3638" priority="3808" operator="containsText" text="Sin Información">
      <formula>NOT(ISERROR(SEARCH("Sin Información",E671)))</formula>
    </cfRule>
  </conditionalFormatting>
  <conditionalFormatting sqref="C672:D676">
    <cfRule type="containsText" dxfId="3637" priority="3807" operator="containsText" text="NO+$D$4:$D$10">
      <formula>NOT(ISERROR(SEARCH("NO+$D$4:$D$10",C672)))</formula>
    </cfRule>
  </conditionalFormatting>
  <conditionalFormatting sqref="C672:D676">
    <cfRule type="containsText" dxfId="3636" priority="3805" operator="containsText" text="SI">
      <formula>NOT(ISERROR(SEARCH("SI",C672)))</formula>
    </cfRule>
    <cfRule type="containsText" dxfId="3635" priority="3806" operator="containsText" text="NO">
      <formula>NOT(ISERROR(SEARCH("NO",C672)))</formula>
    </cfRule>
  </conditionalFormatting>
  <conditionalFormatting sqref="C672:D676">
    <cfRule type="containsText" dxfId="3634" priority="3804" operator="containsText" text="NUEVO">
      <formula>NOT(ISERROR(SEARCH("NUEVO",C672)))</formula>
    </cfRule>
  </conditionalFormatting>
  <conditionalFormatting sqref="E672:E675">
    <cfRule type="containsText" dxfId="3633" priority="3803" operator="containsText" text="NUEVO">
      <formula>NOT(ISERROR(SEARCH("NUEVO",E672)))</formula>
    </cfRule>
  </conditionalFormatting>
  <conditionalFormatting sqref="E672:E675">
    <cfRule type="containsText" dxfId="3632" priority="3802" operator="containsText" text="Sin Información">
      <formula>NOT(ISERROR(SEARCH("Sin Información",E672)))</formula>
    </cfRule>
  </conditionalFormatting>
  <conditionalFormatting sqref="E676">
    <cfRule type="containsText" dxfId="3631" priority="3801" operator="containsText" text="NUEVO">
      <formula>NOT(ISERROR(SEARCH("NUEVO",E676)))</formula>
    </cfRule>
  </conditionalFormatting>
  <conditionalFormatting sqref="E676">
    <cfRule type="containsText" dxfId="3630" priority="3800" operator="containsText" text="Sin Información">
      <formula>NOT(ISERROR(SEARCH("Sin Información",E676)))</formula>
    </cfRule>
  </conditionalFormatting>
  <conditionalFormatting sqref="C677:D677">
    <cfRule type="containsText" dxfId="3629" priority="3799" operator="containsText" text="NO+$D$4:$D$10">
      <formula>NOT(ISERROR(SEARCH("NO+$D$4:$D$10",C677)))</formula>
    </cfRule>
  </conditionalFormatting>
  <conditionalFormatting sqref="C677:D677">
    <cfRule type="containsText" dxfId="3628" priority="3797" operator="containsText" text="SI">
      <formula>NOT(ISERROR(SEARCH("SI",C677)))</formula>
    </cfRule>
    <cfRule type="containsText" dxfId="3627" priority="3798" operator="containsText" text="NO">
      <formula>NOT(ISERROR(SEARCH("NO",C677)))</formula>
    </cfRule>
  </conditionalFormatting>
  <conditionalFormatting sqref="C677:D677">
    <cfRule type="containsText" dxfId="3626" priority="3796" operator="containsText" text="NUEVO">
      <formula>NOT(ISERROR(SEARCH("NUEVO",C677)))</formula>
    </cfRule>
  </conditionalFormatting>
  <conditionalFormatting sqref="E677">
    <cfRule type="containsText" dxfId="3625" priority="3795" operator="containsText" text="NUEVO">
      <formula>NOT(ISERROR(SEARCH("NUEVO",E677)))</formula>
    </cfRule>
  </conditionalFormatting>
  <conditionalFormatting sqref="E677">
    <cfRule type="containsText" dxfId="3624" priority="3794" operator="containsText" text="Sin Información">
      <formula>NOT(ISERROR(SEARCH("Sin Información",E677)))</formula>
    </cfRule>
  </conditionalFormatting>
  <conditionalFormatting sqref="C678:D680">
    <cfRule type="containsText" dxfId="3623" priority="3793" operator="containsText" text="NO+$D$4:$D$10">
      <formula>NOT(ISERROR(SEARCH("NO+$D$4:$D$10",C678)))</formula>
    </cfRule>
  </conditionalFormatting>
  <conditionalFormatting sqref="C678:D680">
    <cfRule type="containsText" dxfId="3622" priority="3791" operator="containsText" text="SI">
      <formula>NOT(ISERROR(SEARCH("SI",C678)))</formula>
    </cfRule>
    <cfRule type="containsText" dxfId="3621" priority="3792" operator="containsText" text="NO">
      <formula>NOT(ISERROR(SEARCH("NO",C678)))</formula>
    </cfRule>
  </conditionalFormatting>
  <conditionalFormatting sqref="C678:D680">
    <cfRule type="containsText" dxfId="3620" priority="3790" operator="containsText" text="NUEVO">
      <formula>NOT(ISERROR(SEARCH("NUEVO",C678)))</formula>
    </cfRule>
  </conditionalFormatting>
  <conditionalFormatting sqref="E678:E680">
    <cfRule type="containsText" dxfId="3619" priority="3789" operator="containsText" text="NUEVO">
      <formula>NOT(ISERROR(SEARCH("NUEVO",E678)))</formula>
    </cfRule>
  </conditionalFormatting>
  <conditionalFormatting sqref="E678:E680">
    <cfRule type="containsText" dxfId="3618" priority="3788" operator="containsText" text="Sin Información">
      <formula>NOT(ISERROR(SEARCH("Sin Información",E678)))</formula>
    </cfRule>
  </conditionalFormatting>
  <conditionalFormatting sqref="C681:D681">
    <cfRule type="containsText" dxfId="3617" priority="3787" operator="containsText" text="NO+$D$4:$D$10">
      <formula>NOT(ISERROR(SEARCH("NO+$D$4:$D$10",C681)))</formula>
    </cfRule>
  </conditionalFormatting>
  <conditionalFormatting sqref="C681:D681">
    <cfRule type="containsText" dxfId="3616" priority="3785" operator="containsText" text="SI">
      <formula>NOT(ISERROR(SEARCH("SI",C681)))</formula>
    </cfRule>
    <cfRule type="containsText" dxfId="3615" priority="3786" operator="containsText" text="NO">
      <formula>NOT(ISERROR(SEARCH("NO",C681)))</formula>
    </cfRule>
  </conditionalFormatting>
  <conditionalFormatting sqref="C681:D681">
    <cfRule type="containsText" dxfId="3614" priority="3784" operator="containsText" text="NUEVO">
      <formula>NOT(ISERROR(SEARCH("NUEVO",C681)))</formula>
    </cfRule>
  </conditionalFormatting>
  <conditionalFormatting sqref="E681">
    <cfRule type="containsText" dxfId="3613" priority="3783" operator="containsText" text="NUEVO">
      <formula>NOT(ISERROR(SEARCH("NUEVO",E681)))</formula>
    </cfRule>
  </conditionalFormatting>
  <conditionalFormatting sqref="E681">
    <cfRule type="containsText" dxfId="3612" priority="3782" operator="containsText" text="Sin Información">
      <formula>NOT(ISERROR(SEARCH("Sin Información",E681)))</formula>
    </cfRule>
  </conditionalFormatting>
  <conditionalFormatting sqref="C682:D682">
    <cfRule type="containsText" dxfId="3611" priority="3781" operator="containsText" text="NO+$D$4:$D$10">
      <formula>NOT(ISERROR(SEARCH("NO+$D$4:$D$10",C682)))</formula>
    </cfRule>
  </conditionalFormatting>
  <conditionalFormatting sqref="C682:D682">
    <cfRule type="containsText" dxfId="3610" priority="3779" operator="containsText" text="SI">
      <formula>NOT(ISERROR(SEARCH("SI",C682)))</formula>
    </cfRule>
    <cfRule type="containsText" dxfId="3609" priority="3780" operator="containsText" text="NO">
      <formula>NOT(ISERROR(SEARCH("NO",C682)))</formula>
    </cfRule>
  </conditionalFormatting>
  <conditionalFormatting sqref="C682:E682">
    <cfRule type="containsText" dxfId="3608" priority="3778" operator="containsText" text="NUEVO">
      <formula>NOT(ISERROR(SEARCH("NUEVO",C682)))</formula>
    </cfRule>
  </conditionalFormatting>
  <conditionalFormatting sqref="E682">
    <cfRule type="containsText" dxfId="3607" priority="3777" operator="containsText" text="Sin Información">
      <formula>NOT(ISERROR(SEARCH("Sin Información",E682)))</formula>
    </cfRule>
  </conditionalFormatting>
  <conditionalFormatting sqref="C683:D683">
    <cfRule type="containsText" dxfId="3606" priority="3765" operator="containsText" text="NO+$D$4:$D$10">
      <formula>NOT(ISERROR(SEARCH("NO+$D$4:$D$10",C683)))</formula>
    </cfRule>
  </conditionalFormatting>
  <conditionalFormatting sqref="C683:D683">
    <cfRule type="containsText" dxfId="3605" priority="3763" operator="containsText" text="SI">
      <formula>NOT(ISERROR(SEARCH("SI",C683)))</formula>
    </cfRule>
    <cfRule type="containsText" dxfId="3604" priority="3764" operator="containsText" text="NO">
      <formula>NOT(ISERROR(SEARCH("NO",C683)))</formula>
    </cfRule>
  </conditionalFormatting>
  <conditionalFormatting sqref="C683:E683">
    <cfRule type="containsText" dxfId="3603" priority="3762" operator="containsText" text="NUEVO">
      <formula>NOT(ISERROR(SEARCH("NUEVO",C683)))</formula>
    </cfRule>
  </conditionalFormatting>
  <conditionalFormatting sqref="E683">
    <cfRule type="containsText" dxfId="3602" priority="3761" operator="containsText" text="Sin Información">
      <formula>NOT(ISERROR(SEARCH("Sin Información",E683)))</formula>
    </cfRule>
  </conditionalFormatting>
  <conditionalFormatting sqref="C684:D684">
    <cfRule type="containsText" dxfId="3601" priority="3760" operator="containsText" text="NO+$D$4:$D$10">
      <formula>NOT(ISERROR(SEARCH("NO+$D$4:$D$10",C684)))</formula>
    </cfRule>
  </conditionalFormatting>
  <conditionalFormatting sqref="C684:D684">
    <cfRule type="containsText" dxfId="3600" priority="3758" operator="containsText" text="SI">
      <formula>NOT(ISERROR(SEARCH("SI",C684)))</formula>
    </cfRule>
    <cfRule type="containsText" dxfId="3599" priority="3759" operator="containsText" text="NO">
      <formula>NOT(ISERROR(SEARCH("NO",C684)))</formula>
    </cfRule>
  </conditionalFormatting>
  <conditionalFormatting sqref="C684:E684">
    <cfRule type="containsText" dxfId="3598" priority="3757" operator="containsText" text="NUEVO">
      <formula>NOT(ISERROR(SEARCH("NUEVO",C684)))</formula>
    </cfRule>
  </conditionalFormatting>
  <conditionalFormatting sqref="E684">
    <cfRule type="containsText" dxfId="3597" priority="3756" operator="containsText" text="Sin Información">
      <formula>NOT(ISERROR(SEARCH("Sin Información",E684)))</formula>
    </cfRule>
  </conditionalFormatting>
  <conditionalFormatting sqref="C685:D685">
    <cfRule type="containsText" dxfId="3596" priority="3755" operator="containsText" text="NO+$D$4:$D$10">
      <formula>NOT(ISERROR(SEARCH("NO+$D$4:$D$10",C685)))</formula>
    </cfRule>
  </conditionalFormatting>
  <conditionalFormatting sqref="C685:D685">
    <cfRule type="containsText" dxfId="3595" priority="3753" operator="containsText" text="SI">
      <formula>NOT(ISERROR(SEARCH("SI",C685)))</formula>
    </cfRule>
    <cfRule type="containsText" dxfId="3594" priority="3754" operator="containsText" text="NO">
      <formula>NOT(ISERROR(SEARCH("NO",C685)))</formula>
    </cfRule>
  </conditionalFormatting>
  <conditionalFormatting sqref="C685:D685">
    <cfRule type="containsText" dxfId="3593" priority="3752" operator="containsText" text="NUEVO">
      <formula>NOT(ISERROR(SEARCH("NUEVO",C685)))</formula>
    </cfRule>
  </conditionalFormatting>
  <conditionalFormatting sqref="E685">
    <cfRule type="containsText" dxfId="3592" priority="3751" operator="containsText" text="NUEVO">
      <formula>NOT(ISERROR(SEARCH("NUEVO",E685)))</formula>
    </cfRule>
  </conditionalFormatting>
  <conditionalFormatting sqref="E685">
    <cfRule type="containsText" dxfId="3591" priority="3750" operator="containsText" text="Sin Información">
      <formula>NOT(ISERROR(SEARCH("Sin Información",E685)))</formula>
    </cfRule>
  </conditionalFormatting>
  <conditionalFormatting sqref="C686:D686">
    <cfRule type="containsText" dxfId="3590" priority="3749" operator="containsText" text="NO+$D$4:$D$10">
      <formula>NOT(ISERROR(SEARCH("NO+$D$4:$D$10",C686)))</formula>
    </cfRule>
  </conditionalFormatting>
  <conditionalFormatting sqref="C686:D686">
    <cfRule type="containsText" dxfId="3589" priority="3747" operator="containsText" text="SI">
      <formula>NOT(ISERROR(SEARCH("SI",C686)))</formula>
    </cfRule>
    <cfRule type="containsText" dxfId="3588" priority="3748" operator="containsText" text="NO">
      <formula>NOT(ISERROR(SEARCH("NO",C686)))</formula>
    </cfRule>
  </conditionalFormatting>
  <conditionalFormatting sqref="C686:D686">
    <cfRule type="containsText" dxfId="3587" priority="3746" operator="containsText" text="NUEVO">
      <formula>NOT(ISERROR(SEARCH("NUEVO",C686)))</formula>
    </cfRule>
  </conditionalFormatting>
  <conditionalFormatting sqref="E686">
    <cfRule type="containsText" dxfId="3586" priority="3744" operator="containsText" text="NUEVO">
      <formula>NOT(ISERROR(SEARCH("NUEVO",E686)))</formula>
    </cfRule>
  </conditionalFormatting>
  <conditionalFormatting sqref="E686">
    <cfRule type="containsText" dxfId="3585" priority="3743" operator="containsText" text="Sin Información">
      <formula>NOT(ISERROR(SEARCH("Sin Información",E686)))</formula>
    </cfRule>
  </conditionalFormatting>
  <conditionalFormatting sqref="C687:D687">
    <cfRule type="containsText" dxfId="3584" priority="3735" operator="containsText" text="NO+$D$4:$D$10">
      <formula>NOT(ISERROR(SEARCH("NO+$D$4:$D$10",C687)))</formula>
    </cfRule>
  </conditionalFormatting>
  <conditionalFormatting sqref="C687:D687">
    <cfRule type="containsText" dxfId="3583" priority="3733" operator="containsText" text="SI">
      <formula>NOT(ISERROR(SEARCH("SI",C687)))</formula>
    </cfRule>
    <cfRule type="containsText" dxfId="3582" priority="3734" operator="containsText" text="NO">
      <formula>NOT(ISERROR(SEARCH("NO",C687)))</formula>
    </cfRule>
  </conditionalFormatting>
  <conditionalFormatting sqref="C687:E687">
    <cfRule type="containsText" dxfId="3581" priority="3732" operator="containsText" text="NUEVO">
      <formula>NOT(ISERROR(SEARCH("NUEVO",C687)))</formula>
    </cfRule>
  </conditionalFormatting>
  <conditionalFormatting sqref="E687">
    <cfRule type="containsText" dxfId="3580" priority="3731" operator="containsText" text="Sin Información">
      <formula>NOT(ISERROR(SEARCH("Sin Información",E687)))</formula>
    </cfRule>
  </conditionalFormatting>
  <conditionalFormatting sqref="C688:D688">
    <cfRule type="containsText" dxfId="3579" priority="3730" operator="containsText" text="NO+$D$4:$D$10">
      <formula>NOT(ISERROR(SEARCH("NO+$D$4:$D$10",C688)))</formula>
    </cfRule>
  </conditionalFormatting>
  <conditionalFormatting sqref="C688:D688">
    <cfRule type="containsText" dxfId="3578" priority="3728" operator="containsText" text="SI">
      <formula>NOT(ISERROR(SEARCH("SI",C688)))</formula>
    </cfRule>
    <cfRule type="containsText" dxfId="3577" priority="3729" operator="containsText" text="NO">
      <formula>NOT(ISERROR(SEARCH("NO",C688)))</formula>
    </cfRule>
  </conditionalFormatting>
  <conditionalFormatting sqref="C688:D688">
    <cfRule type="containsText" dxfId="3576" priority="3727" operator="containsText" text="NUEVO">
      <formula>NOT(ISERROR(SEARCH("NUEVO",C688)))</formula>
    </cfRule>
  </conditionalFormatting>
  <conditionalFormatting sqref="E688">
    <cfRule type="containsText" dxfId="3575" priority="3726" operator="containsText" text="NUEVO">
      <formula>NOT(ISERROR(SEARCH("NUEVO",E688)))</formula>
    </cfRule>
  </conditionalFormatting>
  <conditionalFormatting sqref="E688">
    <cfRule type="containsText" dxfId="3574" priority="3725" operator="containsText" text="Sin Información">
      <formula>NOT(ISERROR(SEARCH("Sin Información",E688)))</formula>
    </cfRule>
  </conditionalFormatting>
  <conditionalFormatting sqref="C689:D689">
    <cfRule type="containsText" dxfId="3573" priority="3724" operator="containsText" text="NO+$D$4:$D$10">
      <formula>NOT(ISERROR(SEARCH("NO+$D$4:$D$10",C689)))</formula>
    </cfRule>
  </conditionalFormatting>
  <conditionalFormatting sqref="C689:D689">
    <cfRule type="containsText" dxfId="3572" priority="3722" operator="containsText" text="SI">
      <formula>NOT(ISERROR(SEARCH("SI",C689)))</formula>
    </cfRule>
    <cfRule type="containsText" dxfId="3571" priority="3723" operator="containsText" text="NO">
      <formula>NOT(ISERROR(SEARCH("NO",C689)))</formula>
    </cfRule>
  </conditionalFormatting>
  <conditionalFormatting sqref="C689:E689">
    <cfRule type="containsText" dxfId="3570" priority="3721" operator="containsText" text="NUEVO">
      <formula>NOT(ISERROR(SEARCH("NUEVO",C689)))</formula>
    </cfRule>
  </conditionalFormatting>
  <conditionalFormatting sqref="E689">
    <cfRule type="containsText" dxfId="3569" priority="3720" operator="containsText" text="Sin Información">
      <formula>NOT(ISERROR(SEARCH("Sin Información",E689)))</formula>
    </cfRule>
  </conditionalFormatting>
  <conditionalFormatting sqref="C690:D690">
    <cfRule type="containsText" dxfId="3568" priority="3713" operator="containsText" text="NO+$D$4:$D$10">
      <formula>NOT(ISERROR(SEARCH("NO+$D$4:$D$10",C690)))</formula>
    </cfRule>
  </conditionalFormatting>
  <conditionalFormatting sqref="C690:D690">
    <cfRule type="containsText" dxfId="3567" priority="3711" operator="containsText" text="SI">
      <formula>NOT(ISERROR(SEARCH("SI",C690)))</formula>
    </cfRule>
    <cfRule type="containsText" dxfId="3566" priority="3712" operator="containsText" text="NO">
      <formula>NOT(ISERROR(SEARCH("NO",C690)))</formula>
    </cfRule>
  </conditionalFormatting>
  <conditionalFormatting sqref="C690:D690">
    <cfRule type="containsText" dxfId="3565" priority="3710" operator="containsText" text="NUEVO">
      <formula>NOT(ISERROR(SEARCH("NUEVO",C690)))</formula>
    </cfRule>
  </conditionalFormatting>
  <conditionalFormatting sqref="E690">
    <cfRule type="containsText" dxfId="3564" priority="3709" operator="containsText" text="NUEVO">
      <formula>NOT(ISERROR(SEARCH("NUEVO",E690)))</formula>
    </cfRule>
  </conditionalFormatting>
  <conditionalFormatting sqref="E690">
    <cfRule type="containsText" dxfId="3563" priority="3708" operator="containsText" text="Sin Información">
      <formula>NOT(ISERROR(SEARCH("Sin Información",E690)))</formula>
    </cfRule>
  </conditionalFormatting>
  <conditionalFormatting sqref="C691:D692">
    <cfRule type="containsText" dxfId="3562" priority="3707" operator="containsText" text="NO+$D$4:$D$10">
      <formula>NOT(ISERROR(SEARCH("NO+$D$4:$D$10",C691)))</formula>
    </cfRule>
  </conditionalFormatting>
  <conditionalFormatting sqref="C691:D692">
    <cfRule type="containsText" dxfId="3561" priority="3705" operator="containsText" text="SI">
      <formula>NOT(ISERROR(SEARCH("SI",C691)))</formula>
    </cfRule>
    <cfRule type="containsText" dxfId="3560" priority="3706" operator="containsText" text="NO">
      <formula>NOT(ISERROR(SEARCH("NO",C691)))</formula>
    </cfRule>
  </conditionalFormatting>
  <conditionalFormatting sqref="C691:E692">
    <cfRule type="containsText" dxfId="3559" priority="3704" operator="containsText" text="NUEVO">
      <formula>NOT(ISERROR(SEARCH("NUEVO",C691)))</formula>
    </cfRule>
  </conditionalFormatting>
  <conditionalFormatting sqref="E691:E692">
    <cfRule type="containsText" dxfId="3558" priority="3703" operator="containsText" text="Sin Información">
      <formula>NOT(ISERROR(SEARCH("Sin Información",E691)))</formula>
    </cfRule>
  </conditionalFormatting>
  <conditionalFormatting sqref="C693:D693">
    <cfRule type="containsText" dxfId="3557" priority="3702" operator="containsText" text="NO+$D$4:$D$10">
      <formula>NOT(ISERROR(SEARCH("NO+$D$4:$D$10",C693)))</formula>
    </cfRule>
  </conditionalFormatting>
  <conditionalFormatting sqref="C693:D693">
    <cfRule type="containsText" dxfId="3556" priority="3700" operator="containsText" text="SI">
      <formula>NOT(ISERROR(SEARCH("SI",C693)))</formula>
    </cfRule>
    <cfRule type="containsText" dxfId="3555" priority="3701" operator="containsText" text="NO">
      <formula>NOT(ISERROR(SEARCH("NO",C693)))</formula>
    </cfRule>
  </conditionalFormatting>
  <conditionalFormatting sqref="C693:D693">
    <cfRule type="containsText" dxfId="3554" priority="3699" operator="containsText" text="NUEVO">
      <formula>NOT(ISERROR(SEARCH("NUEVO",C693)))</formula>
    </cfRule>
  </conditionalFormatting>
  <conditionalFormatting sqref="E693">
    <cfRule type="containsText" dxfId="3553" priority="3698" operator="containsText" text="NUEVO">
      <formula>NOT(ISERROR(SEARCH("NUEVO",E693)))</formula>
    </cfRule>
  </conditionalFormatting>
  <conditionalFormatting sqref="E693">
    <cfRule type="containsText" dxfId="3552" priority="3697" operator="containsText" text="Sin Información">
      <formula>NOT(ISERROR(SEARCH("Sin Información",E693)))</formula>
    </cfRule>
  </conditionalFormatting>
  <conditionalFormatting sqref="C694:D694">
    <cfRule type="containsText" dxfId="3551" priority="3696" operator="containsText" text="NO+$D$4:$D$10">
      <formula>NOT(ISERROR(SEARCH("NO+$D$4:$D$10",C694)))</formula>
    </cfRule>
  </conditionalFormatting>
  <conditionalFormatting sqref="C694:D694">
    <cfRule type="containsText" dxfId="3550" priority="3694" operator="containsText" text="SI">
      <formula>NOT(ISERROR(SEARCH("SI",C694)))</formula>
    </cfRule>
    <cfRule type="containsText" dxfId="3549" priority="3695" operator="containsText" text="NO">
      <formula>NOT(ISERROR(SEARCH("NO",C694)))</formula>
    </cfRule>
  </conditionalFormatting>
  <conditionalFormatting sqref="C694:D694">
    <cfRule type="containsText" dxfId="3548" priority="3693" operator="containsText" text="NUEVO">
      <formula>NOT(ISERROR(SEARCH("NUEVO",C694)))</formula>
    </cfRule>
  </conditionalFormatting>
  <conditionalFormatting sqref="E694">
    <cfRule type="containsText" dxfId="3547" priority="3692" operator="containsText" text="NUEVO">
      <formula>NOT(ISERROR(SEARCH("NUEVO",E694)))</formula>
    </cfRule>
  </conditionalFormatting>
  <conditionalFormatting sqref="E694">
    <cfRule type="containsText" dxfId="3546" priority="3691" operator="containsText" text="Sin Información">
      <formula>NOT(ISERROR(SEARCH("Sin Información",E694)))</formula>
    </cfRule>
  </conditionalFormatting>
  <conditionalFormatting sqref="C695:D695">
    <cfRule type="containsText" dxfId="3545" priority="3690" operator="containsText" text="NO+$D$4:$D$10">
      <formula>NOT(ISERROR(SEARCH("NO+$D$4:$D$10",C695)))</formula>
    </cfRule>
  </conditionalFormatting>
  <conditionalFormatting sqref="C695:D695">
    <cfRule type="containsText" dxfId="3544" priority="3688" operator="containsText" text="SI">
      <formula>NOT(ISERROR(SEARCH("SI",C695)))</formula>
    </cfRule>
    <cfRule type="containsText" dxfId="3543" priority="3689" operator="containsText" text="NO">
      <formula>NOT(ISERROR(SEARCH("NO",C695)))</formula>
    </cfRule>
  </conditionalFormatting>
  <conditionalFormatting sqref="C695:D695">
    <cfRule type="containsText" dxfId="3542" priority="3687" operator="containsText" text="NUEVO">
      <formula>NOT(ISERROR(SEARCH("NUEVO",C695)))</formula>
    </cfRule>
  </conditionalFormatting>
  <conditionalFormatting sqref="E695">
    <cfRule type="containsText" dxfId="3541" priority="3686" operator="containsText" text="NUEVO">
      <formula>NOT(ISERROR(SEARCH("NUEVO",E695)))</formula>
    </cfRule>
  </conditionalFormatting>
  <conditionalFormatting sqref="E695">
    <cfRule type="containsText" dxfId="3540" priority="3685" operator="containsText" text="Sin Información">
      <formula>NOT(ISERROR(SEARCH("Sin Información",E695)))</formula>
    </cfRule>
  </conditionalFormatting>
  <conditionalFormatting sqref="C696:D703">
    <cfRule type="containsText" dxfId="3539" priority="3684" operator="containsText" text="NO+$D$4:$D$10">
      <formula>NOT(ISERROR(SEARCH("NO+$D$4:$D$10",C696)))</formula>
    </cfRule>
  </conditionalFormatting>
  <conditionalFormatting sqref="C696:D703">
    <cfRule type="containsText" dxfId="3538" priority="3682" operator="containsText" text="SI">
      <formula>NOT(ISERROR(SEARCH("SI",C696)))</formula>
    </cfRule>
    <cfRule type="containsText" dxfId="3537" priority="3683" operator="containsText" text="NO">
      <formula>NOT(ISERROR(SEARCH("NO",C696)))</formula>
    </cfRule>
  </conditionalFormatting>
  <conditionalFormatting sqref="E703 C696:D703">
    <cfRule type="containsText" dxfId="3536" priority="3681" operator="containsText" text="NUEVO">
      <formula>NOT(ISERROR(SEARCH("NUEVO",C696)))</formula>
    </cfRule>
  </conditionalFormatting>
  <conditionalFormatting sqref="E703">
    <cfRule type="containsText" dxfId="3535" priority="3680" operator="containsText" text="Sin Información">
      <formula>NOT(ISERROR(SEARCH("Sin Información",E703)))</formula>
    </cfRule>
  </conditionalFormatting>
  <conditionalFormatting sqref="E696:E699">
    <cfRule type="containsText" dxfId="3534" priority="3679" operator="containsText" text="NUEVO">
      <formula>NOT(ISERROR(SEARCH("NUEVO",E696)))</formula>
    </cfRule>
  </conditionalFormatting>
  <conditionalFormatting sqref="E696:E699">
    <cfRule type="containsText" dxfId="3533" priority="3678" operator="containsText" text="Sin Información">
      <formula>NOT(ISERROR(SEARCH("Sin Información",E696)))</formula>
    </cfRule>
  </conditionalFormatting>
  <conditionalFormatting sqref="E700">
    <cfRule type="containsText" dxfId="3532" priority="3677" operator="containsText" text="NUEVO">
      <formula>NOT(ISERROR(SEARCH("NUEVO",E700)))</formula>
    </cfRule>
  </conditionalFormatting>
  <conditionalFormatting sqref="E700">
    <cfRule type="containsText" dxfId="3531" priority="3676" operator="containsText" text="Sin Información">
      <formula>NOT(ISERROR(SEARCH("Sin Información",E700)))</formula>
    </cfRule>
  </conditionalFormatting>
  <conditionalFormatting sqref="E701">
    <cfRule type="containsText" dxfId="3530" priority="3675" operator="containsText" text="NUEVO">
      <formula>NOT(ISERROR(SEARCH("NUEVO",E701)))</formula>
    </cfRule>
  </conditionalFormatting>
  <conditionalFormatting sqref="E701">
    <cfRule type="containsText" dxfId="3529" priority="3674" operator="containsText" text="Sin Información">
      <formula>NOT(ISERROR(SEARCH("Sin Información",E701)))</formula>
    </cfRule>
  </conditionalFormatting>
  <conditionalFormatting sqref="E702">
    <cfRule type="containsText" dxfId="3528" priority="3673" operator="containsText" text="NUEVO">
      <formula>NOT(ISERROR(SEARCH("NUEVO",E702)))</formula>
    </cfRule>
  </conditionalFormatting>
  <conditionalFormatting sqref="E702">
    <cfRule type="containsText" dxfId="3527" priority="3672" operator="containsText" text="Sin Información">
      <formula>NOT(ISERROR(SEARCH("Sin Información",E702)))</formula>
    </cfRule>
  </conditionalFormatting>
  <conditionalFormatting sqref="C704:D705">
    <cfRule type="containsText" dxfId="3526" priority="3671" operator="containsText" text="NO+$D$4:$D$10">
      <formula>NOT(ISERROR(SEARCH("NO+$D$4:$D$10",C704)))</formula>
    </cfRule>
  </conditionalFormatting>
  <conditionalFormatting sqref="C704:D705">
    <cfRule type="containsText" dxfId="3525" priority="3669" operator="containsText" text="SI">
      <formula>NOT(ISERROR(SEARCH("SI",C704)))</formula>
    </cfRule>
    <cfRule type="containsText" dxfId="3524" priority="3670" operator="containsText" text="NO">
      <formula>NOT(ISERROR(SEARCH("NO",C704)))</formula>
    </cfRule>
  </conditionalFormatting>
  <conditionalFormatting sqref="C704:E705">
    <cfRule type="containsText" dxfId="3523" priority="3668" operator="containsText" text="NUEVO">
      <formula>NOT(ISERROR(SEARCH("NUEVO",C704)))</formula>
    </cfRule>
  </conditionalFormatting>
  <conditionalFormatting sqref="E704:E705">
    <cfRule type="containsText" dxfId="3522" priority="3667" operator="containsText" text="Sin Información">
      <formula>NOT(ISERROR(SEARCH("Sin Información",E704)))</formula>
    </cfRule>
  </conditionalFormatting>
  <conditionalFormatting sqref="C706:D706">
    <cfRule type="containsText" dxfId="3521" priority="3666" operator="containsText" text="NO+$D$4:$D$10">
      <formula>NOT(ISERROR(SEARCH("NO+$D$4:$D$10",C706)))</formula>
    </cfRule>
  </conditionalFormatting>
  <conditionalFormatting sqref="C706:D706">
    <cfRule type="containsText" dxfId="3520" priority="3664" operator="containsText" text="SI">
      <formula>NOT(ISERROR(SEARCH("SI",C706)))</formula>
    </cfRule>
    <cfRule type="containsText" dxfId="3519" priority="3665" operator="containsText" text="NO">
      <formula>NOT(ISERROR(SEARCH("NO",C706)))</formula>
    </cfRule>
  </conditionalFormatting>
  <conditionalFormatting sqref="C706:D706">
    <cfRule type="containsText" dxfId="3518" priority="3663" operator="containsText" text="NUEVO">
      <formula>NOT(ISERROR(SEARCH("NUEVO",C706)))</formula>
    </cfRule>
  </conditionalFormatting>
  <conditionalFormatting sqref="E706">
    <cfRule type="containsText" dxfId="3517" priority="3662" operator="containsText" text="NUEVO">
      <formula>NOT(ISERROR(SEARCH("NUEVO",E706)))</formula>
    </cfRule>
  </conditionalFormatting>
  <conditionalFormatting sqref="E706">
    <cfRule type="containsText" dxfId="3516" priority="3661" operator="containsText" text="Sin Información">
      <formula>NOT(ISERROR(SEARCH("Sin Información",E706)))</formula>
    </cfRule>
  </conditionalFormatting>
  <conditionalFormatting sqref="C707:D707">
    <cfRule type="containsText" dxfId="3515" priority="3660" operator="containsText" text="NO+$D$4:$D$10">
      <formula>NOT(ISERROR(SEARCH("NO+$D$4:$D$10",C707)))</formula>
    </cfRule>
  </conditionalFormatting>
  <conditionalFormatting sqref="C707:D707">
    <cfRule type="containsText" dxfId="3514" priority="3658" operator="containsText" text="SI">
      <formula>NOT(ISERROR(SEARCH("SI",C707)))</formula>
    </cfRule>
    <cfRule type="containsText" dxfId="3513" priority="3659" operator="containsText" text="NO">
      <formula>NOT(ISERROR(SEARCH("NO",C707)))</formula>
    </cfRule>
  </conditionalFormatting>
  <conditionalFormatting sqref="C707:D707">
    <cfRule type="containsText" dxfId="3512" priority="3657" operator="containsText" text="NUEVO">
      <formula>NOT(ISERROR(SEARCH("NUEVO",C707)))</formula>
    </cfRule>
  </conditionalFormatting>
  <conditionalFormatting sqref="E707">
    <cfRule type="containsText" dxfId="3511" priority="3655" operator="containsText" text="Sin Información">
      <formula>NOT(ISERROR(SEARCH("Sin Información",E707)))</formula>
    </cfRule>
  </conditionalFormatting>
  <conditionalFormatting sqref="E707">
    <cfRule type="containsText" dxfId="3510" priority="3656" operator="containsText" text="NUEVO">
      <formula>NOT(ISERROR(SEARCH("NUEVO",E707)))</formula>
    </cfRule>
  </conditionalFormatting>
  <conditionalFormatting sqref="C708:D710">
    <cfRule type="containsText" dxfId="3509" priority="3654" operator="containsText" text="NO+$D$4:$D$10">
      <formula>NOT(ISERROR(SEARCH("NO+$D$4:$D$10",C708)))</formula>
    </cfRule>
  </conditionalFormatting>
  <conditionalFormatting sqref="C708:D710">
    <cfRule type="containsText" dxfId="3508" priority="3652" operator="containsText" text="SI">
      <formula>NOT(ISERROR(SEARCH("SI",C708)))</formula>
    </cfRule>
    <cfRule type="containsText" dxfId="3507" priority="3653" operator="containsText" text="NO">
      <formula>NOT(ISERROR(SEARCH("NO",C708)))</formula>
    </cfRule>
  </conditionalFormatting>
  <conditionalFormatting sqref="C708:D710">
    <cfRule type="containsText" dxfId="3506" priority="3651" operator="containsText" text="NUEVO">
      <formula>NOT(ISERROR(SEARCH("NUEVO",C708)))</formula>
    </cfRule>
  </conditionalFormatting>
  <conditionalFormatting sqref="E708:E710">
    <cfRule type="containsText" dxfId="3505" priority="3649" operator="containsText" text="Sin Información">
      <formula>NOT(ISERROR(SEARCH("Sin Información",E708)))</formula>
    </cfRule>
  </conditionalFormatting>
  <conditionalFormatting sqref="E708:E710">
    <cfRule type="containsText" dxfId="3504" priority="3650" operator="containsText" text="NUEVO">
      <formula>NOT(ISERROR(SEARCH("NUEVO",E708)))</formula>
    </cfRule>
  </conditionalFormatting>
  <conditionalFormatting sqref="C262:D262">
    <cfRule type="containsText" dxfId="3503" priority="3648" operator="containsText" text="NO+$D$4:$D$10">
      <formula>NOT(ISERROR(SEARCH("NO+$D$4:$D$10",C262)))</formula>
    </cfRule>
  </conditionalFormatting>
  <conditionalFormatting sqref="C262:D262">
    <cfRule type="containsText" dxfId="3502" priority="3646" operator="containsText" text="SI">
      <formula>NOT(ISERROR(SEARCH("SI",C262)))</formula>
    </cfRule>
    <cfRule type="containsText" dxfId="3501" priority="3647" operator="containsText" text="NO">
      <formula>NOT(ISERROR(SEARCH("NO",C262)))</formula>
    </cfRule>
  </conditionalFormatting>
  <conditionalFormatting sqref="C262:D262">
    <cfRule type="containsText" dxfId="3500" priority="3645" operator="containsText" text="NUEVO">
      <formula>NOT(ISERROR(SEARCH("NUEVO",C262)))</formula>
    </cfRule>
  </conditionalFormatting>
  <conditionalFormatting sqref="E262">
    <cfRule type="containsText" dxfId="3499" priority="3643" operator="containsText" text="NUEVO">
      <formula>NOT(ISERROR(SEARCH("NUEVO",E262)))</formula>
    </cfRule>
  </conditionalFormatting>
  <conditionalFormatting sqref="E262">
    <cfRule type="containsText" dxfId="3498" priority="3644" operator="containsText" text="Sin información">
      <formula>NOT(ISERROR(SEARCH("Sin información",E262)))</formula>
    </cfRule>
  </conditionalFormatting>
  <conditionalFormatting sqref="C276:D276">
    <cfRule type="containsText" dxfId="3497" priority="3642" operator="containsText" text="NO+$D$4:$D$10">
      <formula>NOT(ISERROR(SEARCH("NO+$D$4:$D$10",C276)))</formula>
    </cfRule>
  </conditionalFormatting>
  <conditionalFormatting sqref="C276:D276">
    <cfRule type="containsText" dxfId="3496" priority="3640" operator="containsText" text="SI">
      <formula>NOT(ISERROR(SEARCH("SI",C276)))</formula>
    </cfRule>
    <cfRule type="containsText" dxfId="3495" priority="3641" operator="containsText" text="NO">
      <formula>NOT(ISERROR(SEARCH("NO",C276)))</formula>
    </cfRule>
  </conditionalFormatting>
  <conditionalFormatting sqref="C276:D276">
    <cfRule type="containsText" dxfId="3494" priority="3639" operator="containsText" text="NUEVO">
      <formula>NOT(ISERROR(SEARCH("NUEVO",C276)))</formula>
    </cfRule>
  </conditionalFormatting>
  <conditionalFormatting sqref="E276">
    <cfRule type="containsText" dxfId="3493" priority="3637" operator="containsText" text="NUEVO">
      <formula>NOT(ISERROR(SEARCH("NUEVO",E276)))</formula>
    </cfRule>
  </conditionalFormatting>
  <conditionalFormatting sqref="E276">
    <cfRule type="containsText" dxfId="3492" priority="3638" operator="containsText" text="Sin información">
      <formula>NOT(ISERROR(SEARCH("Sin información",E276)))</formula>
    </cfRule>
  </conditionalFormatting>
  <conditionalFormatting sqref="C284:D284">
    <cfRule type="containsText" dxfId="3491" priority="3636" operator="containsText" text="NO+$D$4:$D$10">
      <formula>NOT(ISERROR(SEARCH("NO+$D$4:$D$10",C284)))</formula>
    </cfRule>
  </conditionalFormatting>
  <conditionalFormatting sqref="C284:D284">
    <cfRule type="containsText" dxfId="3490" priority="3634" operator="containsText" text="SI">
      <formula>NOT(ISERROR(SEARCH("SI",C284)))</formula>
    </cfRule>
    <cfRule type="containsText" dxfId="3489" priority="3635" operator="containsText" text="NO">
      <formula>NOT(ISERROR(SEARCH("NO",C284)))</formula>
    </cfRule>
  </conditionalFormatting>
  <conditionalFormatting sqref="C284:D284">
    <cfRule type="containsText" dxfId="3488" priority="3633" operator="containsText" text="NUEVO">
      <formula>NOT(ISERROR(SEARCH("NUEVO",C284)))</formula>
    </cfRule>
  </conditionalFormatting>
  <conditionalFormatting sqref="E284">
    <cfRule type="containsText" dxfId="3487" priority="3632" operator="containsText" text="NUEVO">
      <formula>NOT(ISERROR(SEARCH("NUEVO",E284)))</formula>
    </cfRule>
  </conditionalFormatting>
  <conditionalFormatting sqref="E284">
    <cfRule type="containsText" dxfId="3486" priority="3631" operator="containsText" text="Sin Información">
      <formula>NOT(ISERROR(SEARCH("Sin Información",E284)))</formula>
    </cfRule>
  </conditionalFormatting>
  <conditionalFormatting sqref="C713:D713">
    <cfRule type="containsText" dxfId="3485" priority="3618" operator="containsText" text="NO+$D$4:$D$10">
      <formula>NOT(ISERROR(SEARCH("NO+$D$4:$D$10",C713)))</formula>
    </cfRule>
  </conditionalFormatting>
  <conditionalFormatting sqref="C713:D713">
    <cfRule type="containsText" dxfId="3484" priority="3616" operator="containsText" text="SI">
      <formula>NOT(ISERROR(SEARCH("SI",C713)))</formula>
    </cfRule>
    <cfRule type="containsText" dxfId="3483" priority="3617" operator="containsText" text="NO">
      <formula>NOT(ISERROR(SEARCH("NO",C713)))</formula>
    </cfRule>
  </conditionalFormatting>
  <conditionalFormatting sqref="C713:D713">
    <cfRule type="containsText" dxfId="3482" priority="3615" operator="containsText" text="NUEVO">
      <formula>NOT(ISERROR(SEARCH("NUEVO",C713)))</formula>
    </cfRule>
  </conditionalFormatting>
  <conditionalFormatting sqref="E713">
    <cfRule type="containsText" dxfId="3481" priority="3614" operator="containsText" text="NUEVO">
      <formula>NOT(ISERROR(SEARCH("NUEVO",E713)))</formula>
    </cfRule>
  </conditionalFormatting>
  <conditionalFormatting sqref="E713">
    <cfRule type="containsText" dxfId="3480" priority="3613" operator="containsText" text="Sin Información">
      <formula>NOT(ISERROR(SEARCH("Sin Información",E713)))</formula>
    </cfRule>
  </conditionalFormatting>
  <conditionalFormatting sqref="C714:D714">
    <cfRule type="containsText" dxfId="3479" priority="3610" operator="containsText" text="NO+$D$4:$D$10">
      <formula>NOT(ISERROR(SEARCH("NO+$D$4:$D$10",C714)))</formula>
    </cfRule>
  </conditionalFormatting>
  <conditionalFormatting sqref="C714:D714">
    <cfRule type="containsText" dxfId="3478" priority="3608" operator="containsText" text="SI">
      <formula>NOT(ISERROR(SEARCH("SI",C714)))</formula>
    </cfRule>
    <cfRule type="containsText" dxfId="3477" priority="3609" operator="containsText" text="NO">
      <formula>NOT(ISERROR(SEARCH("NO",C714)))</formula>
    </cfRule>
  </conditionalFormatting>
  <conditionalFormatting sqref="C714:D714">
    <cfRule type="containsText" dxfId="3476" priority="3607" operator="containsText" text="NUEVO">
      <formula>NOT(ISERROR(SEARCH("NUEVO",C714)))</formula>
    </cfRule>
  </conditionalFormatting>
  <conditionalFormatting sqref="F714">
    <cfRule type="containsText" dxfId="3475" priority="3606" operator="containsText" text="NO+$D$4:$D$10">
      <formula>NOT(ISERROR(SEARCH("NO+$D$4:$D$10",F714)))</formula>
    </cfRule>
  </conditionalFormatting>
  <conditionalFormatting sqref="F714">
    <cfRule type="containsText" dxfId="3474" priority="3604" operator="containsText" text="SI">
      <formula>NOT(ISERROR(SEARCH("SI",F714)))</formula>
    </cfRule>
    <cfRule type="containsText" dxfId="3473" priority="3605" operator="containsText" text="NO">
      <formula>NOT(ISERROR(SEARCH("NO",F714)))</formula>
    </cfRule>
  </conditionalFormatting>
  <conditionalFormatting sqref="F714">
    <cfRule type="containsText" dxfId="3472" priority="3603" operator="containsText" text="NUEVO">
      <formula>NOT(ISERROR(SEARCH("NUEVO",F714)))</formula>
    </cfRule>
  </conditionalFormatting>
  <conditionalFormatting sqref="C715:D715">
    <cfRule type="containsText" dxfId="3471" priority="3602" operator="containsText" text="NO+$D$4:$D$10">
      <formula>NOT(ISERROR(SEARCH("NO+$D$4:$D$10",C715)))</formula>
    </cfRule>
  </conditionalFormatting>
  <conditionalFormatting sqref="C715:D715">
    <cfRule type="containsText" dxfId="3470" priority="3600" operator="containsText" text="SI">
      <formula>NOT(ISERROR(SEARCH("SI",C715)))</formula>
    </cfRule>
    <cfRule type="containsText" dxfId="3469" priority="3601" operator="containsText" text="NO">
      <formula>NOT(ISERROR(SEARCH("NO",C715)))</formula>
    </cfRule>
  </conditionalFormatting>
  <conditionalFormatting sqref="C715:D715">
    <cfRule type="containsText" dxfId="3468" priority="3599" operator="containsText" text="NUEVO">
      <formula>NOT(ISERROR(SEARCH("NUEVO",C715)))</formula>
    </cfRule>
  </conditionalFormatting>
  <conditionalFormatting sqref="E715">
    <cfRule type="containsText" dxfId="3467" priority="3598" operator="containsText" text="NUEVO">
      <formula>NOT(ISERROR(SEARCH("NUEVO",E715)))</formula>
    </cfRule>
  </conditionalFormatting>
  <conditionalFormatting sqref="E715">
    <cfRule type="containsText" dxfId="3466" priority="3597" operator="containsText" text="Sin información">
      <formula>NOT(ISERROR(SEARCH("Sin información",E715)))</formula>
    </cfRule>
  </conditionalFormatting>
  <conditionalFormatting sqref="F715">
    <cfRule type="containsText" dxfId="3465" priority="3596" operator="containsText" text="NO+$D$4:$D$10">
      <formula>NOT(ISERROR(SEARCH("NO+$D$4:$D$10",F715)))</formula>
    </cfRule>
  </conditionalFormatting>
  <conditionalFormatting sqref="F715">
    <cfRule type="containsText" dxfId="3464" priority="3594" operator="containsText" text="SI">
      <formula>NOT(ISERROR(SEARCH("SI",F715)))</formula>
    </cfRule>
    <cfRule type="containsText" dxfId="3463" priority="3595" operator="containsText" text="NO">
      <formula>NOT(ISERROR(SEARCH("NO",F715)))</formula>
    </cfRule>
  </conditionalFormatting>
  <conditionalFormatting sqref="F715">
    <cfRule type="containsText" dxfId="3462" priority="3593" operator="containsText" text="NUEVO">
      <formula>NOT(ISERROR(SEARCH("NUEVO",F715)))</formula>
    </cfRule>
  </conditionalFormatting>
  <conditionalFormatting sqref="C722:D722">
    <cfRule type="containsText" dxfId="3461" priority="3582" operator="containsText" text="NO+$D$4:$D$10">
      <formula>NOT(ISERROR(SEARCH("NO+$D$4:$D$10",C722)))</formula>
    </cfRule>
  </conditionalFormatting>
  <conditionalFormatting sqref="C722:D722">
    <cfRule type="containsText" dxfId="3460" priority="3580" operator="containsText" text="SI">
      <formula>NOT(ISERROR(SEARCH("SI",C722)))</formula>
    </cfRule>
    <cfRule type="containsText" dxfId="3459" priority="3581" operator="containsText" text="NO">
      <formula>NOT(ISERROR(SEARCH("NO",C722)))</formula>
    </cfRule>
  </conditionalFormatting>
  <conditionalFormatting sqref="C722:D722">
    <cfRule type="containsText" dxfId="3458" priority="3579" operator="containsText" text="NUEVO">
      <formula>NOT(ISERROR(SEARCH("NUEVO",C722)))</formula>
    </cfRule>
  </conditionalFormatting>
  <conditionalFormatting sqref="E722">
    <cfRule type="containsText" dxfId="3457" priority="3578" operator="containsText" text="Sin información">
      <formula>NOT(ISERROR(SEARCH("Sin información",E722)))</formula>
    </cfRule>
  </conditionalFormatting>
  <conditionalFormatting sqref="E722">
    <cfRule type="containsText" dxfId="3456" priority="3577" operator="containsText" text="NUEVO">
      <formula>NOT(ISERROR(SEARCH("NUEVO",E722)))</formula>
    </cfRule>
  </conditionalFormatting>
  <conditionalFormatting sqref="F722">
    <cfRule type="containsText" dxfId="3455" priority="3576" operator="containsText" text="NO+$D$4:$D$10">
      <formula>NOT(ISERROR(SEARCH("NO+$D$4:$D$10",F722)))</formula>
    </cfRule>
  </conditionalFormatting>
  <conditionalFormatting sqref="F722">
    <cfRule type="containsText" dxfId="3454" priority="3574" operator="containsText" text="SI">
      <formula>NOT(ISERROR(SEARCH("SI",F722)))</formula>
    </cfRule>
    <cfRule type="containsText" dxfId="3453" priority="3575" operator="containsText" text="NO">
      <formula>NOT(ISERROR(SEARCH("NO",F722)))</formula>
    </cfRule>
  </conditionalFormatting>
  <conditionalFormatting sqref="F722">
    <cfRule type="containsText" dxfId="3452" priority="3573" operator="containsText" text="NUEVO">
      <formula>NOT(ISERROR(SEARCH("NUEVO",F722)))</formula>
    </cfRule>
  </conditionalFormatting>
  <conditionalFormatting sqref="C723:D723">
    <cfRule type="containsText" dxfId="3451" priority="3562" operator="containsText" text="NO+$D$4:$D$10">
      <formula>NOT(ISERROR(SEARCH("NO+$D$4:$D$10",C723)))</formula>
    </cfRule>
  </conditionalFormatting>
  <conditionalFormatting sqref="C723:D723">
    <cfRule type="containsText" dxfId="3450" priority="3560" operator="containsText" text="SI">
      <formula>NOT(ISERROR(SEARCH("SI",C723)))</formula>
    </cfRule>
    <cfRule type="containsText" dxfId="3449" priority="3561" operator="containsText" text="NO">
      <formula>NOT(ISERROR(SEARCH("NO",C723)))</formula>
    </cfRule>
  </conditionalFormatting>
  <conditionalFormatting sqref="C723:D723">
    <cfRule type="containsText" dxfId="3448" priority="3559" operator="containsText" text="NUEVO">
      <formula>NOT(ISERROR(SEARCH("NUEVO",C723)))</formula>
    </cfRule>
  </conditionalFormatting>
  <conditionalFormatting sqref="E723">
    <cfRule type="containsText" dxfId="3447" priority="3558" operator="containsText" text="Sin información">
      <formula>NOT(ISERROR(SEARCH("Sin información",E723)))</formula>
    </cfRule>
  </conditionalFormatting>
  <conditionalFormatting sqref="E723">
    <cfRule type="containsText" dxfId="3446" priority="3557" operator="containsText" text="NUEVO">
      <formula>NOT(ISERROR(SEARCH("NUEVO",E723)))</formula>
    </cfRule>
  </conditionalFormatting>
  <conditionalFormatting sqref="C724:D724">
    <cfRule type="containsText" dxfId="3445" priority="3556" operator="containsText" text="NO+$D$4:$D$10">
      <formula>NOT(ISERROR(SEARCH("NO+$D$4:$D$10",C724)))</formula>
    </cfRule>
  </conditionalFormatting>
  <conditionalFormatting sqref="C724:D724">
    <cfRule type="containsText" dxfId="3444" priority="3554" operator="containsText" text="SI">
      <formula>NOT(ISERROR(SEARCH("SI",C724)))</formula>
    </cfRule>
    <cfRule type="containsText" dxfId="3443" priority="3555" operator="containsText" text="NO">
      <formula>NOT(ISERROR(SEARCH("NO",C724)))</formula>
    </cfRule>
  </conditionalFormatting>
  <conditionalFormatting sqref="C724:D724">
    <cfRule type="containsText" dxfId="3442" priority="3553" operator="containsText" text="NUEVO">
      <formula>NOT(ISERROR(SEARCH("NUEVO",C724)))</formula>
    </cfRule>
  </conditionalFormatting>
  <conditionalFormatting sqref="E724">
    <cfRule type="containsText" dxfId="3441" priority="3551" operator="containsText" text="Sin Información">
      <formula>NOT(ISERROR(SEARCH("Sin Información",E724)))</formula>
    </cfRule>
  </conditionalFormatting>
  <conditionalFormatting sqref="E724">
    <cfRule type="containsText" dxfId="3440" priority="3552" operator="containsText" text="NUEVO">
      <formula>NOT(ISERROR(SEARCH("NUEVO",E724)))</formula>
    </cfRule>
  </conditionalFormatting>
  <conditionalFormatting sqref="C725:D725">
    <cfRule type="containsText" dxfId="3439" priority="3544" operator="containsText" text="NO+$D$4:$D$10">
      <formula>NOT(ISERROR(SEARCH("NO+$D$4:$D$10",C725)))</formula>
    </cfRule>
  </conditionalFormatting>
  <conditionalFormatting sqref="C725:D725">
    <cfRule type="containsText" dxfId="3438" priority="3542" operator="containsText" text="SI">
      <formula>NOT(ISERROR(SEARCH("SI",C725)))</formula>
    </cfRule>
    <cfRule type="containsText" dxfId="3437" priority="3543" operator="containsText" text="NO">
      <formula>NOT(ISERROR(SEARCH("NO",C725)))</formula>
    </cfRule>
  </conditionalFormatting>
  <conditionalFormatting sqref="C725:D725">
    <cfRule type="containsText" dxfId="3436" priority="3541" operator="containsText" text="NUEVO">
      <formula>NOT(ISERROR(SEARCH("NUEVO",C725)))</formula>
    </cfRule>
  </conditionalFormatting>
  <conditionalFormatting sqref="E725">
    <cfRule type="containsText" dxfId="3435" priority="3540" operator="containsText" text="NUEVO">
      <formula>NOT(ISERROR(SEARCH("NUEVO",E725)))</formula>
    </cfRule>
  </conditionalFormatting>
  <conditionalFormatting sqref="E725">
    <cfRule type="containsText" dxfId="3434" priority="3539" operator="containsText" text="Sin Información">
      <formula>NOT(ISERROR(SEARCH("Sin Información",E725)))</formula>
    </cfRule>
  </conditionalFormatting>
  <conditionalFormatting sqref="C726:D726">
    <cfRule type="containsText" dxfId="3433" priority="3538" operator="containsText" text="NO+$D$4:$D$10">
      <formula>NOT(ISERROR(SEARCH("NO+$D$4:$D$10",C726)))</formula>
    </cfRule>
  </conditionalFormatting>
  <conditionalFormatting sqref="C726:D726">
    <cfRule type="containsText" dxfId="3432" priority="3536" operator="containsText" text="SI">
      <formula>NOT(ISERROR(SEARCH("SI",C726)))</formula>
    </cfRule>
    <cfRule type="containsText" dxfId="3431" priority="3537" operator="containsText" text="NO">
      <formula>NOT(ISERROR(SEARCH("NO",C726)))</formula>
    </cfRule>
  </conditionalFormatting>
  <conditionalFormatting sqref="C726:D726">
    <cfRule type="containsText" dxfId="3430" priority="3535" operator="containsText" text="NUEVO">
      <formula>NOT(ISERROR(SEARCH("NUEVO",C726)))</formula>
    </cfRule>
  </conditionalFormatting>
  <conditionalFormatting sqref="E726">
    <cfRule type="containsText" dxfId="3429" priority="3534" operator="containsText" text="NUEVO">
      <formula>NOT(ISERROR(SEARCH("NUEVO",E726)))</formula>
    </cfRule>
  </conditionalFormatting>
  <conditionalFormatting sqref="E726">
    <cfRule type="containsText" dxfId="3428" priority="3533" operator="containsText" text="Sin Información">
      <formula>NOT(ISERROR(SEARCH("Sin Información",E726)))</formula>
    </cfRule>
  </conditionalFormatting>
  <conditionalFormatting sqref="C727:D727">
    <cfRule type="containsText" dxfId="3427" priority="3532" operator="containsText" text="NO+$D$4:$D$10">
      <formula>NOT(ISERROR(SEARCH("NO+$D$4:$D$10",C727)))</formula>
    </cfRule>
  </conditionalFormatting>
  <conditionalFormatting sqref="C727:D727">
    <cfRule type="containsText" dxfId="3426" priority="3530" operator="containsText" text="SI">
      <formula>NOT(ISERROR(SEARCH("SI",C727)))</formula>
    </cfRule>
    <cfRule type="containsText" dxfId="3425" priority="3531" operator="containsText" text="NO">
      <formula>NOT(ISERROR(SEARCH("NO",C727)))</formula>
    </cfRule>
  </conditionalFormatting>
  <conditionalFormatting sqref="C727:D727">
    <cfRule type="containsText" dxfId="3424" priority="3529" operator="containsText" text="NUEVO">
      <formula>NOT(ISERROR(SEARCH("NUEVO",C727)))</formula>
    </cfRule>
  </conditionalFormatting>
  <conditionalFormatting sqref="E727">
    <cfRule type="containsText" dxfId="3423" priority="3528" operator="containsText" text="NUEVO">
      <formula>NOT(ISERROR(SEARCH("NUEVO",E727)))</formula>
    </cfRule>
  </conditionalFormatting>
  <conditionalFormatting sqref="E727">
    <cfRule type="containsText" dxfId="3422" priority="3527" operator="containsText" text="Sin Información">
      <formula>NOT(ISERROR(SEARCH("Sin Información",E727)))</formula>
    </cfRule>
  </conditionalFormatting>
  <conditionalFormatting sqref="C728:D728">
    <cfRule type="containsText" dxfId="3421" priority="3526" operator="containsText" text="NO+$D$4:$D$10">
      <formula>NOT(ISERROR(SEARCH("NO+$D$4:$D$10",C728)))</formula>
    </cfRule>
  </conditionalFormatting>
  <conditionalFormatting sqref="C728:D728">
    <cfRule type="containsText" dxfId="3420" priority="3524" operator="containsText" text="SI">
      <formula>NOT(ISERROR(SEARCH("SI",C728)))</formula>
    </cfRule>
    <cfRule type="containsText" dxfId="3419" priority="3525" operator="containsText" text="NO">
      <formula>NOT(ISERROR(SEARCH("NO",C728)))</formula>
    </cfRule>
  </conditionalFormatting>
  <conditionalFormatting sqref="C728:D728">
    <cfRule type="containsText" dxfId="3418" priority="3523" operator="containsText" text="NUEVO">
      <formula>NOT(ISERROR(SEARCH("NUEVO",C728)))</formula>
    </cfRule>
  </conditionalFormatting>
  <conditionalFormatting sqref="E728">
    <cfRule type="containsText" dxfId="3417" priority="3522" operator="containsText" text="NUEVO">
      <formula>NOT(ISERROR(SEARCH("NUEVO",E728)))</formula>
    </cfRule>
  </conditionalFormatting>
  <conditionalFormatting sqref="E728">
    <cfRule type="containsText" dxfId="3416" priority="3521" operator="containsText" text="Sin Información">
      <formula>NOT(ISERROR(SEARCH("Sin Información",E728)))</formula>
    </cfRule>
  </conditionalFormatting>
  <conditionalFormatting sqref="C729:D729">
    <cfRule type="containsText" dxfId="3415" priority="3520" operator="containsText" text="NO+$D$4:$D$10">
      <formula>NOT(ISERROR(SEARCH("NO+$D$4:$D$10",C729)))</formula>
    </cfRule>
  </conditionalFormatting>
  <conditionalFormatting sqref="C729:D729">
    <cfRule type="containsText" dxfId="3414" priority="3518" operator="containsText" text="SI">
      <formula>NOT(ISERROR(SEARCH("SI",C729)))</formula>
    </cfRule>
    <cfRule type="containsText" dxfId="3413" priority="3519" operator="containsText" text="NO">
      <formula>NOT(ISERROR(SEARCH("NO",C729)))</formula>
    </cfRule>
  </conditionalFormatting>
  <conditionalFormatting sqref="C729:D729">
    <cfRule type="containsText" dxfId="3412" priority="3517" operator="containsText" text="NUEVO">
      <formula>NOT(ISERROR(SEARCH("NUEVO",C729)))</formula>
    </cfRule>
  </conditionalFormatting>
  <conditionalFormatting sqref="E729">
    <cfRule type="containsText" dxfId="3411" priority="3515" operator="containsText" text="NUEVO">
      <formula>NOT(ISERROR(SEARCH("NUEVO",E729)))</formula>
    </cfRule>
  </conditionalFormatting>
  <conditionalFormatting sqref="E729">
    <cfRule type="containsText" dxfId="3410" priority="3516" operator="containsText" text="Sin información">
      <formula>NOT(ISERROR(SEARCH("Sin información",E729)))</formula>
    </cfRule>
  </conditionalFormatting>
  <conditionalFormatting sqref="F729">
    <cfRule type="containsText" dxfId="3409" priority="3514" operator="containsText" text="NO+$D$4:$D$10">
      <formula>NOT(ISERROR(SEARCH("NO+$D$4:$D$10",F729)))</formula>
    </cfRule>
  </conditionalFormatting>
  <conditionalFormatting sqref="F729">
    <cfRule type="containsText" dxfId="3408" priority="3512" operator="containsText" text="SI">
      <formula>NOT(ISERROR(SEARCH("SI",F729)))</formula>
    </cfRule>
    <cfRule type="containsText" dxfId="3407" priority="3513" operator="containsText" text="NO">
      <formula>NOT(ISERROR(SEARCH("NO",F729)))</formula>
    </cfRule>
  </conditionalFormatting>
  <conditionalFormatting sqref="F729">
    <cfRule type="containsText" dxfId="3406" priority="3511" operator="containsText" text="NUEVO">
      <formula>NOT(ISERROR(SEARCH("NUEVO",F729)))</formula>
    </cfRule>
  </conditionalFormatting>
  <conditionalFormatting sqref="C730:D730">
    <cfRule type="containsText" dxfId="3405" priority="3510" operator="containsText" text="NO+$D$4:$D$10">
      <formula>NOT(ISERROR(SEARCH("NO+$D$4:$D$10",C730)))</formula>
    </cfRule>
  </conditionalFormatting>
  <conditionalFormatting sqref="C730:D730">
    <cfRule type="containsText" dxfId="3404" priority="3508" operator="containsText" text="SI">
      <formula>NOT(ISERROR(SEARCH("SI",C730)))</formula>
    </cfRule>
    <cfRule type="containsText" dxfId="3403" priority="3509" operator="containsText" text="NO">
      <formula>NOT(ISERROR(SEARCH("NO",C730)))</formula>
    </cfRule>
  </conditionalFormatting>
  <conditionalFormatting sqref="C730:D730">
    <cfRule type="containsText" dxfId="3402" priority="3507" operator="containsText" text="NUEVO">
      <formula>NOT(ISERROR(SEARCH("NUEVO",C730)))</formula>
    </cfRule>
  </conditionalFormatting>
  <conditionalFormatting sqref="E730">
    <cfRule type="containsText" dxfId="3401" priority="3506" operator="containsText" text="Sin información">
      <formula>NOT(ISERROR(SEARCH("Sin información",E730)))</formula>
    </cfRule>
  </conditionalFormatting>
  <conditionalFormatting sqref="E730">
    <cfRule type="containsText" dxfId="3400" priority="3505" operator="containsText" text="NUEVO">
      <formula>NOT(ISERROR(SEARCH("NUEVO",E730)))</formula>
    </cfRule>
  </conditionalFormatting>
  <conditionalFormatting sqref="C781:D781 C825:D827 C773:D777 C808:D810 C920:D925 C977:D979 C871:D878 C783:D797">
    <cfRule type="containsText" dxfId="3399" priority="3504" operator="containsText" text="NO+$D$4:$D$10">
      <formula>NOT(ISERROR(SEARCH("NO+$D$4:$D$10",C773)))</formula>
    </cfRule>
  </conditionalFormatting>
  <conditionalFormatting sqref="C781:D781 C825:D827 C773:D777 C808:D810 C920:D925 C977:D979 C871:D878 C783:D797">
    <cfRule type="containsText" dxfId="3398" priority="3502" operator="containsText" text="SI">
      <formula>NOT(ISERROR(SEARCH("SI",C773)))</formula>
    </cfRule>
    <cfRule type="containsText" dxfId="3397" priority="3503" operator="containsText" text="NO">
      <formula>NOT(ISERROR(SEARCH("NO",C773)))</formula>
    </cfRule>
  </conditionalFormatting>
  <conditionalFormatting sqref="C781:E781 C777:E777 C825:E826 C827:D827 C773:D776 E774 C924:E925 E808:E809 C808:D810 E922 C920:D923 C977:E979 C871:E878 C783:E796">
    <cfRule type="containsText" dxfId="3396" priority="3501" operator="containsText" text="NUEVO">
      <formula>NOT(ISERROR(SEARCH("NUEVO",C773)))</formula>
    </cfRule>
  </conditionalFormatting>
  <conditionalFormatting sqref="E781 E777 E825:E826 E774 E924:E925 E808:E809 E922 E977:E979 E871:E878 E783:E796">
    <cfRule type="containsText" dxfId="3395" priority="3500" operator="containsText" text="Sin información">
      <formula>NOT(ISERROR(SEARCH("Sin información",E774)))</formula>
    </cfRule>
  </conditionalFormatting>
  <conditionalFormatting sqref="C731:D733">
    <cfRule type="containsText" dxfId="3394" priority="3499" operator="containsText" text="NO+$D$4:$D$10">
      <formula>NOT(ISERROR(SEARCH("NO+$D$4:$D$10",C731)))</formula>
    </cfRule>
  </conditionalFormatting>
  <conditionalFormatting sqref="C731:D733">
    <cfRule type="containsText" dxfId="3393" priority="3497" operator="containsText" text="SI">
      <formula>NOT(ISERROR(SEARCH("SI",C731)))</formula>
    </cfRule>
    <cfRule type="containsText" dxfId="3392" priority="3498" operator="containsText" text="NO">
      <formula>NOT(ISERROR(SEARCH("NO",C731)))</formula>
    </cfRule>
  </conditionalFormatting>
  <conditionalFormatting sqref="E731:E733">
    <cfRule type="containsText" dxfId="3391" priority="3496" operator="containsText" text="Sin información">
      <formula>NOT(ISERROR(SEARCH("Sin información",E731)))</formula>
    </cfRule>
  </conditionalFormatting>
  <conditionalFormatting sqref="C731:E733">
    <cfRule type="containsText" dxfId="3390" priority="3495" operator="containsText" text="NUEVO">
      <formula>NOT(ISERROR(SEARCH("NUEVO",C731)))</formula>
    </cfRule>
  </conditionalFormatting>
  <conditionalFormatting sqref="C734:D734">
    <cfRule type="containsText" dxfId="3389" priority="3494" operator="containsText" text="NO+$D$4:$D$10">
      <formula>NOT(ISERROR(SEARCH("NO+$D$4:$D$10",C734)))</formula>
    </cfRule>
  </conditionalFormatting>
  <conditionalFormatting sqref="C734:D734">
    <cfRule type="containsText" dxfId="3388" priority="3492" operator="containsText" text="SI">
      <formula>NOT(ISERROR(SEARCH("SI",C734)))</formula>
    </cfRule>
    <cfRule type="containsText" dxfId="3387" priority="3493" operator="containsText" text="NO">
      <formula>NOT(ISERROR(SEARCH("NO",C734)))</formula>
    </cfRule>
  </conditionalFormatting>
  <conditionalFormatting sqref="C734:D734">
    <cfRule type="containsText" dxfId="3386" priority="3490" operator="containsText" text="NUEVO">
      <formula>NOT(ISERROR(SEARCH("NUEVO",C734)))</formula>
    </cfRule>
  </conditionalFormatting>
  <conditionalFormatting sqref="E734">
    <cfRule type="containsText" dxfId="3385" priority="3489" operator="containsText" text="Sin información">
      <formula>NOT(ISERROR(SEARCH("Sin información",E734)))</formula>
    </cfRule>
  </conditionalFormatting>
  <conditionalFormatting sqref="E734">
    <cfRule type="containsText" dxfId="3384" priority="3488" operator="containsText" text="NUEVO">
      <formula>NOT(ISERROR(SEARCH("NUEVO",E734)))</formula>
    </cfRule>
  </conditionalFormatting>
  <conditionalFormatting sqref="C735:D735">
    <cfRule type="containsText" dxfId="3383" priority="3487" operator="containsText" text="NO+$D$4:$D$10">
      <formula>NOT(ISERROR(SEARCH("NO+$D$4:$D$10",C735)))</formula>
    </cfRule>
  </conditionalFormatting>
  <conditionalFormatting sqref="C735:D735">
    <cfRule type="containsText" dxfId="3382" priority="3485" operator="containsText" text="SI">
      <formula>NOT(ISERROR(SEARCH("SI",C735)))</formula>
    </cfRule>
    <cfRule type="containsText" dxfId="3381" priority="3486" operator="containsText" text="NO">
      <formula>NOT(ISERROR(SEARCH("NO",C735)))</formula>
    </cfRule>
  </conditionalFormatting>
  <conditionalFormatting sqref="C735:E735">
    <cfRule type="containsText" dxfId="3380" priority="3484" operator="containsText" text="NUEVO">
      <formula>NOT(ISERROR(SEARCH("NUEVO",C735)))</formula>
    </cfRule>
  </conditionalFormatting>
  <conditionalFormatting sqref="E735">
    <cfRule type="containsText" dxfId="3379" priority="3483" operator="containsText" text="Sin información">
      <formula>NOT(ISERROR(SEARCH("Sin información",E735)))</formula>
    </cfRule>
  </conditionalFormatting>
  <conditionalFormatting sqref="C736:D736">
    <cfRule type="containsText" dxfId="3378" priority="3482" operator="containsText" text="NO+$D$4:$D$10">
      <formula>NOT(ISERROR(SEARCH("NO+$D$4:$D$10",C736)))</formula>
    </cfRule>
  </conditionalFormatting>
  <conditionalFormatting sqref="C736:D736">
    <cfRule type="containsText" dxfId="3377" priority="3480" operator="containsText" text="SI">
      <formula>NOT(ISERROR(SEARCH("SI",C736)))</formula>
    </cfRule>
    <cfRule type="containsText" dxfId="3376" priority="3481" operator="containsText" text="NO">
      <formula>NOT(ISERROR(SEARCH("NO",C736)))</formula>
    </cfRule>
  </conditionalFormatting>
  <conditionalFormatting sqref="E736">
    <cfRule type="containsText" dxfId="3375" priority="3479" operator="containsText" text="Sin información">
      <formula>NOT(ISERROR(SEARCH("Sin información",E736)))</formula>
    </cfRule>
  </conditionalFormatting>
  <conditionalFormatting sqref="C736:E736">
    <cfRule type="containsText" dxfId="3374" priority="3478" operator="containsText" text="NUEVO">
      <formula>NOT(ISERROR(SEARCH("NUEVO",C736)))</formula>
    </cfRule>
  </conditionalFormatting>
  <conditionalFormatting sqref="C737:D737">
    <cfRule type="containsText" dxfId="3373" priority="3477" operator="containsText" text="NO+$D$4:$D$10">
      <formula>NOT(ISERROR(SEARCH("NO+$D$4:$D$10",C737)))</formula>
    </cfRule>
  </conditionalFormatting>
  <conditionalFormatting sqref="C737:D737">
    <cfRule type="containsText" dxfId="3372" priority="3475" operator="containsText" text="SI">
      <formula>NOT(ISERROR(SEARCH("SI",C737)))</formula>
    </cfRule>
    <cfRule type="containsText" dxfId="3371" priority="3476" operator="containsText" text="NO">
      <formula>NOT(ISERROR(SEARCH("NO",C737)))</formula>
    </cfRule>
  </conditionalFormatting>
  <conditionalFormatting sqref="E737">
    <cfRule type="containsText" dxfId="3370" priority="3474" operator="containsText" text="Sin información">
      <formula>NOT(ISERROR(SEARCH("Sin información",E737)))</formula>
    </cfRule>
  </conditionalFormatting>
  <conditionalFormatting sqref="C737:E737">
    <cfRule type="containsText" dxfId="3369" priority="3473" operator="containsText" text="NUEVO">
      <formula>NOT(ISERROR(SEARCH("NUEVO",C737)))</formula>
    </cfRule>
  </conditionalFormatting>
  <conditionalFormatting sqref="C738:D738">
    <cfRule type="containsText" dxfId="3368" priority="3472" operator="containsText" text="NO+$D$4:$D$10">
      <formula>NOT(ISERROR(SEARCH("NO+$D$4:$D$10",C738)))</formula>
    </cfRule>
  </conditionalFormatting>
  <conditionalFormatting sqref="C738:D738">
    <cfRule type="containsText" dxfId="3367" priority="3470" operator="containsText" text="SI">
      <formula>NOT(ISERROR(SEARCH("SI",C738)))</formula>
    </cfRule>
    <cfRule type="containsText" dxfId="3366" priority="3471" operator="containsText" text="NO">
      <formula>NOT(ISERROR(SEARCH("NO",C738)))</formula>
    </cfRule>
  </conditionalFormatting>
  <conditionalFormatting sqref="E738">
    <cfRule type="containsText" dxfId="3365" priority="3469" operator="containsText" text="Sin información">
      <formula>NOT(ISERROR(SEARCH("Sin información",E738)))</formula>
    </cfRule>
  </conditionalFormatting>
  <conditionalFormatting sqref="C738:E738">
    <cfRule type="containsText" dxfId="3364" priority="3468" operator="containsText" text="NUEVO">
      <formula>NOT(ISERROR(SEARCH("NUEVO",C738)))</formula>
    </cfRule>
  </conditionalFormatting>
  <conditionalFormatting sqref="C739:D739">
    <cfRule type="containsText" dxfId="3363" priority="3467" operator="containsText" text="NO+$D$4:$D$10">
      <formula>NOT(ISERROR(SEARCH("NO+$D$4:$D$10",C739)))</formula>
    </cfRule>
  </conditionalFormatting>
  <conditionalFormatting sqref="C739:D739">
    <cfRule type="containsText" dxfId="3362" priority="3465" operator="containsText" text="SI">
      <formula>NOT(ISERROR(SEARCH("SI",C739)))</formula>
    </cfRule>
    <cfRule type="containsText" dxfId="3361" priority="3466" operator="containsText" text="NO">
      <formula>NOT(ISERROR(SEARCH("NO",C739)))</formula>
    </cfRule>
  </conditionalFormatting>
  <conditionalFormatting sqref="E739">
    <cfRule type="containsText" dxfId="3360" priority="3464" operator="containsText" text="Sin información">
      <formula>NOT(ISERROR(SEARCH("Sin información",E739)))</formula>
    </cfRule>
  </conditionalFormatting>
  <conditionalFormatting sqref="C739:E739">
    <cfRule type="containsText" dxfId="3359" priority="3463" operator="containsText" text="NUEVO">
      <formula>NOT(ISERROR(SEARCH("NUEVO",C739)))</formula>
    </cfRule>
  </conditionalFormatting>
  <conditionalFormatting sqref="C740:D740">
    <cfRule type="containsText" dxfId="3358" priority="3462" operator="containsText" text="NO+$D$4:$D$10">
      <formula>NOT(ISERROR(SEARCH("NO+$D$4:$D$10",C740)))</formula>
    </cfRule>
  </conditionalFormatting>
  <conditionalFormatting sqref="C740:D740">
    <cfRule type="containsText" dxfId="3357" priority="3460" operator="containsText" text="SI">
      <formula>NOT(ISERROR(SEARCH("SI",C740)))</formula>
    </cfRule>
    <cfRule type="containsText" dxfId="3356" priority="3461" operator="containsText" text="NO">
      <formula>NOT(ISERROR(SEARCH("NO",C740)))</formula>
    </cfRule>
  </conditionalFormatting>
  <conditionalFormatting sqref="E740">
    <cfRule type="containsText" dxfId="3355" priority="3459" operator="containsText" text="Sin información">
      <formula>NOT(ISERROR(SEARCH("Sin información",E740)))</formula>
    </cfRule>
  </conditionalFormatting>
  <conditionalFormatting sqref="C740:E740">
    <cfRule type="containsText" dxfId="3354" priority="3458" operator="containsText" text="NUEVO">
      <formula>NOT(ISERROR(SEARCH("NUEVO",C740)))</formula>
    </cfRule>
  </conditionalFormatting>
  <conditionalFormatting sqref="C741:D741">
    <cfRule type="containsText" dxfId="3353" priority="3457" operator="containsText" text="NO+$D$4:$D$10">
      <formula>NOT(ISERROR(SEARCH("NO+$D$4:$D$10",C741)))</formula>
    </cfRule>
  </conditionalFormatting>
  <conditionalFormatting sqref="C741:D741">
    <cfRule type="containsText" dxfId="3352" priority="3455" operator="containsText" text="SI">
      <formula>NOT(ISERROR(SEARCH("SI",C741)))</formula>
    </cfRule>
    <cfRule type="containsText" dxfId="3351" priority="3456" operator="containsText" text="NO">
      <formula>NOT(ISERROR(SEARCH("NO",C741)))</formula>
    </cfRule>
  </conditionalFormatting>
  <conditionalFormatting sqref="E741">
    <cfRule type="containsText" dxfId="3350" priority="3454" operator="containsText" text="Sin información">
      <formula>NOT(ISERROR(SEARCH("Sin información",E741)))</formula>
    </cfRule>
  </conditionalFormatting>
  <conditionalFormatting sqref="C741:E741">
    <cfRule type="containsText" dxfId="3349" priority="3453" operator="containsText" text="NUEVO">
      <formula>NOT(ISERROR(SEARCH("NUEVO",C741)))</formula>
    </cfRule>
  </conditionalFormatting>
  <conditionalFormatting sqref="C742:D742">
    <cfRule type="containsText" dxfId="3348" priority="3452" operator="containsText" text="NO+$D$4:$D$10">
      <formula>NOT(ISERROR(SEARCH("NO+$D$4:$D$10",C742)))</formula>
    </cfRule>
  </conditionalFormatting>
  <conditionalFormatting sqref="C742:D742">
    <cfRule type="containsText" dxfId="3347" priority="3450" operator="containsText" text="SI">
      <formula>NOT(ISERROR(SEARCH("SI",C742)))</formula>
    </cfRule>
    <cfRule type="containsText" dxfId="3346" priority="3451" operator="containsText" text="NO">
      <formula>NOT(ISERROR(SEARCH("NO",C742)))</formula>
    </cfRule>
  </conditionalFormatting>
  <conditionalFormatting sqref="E742">
    <cfRule type="containsText" dxfId="3345" priority="3449" operator="containsText" text="Sin información">
      <formula>NOT(ISERROR(SEARCH("Sin información",E742)))</formula>
    </cfRule>
  </conditionalFormatting>
  <conditionalFormatting sqref="C742:E742">
    <cfRule type="containsText" dxfId="3344" priority="3448" operator="containsText" text="NUEVO">
      <formula>NOT(ISERROR(SEARCH("NUEVO",C742)))</formula>
    </cfRule>
  </conditionalFormatting>
  <conditionalFormatting sqref="C743:D743">
    <cfRule type="containsText" dxfId="3343" priority="3447" operator="containsText" text="NO+$D$4:$D$10">
      <formula>NOT(ISERROR(SEARCH("NO+$D$4:$D$10",C743)))</formula>
    </cfRule>
  </conditionalFormatting>
  <conditionalFormatting sqref="C743:D743">
    <cfRule type="containsText" dxfId="3342" priority="3445" operator="containsText" text="SI">
      <formula>NOT(ISERROR(SEARCH("SI",C743)))</formula>
    </cfRule>
    <cfRule type="containsText" dxfId="3341" priority="3446" operator="containsText" text="NO">
      <formula>NOT(ISERROR(SEARCH("NO",C743)))</formula>
    </cfRule>
  </conditionalFormatting>
  <conditionalFormatting sqref="E743">
    <cfRule type="containsText" dxfId="3340" priority="3444" operator="containsText" text="Sin información">
      <formula>NOT(ISERROR(SEARCH("Sin información",E743)))</formula>
    </cfRule>
  </conditionalFormatting>
  <conditionalFormatting sqref="C743:E743">
    <cfRule type="containsText" dxfId="3339" priority="3443" operator="containsText" text="NUEVO">
      <formula>NOT(ISERROR(SEARCH("NUEVO",C743)))</formula>
    </cfRule>
  </conditionalFormatting>
  <conditionalFormatting sqref="C744:D744">
    <cfRule type="containsText" dxfId="3338" priority="3442" operator="containsText" text="NO+$D$4:$D$10">
      <formula>NOT(ISERROR(SEARCH("NO+$D$4:$D$10",C744)))</formula>
    </cfRule>
  </conditionalFormatting>
  <conditionalFormatting sqref="C744:D744">
    <cfRule type="containsText" dxfId="3337" priority="3440" operator="containsText" text="SI">
      <formula>NOT(ISERROR(SEARCH("SI",C744)))</formula>
    </cfRule>
    <cfRule type="containsText" dxfId="3336" priority="3441" operator="containsText" text="NO">
      <formula>NOT(ISERROR(SEARCH("NO",C744)))</formula>
    </cfRule>
  </conditionalFormatting>
  <conditionalFormatting sqref="E744">
    <cfRule type="containsText" dxfId="3335" priority="3439" operator="containsText" text="Sin información">
      <formula>NOT(ISERROR(SEARCH("Sin información",E744)))</formula>
    </cfRule>
  </conditionalFormatting>
  <conditionalFormatting sqref="C744:E744">
    <cfRule type="containsText" dxfId="3334" priority="3438" operator="containsText" text="NUEVO">
      <formula>NOT(ISERROR(SEARCH("NUEVO",C744)))</formula>
    </cfRule>
  </conditionalFormatting>
  <conditionalFormatting sqref="C745:D746">
    <cfRule type="containsText" dxfId="3333" priority="3437" operator="containsText" text="NO+$D$4:$D$10">
      <formula>NOT(ISERROR(SEARCH("NO+$D$4:$D$10",C745)))</formula>
    </cfRule>
  </conditionalFormatting>
  <conditionalFormatting sqref="C745:D746">
    <cfRule type="containsText" dxfId="3332" priority="3435" operator="containsText" text="SI">
      <formula>NOT(ISERROR(SEARCH("SI",C745)))</formula>
    </cfRule>
    <cfRule type="containsText" dxfId="3331" priority="3436" operator="containsText" text="NO">
      <formula>NOT(ISERROR(SEARCH("NO",C745)))</formula>
    </cfRule>
  </conditionalFormatting>
  <conditionalFormatting sqref="E745:E746">
    <cfRule type="containsText" dxfId="3330" priority="3434" operator="containsText" text="Sin información">
      <formula>NOT(ISERROR(SEARCH("Sin información",E745)))</formula>
    </cfRule>
  </conditionalFormatting>
  <conditionalFormatting sqref="C745:E746">
    <cfRule type="containsText" dxfId="3329" priority="3433" operator="containsText" text="NUEVO">
      <formula>NOT(ISERROR(SEARCH("NUEVO",C745)))</formula>
    </cfRule>
  </conditionalFormatting>
  <conditionalFormatting sqref="C747:D747">
    <cfRule type="containsText" dxfId="3328" priority="3432" operator="containsText" text="NO+$D$4:$D$10">
      <formula>NOT(ISERROR(SEARCH("NO+$D$4:$D$10",C747)))</formula>
    </cfRule>
  </conditionalFormatting>
  <conditionalFormatting sqref="C747:D747">
    <cfRule type="containsText" dxfId="3327" priority="3430" operator="containsText" text="SI">
      <formula>NOT(ISERROR(SEARCH("SI",C747)))</formula>
    </cfRule>
    <cfRule type="containsText" dxfId="3326" priority="3431" operator="containsText" text="NO">
      <formula>NOT(ISERROR(SEARCH("NO",C747)))</formula>
    </cfRule>
  </conditionalFormatting>
  <conditionalFormatting sqref="E747">
    <cfRule type="containsText" dxfId="3325" priority="3429" operator="containsText" text="Sin información">
      <formula>NOT(ISERROR(SEARCH("Sin información",E747)))</formula>
    </cfRule>
  </conditionalFormatting>
  <conditionalFormatting sqref="C747:E747">
    <cfRule type="containsText" dxfId="3324" priority="3428" operator="containsText" text="NUEVO">
      <formula>NOT(ISERROR(SEARCH("NUEVO",C747)))</formula>
    </cfRule>
  </conditionalFormatting>
  <conditionalFormatting sqref="E748">
    <cfRule type="containsText" dxfId="3323" priority="3424" operator="containsText" text="Sin información">
      <formula>NOT(ISERROR(SEARCH("Sin información",E748)))</formula>
    </cfRule>
  </conditionalFormatting>
  <conditionalFormatting sqref="C748:E748">
    <cfRule type="containsText" dxfId="3322" priority="3423" operator="containsText" text="NUEVO">
      <formula>NOT(ISERROR(SEARCH("NUEVO",C748)))</formula>
    </cfRule>
  </conditionalFormatting>
  <conditionalFormatting sqref="C748:D748">
    <cfRule type="containsText" dxfId="3321" priority="3427" operator="containsText" text="NO+$D$4:$D$10">
      <formula>NOT(ISERROR(SEARCH("NO+$D$4:$D$10",C748)))</formula>
    </cfRule>
  </conditionalFormatting>
  <conditionalFormatting sqref="C748:D748">
    <cfRule type="containsText" dxfId="3320" priority="3425" operator="containsText" text="SI">
      <formula>NOT(ISERROR(SEARCH("SI",C748)))</formula>
    </cfRule>
    <cfRule type="containsText" dxfId="3319" priority="3426" operator="containsText" text="NO">
      <formula>NOT(ISERROR(SEARCH("NO",C748)))</formula>
    </cfRule>
  </conditionalFormatting>
  <conditionalFormatting sqref="C749:D749">
    <cfRule type="containsText" dxfId="3318" priority="3422" operator="containsText" text="NO+$D$4:$D$10">
      <formula>NOT(ISERROR(SEARCH("NO+$D$4:$D$10",C749)))</formula>
    </cfRule>
  </conditionalFormatting>
  <conditionalFormatting sqref="C749:D749">
    <cfRule type="containsText" dxfId="3317" priority="3420" operator="containsText" text="SI">
      <formula>NOT(ISERROR(SEARCH("SI",C749)))</formula>
    </cfRule>
    <cfRule type="containsText" dxfId="3316" priority="3421" operator="containsText" text="NO">
      <formula>NOT(ISERROR(SEARCH("NO",C749)))</formula>
    </cfRule>
  </conditionalFormatting>
  <conditionalFormatting sqref="E749">
    <cfRule type="containsText" dxfId="3315" priority="3419" operator="containsText" text="Sin información">
      <formula>NOT(ISERROR(SEARCH("Sin información",E749)))</formula>
    </cfRule>
  </conditionalFormatting>
  <conditionalFormatting sqref="C749:E749">
    <cfRule type="containsText" dxfId="3314" priority="3418" operator="containsText" text="NUEVO">
      <formula>NOT(ISERROR(SEARCH("NUEVO",C749)))</formula>
    </cfRule>
  </conditionalFormatting>
  <conditionalFormatting sqref="C750:D751">
    <cfRule type="containsText" dxfId="3313" priority="3417" operator="containsText" text="NO+$D$4:$D$10">
      <formula>NOT(ISERROR(SEARCH("NO+$D$4:$D$10",C750)))</formula>
    </cfRule>
  </conditionalFormatting>
  <conditionalFormatting sqref="C750:D751">
    <cfRule type="containsText" dxfId="3312" priority="3415" operator="containsText" text="SI">
      <formula>NOT(ISERROR(SEARCH("SI",C750)))</formula>
    </cfRule>
    <cfRule type="containsText" dxfId="3311" priority="3416" operator="containsText" text="NO">
      <formula>NOT(ISERROR(SEARCH("NO",C750)))</formula>
    </cfRule>
  </conditionalFormatting>
  <conditionalFormatting sqref="E750:E751">
    <cfRule type="containsText" dxfId="3310" priority="3414" operator="containsText" text="Sin información">
      <formula>NOT(ISERROR(SEARCH("Sin información",E750)))</formula>
    </cfRule>
  </conditionalFormatting>
  <conditionalFormatting sqref="C750:E751">
    <cfRule type="containsText" dxfId="3309" priority="3413" operator="containsText" text="NUEVO">
      <formula>NOT(ISERROR(SEARCH("NUEVO",C750)))</formula>
    </cfRule>
  </conditionalFormatting>
  <conditionalFormatting sqref="C752:D752">
    <cfRule type="containsText" dxfId="3308" priority="3412" operator="containsText" text="NO+$D$4:$D$10">
      <formula>NOT(ISERROR(SEARCH("NO+$D$4:$D$10",C752)))</formula>
    </cfRule>
  </conditionalFormatting>
  <conditionalFormatting sqref="C752:D752">
    <cfRule type="containsText" dxfId="3307" priority="3410" operator="containsText" text="SI">
      <formula>NOT(ISERROR(SEARCH("SI",C752)))</formula>
    </cfRule>
    <cfRule type="containsText" dxfId="3306" priority="3411" operator="containsText" text="NO">
      <formula>NOT(ISERROR(SEARCH("NO",C752)))</formula>
    </cfRule>
  </conditionalFormatting>
  <conditionalFormatting sqref="E752">
    <cfRule type="containsText" dxfId="3305" priority="3409" operator="containsText" text="Sin información">
      <formula>NOT(ISERROR(SEARCH("Sin información",E752)))</formula>
    </cfRule>
  </conditionalFormatting>
  <conditionalFormatting sqref="C752:D752">
    <cfRule type="containsText" dxfId="3304" priority="3408" operator="containsText" text="NUEVO">
      <formula>NOT(ISERROR(SEARCH("NUEVO",C752)))</formula>
    </cfRule>
  </conditionalFormatting>
  <conditionalFormatting sqref="E752">
    <cfRule type="containsText" dxfId="3303" priority="3407" operator="containsText" text="Sin información">
      <formula>NOT(ISERROR(SEARCH("Sin información",E752)))</formula>
    </cfRule>
  </conditionalFormatting>
  <conditionalFormatting sqref="C753:D754">
    <cfRule type="containsText" dxfId="3302" priority="3406" operator="containsText" text="NO+$D$4:$D$10">
      <formula>NOT(ISERROR(SEARCH("NO+$D$4:$D$10",C753)))</formula>
    </cfRule>
  </conditionalFormatting>
  <conditionalFormatting sqref="C753:D754">
    <cfRule type="containsText" dxfId="3301" priority="3404" operator="containsText" text="SI">
      <formula>NOT(ISERROR(SEARCH("SI",C753)))</formula>
    </cfRule>
    <cfRule type="containsText" dxfId="3300" priority="3405" operator="containsText" text="NO">
      <formula>NOT(ISERROR(SEARCH("NO",C753)))</formula>
    </cfRule>
  </conditionalFormatting>
  <conditionalFormatting sqref="C753:D754">
    <cfRule type="containsText" dxfId="3299" priority="3403" operator="containsText" text="NUEVO">
      <formula>NOT(ISERROR(SEARCH("NUEVO",C753)))</formula>
    </cfRule>
  </conditionalFormatting>
  <conditionalFormatting sqref="E753:E754">
    <cfRule type="containsText" dxfId="3298" priority="3402" operator="containsText" text="Sin información">
      <formula>NOT(ISERROR(SEARCH("Sin información",E753)))</formula>
    </cfRule>
  </conditionalFormatting>
  <conditionalFormatting sqref="E753:E754">
    <cfRule type="containsText" dxfId="3297" priority="3401" operator="containsText" text="NUEVO">
      <formula>NOT(ISERROR(SEARCH("NUEVO",E753)))</formula>
    </cfRule>
  </conditionalFormatting>
  <conditionalFormatting sqref="C755:D758">
    <cfRule type="containsText" dxfId="3296" priority="3400" operator="containsText" text="NO+$D$4:$D$10">
      <formula>NOT(ISERROR(SEARCH("NO+$D$4:$D$10",C755)))</formula>
    </cfRule>
  </conditionalFormatting>
  <conditionalFormatting sqref="C755:D758">
    <cfRule type="containsText" dxfId="3295" priority="3398" operator="containsText" text="SI">
      <formula>NOT(ISERROR(SEARCH("SI",C755)))</formula>
    </cfRule>
    <cfRule type="containsText" dxfId="3294" priority="3399" operator="containsText" text="NO">
      <formula>NOT(ISERROR(SEARCH("NO",C755)))</formula>
    </cfRule>
  </conditionalFormatting>
  <conditionalFormatting sqref="E757">
    <cfRule type="containsText" dxfId="3293" priority="3397" operator="containsText" text="Sin información">
      <formula>NOT(ISERROR(SEARCH("Sin información",E757)))</formula>
    </cfRule>
  </conditionalFormatting>
  <conditionalFormatting sqref="E757 C755:D758">
    <cfRule type="containsText" dxfId="3292" priority="3396" operator="containsText" text="NUEVO">
      <formula>NOT(ISERROR(SEARCH("NUEVO",C755)))</formula>
    </cfRule>
  </conditionalFormatting>
  <conditionalFormatting sqref="E758">
    <cfRule type="containsText" dxfId="3291" priority="3395" operator="containsText" text="Sin información">
      <formula>NOT(ISERROR(SEARCH("Sin información",E758)))</formula>
    </cfRule>
  </conditionalFormatting>
  <conditionalFormatting sqref="E758">
    <cfRule type="containsText" dxfId="3290" priority="3394" operator="containsText" text="NUEVO">
      <formula>NOT(ISERROR(SEARCH("NUEVO",E758)))</formula>
    </cfRule>
  </conditionalFormatting>
  <conditionalFormatting sqref="E756">
    <cfRule type="containsText" dxfId="3289" priority="3390" operator="containsText" text="NUEVO">
      <formula>NOT(ISERROR(SEARCH("NUEVO",E756)))</formula>
    </cfRule>
  </conditionalFormatting>
  <conditionalFormatting sqref="E755">
    <cfRule type="containsText" dxfId="3288" priority="3393" operator="containsText" text="Sin información">
      <formula>NOT(ISERROR(SEARCH("Sin información",E755)))</formula>
    </cfRule>
  </conditionalFormatting>
  <conditionalFormatting sqref="E755">
    <cfRule type="containsText" dxfId="3287" priority="3392" operator="containsText" text="NUEVO">
      <formula>NOT(ISERROR(SEARCH("NUEVO",E755)))</formula>
    </cfRule>
  </conditionalFormatting>
  <conditionalFormatting sqref="E756">
    <cfRule type="containsText" dxfId="3286" priority="3391" operator="containsText" text="Sin información">
      <formula>NOT(ISERROR(SEARCH("Sin información",E756)))</formula>
    </cfRule>
  </conditionalFormatting>
  <conditionalFormatting sqref="C759:D759">
    <cfRule type="containsText" dxfId="3285" priority="3389" operator="containsText" text="NO+$D$4:$D$10">
      <formula>NOT(ISERROR(SEARCH("NO+$D$4:$D$10",C759)))</formula>
    </cfRule>
  </conditionalFormatting>
  <conditionalFormatting sqref="C759:D759">
    <cfRule type="containsText" dxfId="3284" priority="3387" operator="containsText" text="SI">
      <formula>NOT(ISERROR(SEARCH("SI",C759)))</formula>
    </cfRule>
    <cfRule type="containsText" dxfId="3283" priority="3388" operator="containsText" text="NO">
      <formula>NOT(ISERROR(SEARCH("NO",C759)))</formula>
    </cfRule>
  </conditionalFormatting>
  <conditionalFormatting sqref="C759:D759">
    <cfRule type="containsText" dxfId="3282" priority="3386" operator="containsText" text="NUEVO">
      <formula>NOT(ISERROR(SEARCH("NUEVO",C759)))</formula>
    </cfRule>
  </conditionalFormatting>
  <conditionalFormatting sqref="E759">
    <cfRule type="containsText" dxfId="3281" priority="3385" operator="containsText" text="Sin información">
      <formula>NOT(ISERROR(SEARCH("Sin información",E759)))</formula>
    </cfRule>
  </conditionalFormatting>
  <conditionalFormatting sqref="E759">
    <cfRule type="containsText" dxfId="3280" priority="3384" operator="containsText" text="NUEVO">
      <formula>NOT(ISERROR(SEARCH("NUEVO",E759)))</formula>
    </cfRule>
  </conditionalFormatting>
  <conditionalFormatting sqref="C760:D760">
    <cfRule type="containsText" dxfId="3279" priority="3383" operator="containsText" text="NO+$D$4:$D$10">
      <formula>NOT(ISERROR(SEARCH("NO+$D$4:$D$10",C760)))</formula>
    </cfRule>
  </conditionalFormatting>
  <conditionalFormatting sqref="C760:D760">
    <cfRule type="containsText" dxfId="3278" priority="3381" operator="containsText" text="SI">
      <formula>NOT(ISERROR(SEARCH("SI",C760)))</formula>
    </cfRule>
    <cfRule type="containsText" dxfId="3277" priority="3382" operator="containsText" text="NO">
      <formula>NOT(ISERROR(SEARCH("NO",C760)))</formula>
    </cfRule>
  </conditionalFormatting>
  <conditionalFormatting sqref="E760">
    <cfRule type="containsText" dxfId="3276" priority="3380" operator="containsText" text="Sin información">
      <formula>NOT(ISERROR(SEARCH("Sin información",E760)))</formula>
    </cfRule>
  </conditionalFormatting>
  <conditionalFormatting sqref="C760:E760">
    <cfRule type="containsText" dxfId="3275" priority="3379" operator="containsText" text="NUEVO">
      <formula>NOT(ISERROR(SEARCH("NUEVO",C760)))</formula>
    </cfRule>
  </conditionalFormatting>
  <conditionalFormatting sqref="F760">
    <cfRule type="containsText" dxfId="3274" priority="3378" operator="containsText" text="NO+$D$4:$D$10">
      <formula>NOT(ISERROR(SEARCH("NO+$D$4:$D$10",F760)))</formula>
    </cfRule>
  </conditionalFormatting>
  <conditionalFormatting sqref="F760">
    <cfRule type="containsText" dxfId="3273" priority="3376" operator="containsText" text="SI">
      <formula>NOT(ISERROR(SEARCH("SI",F760)))</formula>
    </cfRule>
    <cfRule type="containsText" dxfId="3272" priority="3377" operator="containsText" text="NO">
      <formula>NOT(ISERROR(SEARCH("NO",F760)))</formula>
    </cfRule>
  </conditionalFormatting>
  <conditionalFormatting sqref="F760">
    <cfRule type="containsText" dxfId="3271" priority="3375" operator="containsText" text="NUEVO">
      <formula>NOT(ISERROR(SEARCH("NUEVO",F760)))</formula>
    </cfRule>
  </conditionalFormatting>
  <conditionalFormatting sqref="C761:D761">
    <cfRule type="containsText" dxfId="3270" priority="3374" operator="containsText" text="NO+$D$4:$D$10">
      <formula>NOT(ISERROR(SEARCH("NO+$D$4:$D$10",C761)))</formula>
    </cfRule>
  </conditionalFormatting>
  <conditionalFormatting sqref="C761:D761">
    <cfRule type="containsText" dxfId="3269" priority="3372" operator="containsText" text="SI">
      <formula>NOT(ISERROR(SEARCH("SI",C761)))</formula>
    </cfRule>
    <cfRule type="containsText" dxfId="3268" priority="3373" operator="containsText" text="NO">
      <formula>NOT(ISERROR(SEARCH("NO",C761)))</formula>
    </cfRule>
  </conditionalFormatting>
  <conditionalFormatting sqref="E761">
    <cfRule type="containsText" dxfId="3267" priority="3371" operator="containsText" text="Sin información">
      <formula>NOT(ISERROR(SEARCH("Sin información",E761)))</formula>
    </cfRule>
  </conditionalFormatting>
  <conditionalFormatting sqref="C761:E761">
    <cfRule type="containsText" dxfId="3266" priority="3370" operator="containsText" text="NUEVO">
      <formula>NOT(ISERROR(SEARCH("NUEVO",C761)))</formula>
    </cfRule>
  </conditionalFormatting>
  <conditionalFormatting sqref="F761">
    <cfRule type="containsText" dxfId="3265" priority="3369" operator="containsText" text="NO+$D$4:$D$10">
      <formula>NOT(ISERROR(SEARCH("NO+$D$4:$D$10",F761)))</formula>
    </cfRule>
  </conditionalFormatting>
  <conditionalFormatting sqref="F761">
    <cfRule type="containsText" dxfId="3264" priority="3367" operator="containsText" text="SI">
      <formula>NOT(ISERROR(SEARCH("SI",F761)))</formula>
    </cfRule>
    <cfRule type="containsText" dxfId="3263" priority="3368" operator="containsText" text="NO">
      <formula>NOT(ISERROR(SEARCH("NO",F761)))</formula>
    </cfRule>
  </conditionalFormatting>
  <conditionalFormatting sqref="F761">
    <cfRule type="containsText" dxfId="3262" priority="3366" operator="containsText" text="NUEVO">
      <formula>NOT(ISERROR(SEARCH("NUEVO",F761)))</formula>
    </cfRule>
  </conditionalFormatting>
  <conditionalFormatting sqref="C762:D762">
    <cfRule type="containsText" dxfId="3261" priority="3365" operator="containsText" text="NO+$D$4:$D$10">
      <formula>NOT(ISERROR(SEARCH("NO+$D$4:$D$10",C762)))</formula>
    </cfRule>
  </conditionalFormatting>
  <conditionalFormatting sqref="C762:D762">
    <cfRule type="containsText" dxfId="3260" priority="3363" operator="containsText" text="SI">
      <formula>NOT(ISERROR(SEARCH("SI",C762)))</formula>
    </cfRule>
    <cfRule type="containsText" dxfId="3259" priority="3364" operator="containsText" text="NO">
      <formula>NOT(ISERROR(SEARCH("NO",C762)))</formula>
    </cfRule>
  </conditionalFormatting>
  <conditionalFormatting sqref="E762">
    <cfRule type="containsText" dxfId="3258" priority="3362" operator="containsText" text="Sin información">
      <formula>NOT(ISERROR(SEARCH("Sin información",E762)))</formula>
    </cfRule>
  </conditionalFormatting>
  <conditionalFormatting sqref="C762:E762">
    <cfRule type="containsText" dxfId="3257" priority="3361" operator="containsText" text="NUEVO">
      <formula>NOT(ISERROR(SEARCH("NUEVO",C762)))</formula>
    </cfRule>
  </conditionalFormatting>
  <conditionalFormatting sqref="F762">
    <cfRule type="containsText" dxfId="3256" priority="3360" operator="containsText" text="NO+$D$4:$D$10">
      <formula>NOT(ISERROR(SEARCH("NO+$D$4:$D$10",F762)))</formula>
    </cfRule>
  </conditionalFormatting>
  <conditionalFormatting sqref="F762">
    <cfRule type="containsText" dxfId="3255" priority="3358" operator="containsText" text="SI">
      <formula>NOT(ISERROR(SEARCH("SI",F762)))</formula>
    </cfRule>
    <cfRule type="containsText" dxfId="3254" priority="3359" operator="containsText" text="NO">
      <formula>NOT(ISERROR(SEARCH("NO",F762)))</formula>
    </cfRule>
  </conditionalFormatting>
  <conditionalFormatting sqref="F762">
    <cfRule type="containsText" dxfId="3253" priority="3357" operator="containsText" text="NUEVO">
      <formula>NOT(ISERROR(SEARCH("NUEVO",F762)))</formula>
    </cfRule>
  </conditionalFormatting>
  <conditionalFormatting sqref="C763:D763">
    <cfRule type="containsText" dxfId="3252" priority="3356" operator="containsText" text="NO+$D$4:$D$10">
      <formula>NOT(ISERROR(SEARCH("NO+$D$4:$D$10",C763)))</formula>
    </cfRule>
  </conditionalFormatting>
  <conditionalFormatting sqref="C763:D763">
    <cfRule type="containsText" dxfId="3251" priority="3354" operator="containsText" text="SI">
      <formula>NOT(ISERROR(SEARCH("SI",C763)))</formula>
    </cfRule>
    <cfRule type="containsText" dxfId="3250" priority="3355" operator="containsText" text="NO">
      <formula>NOT(ISERROR(SEARCH("NO",C763)))</formula>
    </cfRule>
  </conditionalFormatting>
  <conditionalFormatting sqref="E763">
    <cfRule type="containsText" dxfId="3249" priority="3353" operator="containsText" text="Sin información">
      <formula>NOT(ISERROR(SEARCH("Sin información",E763)))</formula>
    </cfRule>
  </conditionalFormatting>
  <conditionalFormatting sqref="C763:E763">
    <cfRule type="containsText" dxfId="3248" priority="3352" operator="containsText" text="NUEVO">
      <formula>NOT(ISERROR(SEARCH("NUEVO",C763)))</formula>
    </cfRule>
  </conditionalFormatting>
  <conditionalFormatting sqref="F763">
    <cfRule type="containsText" dxfId="3247" priority="3351" operator="containsText" text="NO+$D$4:$D$10">
      <formula>NOT(ISERROR(SEARCH("NO+$D$4:$D$10",F763)))</formula>
    </cfRule>
  </conditionalFormatting>
  <conditionalFormatting sqref="F763">
    <cfRule type="containsText" dxfId="3246" priority="3349" operator="containsText" text="SI">
      <formula>NOT(ISERROR(SEARCH("SI",F763)))</formula>
    </cfRule>
    <cfRule type="containsText" dxfId="3245" priority="3350" operator="containsText" text="NO">
      <formula>NOT(ISERROR(SEARCH("NO",F763)))</formula>
    </cfRule>
  </conditionalFormatting>
  <conditionalFormatting sqref="F763">
    <cfRule type="containsText" dxfId="3244" priority="3348" operator="containsText" text="NUEVO">
      <formula>NOT(ISERROR(SEARCH("NUEVO",F763)))</formula>
    </cfRule>
  </conditionalFormatting>
  <conditionalFormatting sqref="C764:D765">
    <cfRule type="containsText" dxfId="3243" priority="3347" operator="containsText" text="NO+$D$4:$D$10">
      <formula>NOT(ISERROR(SEARCH("NO+$D$4:$D$10",C764)))</formula>
    </cfRule>
  </conditionalFormatting>
  <conditionalFormatting sqref="C764:D765">
    <cfRule type="containsText" dxfId="3242" priority="3345" operator="containsText" text="SI">
      <formula>NOT(ISERROR(SEARCH("SI",C764)))</formula>
    </cfRule>
    <cfRule type="containsText" dxfId="3241" priority="3346" operator="containsText" text="NO">
      <formula>NOT(ISERROR(SEARCH("NO",C764)))</formula>
    </cfRule>
  </conditionalFormatting>
  <conditionalFormatting sqref="E764">
    <cfRule type="containsText" dxfId="3240" priority="3344" operator="containsText" text="Sin información">
      <formula>NOT(ISERROR(SEARCH("Sin información",E764)))</formula>
    </cfRule>
  </conditionalFormatting>
  <conditionalFormatting sqref="C764:E765">
    <cfRule type="containsText" dxfId="3239" priority="3343" operator="containsText" text="NUEVO">
      <formula>NOT(ISERROR(SEARCH("NUEVO",C764)))</formula>
    </cfRule>
  </conditionalFormatting>
  <conditionalFormatting sqref="E765">
    <cfRule type="containsText" dxfId="3238" priority="3342" operator="containsText" text="Sin información">
      <formula>NOT(ISERROR(SEARCH("Sin información",E765)))</formula>
    </cfRule>
  </conditionalFormatting>
  <conditionalFormatting sqref="F764:F765">
    <cfRule type="containsText" dxfId="3237" priority="3341" operator="containsText" text="NO+$D$4:$D$10">
      <formula>NOT(ISERROR(SEARCH("NO+$D$4:$D$10",F764)))</formula>
    </cfRule>
  </conditionalFormatting>
  <conditionalFormatting sqref="F764:F765">
    <cfRule type="containsText" dxfId="3236" priority="3339" operator="containsText" text="SI">
      <formula>NOT(ISERROR(SEARCH("SI",F764)))</formula>
    </cfRule>
    <cfRule type="containsText" dxfId="3235" priority="3340" operator="containsText" text="NO">
      <formula>NOT(ISERROR(SEARCH("NO",F764)))</formula>
    </cfRule>
  </conditionalFormatting>
  <conditionalFormatting sqref="F764:F765">
    <cfRule type="containsText" dxfId="3234" priority="3338" operator="containsText" text="NUEVO">
      <formula>NOT(ISERROR(SEARCH("NUEVO",F764)))</formula>
    </cfRule>
  </conditionalFormatting>
  <conditionalFormatting sqref="C766:D766">
    <cfRule type="containsText" dxfId="3233" priority="3337" operator="containsText" text="NO+$D$4:$D$10">
      <formula>NOT(ISERROR(SEARCH("NO+$D$4:$D$10",C766)))</formula>
    </cfRule>
  </conditionalFormatting>
  <conditionalFormatting sqref="C766:D766">
    <cfRule type="containsText" dxfId="3232" priority="3335" operator="containsText" text="SI">
      <formula>NOT(ISERROR(SEARCH("SI",C766)))</formula>
    </cfRule>
    <cfRule type="containsText" dxfId="3231" priority="3336" operator="containsText" text="NO">
      <formula>NOT(ISERROR(SEARCH("NO",C766)))</formula>
    </cfRule>
  </conditionalFormatting>
  <conditionalFormatting sqref="E766">
    <cfRule type="containsText" dxfId="3230" priority="3334" operator="containsText" text="Sin información">
      <formula>NOT(ISERROR(SEARCH("Sin información",E766)))</formula>
    </cfRule>
  </conditionalFormatting>
  <conditionalFormatting sqref="C766:E766">
    <cfRule type="containsText" dxfId="3229" priority="3333" operator="containsText" text="NUEVO">
      <formula>NOT(ISERROR(SEARCH("NUEVO",C766)))</formula>
    </cfRule>
  </conditionalFormatting>
  <conditionalFormatting sqref="F766">
    <cfRule type="containsText" dxfId="3228" priority="3332" operator="containsText" text="NO+$D$4:$D$10">
      <formula>NOT(ISERROR(SEARCH("NO+$D$4:$D$10",F766)))</formula>
    </cfRule>
  </conditionalFormatting>
  <conditionalFormatting sqref="F766">
    <cfRule type="containsText" dxfId="3227" priority="3330" operator="containsText" text="SI">
      <formula>NOT(ISERROR(SEARCH("SI",F766)))</formula>
    </cfRule>
    <cfRule type="containsText" dxfId="3226" priority="3331" operator="containsText" text="NO">
      <formula>NOT(ISERROR(SEARCH("NO",F766)))</formula>
    </cfRule>
  </conditionalFormatting>
  <conditionalFormatting sqref="F766">
    <cfRule type="containsText" dxfId="3225" priority="3329" operator="containsText" text="NUEVO">
      <formula>NOT(ISERROR(SEARCH("NUEVO",F766)))</formula>
    </cfRule>
  </conditionalFormatting>
  <conditionalFormatting sqref="C767:D767">
    <cfRule type="containsText" dxfId="3224" priority="3328" operator="containsText" text="NO+$D$4:$D$10">
      <formula>NOT(ISERROR(SEARCH("NO+$D$4:$D$10",C767)))</formula>
    </cfRule>
  </conditionalFormatting>
  <conditionalFormatting sqref="C767:D767">
    <cfRule type="containsText" dxfId="3223" priority="3326" operator="containsText" text="SI">
      <formula>NOT(ISERROR(SEARCH("SI",C767)))</formula>
    </cfRule>
    <cfRule type="containsText" dxfId="3222" priority="3327" operator="containsText" text="NO">
      <formula>NOT(ISERROR(SEARCH("NO",C767)))</formula>
    </cfRule>
  </conditionalFormatting>
  <conditionalFormatting sqref="E767">
    <cfRule type="containsText" dxfId="3221" priority="3325" operator="containsText" text="Sin información">
      <formula>NOT(ISERROR(SEARCH("Sin información",E767)))</formula>
    </cfRule>
  </conditionalFormatting>
  <conditionalFormatting sqref="C767:E767">
    <cfRule type="containsText" dxfId="3220" priority="3324" operator="containsText" text="NUEVO">
      <formula>NOT(ISERROR(SEARCH("NUEVO",C767)))</formula>
    </cfRule>
  </conditionalFormatting>
  <conditionalFormatting sqref="C768:D769">
    <cfRule type="containsText" dxfId="3219" priority="3323" operator="containsText" text="NO+$D$4:$D$10">
      <formula>NOT(ISERROR(SEARCH("NO+$D$4:$D$10",C768)))</formula>
    </cfRule>
  </conditionalFormatting>
  <conditionalFormatting sqref="C768:D769">
    <cfRule type="containsText" dxfId="3218" priority="3321" operator="containsText" text="SI">
      <formula>NOT(ISERROR(SEARCH("SI",C768)))</formula>
    </cfRule>
    <cfRule type="containsText" dxfId="3217" priority="3322" operator="containsText" text="NO">
      <formula>NOT(ISERROR(SEARCH("NO",C768)))</formula>
    </cfRule>
  </conditionalFormatting>
  <conditionalFormatting sqref="E768:E769">
    <cfRule type="containsText" dxfId="3216" priority="3320" operator="containsText" text="Sin información">
      <formula>NOT(ISERROR(SEARCH("Sin información",E768)))</formula>
    </cfRule>
  </conditionalFormatting>
  <conditionalFormatting sqref="C768:E769">
    <cfRule type="containsText" dxfId="3215" priority="3319" operator="containsText" text="NUEVO">
      <formula>NOT(ISERROR(SEARCH("NUEVO",C768)))</formula>
    </cfRule>
  </conditionalFormatting>
  <conditionalFormatting sqref="C770:D770">
    <cfRule type="containsText" dxfId="3214" priority="3318" operator="containsText" text="NO+$D$4:$D$10">
      <formula>NOT(ISERROR(SEARCH("NO+$D$4:$D$10",C770)))</formula>
    </cfRule>
  </conditionalFormatting>
  <conditionalFormatting sqref="C770:D770">
    <cfRule type="containsText" dxfId="3213" priority="3316" operator="containsText" text="SI">
      <formula>NOT(ISERROR(SEARCH("SI",C770)))</formula>
    </cfRule>
    <cfRule type="containsText" dxfId="3212" priority="3317" operator="containsText" text="NO">
      <formula>NOT(ISERROR(SEARCH("NO",C770)))</formula>
    </cfRule>
  </conditionalFormatting>
  <conditionalFormatting sqref="C770:D770">
    <cfRule type="containsText" dxfId="3211" priority="3315" operator="containsText" text="NUEVO">
      <formula>NOT(ISERROR(SEARCH("NUEVO",C770)))</formula>
    </cfRule>
  </conditionalFormatting>
  <conditionalFormatting sqref="E770">
    <cfRule type="containsText" dxfId="3210" priority="3314" operator="containsText" text="Sin información">
      <formula>NOT(ISERROR(SEARCH("Sin información",E770)))</formula>
    </cfRule>
  </conditionalFormatting>
  <conditionalFormatting sqref="E770">
    <cfRule type="containsText" dxfId="3209" priority="3313" operator="containsText" text="NUEVO">
      <formula>NOT(ISERROR(SEARCH("NUEVO",E770)))</formula>
    </cfRule>
  </conditionalFormatting>
  <conditionalFormatting sqref="C771:D772">
    <cfRule type="containsText" dxfId="3208" priority="3312" operator="containsText" text="NO+$D$4:$D$10">
      <formula>NOT(ISERROR(SEARCH("NO+$D$4:$D$10",C771)))</formula>
    </cfRule>
  </conditionalFormatting>
  <conditionalFormatting sqref="C771:D772">
    <cfRule type="containsText" dxfId="3207" priority="3310" operator="containsText" text="SI">
      <formula>NOT(ISERROR(SEARCH("SI",C771)))</formula>
    </cfRule>
    <cfRule type="containsText" dxfId="3206" priority="3311" operator="containsText" text="NO">
      <formula>NOT(ISERROR(SEARCH("NO",C771)))</formula>
    </cfRule>
  </conditionalFormatting>
  <conditionalFormatting sqref="C771:D772">
    <cfRule type="containsText" dxfId="3205" priority="3309" operator="containsText" text="NUEVO">
      <formula>NOT(ISERROR(SEARCH("NUEVO",C771)))</formula>
    </cfRule>
  </conditionalFormatting>
  <conditionalFormatting sqref="E771:E772">
    <cfRule type="containsText" dxfId="3204" priority="3308" operator="containsText" text="Sin información">
      <formula>NOT(ISERROR(SEARCH("Sin información",E771)))</formula>
    </cfRule>
  </conditionalFormatting>
  <conditionalFormatting sqref="E771:E772">
    <cfRule type="containsText" dxfId="3203" priority="3307" operator="containsText" text="NUEVO">
      <formula>NOT(ISERROR(SEARCH("NUEVO",E771)))</formula>
    </cfRule>
  </conditionalFormatting>
  <conditionalFormatting sqref="E773 E776">
    <cfRule type="containsText" dxfId="3202" priority="3306" operator="containsText" text="Sin información">
      <formula>NOT(ISERROR(SEARCH("Sin información",E773)))</formula>
    </cfRule>
  </conditionalFormatting>
  <conditionalFormatting sqref="E776 E773">
    <cfRule type="containsText" dxfId="3201" priority="3305" operator="containsText" text="NUEVO">
      <formula>NOT(ISERROR(SEARCH("NUEVO",E773)))</formula>
    </cfRule>
  </conditionalFormatting>
  <conditionalFormatting sqref="E775">
    <cfRule type="containsText" dxfId="3200" priority="3304" operator="containsText" text="Sin información">
      <formula>NOT(ISERROR(SEARCH("Sin información",E775)))</formula>
    </cfRule>
  </conditionalFormatting>
  <conditionalFormatting sqref="E775">
    <cfRule type="containsText" dxfId="3199" priority="3303" operator="containsText" text="NUEVO">
      <formula>NOT(ISERROR(SEARCH("NUEVO",E775)))</formula>
    </cfRule>
  </conditionalFormatting>
  <conditionalFormatting sqref="C778:D779">
    <cfRule type="containsText" dxfId="3198" priority="3302" operator="containsText" text="NO+$D$4:$D$10">
      <formula>NOT(ISERROR(SEARCH("NO+$D$4:$D$10",C778)))</formula>
    </cfRule>
  </conditionalFormatting>
  <conditionalFormatting sqref="C778:D779">
    <cfRule type="containsText" dxfId="3197" priority="3300" operator="containsText" text="SI">
      <formula>NOT(ISERROR(SEARCH("SI",C778)))</formula>
    </cfRule>
    <cfRule type="containsText" dxfId="3196" priority="3301" operator="containsText" text="NO">
      <formula>NOT(ISERROR(SEARCH("NO",C778)))</formula>
    </cfRule>
  </conditionalFormatting>
  <conditionalFormatting sqref="E778:E779">
    <cfRule type="containsText" dxfId="3195" priority="3299" operator="containsText" text="Sin información">
      <formula>NOT(ISERROR(SEARCH("Sin información",E778)))</formula>
    </cfRule>
  </conditionalFormatting>
  <conditionalFormatting sqref="C778:E779">
    <cfRule type="containsText" dxfId="3194" priority="3298" operator="containsText" text="NUEVO">
      <formula>NOT(ISERROR(SEARCH("NUEVO",C778)))</formula>
    </cfRule>
  </conditionalFormatting>
  <conditionalFormatting sqref="C780:D780">
    <cfRule type="containsText" dxfId="3193" priority="3297" operator="containsText" text="NO+$D$4:$D$10">
      <formula>NOT(ISERROR(SEARCH("NO+$D$4:$D$10",C780)))</formula>
    </cfRule>
  </conditionalFormatting>
  <conditionalFormatting sqref="C780:D780">
    <cfRule type="containsText" dxfId="3192" priority="3295" operator="containsText" text="SI">
      <formula>NOT(ISERROR(SEARCH("SI",C780)))</formula>
    </cfRule>
    <cfRule type="containsText" dxfId="3191" priority="3296" operator="containsText" text="NO">
      <formula>NOT(ISERROR(SEARCH("NO",C780)))</formula>
    </cfRule>
  </conditionalFormatting>
  <conditionalFormatting sqref="E780">
    <cfRule type="containsText" dxfId="3190" priority="3294" operator="containsText" text="Sin información">
      <formula>NOT(ISERROR(SEARCH("Sin información",E780)))</formula>
    </cfRule>
  </conditionalFormatting>
  <conditionalFormatting sqref="C780:E780">
    <cfRule type="containsText" dxfId="3189" priority="3293" operator="containsText" text="NUEVO">
      <formula>NOT(ISERROR(SEARCH("NUEVO",C780)))</formula>
    </cfRule>
  </conditionalFormatting>
  <conditionalFormatting sqref="C782:D782">
    <cfRule type="containsText" dxfId="3188" priority="3292" operator="containsText" text="NO+$D$4:$D$10">
      <formula>NOT(ISERROR(SEARCH("NO+$D$4:$D$10",C782)))</formula>
    </cfRule>
  </conditionalFormatting>
  <conditionalFormatting sqref="C782:D782">
    <cfRule type="containsText" dxfId="3187" priority="3290" operator="containsText" text="SI">
      <formula>NOT(ISERROR(SEARCH("SI",C782)))</formula>
    </cfRule>
    <cfRule type="containsText" dxfId="3186" priority="3291" operator="containsText" text="NO">
      <formula>NOT(ISERROR(SEARCH("NO",C782)))</formula>
    </cfRule>
  </conditionalFormatting>
  <conditionalFormatting sqref="C782:D782">
    <cfRule type="containsText" dxfId="3185" priority="3289" operator="containsText" text="NUEVO">
      <formula>NOT(ISERROR(SEARCH("NUEVO",C782)))</formula>
    </cfRule>
  </conditionalFormatting>
  <conditionalFormatting sqref="E782">
    <cfRule type="containsText" dxfId="3184" priority="3288" operator="containsText" text="Sin información">
      <formula>NOT(ISERROR(SEARCH("Sin información",E782)))</formula>
    </cfRule>
  </conditionalFormatting>
  <conditionalFormatting sqref="E782">
    <cfRule type="containsText" dxfId="3183" priority="3287" operator="containsText" text="NUEVO">
      <formula>NOT(ISERROR(SEARCH("NUEVO",E782)))</formula>
    </cfRule>
  </conditionalFormatting>
  <conditionalFormatting sqref="C783:D783">
    <cfRule type="containsText" dxfId="3182" priority="3286" operator="containsText" text="NO+$D$4:$D$10">
      <formula>NOT(ISERROR(SEARCH("NO+$D$4:$D$10",C783)))</formula>
    </cfRule>
  </conditionalFormatting>
  <conditionalFormatting sqref="C783:D783">
    <cfRule type="containsText" dxfId="3181" priority="3284" operator="containsText" text="SI">
      <formula>NOT(ISERROR(SEARCH("SI",C783)))</formula>
    </cfRule>
    <cfRule type="containsText" dxfId="3180" priority="3285" operator="containsText" text="NO">
      <formula>NOT(ISERROR(SEARCH("NO",C783)))</formula>
    </cfRule>
  </conditionalFormatting>
  <conditionalFormatting sqref="E783">
    <cfRule type="containsText" dxfId="3179" priority="3283" operator="containsText" text="Sin información">
      <formula>NOT(ISERROR(SEARCH("Sin información",E783)))</formula>
    </cfRule>
  </conditionalFormatting>
  <conditionalFormatting sqref="C783:E783">
    <cfRule type="containsText" dxfId="3178" priority="3282" operator="containsText" text="NUEVO">
      <formula>NOT(ISERROR(SEARCH("NUEVO",C783)))</formula>
    </cfRule>
  </conditionalFormatting>
  <conditionalFormatting sqref="C784:D784">
    <cfRule type="containsText" dxfId="3177" priority="3281" operator="containsText" text="NO+$D$4:$D$10">
      <formula>NOT(ISERROR(SEARCH("NO+$D$4:$D$10",C784)))</formula>
    </cfRule>
  </conditionalFormatting>
  <conditionalFormatting sqref="C784:D784">
    <cfRule type="containsText" dxfId="3176" priority="3279" operator="containsText" text="SI">
      <formula>NOT(ISERROR(SEARCH("SI",C784)))</formula>
    </cfRule>
    <cfRule type="containsText" dxfId="3175" priority="3280" operator="containsText" text="NO">
      <formula>NOT(ISERROR(SEARCH("NO",C784)))</formula>
    </cfRule>
  </conditionalFormatting>
  <conditionalFormatting sqref="E784">
    <cfRule type="containsText" dxfId="3174" priority="3278" operator="containsText" text="Sin información">
      <formula>NOT(ISERROR(SEARCH("Sin información",E784)))</formula>
    </cfRule>
  </conditionalFormatting>
  <conditionalFormatting sqref="C784:E784">
    <cfRule type="containsText" dxfId="3173" priority="3277" operator="containsText" text="NUEVO">
      <formula>NOT(ISERROR(SEARCH("NUEVO",C784)))</formula>
    </cfRule>
  </conditionalFormatting>
  <conditionalFormatting sqref="C785:D785">
    <cfRule type="containsText" dxfId="3172" priority="3276" operator="containsText" text="NO+$D$4:$D$10">
      <formula>NOT(ISERROR(SEARCH("NO+$D$4:$D$10",C785)))</formula>
    </cfRule>
  </conditionalFormatting>
  <conditionalFormatting sqref="C785:D785">
    <cfRule type="containsText" dxfId="3171" priority="3274" operator="containsText" text="SI">
      <formula>NOT(ISERROR(SEARCH("SI",C785)))</formula>
    </cfRule>
    <cfRule type="containsText" dxfId="3170" priority="3275" operator="containsText" text="NO">
      <formula>NOT(ISERROR(SEARCH("NO",C785)))</formula>
    </cfRule>
  </conditionalFormatting>
  <conditionalFormatting sqref="E785">
    <cfRule type="containsText" dxfId="3169" priority="3273" operator="containsText" text="Sin información">
      <formula>NOT(ISERROR(SEARCH("Sin información",E785)))</formula>
    </cfRule>
  </conditionalFormatting>
  <conditionalFormatting sqref="C785:D785">
    <cfRule type="containsText" dxfId="3168" priority="3272" operator="containsText" text="NUEVO">
      <formula>NOT(ISERROR(SEARCH("NUEVO",C785)))</formula>
    </cfRule>
  </conditionalFormatting>
  <conditionalFormatting sqref="E785">
    <cfRule type="containsText" dxfId="3167" priority="3271" operator="containsText" text="Sin información">
      <formula>NOT(ISERROR(SEARCH("Sin información",E785)))</formula>
    </cfRule>
  </conditionalFormatting>
  <conditionalFormatting sqref="C786:D786">
    <cfRule type="containsText" dxfId="3166" priority="3270" operator="containsText" text="NO+$D$4:$D$10">
      <formula>NOT(ISERROR(SEARCH("NO+$D$4:$D$10",C786)))</formula>
    </cfRule>
  </conditionalFormatting>
  <conditionalFormatting sqref="C786:D786">
    <cfRule type="containsText" dxfId="3165" priority="3268" operator="containsText" text="SI">
      <formula>NOT(ISERROR(SEARCH("SI",C786)))</formula>
    </cfRule>
    <cfRule type="containsText" dxfId="3164" priority="3269" operator="containsText" text="NO">
      <formula>NOT(ISERROR(SEARCH("NO",C786)))</formula>
    </cfRule>
  </conditionalFormatting>
  <conditionalFormatting sqref="E786">
    <cfRule type="containsText" dxfId="3163" priority="3267" operator="containsText" text="Sin información">
      <formula>NOT(ISERROR(SEARCH("Sin información",E786)))</formula>
    </cfRule>
  </conditionalFormatting>
  <conditionalFormatting sqref="C786:E786">
    <cfRule type="containsText" dxfId="3162" priority="3266" operator="containsText" text="NUEVO">
      <formula>NOT(ISERROR(SEARCH("NUEVO",C786)))</formula>
    </cfRule>
  </conditionalFormatting>
  <conditionalFormatting sqref="C787:D787">
    <cfRule type="containsText" dxfId="3161" priority="3265" operator="containsText" text="NO+$D$4:$D$10">
      <formula>NOT(ISERROR(SEARCH("NO+$D$4:$D$10",C787)))</formula>
    </cfRule>
  </conditionalFormatting>
  <conditionalFormatting sqref="C787:D787">
    <cfRule type="containsText" dxfId="3160" priority="3263" operator="containsText" text="SI">
      <formula>NOT(ISERROR(SEARCH("SI",C787)))</formula>
    </cfRule>
    <cfRule type="containsText" dxfId="3159" priority="3264" operator="containsText" text="NO">
      <formula>NOT(ISERROR(SEARCH("NO",C787)))</formula>
    </cfRule>
  </conditionalFormatting>
  <conditionalFormatting sqref="E787">
    <cfRule type="containsText" dxfId="3158" priority="3262" operator="containsText" text="Sin información">
      <formula>NOT(ISERROR(SEARCH("Sin información",E787)))</formula>
    </cfRule>
  </conditionalFormatting>
  <conditionalFormatting sqref="C787:E787">
    <cfRule type="containsText" dxfId="3157" priority="3261" operator="containsText" text="NUEVO">
      <formula>NOT(ISERROR(SEARCH("NUEVO",C787)))</formula>
    </cfRule>
  </conditionalFormatting>
  <conditionalFormatting sqref="C788:D788">
    <cfRule type="containsText" dxfId="3156" priority="3260" operator="containsText" text="NO+$D$4:$D$10">
      <formula>NOT(ISERROR(SEARCH("NO+$D$4:$D$10",C788)))</formula>
    </cfRule>
  </conditionalFormatting>
  <conditionalFormatting sqref="C788:D788">
    <cfRule type="containsText" dxfId="3155" priority="3258" operator="containsText" text="SI">
      <formula>NOT(ISERROR(SEARCH("SI",C788)))</formula>
    </cfRule>
    <cfRule type="containsText" dxfId="3154" priority="3259" operator="containsText" text="NO">
      <formula>NOT(ISERROR(SEARCH("NO",C788)))</formula>
    </cfRule>
  </conditionalFormatting>
  <conditionalFormatting sqref="E788">
    <cfRule type="containsText" dxfId="3153" priority="3257" operator="containsText" text="Sin información">
      <formula>NOT(ISERROR(SEARCH("Sin información",E788)))</formula>
    </cfRule>
  </conditionalFormatting>
  <conditionalFormatting sqref="C788:E788">
    <cfRule type="containsText" dxfId="3152" priority="3256" operator="containsText" text="NUEVO">
      <formula>NOT(ISERROR(SEARCH("NUEVO",C788)))</formula>
    </cfRule>
  </conditionalFormatting>
  <conditionalFormatting sqref="C789:D790">
    <cfRule type="containsText" dxfId="3151" priority="3255" operator="containsText" text="NO+$D$4:$D$10">
      <formula>NOT(ISERROR(SEARCH("NO+$D$4:$D$10",C789)))</formula>
    </cfRule>
  </conditionalFormatting>
  <conditionalFormatting sqref="C789:D790">
    <cfRule type="containsText" dxfId="3150" priority="3253" operator="containsText" text="SI">
      <formula>NOT(ISERROR(SEARCH("SI",C789)))</formula>
    </cfRule>
    <cfRule type="containsText" dxfId="3149" priority="3254" operator="containsText" text="NO">
      <formula>NOT(ISERROR(SEARCH("NO",C789)))</formula>
    </cfRule>
  </conditionalFormatting>
  <conditionalFormatting sqref="E789:E790">
    <cfRule type="containsText" dxfId="3148" priority="3252" operator="containsText" text="Sin información">
      <formula>NOT(ISERROR(SEARCH("Sin información",E789)))</formula>
    </cfRule>
  </conditionalFormatting>
  <conditionalFormatting sqref="C789:E790">
    <cfRule type="containsText" dxfId="3147" priority="3251" operator="containsText" text="NUEVO">
      <formula>NOT(ISERROR(SEARCH("NUEVO",C789)))</formula>
    </cfRule>
  </conditionalFormatting>
  <conditionalFormatting sqref="C791:D792">
    <cfRule type="containsText" dxfId="3146" priority="3250" operator="containsText" text="NO+$D$4:$D$10">
      <formula>NOT(ISERROR(SEARCH("NO+$D$4:$D$10",C791)))</formula>
    </cfRule>
  </conditionalFormatting>
  <conditionalFormatting sqref="C791:D792">
    <cfRule type="containsText" dxfId="3145" priority="3248" operator="containsText" text="SI">
      <formula>NOT(ISERROR(SEARCH("SI",C791)))</formula>
    </cfRule>
    <cfRule type="containsText" dxfId="3144" priority="3249" operator="containsText" text="NO">
      <formula>NOT(ISERROR(SEARCH("NO",C791)))</formula>
    </cfRule>
  </conditionalFormatting>
  <conditionalFormatting sqref="E791:E792">
    <cfRule type="containsText" dxfId="3143" priority="3247" operator="containsText" text="Sin información">
      <formula>NOT(ISERROR(SEARCH("Sin información",E791)))</formula>
    </cfRule>
  </conditionalFormatting>
  <conditionalFormatting sqref="C791:E792">
    <cfRule type="containsText" dxfId="3142" priority="3246" operator="containsText" text="NUEVO">
      <formula>NOT(ISERROR(SEARCH("NUEVO",C791)))</formula>
    </cfRule>
  </conditionalFormatting>
  <conditionalFormatting sqref="C793:D795">
    <cfRule type="containsText" dxfId="3141" priority="3245" operator="containsText" text="NO+$D$4:$D$10">
      <formula>NOT(ISERROR(SEARCH("NO+$D$4:$D$10",C793)))</formula>
    </cfRule>
  </conditionalFormatting>
  <conditionalFormatting sqref="C793:D795">
    <cfRule type="containsText" dxfId="3140" priority="3243" operator="containsText" text="SI">
      <formula>NOT(ISERROR(SEARCH("SI",C793)))</formula>
    </cfRule>
    <cfRule type="containsText" dxfId="3139" priority="3244" operator="containsText" text="NO">
      <formula>NOT(ISERROR(SEARCH("NO",C793)))</formula>
    </cfRule>
  </conditionalFormatting>
  <conditionalFormatting sqref="E794:E795">
    <cfRule type="containsText" dxfId="3138" priority="3242" operator="containsText" text="Sin información">
      <formula>NOT(ISERROR(SEARCH("Sin información",E794)))</formula>
    </cfRule>
  </conditionalFormatting>
  <conditionalFormatting sqref="E794:E795 C793:D795">
    <cfRule type="containsText" dxfId="3137" priority="3241" operator="containsText" text="NUEVO">
      <formula>NOT(ISERROR(SEARCH("NUEVO",C793)))</formula>
    </cfRule>
  </conditionalFormatting>
  <conditionalFormatting sqref="E793">
    <cfRule type="containsText" dxfId="3136" priority="3240" operator="containsText" text="Sin información">
      <formula>NOT(ISERROR(SEARCH("Sin información",E793)))</formula>
    </cfRule>
  </conditionalFormatting>
  <conditionalFormatting sqref="E793">
    <cfRule type="containsText" dxfId="3135" priority="3239" operator="containsText" text="NUEVO">
      <formula>NOT(ISERROR(SEARCH("NUEVO",E793)))</formula>
    </cfRule>
  </conditionalFormatting>
  <conditionalFormatting sqref="C797:D797">
    <cfRule type="containsText" dxfId="3134" priority="3238" operator="containsText" text="NUEVO">
      <formula>NOT(ISERROR(SEARCH("NUEVO",C797)))</formula>
    </cfRule>
  </conditionalFormatting>
  <conditionalFormatting sqref="E797">
    <cfRule type="containsText" dxfId="3133" priority="3237" operator="containsText" text="Sin información">
      <formula>NOT(ISERROR(SEARCH("Sin información",E797)))</formula>
    </cfRule>
  </conditionalFormatting>
  <conditionalFormatting sqref="E797">
    <cfRule type="containsText" dxfId="3132" priority="3236" operator="containsText" text="NUEVO">
      <formula>NOT(ISERROR(SEARCH("NUEVO",E797)))</formula>
    </cfRule>
  </conditionalFormatting>
  <conditionalFormatting sqref="C798:D798">
    <cfRule type="containsText" dxfId="3131" priority="3235" operator="containsText" text="NO+$D$4:$D$10">
      <formula>NOT(ISERROR(SEARCH("NO+$D$4:$D$10",C798)))</formula>
    </cfRule>
  </conditionalFormatting>
  <conditionalFormatting sqref="C798:D798">
    <cfRule type="containsText" dxfId="3130" priority="3233" operator="containsText" text="SI">
      <formula>NOT(ISERROR(SEARCH("SI",C798)))</formula>
    </cfRule>
    <cfRule type="containsText" dxfId="3129" priority="3234" operator="containsText" text="NO">
      <formula>NOT(ISERROR(SEARCH("NO",C798)))</formula>
    </cfRule>
  </conditionalFormatting>
  <conditionalFormatting sqref="E798">
    <cfRule type="containsText" dxfId="3128" priority="3232" operator="containsText" text="Sin información">
      <formula>NOT(ISERROR(SEARCH("Sin información",E798)))</formula>
    </cfRule>
  </conditionalFormatting>
  <conditionalFormatting sqref="C798:E798">
    <cfRule type="containsText" dxfId="3127" priority="3231" operator="containsText" text="NUEVO">
      <formula>NOT(ISERROR(SEARCH("NUEVO",C798)))</formula>
    </cfRule>
  </conditionalFormatting>
  <conditionalFormatting sqref="C799:D800">
    <cfRule type="containsText" dxfId="3126" priority="3230" operator="containsText" text="NO+$D$4:$D$10">
      <formula>NOT(ISERROR(SEARCH("NO+$D$4:$D$10",C799)))</formula>
    </cfRule>
  </conditionalFormatting>
  <conditionalFormatting sqref="C799:D800">
    <cfRule type="containsText" dxfId="3125" priority="3228" operator="containsText" text="SI">
      <formula>NOT(ISERROR(SEARCH("SI",C799)))</formula>
    </cfRule>
    <cfRule type="containsText" dxfId="3124" priority="3229" operator="containsText" text="NO">
      <formula>NOT(ISERROR(SEARCH("NO",C799)))</formula>
    </cfRule>
  </conditionalFormatting>
  <conditionalFormatting sqref="E799:E800">
    <cfRule type="containsText" dxfId="3123" priority="3227" operator="containsText" text="Sin información">
      <formula>NOT(ISERROR(SEARCH("Sin información",E799)))</formula>
    </cfRule>
  </conditionalFormatting>
  <conditionalFormatting sqref="C799:E800">
    <cfRule type="containsText" dxfId="3122" priority="3226" operator="containsText" text="NUEVO">
      <formula>NOT(ISERROR(SEARCH("NUEVO",C799)))</formula>
    </cfRule>
  </conditionalFormatting>
  <conditionalFormatting sqref="C801:D801">
    <cfRule type="containsText" dxfId="3121" priority="3225" operator="containsText" text="NO+$D$4:$D$10">
      <formula>NOT(ISERROR(SEARCH("NO+$D$4:$D$10",C801)))</formula>
    </cfRule>
  </conditionalFormatting>
  <conditionalFormatting sqref="C801:D801">
    <cfRule type="containsText" dxfId="3120" priority="3223" operator="containsText" text="SI">
      <formula>NOT(ISERROR(SEARCH("SI",C801)))</formula>
    </cfRule>
    <cfRule type="containsText" dxfId="3119" priority="3224" operator="containsText" text="NO">
      <formula>NOT(ISERROR(SEARCH("NO",C801)))</formula>
    </cfRule>
  </conditionalFormatting>
  <conditionalFormatting sqref="E801">
    <cfRule type="containsText" dxfId="3118" priority="3222" operator="containsText" text="Sin información">
      <formula>NOT(ISERROR(SEARCH("Sin información",E801)))</formula>
    </cfRule>
  </conditionalFormatting>
  <conditionalFormatting sqref="C801:E801">
    <cfRule type="containsText" dxfId="3117" priority="3221" operator="containsText" text="NUEVO">
      <formula>NOT(ISERROR(SEARCH("NUEVO",C801)))</formula>
    </cfRule>
  </conditionalFormatting>
  <conditionalFormatting sqref="C802:D802">
    <cfRule type="containsText" dxfId="3116" priority="3220" operator="containsText" text="NO+$D$4:$D$10">
      <formula>NOT(ISERROR(SEARCH("NO+$D$4:$D$10",C802)))</formula>
    </cfRule>
  </conditionalFormatting>
  <conditionalFormatting sqref="C802:D802">
    <cfRule type="containsText" dxfId="3115" priority="3218" operator="containsText" text="SI">
      <formula>NOT(ISERROR(SEARCH("SI",C802)))</formula>
    </cfRule>
    <cfRule type="containsText" dxfId="3114" priority="3219" operator="containsText" text="NO">
      <formula>NOT(ISERROR(SEARCH("NO",C802)))</formula>
    </cfRule>
  </conditionalFormatting>
  <conditionalFormatting sqref="E802">
    <cfRule type="containsText" dxfId="3113" priority="3217" operator="containsText" text="Sin información">
      <formula>NOT(ISERROR(SEARCH("Sin información",E802)))</formula>
    </cfRule>
  </conditionalFormatting>
  <conditionalFormatting sqref="C802:E802">
    <cfRule type="containsText" dxfId="3112" priority="3216" operator="containsText" text="NUEVO">
      <formula>NOT(ISERROR(SEARCH("NUEVO",C802)))</formula>
    </cfRule>
  </conditionalFormatting>
  <conditionalFormatting sqref="C803:D803">
    <cfRule type="containsText" dxfId="3111" priority="3215" operator="containsText" text="NO+$D$4:$D$10">
      <formula>NOT(ISERROR(SEARCH("NO+$D$4:$D$10",C803)))</formula>
    </cfRule>
  </conditionalFormatting>
  <conditionalFormatting sqref="C803:D803">
    <cfRule type="containsText" dxfId="3110" priority="3213" operator="containsText" text="SI">
      <formula>NOT(ISERROR(SEARCH("SI",C803)))</formula>
    </cfRule>
    <cfRule type="containsText" dxfId="3109" priority="3214" operator="containsText" text="NO">
      <formula>NOT(ISERROR(SEARCH("NO",C803)))</formula>
    </cfRule>
  </conditionalFormatting>
  <conditionalFormatting sqref="E803">
    <cfRule type="containsText" dxfId="3108" priority="3212" operator="containsText" text="Sin información">
      <formula>NOT(ISERROR(SEARCH("Sin información",E803)))</formula>
    </cfRule>
  </conditionalFormatting>
  <conditionalFormatting sqref="C803:E803">
    <cfRule type="containsText" dxfId="3107" priority="3211" operator="containsText" text="NUEVO">
      <formula>NOT(ISERROR(SEARCH("NUEVO",C803)))</formula>
    </cfRule>
  </conditionalFormatting>
  <conditionalFormatting sqref="C804:D804">
    <cfRule type="containsText" dxfId="3106" priority="3210" operator="containsText" text="NO+$D$4:$D$10">
      <formula>NOT(ISERROR(SEARCH("NO+$D$4:$D$10",C804)))</formula>
    </cfRule>
  </conditionalFormatting>
  <conditionalFormatting sqref="C804:D804">
    <cfRule type="containsText" dxfId="3105" priority="3208" operator="containsText" text="SI">
      <formula>NOT(ISERROR(SEARCH("SI",C804)))</formula>
    </cfRule>
    <cfRule type="containsText" dxfId="3104" priority="3209" operator="containsText" text="NO">
      <formula>NOT(ISERROR(SEARCH("NO",C804)))</formula>
    </cfRule>
  </conditionalFormatting>
  <conditionalFormatting sqref="C804:D804">
    <cfRule type="containsText" dxfId="3103" priority="3207" operator="containsText" text="NUEVO">
      <formula>NOT(ISERROR(SEARCH("NUEVO",C804)))</formula>
    </cfRule>
  </conditionalFormatting>
  <conditionalFormatting sqref="E804">
    <cfRule type="containsText" dxfId="3102" priority="3206" operator="containsText" text="Sin información">
      <formula>NOT(ISERROR(SEARCH("Sin información",E804)))</formula>
    </cfRule>
  </conditionalFormatting>
  <conditionalFormatting sqref="E804">
    <cfRule type="containsText" dxfId="3101" priority="3205" operator="containsText" text="NUEVO">
      <formula>NOT(ISERROR(SEARCH("NUEVO",E804)))</formula>
    </cfRule>
  </conditionalFormatting>
  <conditionalFormatting sqref="C805:D806">
    <cfRule type="containsText" dxfId="3100" priority="3204" operator="containsText" text="NO+$D$4:$D$10">
      <formula>NOT(ISERROR(SEARCH("NO+$D$4:$D$10",C805)))</formula>
    </cfRule>
  </conditionalFormatting>
  <conditionalFormatting sqref="C805:D806">
    <cfRule type="containsText" dxfId="3099" priority="3202" operator="containsText" text="SI">
      <formula>NOT(ISERROR(SEARCH("SI",C805)))</formula>
    </cfRule>
    <cfRule type="containsText" dxfId="3098" priority="3203" operator="containsText" text="NO">
      <formula>NOT(ISERROR(SEARCH("NO",C805)))</formula>
    </cfRule>
  </conditionalFormatting>
  <conditionalFormatting sqref="E805:E806">
    <cfRule type="containsText" dxfId="3097" priority="3201" operator="containsText" text="Sin información">
      <formula>NOT(ISERROR(SEARCH("Sin información",E805)))</formula>
    </cfRule>
  </conditionalFormatting>
  <conditionalFormatting sqref="C805:E806">
    <cfRule type="containsText" dxfId="3096" priority="3200" operator="containsText" text="NUEVO">
      <formula>NOT(ISERROR(SEARCH("NUEVO",C805)))</formula>
    </cfRule>
  </conditionalFormatting>
  <conditionalFormatting sqref="C807:D807">
    <cfRule type="containsText" dxfId="3095" priority="3199" operator="containsText" text="NO+$D$4:$D$10">
      <formula>NOT(ISERROR(SEARCH("NO+$D$4:$D$10",C807)))</formula>
    </cfRule>
  </conditionalFormatting>
  <conditionalFormatting sqref="C807:D807">
    <cfRule type="containsText" dxfId="3094" priority="3197" operator="containsText" text="SI">
      <formula>NOT(ISERROR(SEARCH("SI",C807)))</formula>
    </cfRule>
    <cfRule type="containsText" dxfId="3093" priority="3198" operator="containsText" text="NO">
      <formula>NOT(ISERROR(SEARCH("NO",C807)))</formula>
    </cfRule>
  </conditionalFormatting>
  <conditionalFormatting sqref="E807">
    <cfRule type="containsText" dxfId="3092" priority="3196" operator="containsText" text="Sin información">
      <formula>NOT(ISERROR(SEARCH("Sin información",E807)))</formula>
    </cfRule>
  </conditionalFormatting>
  <conditionalFormatting sqref="C807:E807">
    <cfRule type="containsText" dxfId="3091" priority="3195" operator="containsText" text="NUEVO">
      <formula>NOT(ISERROR(SEARCH("NUEVO",C807)))</formula>
    </cfRule>
  </conditionalFormatting>
  <conditionalFormatting sqref="E810">
    <cfRule type="containsText" dxfId="3090" priority="3194" operator="containsText" text="Sin información">
      <formula>NOT(ISERROR(SEARCH("Sin información",E810)))</formula>
    </cfRule>
  </conditionalFormatting>
  <conditionalFormatting sqref="E810">
    <cfRule type="containsText" dxfId="3089" priority="3193" operator="containsText" text="NUEVO">
      <formula>NOT(ISERROR(SEARCH("NUEVO",E810)))</formula>
    </cfRule>
  </conditionalFormatting>
  <conditionalFormatting sqref="C811:D811">
    <cfRule type="containsText" dxfId="3088" priority="3192" operator="containsText" text="NO+$D$4:$D$10">
      <formula>NOT(ISERROR(SEARCH("NO+$D$4:$D$10",C811)))</formula>
    </cfRule>
  </conditionalFormatting>
  <conditionalFormatting sqref="C811:D811">
    <cfRule type="containsText" dxfId="3087" priority="3190" operator="containsText" text="SI">
      <formula>NOT(ISERROR(SEARCH("SI",C811)))</formula>
    </cfRule>
    <cfRule type="containsText" dxfId="3086" priority="3191" operator="containsText" text="NO">
      <formula>NOT(ISERROR(SEARCH("NO",C811)))</formula>
    </cfRule>
  </conditionalFormatting>
  <conditionalFormatting sqref="E811">
    <cfRule type="containsText" dxfId="3085" priority="3189" operator="containsText" text="Sin información">
      <formula>NOT(ISERROR(SEARCH("Sin información",E811)))</formula>
    </cfRule>
  </conditionalFormatting>
  <conditionalFormatting sqref="C811:E811">
    <cfRule type="containsText" dxfId="3084" priority="3188" operator="containsText" text="NUEVO">
      <formula>NOT(ISERROR(SEARCH("NUEVO",C811)))</formula>
    </cfRule>
  </conditionalFormatting>
  <conditionalFormatting sqref="C812:D814">
    <cfRule type="containsText" dxfId="3083" priority="3187" operator="containsText" text="NO+$D$4:$D$10">
      <formula>NOT(ISERROR(SEARCH("NO+$D$4:$D$10",C812)))</formula>
    </cfRule>
  </conditionalFormatting>
  <conditionalFormatting sqref="C812:D814">
    <cfRule type="containsText" dxfId="3082" priority="3185" operator="containsText" text="SI">
      <formula>NOT(ISERROR(SEARCH("SI",C812)))</formula>
    </cfRule>
    <cfRule type="containsText" dxfId="3081" priority="3186" operator="containsText" text="NO">
      <formula>NOT(ISERROR(SEARCH("NO",C812)))</formula>
    </cfRule>
  </conditionalFormatting>
  <conditionalFormatting sqref="E812:E814">
    <cfRule type="containsText" dxfId="3080" priority="3184" operator="containsText" text="Sin información">
      <formula>NOT(ISERROR(SEARCH("Sin información",E812)))</formula>
    </cfRule>
  </conditionalFormatting>
  <conditionalFormatting sqref="C812:E814">
    <cfRule type="containsText" dxfId="3079" priority="3183" operator="containsText" text="NUEVO">
      <formula>NOT(ISERROR(SEARCH("NUEVO",C812)))</formula>
    </cfRule>
  </conditionalFormatting>
  <conditionalFormatting sqref="C815:D815">
    <cfRule type="containsText" dxfId="3078" priority="3182" operator="containsText" text="NO+$D$4:$D$10">
      <formula>NOT(ISERROR(SEARCH("NO+$D$4:$D$10",C815)))</formula>
    </cfRule>
  </conditionalFormatting>
  <conditionalFormatting sqref="C815:D815">
    <cfRule type="containsText" dxfId="3077" priority="3180" operator="containsText" text="SI">
      <formula>NOT(ISERROR(SEARCH("SI",C815)))</formula>
    </cfRule>
    <cfRule type="containsText" dxfId="3076" priority="3181" operator="containsText" text="NO">
      <formula>NOT(ISERROR(SEARCH("NO",C815)))</formula>
    </cfRule>
  </conditionalFormatting>
  <conditionalFormatting sqref="E815">
    <cfRule type="containsText" dxfId="3075" priority="3179" operator="containsText" text="Sin información">
      <formula>NOT(ISERROR(SEARCH("Sin información",E815)))</formula>
    </cfRule>
  </conditionalFormatting>
  <conditionalFormatting sqref="C815:E815">
    <cfRule type="containsText" dxfId="3074" priority="3178" operator="containsText" text="NUEVO">
      <formula>NOT(ISERROR(SEARCH("NUEVO",C815)))</formula>
    </cfRule>
  </conditionalFormatting>
  <conditionalFormatting sqref="C816:D818">
    <cfRule type="containsText" dxfId="3073" priority="3177" operator="containsText" text="NO+$D$4:$D$10">
      <formula>NOT(ISERROR(SEARCH("NO+$D$4:$D$10",C816)))</formula>
    </cfRule>
  </conditionalFormatting>
  <conditionalFormatting sqref="C816:D818">
    <cfRule type="containsText" dxfId="3072" priority="3175" operator="containsText" text="SI">
      <formula>NOT(ISERROR(SEARCH("SI",C816)))</formula>
    </cfRule>
    <cfRule type="containsText" dxfId="3071" priority="3176" operator="containsText" text="NO">
      <formula>NOT(ISERROR(SEARCH("NO",C816)))</formula>
    </cfRule>
  </conditionalFormatting>
  <conditionalFormatting sqref="E816:E818">
    <cfRule type="containsText" dxfId="3070" priority="3174" operator="containsText" text="Sin información">
      <formula>NOT(ISERROR(SEARCH("Sin información",E816)))</formula>
    </cfRule>
  </conditionalFormatting>
  <conditionalFormatting sqref="C816:E818">
    <cfRule type="containsText" dxfId="3069" priority="3173" operator="containsText" text="NUEVO">
      <formula>NOT(ISERROR(SEARCH("NUEVO",C816)))</formula>
    </cfRule>
  </conditionalFormatting>
  <conditionalFormatting sqref="C819:D819">
    <cfRule type="containsText" dxfId="3068" priority="3172" operator="containsText" text="NO+$D$4:$D$10">
      <formula>NOT(ISERROR(SEARCH("NO+$D$4:$D$10",C819)))</formula>
    </cfRule>
  </conditionalFormatting>
  <conditionalFormatting sqref="C819:D819">
    <cfRule type="containsText" dxfId="3067" priority="3170" operator="containsText" text="SI">
      <formula>NOT(ISERROR(SEARCH("SI",C819)))</formula>
    </cfRule>
    <cfRule type="containsText" dxfId="3066" priority="3171" operator="containsText" text="NO">
      <formula>NOT(ISERROR(SEARCH("NO",C819)))</formula>
    </cfRule>
  </conditionalFormatting>
  <conditionalFormatting sqref="E819">
    <cfRule type="containsText" dxfId="3065" priority="3169" operator="containsText" text="Sin información">
      <formula>NOT(ISERROR(SEARCH("Sin información",E819)))</formula>
    </cfRule>
  </conditionalFormatting>
  <conditionalFormatting sqref="C819:E819">
    <cfRule type="containsText" dxfId="3064" priority="3168" operator="containsText" text="NUEVO">
      <formula>NOT(ISERROR(SEARCH("NUEVO",C819)))</formula>
    </cfRule>
  </conditionalFormatting>
  <conditionalFormatting sqref="C820:D820">
    <cfRule type="containsText" dxfId="3063" priority="3167" operator="containsText" text="NO+$D$4:$D$10">
      <formula>NOT(ISERROR(SEARCH("NO+$D$4:$D$10",C820)))</formula>
    </cfRule>
  </conditionalFormatting>
  <conditionalFormatting sqref="C820:D820">
    <cfRule type="containsText" dxfId="3062" priority="3165" operator="containsText" text="SI">
      <formula>NOT(ISERROR(SEARCH("SI",C820)))</formula>
    </cfRule>
    <cfRule type="containsText" dxfId="3061" priority="3166" operator="containsText" text="NO">
      <formula>NOT(ISERROR(SEARCH("NO",C820)))</formula>
    </cfRule>
  </conditionalFormatting>
  <conditionalFormatting sqref="C820:D820">
    <cfRule type="containsText" dxfId="3060" priority="3164" operator="containsText" text="NUEVO">
      <formula>NOT(ISERROR(SEARCH("NUEVO",C820)))</formula>
    </cfRule>
  </conditionalFormatting>
  <conditionalFormatting sqref="E820">
    <cfRule type="containsText" dxfId="3059" priority="3163" operator="containsText" text="Sin información">
      <formula>NOT(ISERROR(SEARCH("Sin información",E820)))</formula>
    </cfRule>
  </conditionalFormatting>
  <conditionalFormatting sqref="E820">
    <cfRule type="containsText" dxfId="3058" priority="3162" operator="containsText" text="NUEVO">
      <formula>NOT(ISERROR(SEARCH("NUEVO",E820)))</formula>
    </cfRule>
  </conditionalFormatting>
  <conditionalFormatting sqref="C821:D821">
    <cfRule type="containsText" dxfId="3057" priority="3161" operator="containsText" text="NO+$D$4:$D$10">
      <formula>NOT(ISERROR(SEARCH("NO+$D$4:$D$10",C821)))</formula>
    </cfRule>
  </conditionalFormatting>
  <conditionalFormatting sqref="C821:D821">
    <cfRule type="containsText" dxfId="3056" priority="3159" operator="containsText" text="SI">
      <formula>NOT(ISERROR(SEARCH("SI",C821)))</formula>
    </cfRule>
    <cfRule type="containsText" dxfId="3055" priority="3160" operator="containsText" text="NO">
      <formula>NOT(ISERROR(SEARCH("NO",C821)))</formula>
    </cfRule>
  </conditionalFormatting>
  <conditionalFormatting sqref="E821">
    <cfRule type="containsText" dxfId="3054" priority="3158" operator="containsText" text="Sin información">
      <formula>NOT(ISERROR(SEARCH("Sin información",E821)))</formula>
    </cfRule>
  </conditionalFormatting>
  <conditionalFormatting sqref="C821:E821">
    <cfRule type="containsText" dxfId="3053" priority="3157" operator="containsText" text="NUEVO">
      <formula>NOT(ISERROR(SEARCH("NUEVO",C821)))</formula>
    </cfRule>
  </conditionalFormatting>
  <conditionalFormatting sqref="C822:D824">
    <cfRule type="containsText" dxfId="3052" priority="3156" operator="containsText" text="NO+$D$4:$D$10">
      <formula>NOT(ISERROR(SEARCH("NO+$D$4:$D$10",C822)))</formula>
    </cfRule>
  </conditionalFormatting>
  <conditionalFormatting sqref="C822:D824">
    <cfRule type="containsText" dxfId="3051" priority="3154" operator="containsText" text="SI">
      <formula>NOT(ISERROR(SEARCH("SI",C822)))</formula>
    </cfRule>
    <cfRule type="containsText" dxfId="3050" priority="3155" operator="containsText" text="NO">
      <formula>NOT(ISERROR(SEARCH("NO",C822)))</formula>
    </cfRule>
  </conditionalFormatting>
  <conditionalFormatting sqref="C822:D824">
    <cfRule type="containsText" dxfId="3049" priority="3153" operator="containsText" text="NUEVO">
      <formula>NOT(ISERROR(SEARCH("NUEVO",C822)))</formula>
    </cfRule>
  </conditionalFormatting>
  <conditionalFormatting sqref="E822:E824">
    <cfRule type="containsText" dxfId="3048" priority="3152" operator="containsText" text="Sin información">
      <formula>NOT(ISERROR(SEARCH("Sin información",E822)))</formula>
    </cfRule>
  </conditionalFormatting>
  <conditionalFormatting sqref="E822:E824">
    <cfRule type="containsText" dxfId="3047" priority="3151" operator="containsText" text="NUEVO">
      <formula>NOT(ISERROR(SEARCH("NUEVO",E822)))</formula>
    </cfRule>
  </conditionalFormatting>
  <conditionalFormatting sqref="E827">
    <cfRule type="containsText" dxfId="3046" priority="3150" operator="containsText" text="Sin información">
      <formula>NOT(ISERROR(SEARCH("Sin información",E827)))</formula>
    </cfRule>
  </conditionalFormatting>
  <conditionalFormatting sqref="E827">
    <cfRule type="containsText" dxfId="3045" priority="3149" operator="containsText" text="NUEVO">
      <formula>NOT(ISERROR(SEARCH("NUEVO",E827)))</formula>
    </cfRule>
  </conditionalFormatting>
  <conditionalFormatting sqref="C828:D828">
    <cfRule type="containsText" dxfId="3044" priority="3148" operator="containsText" text="NO+$D$4:$D$10">
      <formula>NOT(ISERROR(SEARCH("NO+$D$4:$D$10",C828)))</formula>
    </cfRule>
  </conditionalFormatting>
  <conditionalFormatting sqref="C828:D828">
    <cfRule type="containsText" dxfId="3043" priority="3146" operator="containsText" text="SI">
      <formula>NOT(ISERROR(SEARCH("SI",C828)))</formula>
    </cfRule>
    <cfRule type="containsText" dxfId="3042" priority="3147" operator="containsText" text="NO">
      <formula>NOT(ISERROR(SEARCH("NO",C828)))</formula>
    </cfRule>
  </conditionalFormatting>
  <conditionalFormatting sqref="C828:D828">
    <cfRule type="containsText" dxfId="3041" priority="3145" operator="containsText" text="NUEVO">
      <formula>NOT(ISERROR(SEARCH("NUEVO",C828)))</formula>
    </cfRule>
  </conditionalFormatting>
  <conditionalFormatting sqref="E828">
    <cfRule type="containsText" dxfId="3040" priority="3144" operator="containsText" text="Sin información">
      <formula>NOT(ISERROR(SEARCH("Sin información",E828)))</formula>
    </cfRule>
  </conditionalFormatting>
  <conditionalFormatting sqref="E828">
    <cfRule type="containsText" dxfId="3039" priority="3143" operator="containsText" text="NUEVO">
      <formula>NOT(ISERROR(SEARCH("NUEVO",E828)))</formula>
    </cfRule>
  </conditionalFormatting>
  <conditionalFormatting sqref="C829:D832">
    <cfRule type="containsText" dxfId="3038" priority="3142" operator="containsText" text="NO+$D$4:$D$10">
      <formula>NOT(ISERROR(SEARCH("NO+$D$4:$D$10",C829)))</formula>
    </cfRule>
  </conditionalFormatting>
  <conditionalFormatting sqref="C829:D832">
    <cfRule type="containsText" dxfId="3037" priority="3140" operator="containsText" text="SI">
      <formula>NOT(ISERROR(SEARCH("SI",C829)))</formula>
    </cfRule>
    <cfRule type="containsText" dxfId="3036" priority="3141" operator="containsText" text="NO">
      <formula>NOT(ISERROR(SEARCH("NO",C829)))</formula>
    </cfRule>
  </conditionalFormatting>
  <conditionalFormatting sqref="C829:D832">
    <cfRule type="containsText" dxfId="3035" priority="3139" operator="containsText" text="NUEVO">
      <formula>NOT(ISERROR(SEARCH("NUEVO",C829)))</formula>
    </cfRule>
  </conditionalFormatting>
  <conditionalFormatting sqref="E829:E832">
    <cfRule type="containsText" dxfId="3034" priority="3138" operator="containsText" text="Sin información">
      <formula>NOT(ISERROR(SEARCH("Sin información",E829)))</formula>
    </cfRule>
  </conditionalFormatting>
  <conditionalFormatting sqref="E829:E832">
    <cfRule type="containsText" dxfId="3033" priority="3137" operator="containsText" text="NUEVO">
      <formula>NOT(ISERROR(SEARCH("NUEVO",E829)))</formula>
    </cfRule>
  </conditionalFormatting>
  <conditionalFormatting sqref="C833:D841">
    <cfRule type="containsText" dxfId="3032" priority="3136" operator="containsText" text="NO+$D$4:$D$10">
      <formula>NOT(ISERROR(SEARCH("NO+$D$4:$D$10",C833)))</formula>
    </cfRule>
  </conditionalFormatting>
  <conditionalFormatting sqref="C833:D841">
    <cfRule type="containsText" dxfId="3031" priority="3134" operator="containsText" text="SI">
      <formula>NOT(ISERROR(SEARCH("SI",C833)))</formula>
    </cfRule>
    <cfRule type="containsText" dxfId="3030" priority="3135" operator="containsText" text="NO">
      <formula>NOT(ISERROR(SEARCH("NO",C833)))</formula>
    </cfRule>
  </conditionalFormatting>
  <conditionalFormatting sqref="E833:E841">
    <cfRule type="containsText" dxfId="3029" priority="3133" operator="containsText" text="Sin información">
      <formula>NOT(ISERROR(SEARCH("Sin información",E833)))</formula>
    </cfRule>
  </conditionalFormatting>
  <conditionalFormatting sqref="C833:E841">
    <cfRule type="containsText" dxfId="3028" priority="3132" operator="containsText" text="NUEVO">
      <formula>NOT(ISERROR(SEARCH("NUEVO",C833)))</formula>
    </cfRule>
  </conditionalFormatting>
  <conditionalFormatting sqref="C842:D842">
    <cfRule type="containsText" dxfId="3027" priority="3131" operator="containsText" text="NO+$D$4:$D$10">
      <formula>NOT(ISERROR(SEARCH("NO+$D$4:$D$10",C842)))</formula>
    </cfRule>
  </conditionalFormatting>
  <conditionalFormatting sqref="C842:D842">
    <cfRule type="containsText" dxfId="3026" priority="3129" operator="containsText" text="SI">
      <formula>NOT(ISERROR(SEARCH("SI",C842)))</formula>
    </cfRule>
    <cfRule type="containsText" dxfId="3025" priority="3130" operator="containsText" text="NO">
      <formula>NOT(ISERROR(SEARCH("NO",C842)))</formula>
    </cfRule>
  </conditionalFormatting>
  <conditionalFormatting sqref="E842">
    <cfRule type="containsText" dxfId="3024" priority="3128" operator="containsText" text="Sin información">
      <formula>NOT(ISERROR(SEARCH("Sin información",E842)))</formula>
    </cfRule>
  </conditionalFormatting>
  <conditionalFormatting sqref="C842:E842">
    <cfRule type="containsText" dxfId="3023" priority="3127" operator="containsText" text="NUEVO">
      <formula>NOT(ISERROR(SEARCH("NUEVO",C842)))</formula>
    </cfRule>
  </conditionalFormatting>
  <conditionalFormatting sqref="C843:D843">
    <cfRule type="containsText" dxfId="3022" priority="3126" operator="containsText" text="NO+$D$4:$D$10">
      <formula>NOT(ISERROR(SEARCH("NO+$D$4:$D$10",C843)))</formula>
    </cfRule>
  </conditionalFormatting>
  <conditionalFormatting sqref="C843:D843">
    <cfRule type="containsText" dxfId="3021" priority="3124" operator="containsText" text="SI">
      <formula>NOT(ISERROR(SEARCH("SI",C843)))</formula>
    </cfRule>
    <cfRule type="containsText" dxfId="3020" priority="3125" operator="containsText" text="NO">
      <formula>NOT(ISERROR(SEARCH("NO",C843)))</formula>
    </cfRule>
  </conditionalFormatting>
  <conditionalFormatting sqref="E843">
    <cfRule type="containsText" dxfId="3019" priority="3123" operator="containsText" text="Sin información">
      <formula>NOT(ISERROR(SEARCH("Sin información",E843)))</formula>
    </cfRule>
  </conditionalFormatting>
  <conditionalFormatting sqref="C843:E843">
    <cfRule type="containsText" dxfId="3018" priority="3122" operator="containsText" text="NUEVO">
      <formula>NOT(ISERROR(SEARCH("NUEVO",C843)))</formula>
    </cfRule>
  </conditionalFormatting>
  <conditionalFormatting sqref="C844:D844">
    <cfRule type="containsText" dxfId="3017" priority="3121" operator="containsText" text="NO+$D$4:$D$10">
      <formula>NOT(ISERROR(SEARCH("NO+$D$4:$D$10",C844)))</formula>
    </cfRule>
  </conditionalFormatting>
  <conditionalFormatting sqref="C844:D844">
    <cfRule type="containsText" dxfId="3016" priority="3119" operator="containsText" text="SI">
      <formula>NOT(ISERROR(SEARCH("SI",C844)))</formula>
    </cfRule>
    <cfRule type="containsText" dxfId="3015" priority="3120" operator="containsText" text="NO">
      <formula>NOT(ISERROR(SEARCH("NO",C844)))</formula>
    </cfRule>
  </conditionalFormatting>
  <conditionalFormatting sqref="C844:D844">
    <cfRule type="containsText" dxfId="3014" priority="3118" operator="containsText" text="NUEVO">
      <formula>NOT(ISERROR(SEARCH("NUEVO",C844)))</formula>
    </cfRule>
  </conditionalFormatting>
  <conditionalFormatting sqref="E844">
    <cfRule type="containsText" dxfId="3013" priority="3117" operator="containsText" text="Sin información">
      <formula>NOT(ISERROR(SEARCH("Sin información",E844)))</formula>
    </cfRule>
  </conditionalFormatting>
  <conditionalFormatting sqref="E844">
    <cfRule type="containsText" dxfId="3012" priority="3116" operator="containsText" text="NUEVO">
      <formula>NOT(ISERROR(SEARCH("NUEVO",E844)))</formula>
    </cfRule>
  </conditionalFormatting>
  <conditionalFormatting sqref="C845:D845">
    <cfRule type="containsText" dxfId="3011" priority="3115" operator="containsText" text="NO+$D$4:$D$10">
      <formula>NOT(ISERROR(SEARCH("NO+$D$4:$D$10",C845)))</formula>
    </cfRule>
  </conditionalFormatting>
  <conditionalFormatting sqref="C845:D845">
    <cfRule type="containsText" dxfId="3010" priority="3113" operator="containsText" text="SI">
      <formula>NOT(ISERROR(SEARCH("SI",C845)))</formula>
    </cfRule>
    <cfRule type="containsText" dxfId="3009" priority="3114" operator="containsText" text="NO">
      <formula>NOT(ISERROR(SEARCH("NO",C845)))</formula>
    </cfRule>
  </conditionalFormatting>
  <conditionalFormatting sqref="E845">
    <cfRule type="containsText" dxfId="3008" priority="3112" operator="containsText" text="Sin información">
      <formula>NOT(ISERROR(SEARCH("Sin información",E845)))</formula>
    </cfRule>
  </conditionalFormatting>
  <conditionalFormatting sqref="C845:E845">
    <cfRule type="containsText" dxfId="3007" priority="3111" operator="containsText" text="NUEVO">
      <formula>NOT(ISERROR(SEARCH("NUEVO",C845)))</formula>
    </cfRule>
  </conditionalFormatting>
  <conditionalFormatting sqref="F845">
    <cfRule type="containsText" dxfId="3006" priority="3110" operator="containsText" text="NO+$D$4:$D$10">
      <formula>NOT(ISERROR(SEARCH("NO+$D$4:$D$10",F845)))</formula>
    </cfRule>
  </conditionalFormatting>
  <conditionalFormatting sqref="F845">
    <cfRule type="containsText" dxfId="3005" priority="3108" operator="containsText" text="SI">
      <formula>NOT(ISERROR(SEARCH("SI",F845)))</formula>
    </cfRule>
    <cfRule type="containsText" dxfId="3004" priority="3109" operator="containsText" text="NO">
      <formula>NOT(ISERROR(SEARCH("NO",F845)))</formula>
    </cfRule>
  </conditionalFormatting>
  <conditionalFormatting sqref="F845">
    <cfRule type="containsText" dxfId="3003" priority="3107" operator="containsText" text="NUEVO">
      <formula>NOT(ISERROR(SEARCH("NUEVO",F845)))</formula>
    </cfRule>
  </conditionalFormatting>
  <conditionalFormatting sqref="C846:D846">
    <cfRule type="containsText" dxfId="3002" priority="3106" operator="containsText" text="NO+$D$4:$D$10">
      <formula>NOT(ISERROR(SEARCH("NO+$D$4:$D$10",C846)))</formula>
    </cfRule>
  </conditionalFormatting>
  <conditionalFormatting sqref="C846:D846">
    <cfRule type="containsText" dxfId="3001" priority="3104" operator="containsText" text="SI">
      <formula>NOT(ISERROR(SEARCH("SI",C846)))</formula>
    </cfRule>
    <cfRule type="containsText" dxfId="3000" priority="3105" operator="containsText" text="NO">
      <formula>NOT(ISERROR(SEARCH("NO",C846)))</formula>
    </cfRule>
  </conditionalFormatting>
  <conditionalFormatting sqref="E846">
    <cfRule type="containsText" dxfId="2999" priority="3103" operator="containsText" text="Sin información">
      <formula>NOT(ISERROR(SEARCH("Sin información",E846)))</formula>
    </cfRule>
  </conditionalFormatting>
  <conditionalFormatting sqref="C846:E846">
    <cfRule type="containsText" dxfId="2998" priority="3102" operator="containsText" text="NUEVO">
      <formula>NOT(ISERROR(SEARCH("NUEVO",C846)))</formula>
    </cfRule>
  </conditionalFormatting>
  <conditionalFormatting sqref="F846">
    <cfRule type="containsText" dxfId="2997" priority="3101" operator="containsText" text="NO+$D$4:$D$10">
      <formula>NOT(ISERROR(SEARCH("NO+$D$4:$D$10",F846)))</formula>
    </cfRule>
  </conditionalFormatting>
  <conditionalFormatting sqref="F846">
    <cfRule type="containsText" dxfId="2996" priority="3099" operator="containsText" text="SI">
      <formula>NOT(ISERROR(SEARCH("SI",F846)))</formula>
    </cfRule>
    <cfRule type="containsText" dxfId="2995" priority="3100" operator="containsText" text="NO">
      <formula>NOT(ISERROR(SEARCH("NO",F846)))</formula>
    </cfRule>
  </conditionalFormatting>
  <conditionalFormatting sqref="F846">
    <cfRule type="containsText" dxfId="2994" priority="3098" operator="containsText" text="NUEVO">
      <formula>NOT(ISERROR(SEARCH("NUEVO",F846)))</formula>
    </cfRule>
  </conditionalFormatting>
  <conditionalFormatting sqref="C847:D847">
    <cfRule type="containsText" dxfId="2993" priority="3097" operator="containsText" text="NO+$D$4:$D$10">
      <formula>NOT(ISERROR(SEARCH("NO+$D$4:$D$10",C847)))</formula>
    </cfRule>
  </conditionalFormatting>
  <conditionalFormatting sqref="C847:D847">
    <cfRule type="containsText" dxfId="2992" priority="3095" operator="containsText" text="SI">
      <formula>NOT(ISERROR(SEARCH("SI",C847)))</formula>
    </cfRule>
    <cfRule type="containsText" dxfId="2991" priority="3096" operator="containsText" text="NO">
      <formula>NOT(ISERROR(SEARCH("NO",C847)))</formula>
    </cfRule>
  </conditionalFormatting>
  <conditionalFormatting sqref="E847">
    <cfRule type="containsText" dxfId="2990" priority="3094" operator="containsText" text="Sin información">
      <formula>NOT(ISERROR(SEARCH("Sin información",E847)))</formula>
    </cfRule>
  </conditionalFormatting>
  <conditionalFormatting sqref="C847:E847">
    <cfRule type="containsText" dxfId="2989" priority="3093" operator="containsText" text="NUEVO">
      <formula>NOT(ISERROR(SEARCH("NUEVO",C847)))</formula>
    </cfRule>
  </conditionalFormatting>
  <conditionalFormatting sqref="F847">
    <cfRule type="containsText" dxfId="2988" priority="3092" operator="containsText" text="NO+$D$4:$D$10">
      <formula>NOT(ISERROR(SEARCH("NO+$D$4:$D$10",F847)))</formula>
    </cfRule>
  </conditionalFormatting>
  <conditionalFormatting sqref="F847">
    <cfRule type="containsText" dxfId="2987" priority="3090" operator="containsText" text="SI">
      <formula>NOT(ISERROR(SEARCH("SI",F847)))</formula>
    </cfRule>
    <cfRule type="containsText" dxfId="2986" priority="3091" operator="containsText" text="NO">
      <formula>NOT(ISERROR(SEARCH("NO",F847)))</formula>
    </cfRule>
  </conditionalFormatting>
  <conditionalFormatting sqref="F847">
    <cfRule type="containsText" dxfId="2985" priority="3089" operator="containsText" text="NUEVO">
      <formula>NOT(ISERROR(SEARCH("NUEVO",F847)))</formula>
    </cfRule>
  </conditionalFormatting>
  <conditionalFormatting sqref="C848:D848">
    <cfRule type="containsText" dxfId="2984" priority="3088" operator="containsText" text="NO+$D$4:$D$10">
      <formula>NOT(ISERROR(SEARCH("NO+$D$4:$D$10",C848)))</formula>
    </cfRule>
  </conditionalFormatting>
  <conditionalFormatting sqref="C848:D848">
    <cfRule type="containsText" dxfId="2983" priority="3086" operator="containsText" text="SI">
      <formula>NOT(ISERROR(SEARCH("SI",C848)))</formula>
    </cfRule>
    <cfRule type="containsText" dxfId="2982" priority="3087" operator="containsText" text="NO">
      <formula>NOT(ISERROR(SEARCH("NO",C848)))</formula>
    </cfRule>
  </conditionalFormatting>
  <conditionalFormatting sqref="E848">
    <cfRule type="containsText" dxfId="2981" priority="3085" operator="containsText" text="Sin información">
      <formula>NOT(ISERROR(SEARCH("Sin información",E848)))</formula>
    </cfRule>
  </conditionalFormatting>
  <conditionalFormatting sqref="C848:E848">
    <cfRule type="containsText" dxfId="2980" priority="3084" operator="containsText" text="NUEVO">
      <formula>NOT(ISERROR(SEARCH("NUEVO",C848)))</formula>
    </cfRule>
  </conditionalFormatting>
  <conditionalFormatting sqref="F848">
    <cfRule type="containsText" dxfId="2979" priority="3083" operator="containsText" text="NO+$D$4:$D$10">
      <formula>NOT(ISERROR(SEARCH("NO+$D$4:$D$10",F848)))</formula>
    </cfRule>
  </conditionalFormatting>
  <conditionalFormatting sqref="F848">
    <cfRule type="containsText" dxfId="2978" priority="3081" operator="containsText" text="SI">
      <formula>NOT(ISERROR(SEARCH("SI",F848)))</formula>
    </cfRule>
    <cfRule type="containsText" dxfId="2977" priority="3082" operator="containsText" text="NO">
      <formula>NOT(ISERROR(SEARCH("NO",F848)))</formula>
    </cfRule>
  </conditionalFormatting>
  <conditionalFormatting sqref="F848">
    <cfRule type="containsText" dxfId="2976" priority="3080" operator="containsText" text="NUEVO">
      <formula>NOT(ISERROR(SEARCH("NUEVO",F848)))</formula>
    </cfRule>
  </conditionalFormatting>
  <conditionalFormatting sqref="F849 C849:D849">
    <cfRule type="containsText" dxfId="2975" priority="3079" operator="containsText" text="NO+$D$4:$D$10">
      <formula>NOT(ISERROR(SEARCH("NO+$D$4:$D$10",C849)))</formula>
    </cfRule>
  </conditionalFormatting>
  <conditionalFormatting sqref="F849 C849:D849">
    <cfRule type="containsText" dxfId="2974" priority="3077" operator="containsText" text="SI">
      <formula>NOT(ISERROR(SEARCH("SI",C849)))</formula>
    </cfRule>
    <cfRule type="containsText" dxfId="2973" priority="3078" operator="containsText" text="NO">
      <formula>NOT(ISERROR(SEARCH("NO",C849)))</formula>
    </cfRule>
  </conditionalFormatting>
  <conditionalFormatting sqref="E849">
    <cfRule type="containsText" dxfId="2972" priority="3076" operator="containsText" text="Sin información">
      <formula>NOT(ISERROR(SEARCH("Sin información",E849)))</formula>
    </cfRule>
  </conditionalFormatting>
  <conditionalFormatting sqref="C849:F849">
    <cfRule type="containsText" dxfId="2971" priority="3075" operator="containsText" text="NUEVO">
      <formula>NOT(ISERROR(SEARCH("NUEVO",C849)))</formula>
    </cfRule>
  </conditionalFormatting>
  <conditionalFormatting sqref="C850:D850">
    <cfRule type="containsText" dxfId="2970" priority="3074" operator="containsText" text="NO+$D$4:$D$10">
      <formula>NOT(ISERROR(SEARCH("NO+$D$4:$D$10",C850)))</formula>
    </cfRule>
  </conditionalFormatting>
  <conditionalFormatting sqref="C850:D850">
    <cfRule type="containsText" dxfId="2969" priority="3072" operator="containsText" text="SI">
      <formula>NOT(ISERROR(SEARCH("SI",C850)))</formula>
    </cfRule>
    <cfRule type="containsText" dxfId="2968" priority="3073" operator="containsText" text="NO">
      <formula>NOT(ISERROR(SEARCH("NO",C850)))</formula>
    </cfRule>
  </conditionalFormatting>
  <conditionalFormatting sqref="E850">
    <cfRule type="containsText" dxfId="2967" priority="3071" operator="containsText" text="Sin información">
      <formula>NOT(ISERROR(SEARCH("Sin información",E850)))</formula>
    </cfRule>
  </conditionalFormatting>
  <conditionalFormatting sqref="C850:E850">
    <cfRule type="containsText" dxfId="2966" priority="3070" operator="containsText" text="NUEVO">
      <formula>NOT(ISERROR(SEARCH("NUEVO",C850)))</formula>
    </cfRule>
  </conditionalFormatting>
  <conditionalFormatting sqref="F850">
    <cfRule type="containsText" dxfId="2965" priority="3069" operator="containsText" text="NO+$D$4:$D$10">
      <formula>NOT(ISERROR(SEARCH("NO+$D$4:$D$10",F850)))</formula>
    </cfRule>
  </conditionalFormatting>
  <conditionalFormatting sqref="F850">
    <cfRule type="containsText" dxfId="2964" priority="3067" operator="containsText" text="SI">
      <formula>NOT(ISERROR(SEARCH("SI",F850)))</formula>
    </cfRule>
    <cfRule type="containsText" dxfId="2963" priority="3068" operator="containsText" text="NO">
      <formula>NOT(ISERROR(SEARCH("NO",F850)))</formula>
    </cfRule>
  </conditionalFormatting>
  <conditionalFormatting sqref="F850">
    <cfRule type="containsText" dxfId="2962" priority="3066" operator="containsText" text="NUEVO">
      <formula>NOT(ISERROR(SEARCH("NUEVO",F850)))</formula>
    </cfRule>
  </conditionalFormatting>
  <conditionalFormatting sqref="C851:D851">
    <cfRule type="containsText" dxfId="2961" priority="3065" operator="containsText" text="NO+$D$4:$D$10">
      <formula>NOT(ISERROR(SEARCH("NO+$D$4:$D$10",C851)))</formula>
    </cfRule>
  </conditionalFormatting>
  <conditionalFormatting sqref="C851:D851">
    <cfRule type="containsText" dxfId="2960" priority="3063" operator="containsText" text="SI">
      <formula>NOT(ISERROR(SEARCH("SI",C851)))</formula>
    </cfRule>
    <cfRule type="containsText" dxfId="2959" priority="3064" operator="containsText" text="NO">
      <formula>NOT(ISERROR(SEARCH("NO",C851)))</formula>
    </cfRule>
  </conditionalFormatting>
  <conditionalFormatting sqref="E851">
    <cfRule type="containsText" dxfId="2958" priority="3062" operator="containsText" text="Sin información">
      <formula>NOT(ISERROR(SEARCH("Sin información",E851)))</formula>
    </cfRule>
  </conditionalFormatting>
  <conditionalFormatting sqref="C851:E851">
    <cfRule type="containsText" dxfId="2957" priority="3061" operator="containsText" text="NUEVO">
      <formula>NOT(ISERROR(SEARCH("NUEVO",C851)))</formula>
    </cfRule>
  </conditionalFormatting>
  <conditionalFormatting sqref="F851">
    <cfRule type="containsText" dxfId="2956" priority="3060" operator="containsText" text="NO+$D$4:$D$10">
      <formula>NOT(ISERROR(SEARCH("NO+$D$4:$D$10",F851)))</formula>
    </cfRule>
  </conditionalFormatting>
  <conditionalFormatting sqref="F851">
    <cfRule type="containsText" dxfId="2955" priority="3058" operator="containsText" text="SI">
      <formula>NOT(ISERROR(SEARCH("SI",F851)))</formula>
    </cfRule>
    <cfRule type="containsText" dxfId="2954" priority="3059" operator="containsText" text="NO">
      <formula>NOT(ISERROR(SEARCH("NO",F851)))</formula>
    </cfRule>
  </conditionalFormatting>
  <conditionalFormatting sqref="F851">
    <cfRule type="containsText" dxfId="2953" priority="3057" operator="containsText" text="NUEVO">
      <formula>NOT(ISERROR(SEARCH("NUEVO",F851)))</formula>
    </cfRule>
  </conditionalFormatting>
  <conditionalFormatting sqref="C852:D852">
    <cfRule type="containsText" dxfId="2952" priority="3056" operator="containsText" text="NO+$D$4:$D$10">
      <formula>NOT(ISERROR(SEARCH("NO+$D$4:$D$10",C852)))</formula>
    </cfRule>
  </conditionalFormatting>
  <conditionalFormatting sqref="C852:D852">
    <cfRule type="containsText" dxfId="2951" priority="3054" operator="containsText" text="SI">
      <formula>NOT(ISERROR(SEARCH("SI",C852)))</formula>
    </cfRule>
    <cfRule type="containsText" dxfId="2950" priority="3055" operator="containsText" text="NO">
      <formula>NOT(ISERROR(SEARCH("NO",C852)))</formula>
    </cfRule>
  </conditionalFormatting>
  <conditionalFormatting sqref="C852:D852">
    <cfRule type="containsText" dxfId="2949" priority="3053" operator="containsText" text="NUEVO">
      <formula>NOT(ISERROR(SEARCH("NUEVO",C852)))</formula>
    </cfRule>
  </conditionalFormatting>
  <conditionalFormatting sqref="E852">
    <cfRule type="containsText" dxfId="2948" priority="3052" operator="containsText" text="Sin información">
      <formula>NOT(ISERROR(SEARCH("Sin información",E852)))</formula>
    </cfRule>
  </conditionalFormatting>
  <conditionalFormatting sqref="E852">
    <cfRule type="containsText" dxfId="2947" priority="3051" operator="containsText" text="NUEVO">
      <formula>NOT(ISERROR(SEARCH("NUEVO",E852)))</formula>
    </cfRule>
  </conditionalFormatting>
  <conditionalFormatting sqref="F852">
    <cfRule type="containsText" dxfId="2946" priority="3050" operator="containsText" text="NO+$D$4:$D$10">
      <formula>NOT(ISERROR(SEARCH("NO+$D$4:$D$10",F852)))</formula>
    </cfRule>
  </conditionalFormatting>
  <conditionalFormatting sqref="F852">
    <cfRule type="containsText" dxfId="2945" priority="3048" operator="containsText" text="SI">
      <formula>NOT(ISERROR(SEARCH("SI",F852)))</formula>
    </cfRule>
    <cfRule type="containsText" dxfId="2944" priority="3049" operator="containsText" text="NO">
      <formula>NOT(ISERROR(SEARCH("NO",F852)))</formula>
    </cfRule>
  </conditionalFormatting>
  <conditionalFormatting sqref="F852">
    <cfRule type="containsText" dxfId="2943" priority="3047" operator="containsText" text="NUEVO">
      <formula>NOT(ISERROR(SEARCH("NUEVO",F852)))</formula>
    </cfRule>
  </conditionalFormatting>
  <conditionalFormatting sqref="C853:D853">
    <cfRule type="containsText" dxfId="2942" priority="3046" operator="containsText" text="NO+$D$4:$D$10">
      <formula>NOT(ISERROR(SEARCH("NO+$D$4:$D$10",C853)))</formula>
    </cfRule>
  </conditionalFormatting>
  <conditionalFormatting sqref="C853:D853">
    <cfRule type="containsText" dxfId="2941" priority="3044" operator="containsText" text="SI">
      <formula>NOT(ISERROR(SEARCH("SI",C853)))</formula>
    </cfRule>
    <cfRule type="containsText" dxfId="2940" priority="3045" operator="containsText" text="NO">
      <formula>NOT(ISERROR(SEARCH("NO",C853)))</formula>
    </cfRule>
  </conditionalFormatting>
  <conditionalFormatting sqref="E853">
    <cfRule type="containsText" dxfId="2939" priority="3043" operator="containsText" text="Sin información">
      <formula>NOT(ISERROR(SEARCH("Sin información",E853)))</formula>
    </cfRule>
  </conditionalFormatting>
  <conditionalFormatting sqref="C853:E853">
    <cfRule type="containsText" dxfId="2938" priority="3042" operator="containsText" text="NUEVO">
      <formula>NOT(ISERROR(SEARCH("NUEVO",C853)))</formula>
    </cfRule>
  </conditionalFormatting>
  <conditionalFormatting sqref="C854:D854">
    <cfRule type="containsText" dxfId="2937" priority="3041" operator="containsText" text="NO+$D$4:$D$10">
      <formula>NOT(ISERROR(SEARCH("NO+$D$4:$D$10",C854)))</formula>
    </cfRule>
  </conditionalFormatting>
  <conditionalFormatting sqref="C854:D854">
    <cfRule type="containsText" dxfId="2936" priority="3039" operator="containsText" text="SI">
      <formula>NOT(ISERROR(SEARCH("SI",C854)))</formula>
    </cfRule>
    <cfRule type="containsText" dxfId="2935" priority="3040" operator="containsText" text="NO">
      <formula>NOT(ISERROR(SEARCH("NO",C854)))</formula>
    </cfRule>
  </conditionalFormatting>
  <conditionalFormatting sqref="E854">
    <cfRule type="containsText" dxfId="2934" priority="3038" operator="containsText" text="Sin información">
      <formula>NOT(ISERROR(SEARCH("Sin información",E854)))</formula>
    </cfRule>
  </conditionalFormatting>
  <conditionalFormatting sqref="C854:E854">
    <cfRule type="containsText" dxfId="2933" priority="3037" operator="containsText" text="NUEVO">
      <formula>NOT(ISERROR(SEARCH("NUEVO",C854)))</formula>
    </cfRule>
  </conditionalFormatting>
  <conditionalFormatting sqref="C855:D855">
    <cfRule type="containsText" dxfId="2932" priority="3036" operator="containsText" text="NO+$D$4:$D$10">
      <formula>NOT(ISERROR(SEARCH("NO+$D$4:$D$10",C855)))</formula>
    </cfRule>
  </conditionalFormatting>
  <conditionalFormatting sqref="C855:D855">
    <cfRule type="containsText" dxfId="2931" priority="3034" operator="containsText" text="SI">
      <formula>NOT(ISERROR(SEARCH("SI",C855)))</formula>
    </cfRule>
    <cfRule type="containsText" dxfId="2930" priority="3035" operator="containsText" text="NO">
      <formula>NOT(ISERROR(SEARCH("NO",C855)))</formula>
    </cfRule>
  </conditionalFormatting>
  <conditionalFormatting sqref="E855">
    <cfRule type="containsText" dxfId="2929" priority="3033" operator="containsText" text="Sin información">
      <formula>NOT(ISERROR(SEARCH("Sin información",E855)))</formula>
    </cfRule>
  </conditionalFormatting>
  <conditionalFormatting sqref="C855:E855">
    <cfRule type="containsText" dxfId="2928" priority="3032" operator="containsText" text="NUEVO">
      <formula>NOT(ISERROR(SEARCH("NUEVO",C855)))</formula>
    </cfRule>
  </conditionalFormatting>
  <conditionalFormatting sqref="C856:D856">
    <cfRule type="containsText" dxfId="2927" priority="3031" operator="containsText" text="NO+$D$4:$D$10">
      <formula>NOT(ISERROR(SEARCH("NO+$D$4:$D$10",C856)))</formula>
    </cfRule>
  </conditionalFormatting>
  <conditionalFormatting sqref="C856:D856">
    <cfRule type="containsText" dxfId="2926" priority="3029" operator="containsText" text="SI">
      <formula>NOT(ISERROR(SEARCH("SI",C856)))</formula>
    </cfRule>
    <cfRule type="containsText" dxfId="2925" priority="3030" operator="containsText" text="NO">
      <formula>NOT(ISERROR(SEARCH("NO",C856)))</formula>
    </cfRule>
  </conditionalFormatting>
  <conditionalFormatting sqref="E856">
    <cfRule type="containsText" dxfId="2924" priority="3028" operator="containsText" text="Sin información">
      <formula>NOT(ISERROR(SEARCH("Sin información",E856)))</formula>
    </cfRule>
  </conditionalFormatting>
  <conditionalFormatting sqref="C856:E856">
    <cfRule type="containsText" dxfId="2923" priority="3027" operator="containsText" text="NUEVO">
      <formula>NOT(ISERROR(SEARCH("NUEVO",C856)))</formula>
    </cfRule>
  </conditionalFormatting>
  <conditionalFormatting sqref="C857:D857">
    <cfRule type="containsText" dxfId="2922" priority="3026" operator="containsText" text="NO+$D$4:$D$10">
      <formula>NOT(ISERROR(SEARCH("NO+$D$4:$D$10",C857)))</formula>
    </cfRule>
  </conditionalFormatting>
  <conditionalFormatting sqref="C857:D857">
    <cfRule type="containsText" dxfId="2921" priority="3024" operator="containsText" text="SI">
      <formula>NOT(ISERROR(SEARCH("SI",C857)))</formula>
    </cfRule>
    <cfRule type="containsText" dxfId="2920" priority="3025" operator="containsText" text="NO">
      <formula>NOT(ISERROR(SEARCH("NO",C857)))</formula>
    </cfRule>
  </conditionalFormatting>
  <conditionalFormatting sqref="E857">
    <cfRule type="containsText" dxfId="2919" priority="3023" operator="containsText" text="Sin información">
      <formula>NOT(ISERROR(SEARCH("Sin información",E857)))</formula>
    </cfRule>
  </conditionalFormatting>
  <conditionalFormatting sqref="C857:E857">
    <cfRule type="containsText" dxfId="2918" priority="3022" operator="containsText" text="NUEVO">
      <formula>NOT(ISERROR(SEARCH("NUEVO",C857)))</formula>
    </cfRule>
  </conditionalFormatting>
  <conditionalFormatting sqref="C858:D858">
    <cfRule type="containsText" dxfId="2917" priority="3021" operator="containsText" text="NO+$D$4:$D$10">
      <formula>NOT(ISERROR(SEARCH("NO+$D$4:$D$10",C858)))</formula>
    </cfRule>
  </conditionalFormatting>
  <conditionalFormatting sqref="C858:D858">
    <cfRule type="containsText" dxfId="2916" priority="3019" operator="containsText" text="SI">
      <formula>NOT(ISERROR(SEARCH("SI",C858)))</formula>
    </cfRule>
    <cfRule type="containsText" dxfId="2915" priority="3020" operator="containsText" text="NO">
      <formula>NOT(ISERROR(SEARCH("NO",C858)))</formula>
    </cfRule>
  </conditionalFormatting>
  <conditionalFormatting sqref="E858">
    <cfRule type="containsText" dxfId="2914" priority="3018" operator="containsText" text="Sin información">
      <formula>NOT(ISERROR(SEARCH("Sin información",E858)))</formula>
    </cfRule>
  </conditionalFormatting>
  <conditionalFormatting sqref="C858:E858">
    <cfRule type="containsText" dxfId="2913" priority="3017" operator="containsText" text="NUEVO">
      <formula>NOT(ISERROR(SEARCH("NUEVO",C858)))</formula>
    </cfRule>
  </conditionalFormatting>
  <conditionalFormatting sqref="C859:D859">
    <cfRule type="containsText" dxfId="2912" priority="3016" operator="containsText" text="NO+$D$4:$D$10">
      <formula>NOT(ISERROR(SEARCH("NO+$D$4:$D$10",C859)))</formula>
    </cfRule>
  </conditionalFormatting>
  <conditionalFormatting sqref="C859:D859">
    <cfRule type="containsText" dxfId="2911" priority="3014" operator="containsText" text="SI">
      <formula>NOT(ISERROR(SEARCH("SI",C859)))</formula>
    </cfRule>
    <cfRule type="containsText" dxfId="2910" priority="3015" operator="containsText" text="NO">
      <formula>NOT(ISERROR(SEARCH("NO",C859)))</formula>
    </cfRule>
  </conditionalFormatting>
  <conditionalFormatting sqref="C859:D859">
    <cfRule type="containsText" dxfId="2909" priority="3013" operator="containsText" text="NUEVO">
      <formula>NOT(ISERROR(SEARCH("NUEVO",C859)))</formula>
    </cfRule>
  </conditionalFormatting>
  <conditionalFormatting sqref="E859">
    <cfRule type="containsText" dxfId="2908" priority="3012" operator="containsText" text="Sin información">
      <formula>NOT(ISERROR(SEARCH("Sin información",E859)))</formula>
    </cfRule>
  </conditionalFormatting>
  <conditionalFormatting sqref="E859">
    <cfRule type="containsText" dxfId="2907" priority="3011" operator="containsText" text="NUEVO">
      <formula>NOT(ISERROR(SEARCH("NUEVO",E859)))</formula>
    </cfRule>
  </conditionalFormatting>
  <conditionalFormatting sqref="C860:D860">
    <cfRule type="containsText" dxfId="2906" priority="3010" operator="containsText" text="NO+$D$4:$D$10">
      <formula>NOT(ISERROR(SEARCH("NO+$D$4:$D$10",C860)))</formula>
    </cfRule>
  </conditionalFormatting>
  <conditionalFormatting sqref="C860:D860">
    <cfRule type="containsText" dxfId="2905" priority="3008" operator="containsText" text="SI">
      <formula>NOT(ISERROR(SEARCH("SI",C860)))</formula>
    </cfRule>
    <cfRule type="containsText" dxfId="2904" priority="3009" operator="containsText" text="NO">
      <formula>NOT(ISERROR(SEARCH("NO",C860)))</formula>
    </cfRule>
  </conditionalFormatting>
  <conditionalFormatting sqref="E860">
    <cfRule type="containsText" dxfId="2903" priority="3007" operator="containsText" text="Sin información">
      <formula>NOT(ISERROR(SEARCH("Sin información",E860)))</formula>
    </cfRule>
  </conditionalFormatting>
  <conditionalFormatting sqref="C860:E860">
    <cfRule type="containsText" dxfId="2902" priority="3006" operator="containsText" text="NUEVO">
      <formula>NOT(ISERROR(SEARCH("NUEVO",C860)))</formula>
    </cfRule>
  </conditionalFormatting>
  <conditionalFormatting sqref="C861:D861">
    <cfRule type="containsText" dxfId="2901" priority="3005" operator="containsText" text="NO+$D$4:$D$10">
      <formula>NOT(ISERROR(SEARCH("NO+$D$4:$D$10",C861)))</formula>
    </cfRule>
  </conditionalFormatting>
  <conditionalFormatting sqref="C861:D861">
    <cfRule type="containsText" dxfId="2900" priority="3003" operator="containsText" text="SI">
      <formula>NOT(ISERROR(SEARCH("SI",C861)))</formula>
    </cfRule>
    <cfRule type="containsText" dxfId="2899" priority="3004" operator="containsText" text="NO">
      <formula>NOT(ISERROR(SEARCH("NO",C861)))</formula>
    </cfRule>
  </conditionalFormatting>
  <conditionalFormatting sqref="E861">
    <cfRule type="containsText" dxfId="2898" priority="3002" operator="containsText" text="Sin información">
      <formula>NOT(ISERROR(SEARCH("Sin información",E861)))</formula>
    </cfRule>
  </conditionalFormatting>
  <conditionalFormatting sqref="C861:E861">
    <cfRule type="containsText" dxfId="2897" priority="3001" operator="containsText" text="NUEVO">
      <formula>NOT(ISERROR(SEARCH("NUEVO",C861)))</formula>
    </cfRule>
  </conditionalFormatting>
  <conditionalFormatting sqref="C862:D862">
    <cfRule type="containsText" dxfId="2896" priority="3000" operator="containsText" text="NO+$D$4:$D$10">
      <formula>NOT(ISERROR(SEARCH("NO+$D$4:$D$10",C862)))</formula>
    </cfRule>
  </conditionalFormatting>
  <conditionalFormatting sqref="C862:D862">
    <cfRule type="containsText" dxfId="2895" priority="2998" operator="containsText" text="SI">
      <formula>NOT(ISERROR(SEARCH("SI",C862)))</formula>
    </cfRule>
    <cfRule type="containsText" dxfId="2894" priority="2999" operator="containsText" text="NO">
      <formula>NOT(ISERROR(SEARCH("NO",C862)))</formula>
    </cfRule>
  </conditionalFormatting>
  <conditionalFormatting sqref="E862">
    <cfRule type="containsText" dxfId="2893" priority="2997" operator="containsText" text="Sin información">
      <formula>NOT(ISERROR(SEARCH("Sin información",E862)))</formula>
    </cfRule>
  </conditionalFormatting>
  <conditionalFormatting sqref="C862:E862">
    <cfRule type="containsText" dxfId="2892" priority="2996" operator="containsText" text="NUEVO">
      <formula>NOT(ISERROR(SEARCH("NUEVO",C862)))</formula>
    </cfRule>
  </conditionalFormatting>
  <conditionalFormatting sqref="C863:D863">
    <cfRule type="containsText" dxfId="2891" priority="2995" operator="containsText" text="NO+$D$4:$D$10">
      <formula>NOT(ISERROR(SEARCH("NO+$D$4:$D$10",C863)))</formula>
    </cfRule>
  </conditionalFormatting>
  <conditionalFormatting sqref="C863:D863">
    <cfRule type="containsText" dxfId="2890" priority="2993" operator="containsText" text="SI">
      <formula>NOT(ISERROR(SEARCH("SI",C863)))</formula>
    </cfRule>
    <cfRule type="containsText" dxfId="2889" priority="2994" operator="containsText" text="NO">
      <formula>NOT(ISERROR(SEARCH("NO",C863)))</formula>
    </cfRule>
  </conditionalFormatting>
  <conditionalFormatting sqref="E863">
    <cfRule type="containsText" dxfId="2888" priority="2992" operator="containsText" text="Sin información">
      <formula>NOT(ISERROR(SEARCH("Sin información",E863)))</formula>
    </cfRule>
  </conditionalFormatting>
  <conditionalFormatting sqref="C863:E863">
    <cfRule type="containsText" dxfId="2887" priority="2991" operator="containsText" text="NUEVO">
      <formula>NOT(ISERROR(SEARCH("NUEVO",C863)))</formula>
    </cfRule>
  </conditionalFormatting>
  <conditionalFormatting sqref="C864:D864">
    <cfRule type="containsText" dxfId="2886" priority="2990" operator="containsText" text="NO+$D$4:$D$10">
      <formula>NOT(ISERROR(SEARCH("NO+$D$4:$D$10",C864)))</formula>
    </cfRule>
  </conditionalFormatting>
  <conditionalFormatting sqref="C864:D864">
    <cfRule type="containsText" dxfId="2885" priority="2988" operator="containsText" text="SI">
      <formula>NOT(ISERROR(SEARCH("SI",C864)))</formula>
    </cfRule>
    <cfRule type="containsText" dxfId="2884" priority="2989" operator="containsText" text="NO">
      <formula>NOT(ISERROR(SEARCH("NO",C864)))</formula>
    </cfRule>
  </conditionalFormatting>
  <conditionalFormatting sqref="E864">
    <cfRule type="containsText" dxfId="2883" priority="2987" operator="containsText" text="Sin información">
      <formula>NOT(ISERROR(SEARCH("Sin información",E864)))</formula>
    </cfRule>
  </conditionalFormatting>
  <conditionalFormatting sqref="C864:E864">
    <cfRule type="containsText" dxfId="2882" priority="2986" operator="containsText" text="NUEVO">
      <formula>NOT(ISERROR(SEARCH("NUEVO",C864)))</formula>
    </cfRule>
  </conditionalFormatting>
  <conditionalFormatting sqref="C865:D865">
    <cfRule type="containsText" dxfId="2881" priority="2985" operator="containsText" text="NO+$D$4:$D$10">
      <formula>NOT(ISERROR(SEARCH("NO+$D$4:$D$10",C865)))</formula>
    </cfRule>
  </conditionalFormatting>
  <conditionalFormatting sqref="C865:D865">
    <cfRule type="containsText" dxfId="2880" priority="2983" operator="containsText" text="SI">
      <formula>NOT(ISERROR(SEARCH("SI",C865)))</formula>
    </cfRule>
    <cfRule type="containsText" dxfId="2879" priority="2984" operator="containsText" text="NO">
      <formula>NOT(ISERROR(SEARCH("NO",C865)))</formula>
    </cfRule>
  </conditionalFormatting>
  <conditionalFormatting sqref="C865:D865">
    <cfRule type="containsText" dxfId="2878" priority="2982" operator="containsText" text="NUEVO">
      <formula>NOT(ISERROR(SEARCH("NUEVO",C865)))</formula>
    </cfRule>
  </conditionalFormatting>
  <conditionalFormatting sqref="E865">
    <cfRule type="containsText" dxfId="2877" priority="2981" operator="containsText" text="Sin información">
      <formula>NOT(ISERROR(SEARCH("Sin información",E865)))</formula>
    </cfRule>
  </conditionalFormatting>
  <conditionalFormatting sqref="E865">
    <cfRule type="containsText" dxfId="2876" priority="2980" operator="containsText" text="NUEVO">
      <formula>NOT(ISERROR(SEARCH("NUEVO",E865)))</formula>
    </cfRule>
  </conditionalFormatting>
  <conditionalFormatting sqref="C866:D866">
    <cfRule type="containsText" dxfId="2875" priority="2979" operator="containsText" text="NO+$D$4:$D$10">
      <formula>NOT(ISERROR(SEARCH("NO+$D$4:$D$10",C866)))</formula>
    </cfRule>
  </conditionalFormatting>
  <conditionalFormatting sqref="C866:D866">
    <cfRule type="containsText" dxfId="2874" priority="2977" operator="containsText" text="SI">
      <formula>NOT(ISERROR(SEARCH("SI",C866)))</formula>
    </cfRule>
    <cfRule type="containsText" dxfId="2873" priority="2978" operator="containsText" text="NO">
      <formula>NOT(ISERROR(SEARCH("NO",C866)))</formula>
    </cfRule>
  </conditionalFormatting>
  <conditionalFormatting sqref="E866">
    <cfRule type="containsText" dxfId="2872" priority="2976" operator="containsText" text="Sin información">
      <formula>NOT(ISERROR(SEARCH("Sin información",E866)))</formula>
    </cfRule>
  </conditionalFormatting>
  <conditionalFormatting sqref="C866:E866">
    <cfRule type="containsText" dxfId="2871" priority="2975" operator="containsText" text="NUEVO">
      <formula>NOT(ISERROR(SEARCH("NUEVO",C866)))</formula>
    </cfRule>
  </conditionalFormatting>
  <conditionalFormatting sqref="C867:D867">
    <cfRule type="containsText" dxfId="2870" priority="2974" operator="containsText" text="NO+$D$4:$D$10">
      <formula>NOT(ISERROR(SEARCH("NO+$D$4:$D$10",C867)))</formula>
    </cfRule>
  </conditionalFormatting>
  <conditionalFormatting sqref="C867:D867">
    <cfRule type="containsText" dxfId="2869" priority="2972" operator="containsText" text="SI">
      <formula>NOT(ISERROR(SEARCH("SI",C867)))</formula>
    </cfRule>
    <cfRule type="containsText" dxfId="2868" priority="2973" operator="containsText" text="NO">
      <formula>NOT(ISERROR(SEARCH("NO",C867)))</formula>
    </cfRule>
  </conditionalFormatting>
  <conditionalFormatting sqref="E867">
    <cfRule type="containsText" dxfId="2867" priority="2971" operator="containsText" text="Sin información">
      <formula>NOT(ISERROR(SEARCH("Sin información",E867)))</formula>
    </cfRule>
  </conditionalFormatting>
  <conditionalFormatting sqref="C867:E867">
    <cfRule type="containsText" dxfId="2866" priority="2970" operator="containsText" text="NUEVO">
      <formula>NOT(ISERROR(SEARCH("NUEVO",C867)))</formula>
    </cfRule>
  </conditionalFormatting>
  <conditionalFormatting sqref="C868:D868">
    <cfRule type="containsText" dxfId="2865" priority="2969" operator="containsText" text="NO+$D$4:$D$10">
      <formula>NOT(ISERROR(SEARCH("NO+$D$4:$D$10",C868)))</formula>
    </cfRule>
  </conditionalFormatting>
  <conditionalFormatting sqref="C868:D868">
    <cfRule type="containsText" dxfId="2864" priority="2967" operator="containsText" text="SI">
      <formula>NOT(ISERROR(SEARCH("SI",C868)))</formula>
    </cfRule>
    <cfRule type="containsText" dxfId="2863" priority="2968" operator="containsText" text="NO">
      <formula>NOT(ISERROR(SEARCH("NO",C868)))</formula>
    </cfRule>
  </conditionalFormatting>
  <conditionalFormatting sqref="E868">
    <cfRule type="containsText" dxfId="2862" priority="2966" operator="containsText" text="Sin información">
      <formula>NOT(ISERROR(SEARCH("Sin información",E868)))</formula>
    </cfRule>
  </conditionalFormatting>
  <conditionalFormatting sqref="C868:E868">
    <cfRule type="containsText" dxfId="2861" priority="2965" operator="containsText" text="NUEVO">
      <formula>NOT(ISERROR(SEARCH("NUEVO",C868)))</formula>
    </cfRule>
  </conditionalFormatting>
  <conditionalFormatting sqref="C869:D869">
    <cfRule type="containsText" dxfId="2860" priority="2964" operator="containsText" text="NO+$D$4:$D$10">
      <formula>NOT(ISERROR(SEARCH("NO+$D$4:$D$10",C869)))</formula>
    </cfRule>
  </conditionalFormatting>
  <conditionalFormatting sqref="C869:D869">
    <cfRule type="containsText" dxfId="2859" priority="2962" operator="containsText" text="SI">
      <formula>NOT(ISERROR(SEARCH("SI",C869)))</formula>
    </cfRule>
    <cfRule type="containsText" dxfId="2858" priority="2963" operator="containsText" text="NO">
      <formula>NOT(ISERROR(SEARCH("NO",C869)))</formula>
    </cfRule>
  </conditionalFormatting>
  <conditionalFormatting sqref="E869">
    <cfRule type="containsText" dxfId="2857" priority="2961" operator="containsText" text="Sin información">
      <formula>NOT(ISERROR(SEARCH("Sin información",E869)))</formula>
    </cfRule>
  </conditionalFormatting>
  <conditionalFormatting sqref="C869:E869">
    <cfRule type="containsText" dxfId="2856" priority="2960" operator="containsText" text="NUEVO">
      <formula>NOT(ISERROR(SEARCH("NUEVO",C869)))</formula>
    </cfRule>
  </conditionalFormatting>
  <conditionalFormatting sqref="C870:D870">
    <cfRule type="containsText" dxfId="2855" priority="2959" operator="containsText" text="NO+$D$4:$D$10">
      <formula>NOT(ISERROR(SEARCH("NO+$D$4:$D$10",C870)))</formula>
    </cfRule>
  </conditionalFormatting>
  <conditionalFormatting sqref="C870:D870">
    <cfRule type="containsText" dxfId="2854" priority="2957" operator="containsText" text="SI">
      <formula>NOT(ISERROR(SEARCH("SI",C870)))</formula>
    </cfRule>
    <cfRule type="containsText" dxfId="2853" priority="2958" operator="containsText" text="NO">
      <formula>NOT(ISERROR(SEARCH("NO",C870)))</formula>
    </cfRule>
  </conditionalFormatting>
  <conditionalFormatting sqref="E870">
    <cfRule type="containsText" dxfId="2852" priority="2956" operator="containsText" text="Sin información">
      <formula>NOT(ISERROR(SEARCH("Sin información",E870)))</formula>
    </cfRule>
  </conditionalFormatting>
  <conditionalFormatting sqref="C870:E870">
    <cfRule type="containsText" dxfId="2851" priority="2955" operator="containsText" text="NUEVO">
      <formula>NOT(ISERROR(SEARCH("NUEVO",C870)))</formula>
    </cfRule>
  </conditionalFormatting>
  <conditionalFormatting sqref="C879:D879">
    <cfRule type="containsText" dxfId="2850" priority="2954" operator="containsText" text="NO+$D$4:$D$10">
      <formula>NOT(ISERROR(SEARCH("NO+$D$4:$D$10",C879)))</formula>
    </cfRule>
  </conditionalFormatting>
  <conditionalFormatting sqref="C879:D879">
    <cfRule type="containsText" dxfId="2849" priority="2952" operator="containsText" text="SI">
      <formula>NOT(ISERROR(SEARCH("SI",C879)))</formula>
    </cfRule>
    <cfRule type="containsText" dxfId="2848" priority="2953" operator="containsText" text="NO">
      <formula>NOT(ISERROR(SEARCH("NO",C879)))</formula>
    </cfRule>
  </conditionalFormatting>
  <conditionalFormatting sqref="E879">
    <cfRule type="containsText" dxfId="2847" priority="2951" operator="containsText" text="Sin información">
      <formula>NOT(ISERROR(SEARCH("Sin información",E879)))</formula>
    </cfRule>
  </conditionalFormatting>
  <conditionalFormatting sqref="C879:E879">
    <cfRule type="containsText" dxfId="2846" priority="2950" operator="containsText" text="NUEVO">
      <formula>NOT(ISERROR(SEARCH("NUEVO",C879)))</formula>
    </cfRule>
  </conditionalFormatting>
  <conditionalFormatting sqref="C880:D880">
    <cfRule type="containsText" dxfId="2845" priority="2949" operator="containsText" text="NO+$D$4:$D$10">
      <formula>NOT(ISERROR(SEARCH("NO+$D$4:$D$10",C880)))</formula>
    </cfRule>
  </conditionalFormatting>
  <conditionalFormatting sqref="C880:D880">
    <cfRule type="containsText" dxfId="2844" priority="2947" operator="containsText" text="SI">
      <formula>NOT(ISERROR(SEARCH("SI",C880)))</formula>
    </cfRule>
    <cfRule type="containsText" dxfId="2843" priority="2948" operator="containsText" text="NO">
      <formula>NOT(ISERROR(SEARCH("NO",C880)))</formula>
    </cfRule>
  </conditionalFormatting>
  <conditionalFormatting sqref="E880">
    <cfRule type="containsText" dxfId="2842" priority="2946" operator="containsText" text="Sin información">
      <formula>NOT(ISERROR(SEARCH("Sin información",E880)))</formula>
    </cfRule>
  </conditionalFormatting>
  <conditionalFormatting sqref="C880:E880">
    <cfRule type="containsText" dxfId="2841" priority="2945" operator="containsText" text="NUEVO">
      <formula>NOT(ISERROR(SEARCH("NUEVO",C880)))</formula>
    </cfRule>
  </conditionalFormatting>
  <conditionalFormatting sqref="C881:D881">
    <cfRule type="containsText" dxfId="2840" priority="2944" operator="containsText" text="NO+$D$4:$D$10">
      <formula>NOT(ISERROR(SEARCH("NO+$D$4:$D$10",C881)))</formula>
    </cfRule>
  </conditionalFormatting>
  <conditionalFormatting sqref="C881:D881">
    <cfRule type="containsText" dxfId="2839" priority="2942" operator="containsText" text="SI">
      <formula>NOT(ISERROR(SEARCH("SI",C881)))</formula>
    </cfRule>
    <cfRule type="containsText" dxfId="2838" priority="2943" operator="containsText" text="NO">
      <formula>NOT(ISERROR(SEARCH("NO",C881)))</formula>
    </cfRule>
  </conditionalFormatting>
  <conditionalFormatting sqref="E881">
    <cfRule type="containsText" dxfId="2837" priority="2941" operator="containsText" text="Sin información">
      <formula>NOT(ISERROR(SEARCH("Sin información",E881)))</formula>
    </cfRule>
  </conditionalFormatting>
  <conditionalFormatting sqref="C881:E881">
    <cfRule type="containsText" dxfId="2836" priority="2940" operator="containsText" text="NUEVO">
      <formula>NOT(ISERROR(SEARCH("NUEVO",C881)))</formula>
    </cfRule>
  </conditionalFormatting>
  <conditionalFormatting sqref="C882:D882">
    <cfRule type="containsText" dxfId="2835" priority="2939" operator="containsText" text="NO+$D$4:$D$10">
      <formula>NOT(ISERROR(SEARCH("NO+$D$4:$D$10",C882)))</formula>
    </cfRule>
  </conditionalFormatting>
  <conditionalFormatting sqref="C882:D882">
    <cfRule type="containsText" dxfId="2834" priority="2937" operator="containsText" text="SI">
      <formula>NOT(ISERROR(SEARCH("SI",C882)))</formula>
    </cfRule>
    <cfRule type="containsText" dxfId="2833" priority="2938" operator="containsText" text="NO">
      <formula>NOT(ISERROR(SEARCH("NO",C882)))</formula>
    </cfRule>
  </conditionalFormatting>
  <conditionalFormatting sqref="E882">
    <cfRule type="containsText" dxfId="2832" priority="2936" operator="containsText" text="Sin información">
      <formula>NOT(ISERROR(SEARCH("Sin información",E882)))</formula>
    </cfRule>
  </conditionalFormatting>
  <conditionalFormatting sqref="C882:E882">
    <cfRule type="containsText" dxfId="2831" priority="2935" operator="containsText" text="NUEVO">
      <formula>NOT(ISERROR(SEARCH("NUEVO",C882)))</formula>
    </cfRule>
  </conditionalFormatting>
  <conditionalFormatting sqref="C883:D883">
    <cfRule type="containsText" dxfId="2830" priority="2934" operator="containsText" text="NO+$D$4:$D$10">
      <formula>NOT(ISERROR(SEARCH("NO+$D$4:$D$10",C883)))</formula>
    </cfRule>
  </conditionalFormatting>
  <conditionalFormatting sqref="C883:D883">
    <cfRule type="containsText" dxfId="2829" priority="2932" operator="containsText" text="SI">
      <formula>NOT(ISERROR(SEARCH("SI",C883)))</formula>
    </cfRule>
    <cfRule type="containsText" dxfId="2828" priority="2933" operator="containsText" text="NO">
      <formula>NOT(ISERROR(SEARCH("NO",C883)))</formula>
    </cfRule>
  </conditionalFormatting>
  <conditionalFormatting sqref="E883">
    <cfRule type="containsText" dxfId="2827" priority="2931" operator="containsText" text="Sin información">
      <formula>NOT(ISERROR(SEARCH("Sin información",E883)))</formula>
    </cfRule>
  </conditionalFormatting>
  <conditionalFormatting sqref="C883:E883">
    <cfRule type="containsText" dxfId="2826" priority="2930" operator="containsText" text="NUEVO">
      <formula>NOT(ISERROR(SEARCH("NUEVO",C883)))</formula>
    </cfRule>
  </conditionalFormatting>
  <conditionalFormatting sqref="C884:D884">
    <cfRule type="containsText" dxfId="2825" priority="2924" operator="containsText" text="NO+$D$4:$D$10">
      <formula>NOT(ISERROR(SEARCH("NO+$D$4:$D$10",C884)))</formula>
    </cfRule>
  </conditionalFormatting>
  <conditionalFormatting sqref="C884:D884">
    <cfRule type="containsText" dxfId="2824" priority="2922" operator="containsText" text="SI">
      <formula>NOT(ISERROR(SEARCH("SI",C884)))</formula>
    </cfRule>
    <cfRule type="containsText" dxfId="2823" priority="2923" operator="containsText" text="NO">
      <formula>NOT(ISERROR(SEARCH("NO",C884)))</formula>
    </cfRule>
  </conditionalFormatting>
  <conditionalFormatting sqref="E884">
    <cfRule type="containsText" dxfId="2822" priority="2921" operator="containsText" text="Sin información">
      <formula>NOT(ISERROR(SEARCH("Sin información",E884)))</formula>
    </cfRule>
  </conditionalFormatting>
  <conditionalFormatting sqref="C884:E884">
    <cfRule type="containsText" dxfId="2821" priority="2920" operator="containsText" text="NUEVO">
      <formula>NOT(ISERROR(SEARCH("NUEVO",C884)))</formula>
    </cfRule>
  </conditionalFormatting>
  <conditionalFormatting sqref="C885:D885">
    <cfRule type="containsText" dxfId="2820" priority="2919" operator="containsText" text="NO+$D$4:$D$10">
      <formula>NOT(ISERROR(SEARCH("NO+$D$4:$D$10",C885)))</formula>
    </cfRule>
  </conditionalFormatting>
  <conditionalFormatting sqref="C885:D885">
    <cfRule type="containsText" dxfId="2819" priority="2917" operator="containsText" text="SI">
      <formula>NOT(ISERROR(SEARCH("SI",C885)))</formula>
    </cfRule>
    <cfRule type="containsText" dxfId="2818" priority="2918" operator="containsText" text="NO">
      <formula>NOT(ISERROR(SEARCH("NO",C885)))</formula>
    </cfRule>
  </conditionalFormatting>
  <conditionalFormatting sqref="E885">
    <cfRule type="containsText" dxfId="2817" priority="2916" operator="containsText" text="Sin información">
      <formula>NOT(ISERROR(SEARCH("Sin información",E885)))</formula>
    </cfRule>
  </conditionalFormatting>
  <conditionalFormatting sqref="C885:E885">
    <cfRule type="containsText" dxfId="2816" priority="2915" operator="containsText" text="NUEVO">
      <formula>NOT(ISERROR(SEARCH("NUEVO",C885)))</formula>
    </cfRule>
  </conditionalFormatting>
  <conditionalFormatting sqref="C886:D886">
    <cfRule type="containsText" dxfId="2815" priority="2914" operator="containsText" text="NO+$D$4:$D$10">
      <formula>NOT(ISERROR(SEARCH("NO+$D$4:$D$10",C886)))</formula>
    </cfRule>
  </conditionalFormatting>
  <conditionalFormatting sqref="C886:D886">
    <cfRule type="containsText" dxfId="2814" priority="2912" operator="containsText" text="SI">
      <formula>NOT(ISERROR(SEARCH("SI",C886)))</formula>
    </cfRule>
    <cfRule type="containsText" dxfId="2813" priority="2913" operator="containsText" text="NO">
      <formula>NOT(ISERROR(SEARCH("NO",C886)))</formula>
    </cfRule>
  </conditionalFormatting>
  <conditionalFormatting sqref="C886:D886">
    <cfRule type="containsText" dxfId="2812" priority="2911" operator="containsText" text="NUEVO">
      <formula>NOT(ISERROR(SEARCH("NUEVO",C886)))</formula>
    </cfRule>
  </conditionalFormatting>
  <conditionalFormatting sqref="E886">
    <cfRule type="containsText" dxfId="2811" priority="2910" operator="containsText" text="Sin información">
      <formula>NOT(ISERROR(SEARCH("Sin información",E886)))</formula>
    </cfRule>
  </conditionalFormatting>
  <conditionalFormatting sqref="E886">
    <cfRule type="containsText" dxfId="2810" priority="2909" operator="containsText" text="NUEVO">
      <formula>NOT(ISERROR(SEARCH("NUEVO",E886)))</formula>
    </cfRule>
  </conditionalFormatting>
  <conditionalFormatting sqref="C887:D887">
    <cfRule type="containsText" dxfId="2809" priority="2908" operator="containsText" text="NO+$D$4:$D$10">
      <formula>NOT(ISERROR(SEARCH("NO+$D$4:$D$10",C887)))</formula>
    </cfRule>
  </conditionalFormatting>
  <conditionalFormatting sqref="C887:D887">
    <cfRule type="containsText" dxfId="2808" priority="2906" operator="containsText" text="SI">
      <formula>NOT(ISERROR(SEARCH("SI",C887)))</formula>
    </cfRule>
    <cfRule type="containsText" dxfId="2807" priority="2907" operator="containsText" text="NO">
      <formula>NOT(ISERROR(SEARCH("NO",C887)))</formula>
    </cfRule>
  </conditionalFormatting>
  <conditionalFormatting sqref="C887:D887">
    <cfRule type="containsText" dxfId="2806" priority="2905" operator="containsText" text="NUEVO">
      <formula>NOT(ISERROR(SEARCH("NUEVO",C887)))</formula>
    </cfRule>
  </conditionalFormatting>
  <conditionalFormatting sqref="E887">
    <cfRule type="containsText" dxfId="2805" priority="2904" operator="containsText" text="Sin información">
      <formula>NOT(ISERROR(SEARCH("Sin información",E887)))</formula>
    </cfRule>
  </conditionalFormatting>
  <conditionalFormatting sqref="E887">
    <cfRule type="containsText" dxfId="2804" priority="2903" operator="containsText" text="NUEVO">
      <formula>NOT(ISERROR(SEARCH("NUEVO",E887)))</formula>
    </cfRule>
  </conditionalFormatting>
  <conditionalFormatting sqref="C888:D888">
    <cfRule type="containsText" dxfId="2803" priority="2902" operator="containsText" text="NO+$D$4:$D$10">
      <formula>NOT(ISERROR(SEARCH("NO+$D$4:$D$10",C888)))</formula>
    </cfRule>
  </conditionalFormatting>
  <conditionalFormatting sqref="C888:D888">
    <cfRule type="containsText" dxfId="2802" priority="2900" operator="containsText" text="SI">
      <formula>NOT(ISERROR(SEARCH("SI",C888)))</formula>
    </cfRule>
    <cfRule type="containsText" dxfId="2801" priority="2901" operator="containsText" text="NO">
      <formula>NOT(ISERROR(SEARCH("NO",C888)))</formula>
    </cfRule>
  </conditionalFormatting>
  <conditionalFormatting sqref="E888">
    <cfRule type="containsText" dxfId="2800" priority="2899" operator="containsText" text="Sin información">
      <formula>NOT(ISERROR(SEARCH("Sin información",E888)))</formula>
    </cfRule>
  </conditionalFormatting>
  <conditionalFormatting sqref="C888:E888">
    <cfRule type="containsText" dxfId="2799" priority="2898" operator="containsText" text="NUEVO">
      <formula>NOT(ISERROR(SEARCH("NUEVO",C888)))</formula>
    </cfRule>
  </conditionalFormatting>
  <conditionalFormatting sqref="C889:D889">
    <cfRule type="containsText" dxfId="2798" priority="2897" operator="containsText" text="NO+$D$4:$D$10">
      <formula>NOT(ISERROR(SEARCH("NO+$D$4:$D$10",C889)))</formula>
    </cfRule>
  </conditionalFormatting>
  <conditionalFormatting sqref="C889:D889">
    <cfRule type="containsText" dxfId="2797" priority="2895" operator="containsText" text="SI">
      <formula>NOT(ISERROR(SEARCH("SI",C889)))</formula>
    </cfRule>
    <cfRule type="containsText" dxfId="2796" priority="2896" operator="containsText" text="NO">
      <formula>NOT(ISERROR(SEARCH("NO",C889)))</formula>
    </cfRule>
  </conditionalFormatting>
  <conditionalFormatting sqref="E889">
    <cfRule type="containsText" dxfId="2795" priority="2894" operator="containsText" text="Sin información">
      <formula>NOT(ISERROR(SEARCH("Sin información",E889)))</formula>
    </cfRule>
  </conditionalFormatting>
  <conditionalFormatting sqref="C889:E889">
    <cfRule type="containsText" dxfId="2794" priority="2893" operator="containsText" text="NUEVO">
      <formula>NOT(ISERROR(SEARCH("NUEVO",C889)))</formula>
    </cfRule>
  </conditionalFormatting>
  <conditionalFormatting sqref="C890:D890">
    <cfRule type="containsText" dxfId="2793" priority="2892" operator="containsText" text="NO+$D$4:$D$10">
      <formula>NOT(ISERROR(SEARCH("NO+$D$4:$D$10",C890)))</formula>
    </cfRule>
  </conditionalFormatting>
  <conditionalFormatting sqref="C890:D890">
    <cfRule type="containsText" dxfId="2792" priority="2890" operator="containsText" text="SI">
      <formula>NOT(ISERROR(SEARCH("SI",C890)))</formula>
    </cfRule>
    <cfRule type="containsText" dxfId="2791" priority="2891" operator="containsText" text="NO">
      <formula>NOT(ISERROR(SEARCH("NO",C890)))</formula>
    </cfRule>
  </conditionalFormatting>
  <conditionalFormatting sqref="E890">
    <cfRule type="containsText" dxfId="2790" priority="2889" operator="containsText" text="Sin información">
      <formula>NOT(ISERROR(SEARCH("Sin información",E890)))</formula>
    </cfRule>
  </conditionalFormatting>
  <conditionalFormatting sqref="C890:E890">
    <cfRule type="containsText" dxfId="2789" priority="2888" operator="containsText" text="NUEVO">
      <formula>NOT(ISERROR(SEARCH("NUEVO",C890)))</formula>
    </cfRule>
  </conditionalFormatting>
  <conditionalFormatting sqref="C891:D891">
    <cfRule type="containsText" dxfId="2788" priority="2887" operator="containsText" text="NO+$D$4:$D$10">
      <formula>NOT(ISERROR(SEARCH("NO+$D$4:$D$10",C891)))</formula>
    </cfRule>
  </conditionalFormatting>
  <conditionalFormatting sqref="C891:D891">
    <cfRule type="containsText" dxfId="2787" priority="2885" operator="containsText" text="SI">
      <formula>NOT(ISERROR(SEARCH("SI",C891)))</formula>
    </cfRule>
    <cfRule type="containsText" dxfId="2786" priority="2886" operator="containsText" text="NO">
      <formula>NOT(ISERROR(SEARCH("NO",C891)))</formula>
    </cfRule>
  </conditionalFormatting>
  <conditionalFormatting sqref="C891:D891">
    <cfRule type="containsText" dxfId="2785" priority="2884" operator="containsText" text="NUEVO">
      <formula>NOT(ISERROR(SEARCH("NUEVO",C891)))</formula>
    </cfRule>
  </conditionalFormatting>
  <conditionalFormatting sqref="E891">
    <cfRule type="containsText" dxfId="2784" priority="2883" operator="containsText" text="Sin información">
      <formula>NOT(ISERROR(SEARCH("Sin información",E891)))</formula>
    </cfRule>
  </conditionalFormatting>
  <conditionalFormatting sqref="E891">
    <cfRule type="containsText" dxfId="2783" priority="2882" operator="containsText" text="NUEVO">
      <formula>NOT(ISERROR(SEARCH("NUEVO",E891)))</formula>
    </cfRule>
  </conditionalFormatting>
  <conditionalFormatting sqref="C892:D892">
    <cfRule type="containsText" dxfId="2782" priority="2881" operator="containsText" text="NO+$D$4:$D$10">
      <formula>NOT(ISERROR(SEARCH("NO+$D$4:$D$10",C892)))</formula>
    </cfRule>
  </conditionalFormatting>
  <conditionalFormatting sqref="C892:D892">
    <cfRule type="containsText" dxfId="2781" priority="2879" operator="containsText" text="SI">
      <formula>NOT(ISERROR(SEARCH("SI",C892)))</formula>
    </cfRule>
    <cfRule type="containsText" dxfId="2780" priority="2880" operator="containsText" text="NO">
      <formula>NOT(ISERROR(SEARCH("NO",C892)))</formula>
    </cfRule>
  </conditionalFormatting>
  <conditionalFormatting sqref="E892">
    <cfRule type="containsText" dxfId="2779" priority="2878" operator="containsText" text="Sin información">
      <formula>NOT(ISERROR(SEARCH("Sin información",E892)))</formula>
    </cfRule>
  </conditionalFormatting>
  <conditionalFormatting sqref="C892:E892">
    <cfRule type="containsText" dxfId="2778" priority="2877" operator="containsText" text="NUEVO">
      <formula>NOT(ISERROR(SEARCH("NUEVO",C892)))</formula>
    </cfRule>
  </conditionalFormatting>
  <conditionalFormatting sqref="C893:D893">
    <cfRule type="containsText" dxfId="2777" priority="2876" operator="containsText" text="NO+$D$4:$D$10">
      <formula>NOT(ISERROR(SEARCH("NO+$D$4:$D$10",C893)))</formula>
    </cfRule>
  </conditionalFormatting>
  <conditionalFormatting sqref="C893:D893">
    <cfRule type="containsText" dxfId="2776" priority="2874" operator="containsText" text="SI">
      <formula>NOT(ISERROR(SEARCH("SI",C893)))</formula>
    </cfRule>
    <cfRule type="containsText" dxfId="2775" priority="2875" operator="containsText" text="NO">
      <formula>NOT(ISERROR(SEARCH("NO",C893)))</formula>
    </cfRule>
  </conditionalFormatting>
  <conditionalFormatting sqref="E893">
    <cfRule type="containsText" dxfId="2774" priority="2873" operator="containsText" text="Sin información">
      <formula>NOT(ISERROR(SEARCH("Sin información",E893)))</formula>
    </cfRule>
  </conditionalFormatting>
  <conditionalFormatting sqref="C893:E893">
    <cfRule type="containsText" dxfId="2773" priority="2872" operator="containsText" text="NUEVO">
      <formula>NOT(ISERROR(SEARCH("NUEVO",C893)))</formula>
    </cfRule>
  </conditionalFormatting>
  <conditionalFormatting sqref="C894:D894">
    <cfRule type="containsText" dxfId="2772" priority="2871" operator="containsText" text="NO+$D$4:$D$10">
      <formula>NOT(ISERROR(SEARCH("NO+$D$4:$D$10",C894)))</formula>
    </cfRule>
  </conditionalFormatting>
  <conditionalFormatting sqref="C894:D894">
    <cfRule type="containsText" dxfId="2771" priority="2869" operator="containsText" text="SI">
      <formula>NOT(ISERROR(SEARCH("SI",C894)))</formula>
    </cfRule>
    <cfRule type="containsText" dxfId="2770" priority="2870" operator="containsText" text="NO">
      <formula>NOT(ISERROR(SEARCH("NO",C894)))</formula>
    </cfRule>
  </conditionalFormatting>
  <conditionalFormatting sqref="C894:D894">
    <cfRule type="containsText" dxfId="2769" priority="2868" operator="containsText" text="NUEVO">
      <formula>NOT(ISERROR(SEARCH("NUEVO",C894)))</formula>
    </cfRule>
  </conditionalFormatting>
  <conditionalFormatting sqref="E894">
    <cfRule type="containsText" dxfId="2768" priority="2867" operator="containsText" text="Sin información">
      <formula>NOT(ISERROR(SEARCH("Sin información",E894)))</formula>
    </cfRule>
  </conditionalFormatting>
  <conditionalFormatting sqref="E894">
    <cfRule type="containsText" dxfId="2767" priority="2866" operator="containsText" text="NUEVO">
      <formula>NOT(ISERROR(SEARCH("NUEVO",E894)))</formula>
    </cfRule>
  </conditionalFormatting>
  <conditionalFormatting sqref="C895:D895">
    <cfRule type="containsText" dxfId="2766" priority="2865" operator="containsText" text="NO+$D$4:$D$10">
      <formula>NOT(ISERROR(SEARCH("NO+$D$4:$D$10",C895)))</formula>
    </cfRule>
  </conditionalFormatting>
  <conditionalFormatting sqref="C895:D895">
    <cfRule type="containsText" dxfId="2765" priority="2863" operator="containsText" text="SI">
      <formula>NOT(ISERROR(SEARCH("SI",C895)))</formula>
    </cfRule>
    <cfRule type="containsText" dxfId="2764" priority="2864" operator="containsText" text="NO">
      <formula>NOT(ISERROR(SEARCH("NO",C895)))</formula>
    </cfRule>
  </conditionalFormatting>
  <conditionalFormatting sqref="C895:D895">
    <cfRule type="containsText" dxfId="2763" priority="2862" operator="containsText" text="NUEVO">
      <formula>NOT(ISERROR(SEARCH("NUEVO",C895)))</formula>
    </cfRule>
  </conditionalFormatting>
  <conditionalFormatting sqref="E895">
    <cfRule type="containsText" dxfId="2762" priority="2861" operator="containsText" text="Sin información">
      <formula>NOT(ISERROR(SEARCH("Sin información",E895)))</formula>
    </cfRule>
  </conditionalFormatting>
  <conditionalFormatting sqref="E895">
    <cfRule type="containsText" dxfId="2761" priority="2860" operator="containsText" text="NUEVO">
      <formula>NOT(ISERROR(SEARCH("NUEVO",E895)))</formula>
    </cfRule>
  </conditionalFormatting>
  <conditionalFormatting sqref="C896:D896">
    <cfRule type="containsText" dxfId="2760" priority="2859" operator="containsText" text="NO+$D$4:$D$10">
      <formula>NOT(ISERROR(SEARCH("NO+$D$4:$D$10",C896)))</formula>
    </cfRule>
  </conditionalFormatting>
  <conditionalFormatting sqref="C896:D896">
    <cfRule type="containsText" dxfId="2759" priority="2857" operator="containsText" text="SI">
      <formula>NOT(ISERROR(SEARCH("SI",C896)))</formula>
    </cfRule>
    <cfRule type="containsText" dxfId="2758" priority="2858" operator="containsText" text="NO">
      <formula>NOT(ISERROR(SEARCH("NO",C896)))</formula>
    </cfRule>
  </conditionalFormatting>
  <conditionalFormatting sqref="C896:D896">
    <cfRule type="containsText" dxfId="2757" priority="2856" operator="containsText" text="NUEVO">
      <formula>NOT(ISERROR(SEARCH("NUEVO",C896)))</formula>
    </cfRule>
  </conditionalFormatting>
  <conditionalFormatting sqref="E896">
    <cfRule type="containsText" dxfId="2756" priority="2855" operator="containsText" text="Sin información">
      <formula>NOT(ISERROR(SEARCH("Sin información",E896)))</formula>
    </cfRule>
  </conditionalFormatting>
  <conditionalFormatting sqref="E896">
    <cfRule type="containsText" dxfId="2755" priority="2854" operator="containsText" text="NUEVO">
      <formula>NOT(ISERROR(SEARCH("NUEVO",E896)))</formula>
    </cfRule>
  </conditionalFormatting>
  <conditionalFormatting sqref="C897:D897">
    <cfRule type="containsText" dxfId="2754" priority="2853" operator="containsText" text="NO+$D$4:$D$10">
      <formula>NOT(ISERROR(SEARCH("NO+$D$4:$D$10",C897)))</formula>
    </cfRule>
  </conditionalFormatting>
  <conditionalFormatting sqref="C897:D897">
    <cfRule type="containsText" dxfId="2753" priority="2851" operator="containsText" text="SI">
      <formula>NOT(ISERROR(SEARCH("SI",C897)))</formula>
    </cfRule>
    <cfRule type="containsText" dxfId="2752" priority="2852" operator="containsText" text="NO">
      <formula>NOT(ISERROR(SEARCH("NO",C897)))</formula>
    </cfRule>
  </conditionalFormatting>
  <conditionalFormatting sqref="C897:D897">
    <cfRule type="containsText" dxfId="2751" priority="2850" operator="containsText" text="NUEVO">
      <formula>NOT(ISERROR(SEARCH("NUEVO",C897)))</formula>
    </cfRule>
  </conditionalFormatting>
  <conditionalFormatting sqref="E897">
    <cfRule type="containsText" dxfId="2750" priority="2849" operator="containsText" text="Sin información">
      <formula>NOT(ISERROR(SEARCH("Sin información",E897)))</formula>
    </cfRule>
  </conditionalFormatting>
  <conditionalFormatting sqref="E897">
    <cfRule type="containsText" dxfId="2749" priority="2848" operator="containsText" text="NUEVO">
      <formula>NOT(ISERROR(SEARCH("NUEVO",E897)))</formula>
    </cfRule>
  </conditionalFormatting>
  <conditionalFormatting sqref="C898:D898">
    <cfRule type="containsText" dxfId="2748" priority="2847" operator="containsText" text="NO+$D$4:$D$10">
      <formula>NOT(ISERROR(SEARCH("NO+$D$4:$D$10",C898)))</formula>
    </cfRule>
  </conditionalFormatting>
  <conditionalFormatting sqref="C898:D898">
    <cfRule type="containsText" dxfId="2747" priority="2845" operator="containsText" text="SI">
      <formula>NOT(ISERROR(SEARCH("SI",C898)))</formula>
    </cfRule>
    <cfRule type="containsText" dxfId="2746" priority="2846" operator="containsText" text="NO">
      <formula>NOT(ISERROR(SEARCH("NO",C898)))</formula>
    </cfRule>
  </conditionalFormatting>
  <conditionalFormatting sqref="E898">
    <cfRule type="containsText" dxfId="2745" priority="2844" operator="containsText" text="Sin información">
      <formula>NOT(ISERROR(SEARCH("Sin información",E898)))</formula>
    </cfRule>
  </conditionalFormatting>
  <conditionalFormatting sqref="C898:E898">
    <cfRule type="containsText" dxfId="2744" priority="2843" operator="containsText" text="NUEVO">
      <formula>NOT(ISERROR(SEARCH("NUEVO",C898)))</formula>
    </cfRule>
  </conditionalFormatting>
  <conditionalFormatting sqref="C899:D899">
    <cfRule type="containsText" dxfId="2743" priority="2842" operator="containsText" text="NO+$D$4:$D$10">
      <formula>NOT(ISERROR(SEARCH("NO+$D$4:$D$10",C899)))</formula>
    </cfRule>
  </conditionalFormatting>
  <conditionalFormatting sqref="C899:D899">
    <cfRule type="containsText" dxfId="2742" priority="2840" operator="containsText" text="SI">
      <formula>NOT(ISERROR(SEARCH("SI",C899)))</formula>
    </cfRule>
    <cfRule type="containsText" dxfId="2741" priority="2841" operator="containsText" text="NO">
      <formula>NOT(ISERROR(SEARCH("NO",C899)))</formula>
    </cfRule>
  </conditionalFormatting>
  <conditionalFormatting sqref="E899">
    <cfRule type="containsText" dxfId="2740" priority="2839" operator="containsText" text="Sin información">
      <formula>NOT(ISERROR(SEARCH("Sin información",E899)))</formula>
    </cfRule>
  </conditionalFormatting>
  <conditionalFormatting sqref="C899:E899">
    <cfRule type="containsText" dxfId="2739" priority="2838" operator="containsText" text="NUEVO">
      <formula>NOT(ISERROR(SEARCH("NUEVO",C899)))</formula>
    </cfRule>
  </conditionalFormatting>
  <conditionalFormatting sqref="C900:D900">
    <cfRule type="containsText" dxfId="2738" priority="2837" operator="containsText" text="NO+$D$4:$D$10">
      <formula>NOT(ISERROR(SEARCH("NO+$D$4:$D$10",C900)))</formula>
    </cfRule>
  </conditionalFormatting>
  <conditionalFormatting sqref="C900:D900">
    <cfRule type="containsText" dxfId="2737" priority="2835" operator="containsText" text="SI">
      <formula>NOT(ISERROR(SEARCH("SI",C900)))</formula>
    </cfRule>
    <cfRule type="containsText" dxfId="2736" priority="2836" operator="containsText" text="NO">
      <formula>NOT(ISERROR(SEARCH("NO",C900)))</formula>
    </cfRule>
  </conditionalFormatting>
  <conditionalFormatting sqref="E900">
    <cfRule type="containsText" dxfId="2735" priority="2834" operator="containsText" text="Sin información">
      <formula>NOT(ISERROR(SEARCH("Sin información",E900)))</formula>
    </cfRule>
  </conditionalFormatting>
  <conditionalFormatting sqref="C900:E900">
    <cfRule type="containsText" dxfId="2734" priority="2833" operator="containsText" text="NUEVO">
      <formula>NOT(ISERROR(SEARCH("NUEVO",C900)))</formula>
    </cfRule>
  </conditionalFormatting>
  <conditionalFormatting sqref="C901:D901">
    <cfRule type="containsText" dxfId="2733" priority="2832" operator="containsText" text="NO+$D$4:$D$10">
      <formula>NOT(ISERROR(SEARCH("NO+$D$4:$D$10",C901)))</formula>
    </cfRule>
  </conditionalFormatting>
  <conditionalFormatting sqref="C901:D901">
    <cfRule type="containsText" dxfId="2732" priority="2830" operator="containsText" text="SI">
      <formula>NOT(ISERROR(SEARCH("SI",C901)))</formula>
    </cfRule>
    <cfRule type="containsText" dxfId="2731" priority="2831" operator="containsText" text="NO">
      <formula>NOT(ISERROR(SEARCH("NO",C901)))</formula>
    </cfRule>
  </conditionalFormatting>
  <conditionalFormatting sqref="C901:D901">
    <cfRule type="containsText" dxfId="2730" priority="2829" operator="containsText" text="NUEVO">
      <formula>NOT(ISERROR(SEARCH("NUEVO",C901)))</formula>
    </cfRule>
  </conditionalFormatting>
  <conditionalFormatting sqref="E901">
    <cfRule type="containsText" dxfId="2729" priority="2828" operator="containsText" text="Sin información">
      <formula>NOT(ISERROR(SEARCH("Sin información",E901)))</formula>
    </cfRule>
  </conditionalFormatting>
  <conditionalFormatting sqref="E901">
    <cfRule type="containsText" dxfId="2728" priority="2827" operator="containsText" text="NUEVO">
      <formula>NOT(ISERROR(SEARCH("NUEVO",E901)))</formula>
    </cfRule>
  </conditionalFormatting>
  <conditionalFormatting sqref="C902:D902">
    <cfRule type="containsText" dxfId="2727" priority="2826" operator="containsText" text="NO+$D$4:$D$10">
      <formula>NOT(ISERROR(SEARCH("NO+$D$4:$D$10",C902)))</formula>
    </cfRule>
  </conditionalFormatting>
  <conditionalFormatting sqref="C902:D902">
    <cfRule type="containsText" dxfId="2726" priority="2824" operator="containsText" text="SI">
      <formula>NOT(ISERROR(SEARCH("SI",C902)))</formula>
    </cfRule>
    <cfRule type="containsText" dxfId="2725" priority="2825" operator="containsText" text="NO">
      <formula>NOT(ISERROR(SEARCH("NO",C902)))</formula>
    </cfRule>
  </conditionalFormatting>
  <conditionalFormatting sqref="E902">
    <cfRule type="containsText" dxfId="2724" priority="2823" operator="containsText" text="Sin información">
      <formula>NOT(ISERROR(SEARCH("Sin información",E902)))</formula>
    </cfRule>
  </conditionalFormatting>
  <conditionalFormatting sqref="C902:E902">
    <cfRule type="containsText" dxfId="2723" priority="2822" operator="containsText" text="NUEVO">
      <formula>NOT(ISERROR(SEARCH("NUEVO",C902)))</formula>
    </cfRule>
  </conditionalFormatting>
  <conditionalFormatting sqref="C903:D903">
    <cfRule type="containsText" dxfId="2722" priority="2821" operator="containsText" text="NO+$D$4:$D$10">
      <formula>NOT(ISERROR(SEARCH("NO+$D$4:$D$10",C903)))</formula>
    </cfRule>
  </conditionalFormatting>
  <conditionalFormatting sqref="C903:D903">
    <cfRule type="containsText" dxfId="2721" priority="2819" operator="containsText" text="SI">
      <formula>NOT(ISERROR(SEARCH("SI",C903)))</formula>
    </cfRule>
    <cfRule type="containsText" dxfId="2720" priority="2820" operator="containsText" text="NO">
      <formula>NOT(ISERROR(SEARCH("NO",C903)))</formula>
    </cfRule>
  </conditionalFormatting>
  <conditionalFormatting sqref="E903">
    <cfRule type="containsText" dxfId="2719" priority="2818" operator="containsText" text="Sin información">
      <formula>NOT(ISERROR(SEARCH("Sin información",E903)))</formula>
    </cfRule>
  </conditionalFormatting>
  <conditionalFormatting sqref="C903:E903">
    <cfRule type="containsText" dxfId="2718" priority="2817" operator="containsText" text="NUEVO">
      <formula>NOT(ISERROR(SEARCH("NUEVO",C903)))</formula>
    </cfRule>
  </conditionalFormatting>
  <conditionalFormatting sqref="C904:D904">
    <cfRule type="containsText" dxfId="2717" priority="2816" operator="containsText" text="NO+$D$4:$D$10">
      <formula>NOT(ISERROR(SEARCH("NO+$D$4:$D$10",C904)))</formula>
    </cfRule>
  </conditionalFormatting>
  <conditionalFormatting sqref="C904:D904">
    <cfRule type="containsText" dxfId="2716" priority="2814" operator="containsText" text="SI">
      <formula>NOT(ISERROR(SEARCH("SI",C904)))</formula>
    </cfRule>
    <cfRule type="containsText" dxfId="2715" priority="2815" operator="containsText" text="NO">
      <formula>NOT(ISERROR(SEARCH("NO",C904)))</formula>
    </cfRule>
  </conditionalFormatting>
  <conditionalFormatting sqref="E904">
    <cfRule type="containsText" dxfId="2714" priority="2813" operator="containsText" text="Sin información">
      <formula>NOT(ISERROR(SEARCH("Sin información",E904)))</formula>
    </cfRule>
  </conditionalFormatting>
  <conditionalFormatting sqref="C904:E904">
    <cfRule type="containsText" dxfId="2713" priority="2812" operator="containsText" text="NUEVO">
      <formula>NOT(ISERROR(SEARCH("NUEVO",C904)))</formula>
    </cfRule>
  </conditionalFormatting>
  <conditionalFormatting sqref="C905:D905">
    <cfRule type="containsText" dxfId="2712" priority="2811" operator="containsText" text="NO+$D$4:$D$10">
      <formula>NOT(ISERROR(SEARCH("NO+$D$4:$D$10",C905)))</formula>
    </cfRule>
  </conditionalFormatting>
  <conditionalFormatting sqref="C905:D905">
    <cfRule type="containsText" dxfId="2711" priority="2809" operator="containsText" text="SI">
      <formula>NOT(ISERROR(SEARCH("SI",C905)))</formula>
    </cfRule>
    <cfRule type="containsText" dxfId="2710" priority="2810" operator="containsText" text="NO">
      <formula>NOT(ISERROR(SEARCH("NO",C905)))</formula>
    </cfRule>
  </conditionalFormatting>
  <conditionalFormatting sqref="E905">
    <cfRule type="containsText" dxfId="2709" priority="2808" operator="containsText" text="Sin información">
      <formula>NOT(ISERROR(SEARCH("Sin información",E905)))</formula>
    </cfRule>
  </conditionalFormatting>
  <conditionalFormatting sqref="C905:E905">
    <cfRule type="containsText" dxfId="2708" priority="2807" operator="containsText" text="NUEVO">
      <formula>NOT(ISERROR(SEARCH("NUEVO",C905)))</formula>
    </cfRule>
  </conditionalFormatting>
  <conditionalFormatting sqref="C906:D906">
    <cfRule type="containsText" dxfId="2707" priority="2806" operator="containsText" text="NO+$D$4:$D$10">
      <formula>NOT(ISERROR(SEARCH("NO+$D$4:$D$10",C906)))</formula>
    </cfRule>
  </conditionalFormatting>
  <conditionalFormatting sqref="C906:D906">
    <cfRule type="containsText" dxfId="2706" priority="2804" operator="containsText" text="SI">
      <formula>NOT(ISERROR(SEARCH("SI",C906)))</formula>
    </cfRule>
    <cfRule type="containsText" dxfId="2705" priority="2805" operator="containsText" text="NO">
      <formula>NOT(ISERROR(SEARCH("NO",C906)))</formula>
    </cfRule>
  </conditionalFormatting>
  <conditionalFormatting sqref="C906:D906">
    <cfRule type="containsText" dxfId="2704" priority="2803" operator="containsText" text="NUEVO">
      <formula>NOT(ISERROR(SEARCH("NUEVO",C906)))</formula>
    </cfRule>
  </conditionalFormatting>
  <conditionalFormatting sqref="E906">
    <cfRule type="containsText" dxfId="2703" priority="2801" operator="containsText" text="NUEVO">
      <formula>NOT(ISERROR(SEARCH("NUEVO",E906)))</formula>
    </cfRule>
  </conditionalFormatting>
  <conditionalFormatting sqref="E906">
    <cfRule type="containsText" dxfId="2702" priority="2802" operator="containsText" text="Sin información">
      <formula>NOT(ISERROR(SEARCH("Sin información",E906)))</formula>
    </cfRule>
  </conditionalFormatting>
  <conditionalFormatting sqref="C907:D907">
    <cfRule type="containsText" dxfId="2701" priority="2800" operator="containsText" text="NO+$D$4:$D$10">
      <formula>NOT(ISERROR(SEARCH("NO+$D$4:$D$10",C907)))</formula>
    </cfRule>
  </conditionalFormatting>
  <conditionalFormatting sqref="C907:D907">
    <cfRule type="containsText" dxfId="2700" priority="2798" operator="containsText" text="SI">
      <formula>NOT(ISERROR(SEARCH("SI",C907)))</formula>
    </cfRule>
    <cfRule type="containsText" dxfId="2699" priority="2799" operator="containsText" text="NO">
      <formula>NOT(ISERROR(SEARCH("NO",C907)))</formula>
    </cfRule>
  </conditionalFormatting>
  <conditionalFormatting sqref="E907">
    <cfRule type="containsText" dxfId="2698" priority="2797" operator="containsText" text="Sin información">
      <formula>NOT(ISERROR(SEARCH("Sin información",E907)))</formula>
    </cfRule>
  </conditionalFormatting>
  <conditionalFormatting sqref="C907:E907">
    <cfRule type="containsText" dxfId="2697" priority="2796" operator="containsText" text="NUEVO">
      <formula>NOT(ISERROR(SEARCH("NUEVO",C907)))</formula>
    </cfRule>
  </conditionalFormatting>
  <conditionalFormatting sqref="C908:D908">
    <cfRule type="containsText" dxfId="2696" priority="2795" operator="containsText" text="NO+$D$4:$D$10">
      <formula>NOT(ISERROR(SEARCH("NO+$D$4:$D$10",C908)))</formula>
    </cfRule>
  </conditionalFormatting>
  <conditionalFormatting sqref="C908:D908">
    <cfRule type="containsText" dxfId="2695" priority="2793" operator="containsText" text="SI">
      <formula>NOT(ISERROR(SEARCH("SI",C908)))</formula>
    </cfRule>
    <cfRule type="containsText" dxfId="2694" priority="2794" operator="containsText" text="NO">
      <formula>NOT(ISERROR(SEARCH("NO",C908)))</formula>
    </cfRule>
  </conditionalFormatting>
  <conditionalFormatting sqref="E908">
    <cfRule type="containsText" dxfId="2693" priority="2792" operator="containsText" text="Sin información">
      <formula>NOT(ISERROR(SEARCH("Sin información",E908)))</formula>
    </cfRule>
  </conditionalFormatting>
  <conditionalFormatting sqref="C908:E908">
    <cfRule type="containsText" dxfId="2692" priority="2791" operator="containsText" text="NUEVO">
      <formula>NOT(ISERROR(SEARCH("NUEVO",C908)))</formula>
    </cfRule>
  </conditionalFormatting>
  <conditionalFormatting sqref="C909:D910">
    <cfRule type="containsText" dxfId="2691" priority="2790" operator="containsText" text="NO+$D$4:$D$10">
      <formula>NOT(ISERROR(SEARCH("NO+$D$4:$D$10",C909)))</formula>
    </cfRule>
  </conditionalFormatting>
  <conditionalFormatting sqref="C909:D910">
    <cfRule type="containsText" dxfId="2690" priority="2788" operator="containsText" text="SI">
      <formula>NOT(ISERROR(SEARCH("SI",C909)))</formula>
    </cfRule>
    <cfRule type="containsText" dxfId="2689" priority="2789" operator="containsText" text="NO">
      <formula>NOT(ISERROR(SEARCH("NO",C909)))</formula>
    </cfRule>
  </conditionalFormatting>
  <conditionalFormatting sqref="C909:D910">
    <cfRule type="containsText" dxfId="2688" priority="2787" operator="containsText" text="NUEVO">
      <formula>NOT(ISERROR(SEARCH("NUEVO",C909)))</formula>
    </cfRule>
  </conditionalFormatting>
  <conditionalFormatting sqref="E909:E910">
    <cfRule type="containsText" dxfId="2687" priority="2786" operator="containsText" text="Sin información">
      <formula>NOT(ISERROR(SEARCH("Sin información",E909)))</formula>
    </cfRule>
  </conditionalFormatting>
  <conditionalFormatting sqref="E909:E910">
    <cfRule type="containsText" dxfId="2686" priority="2785" operator="containsText" text="NUEVO">
      <formula>NOT(ISERROR(SEARCH("NUEVO",E909)))</formula>
    </cfRule>
  </conditionalFormatting>
  <conditionalFormatting sqref="C911:D916">
    <cfRule type="containsText" dxfId="2685" priority="2784" operator="containsText" text="NO+$D$4:$D$10">
      <formula>NOT(ISERROR(SEARCH("NO+$D$4:$D$10",C911)))</formula>
    </cfRule>
  </conditionalFormatting>
  <conditionalFormatting sqref="C911:D916">
    <cfRule type="containsText" dxfId="2684" priority="2782" operator="containsText" text="SI">
      <formula>NOT(ISERROR(SEARCH("SI",C911)))</formula>
    </cfRule>
    <cfRule type="containsText" dxfId="2683" priority="2783" operator="containsText" text="NO">
      <formula>NOT(ISERROR(SEARCH("NO",C911)))</formula>
    </cfRule>
  </conditionalFormatting>
  <conditionalFormatting sqref="C911:D916">
    <cfRule type="containsText" dxfId="2682" priority="2781" operator="containsText" text="NUEVO">
      <formula>NOT(ISERROR(SEARCH("NUEVO",C911)))</formula>
    </cfRule>
  </conditionalFormatting>
  <conditionalFormatting sqref="E911:E916">
    <cfRule type="containsText" dxfId="2681" priority="2779" operator="containsText" text="NUEVO">
      <formula>NOT(ISERROR(SEARCH("NUEVO",E911)))</formula>
    </cfRule>
  </conditionalFormatting>
  <conditionalFormatting sqref="E911:E916">
    <cfRule type="containsText" dxfId="2680" priority="2780" operator="containsText" text="Sin información">
      <formula>NOT(ISERROR(SEARCH("Sin información",E911)))</formula>
    </cfRule>
  </conditionalFormatting>
  <conditionalFormatting sqref="C917:D919">
    <cfRule type="containsText" dxfId="2679" priority="2778" operator="containsText" text="NO+$D$4:$D$10">
      <formula>NOT(ISERROR(SEARCH("NO+$D$4:$D$10",C917)))</formula>
    </cfRule>
  </conditionalFormatting>
  <conditionalFormatting sqref="C917:D919">
    <cfRule type="containsText" dxfId="2678" priority="2776" operator="containsText" text="SI">
      <formula>NOT(ISERROR(SEARCH("SI",C917)))</formula>
    </cfRule>
    <cfRule type="containsText" dxfId="2677" priority="2777" operator="containsText" text="NO">
      <formula>NOT(ISERROR(SEARCH("NO",C917)))</formula>
    </cfRule>
  </conditionalFormatting>
  <conditionalFormatting sqref="C917:D919">
    <cfRule type="containsText" dxfId="2676" priority="2775" operator="containsText" text="NUEVO">
      <formula>NOT(ISERROR(SEARCH("NUEVO",C917)))</formula>
    </cfRule>
  </conditionalFormatting>
  <conditionalFormatting sqref="E917">
    <cfRule type="containsText" dxfId="2675" priority="2773" operator="containsText" text="NUEVO">
      <formula>NOT(ISERROR(SEARCH("NUEVO",E917)))</formula>
    </cfRule>
  </conditionalFormatting>
  <conditionalFormatting sqref="E917">
    <cfRule type="containsText" dxfId="2674" priority="2774" operator="containsText" text="Sin información">
      <formula>NOT(ISERROR(SEARCH("Sin información",E917)))</formula>
    </cfRule>
  </conditionalFormatting>
  <conditionalFormatting sqref="E918">
    <cfRule type="containsText" dxfId="2673" priority="2771" operator="containsText" text="NUEVO">
      <formula>NOT(ISERROR(SEARCH("NUEVO",E918)))</formula>
    </cfRule>
  </conditionalFormatting>
  <conditionalFormatting sqref="E918">
    <cfRule type="containsText" dxfId="2672" priority="2772" operator="containsText" text="Sin información">
      <formula>NOT(ISERROR(SEARCH("Sin información",E918)))</formula>
    </cfRule>
  </conditionalFormatting>
  <conditionalFormatting sqref="E919">
    <cfRule type="containsText" dxfId="2671" priority="2769" operator="containsText" text="NUEVO">
      <formula>NOT(ISERROR(SEARCH("NUEVO",E919)))</formula>
    </cfRule>
  </conditionalFormatting>
  <conditionalFormatting sqref="E919">
    <cfRule type="containsText" dxfId="2670" priority="2770" operator="containsText" text="Sin información">
      <formula>NOT(ISERROR(SEARCH("Sin información",E919)))</formula>
    </cfRule>
  </conditionalFormatting>
  <conditionalFormatting sqref="E920:E921">
    <cfRule type="containsText" dxfId="2669" priority="2767" operator="containsText" text="NUEVO">
      <formula>NOT(ISERROR(SEARCH("NUEVO",E920)))</formula>
    </cfRule>
  </conditionalFormatting>
  <conditionalFormatting sqref="E920:E921">
    <cfRule type="containsText" dxfId="2668" priority="2768" operator="containsText" text="Sin información">
      <formula>NOT(ISERROR(SEARCH("Sin información",E920)))</formula>
    </cfRule>
  </conditionalFormatting>
  <conditionalFormatting sqref="E923">
    <cfRule type="containsText" dxfId="2667" priority="2766" operator="containsText" text="Sin información">
      <formula>NOT(ISERROR(SEARCH("Sin información",E923)))</formula>
    </cfRule>
  </conditionalFormatting>
  <conditionalFormatting sqref="E923">
    <cfRule type="containsText" dxfId="2666" priority="2765" operator="containsText" text="NUEVO">
      <formula>NOT(ISERROR(SEARCH("NUEVO",E923)))</formula>
    </cfRule>
  </conditionalFormatting>
  <conditionalFormatting sqref="F924:F925">
    <cfRule type="containsText" dxfId="2665" priority="2761" operator="containsText" text="NUEVO">
      <formula>NOT(ISERROR(SEARCH("NUEVO",F924)))</formula>
    </cfRule>
  </conditionalFormatting>
  <conditionalFormatting sqref="F924:F925">
    <cfRule type="containsText" dxfId="2664" priority="2764" operator="containsText" text="NO+$D$4:$D$10">
      <formula>NOT(ISERROR(SEARCH("NO+$D$4:$D$10",F924)))</formula>
    </cfRule>
  </conditionalFormatting>
  <conditionalFormatting sqref="F924:F925">
    <cfRule type="containsText" dxfId="2663" priority="2762" operator="containsText" text="SI">
      <formula>NOT(ISERROR(SEARCH("SI",F924)))</formula>
    </cfRule>
    <cfRule type="containsText" dxfId="2662" priority="2763" operator="containsText" text="NO">
      <formula>NOT(ISERROR(SEARCH("NO",F924)))</formula>
    </cfRule>
  </conditionalFormatting>
  <conditionalFormatting sqref="C926:D926">
    <cfRule type="containsText" dxfId="2661" priority="2760" operator="containsText" text="NO+$D$4:$D$10">
      <formula>NOT(ISERROR(SEARCH("NO+$D$4:$D$10",C926)))</formula>
    </cfRule>
  </conditionalFormatting>
  <conditionalFormatting sqref="C926:D926">
    <cfRule type="containsText" dxfId="2660" priority="2758" operator="containsText" text="SI">
      <formula>NOT(ISERROR(SEARCH("SI",C926)))</formula>
    </cfRule>
    <cfRule type="containsText" dxfId="2659" priority="2759" operator="containsText" text="NO">
      <formula>NOT(ISERROR(SEARCH("NO",C926)))</formula>
    </cfRule>
  </conditionalFormatting>
  <conditionalFormatting sqref="E926">
    <cfRule type="containsText" dxfId="2658" priority="2757" operator="containsText" text="Sin información">
      <formula>NOT(ISERROR(SEARCH("Sin información",E926)))</formula>
    </cfRule>
  </conditionalFormatting>
  <conditionalFormatting sqref="C926:E926">
    <cfRule type="containsText" dxfId="2657" priority="2756" operator="containsText" text="NUEVO">
      <formula>NOT(ISERROR(SEARCH("NUEVO",C926)))</formula>
    </cfRule>
  </conditionalFormatting>
  <conditionalFormatting sqref="C927:E927">
    <cfRule type="containsText" dxfId="2656" priority="2751" operator="containsText" text="NUEVO">
      <formula>NOT(ISERROR(SEARCH("NUEVO",C927)))</formula>
    </cfRule>
  </conditionalFormatting>
  <conditionalFormatting sqref="C927:D927">
    <cfRule type="containsText" dxfId="2655" priority="2755" operator="containsText" text="NO+$D$4:$D$10">
      <formula>NOT(ISERROR(SEARCH("NO+$D$4:$D$10",C927)))</formula>
    </cfRule>
  </conditionalFormatting>
  <conditionalFormatting sqref="C927:D927">
    <cfRule type="containsText" dxfId="2654" priority="2753" operator="containsText" text="SI">
      <formula>NOT(ISERROR(SEARCH("SI",C927)))</formula>
    </cfRule>
    <cfRule type="containsText" dxfId="2653" priority="2754" operator="containsText" text="NO">
      <formula>NOT(ISERROR(SEARCH("NO",C927)))</formula>
    </cfRule>
  </conditionalFormatting>
  <conditionalFormatting sqref="E927">
    <cfRule type="containsText" dxfId="2652" priority="2752" operator="containsText" text="Sin información">
      <formula>NOT(ISERROR(SEARCH("Sin información",E927)))</formula>
    </cfRule>
  </conditionalFormatting>
  <conditionalFormatting sqref="C928:E928">
    <cfRule type="containsText" dxfId="2651" priority="2746" operator="containsText" text="NUEVO">
      <formula>NOT(ISERROR(SEARCH("NUEVO",C928)))</formula>
    </cfRule>
  </conditionalFormatting>
  <conditionalFormatting sqref="C928:D928">
    <cfRule type="containsText" dxfId="2650" priority="2750" operator="containsText" text="NO+$D$4:$D$10">
      <formula>NOT(ISERROR(SEARCH("NO+$D$4:$D$10",C928)))</formula>
    </cfRule>
  </conditionalFormatting>
  <conditionalFormatting sqref="C928:D928">
    <cfRule type="containsText" dxfId="2649" priority="2748" operator="containsText" text="SI">
      <formula>NOT(ISERROR(SEARCH("SI",C928)))</formula>
    </cfRule>
    <cfRule type="containsText" dxfId="2648" priority="2749" operator="containsText" text="NO">
      <formula>NOT(ISERROR(SEARCH("NO",C928)))</formula>
    </cfRule>
  </conditionalFormatting>
  <conditionalFormatting sqref="E928">
    <cfRule type="containsText" dxfId="2647" priority="2747" operator="containsText" text="Sin información">
      <formula>NOT(ISERROR(SEARCH("Sin información",E928)))</formula>
    </cfRule>
  </conditionalFormatting>
  <conditionalFormatting sqref="C929:D931">
    <cfRule type="containsText" dxfId="2646" priority="2745" operator="containsText" text="NO+$D$4:$D$10">
      <formula>NOT(ISERROR(SEARCH("NO+$D$4:$D$10",C929)))</formula>
    </cfRule>
  </conditionalFormatting>
  <conditionalFormatting sqref="C929:D931">
    <cfRule type="containsText" dxfId="2645" priority="2743" operator="containsText" text="SI">
      <formula>NOT(ISERROR(SEARCH("SI",C929)))</formula>
    </cfRule>
    <cfRule type="containsText" dxfId="2644" priority="2744" operator="containsText" text="NO">
      <formula>NOT(ISERROR(SEARCH("NO",C929)))</formula>
    </cfRule>
  </conditionalFormatting>
  <conditionalFormatting sqref="E929:E930">
    <cfRule type="containsText" dxfId="2643" priority="2742" operator="containsText" text="Sin información">
      <formula>NOT(ISERROR(SEARCH("Sin información",E929)))</formula>
    </cfRule>
  </conditionalFormatting>
  <conditionalFormatting sqref="C929:D931">
    <cfRule type="containsText" dxfId="2642" priority="2741" operator="containsText" text="NUEVO">
      <formula>NOT(ISERROR(SEARCH("NUEVO",C929)))</formula>
    </cfRule>
  </conditionalFormatting>
  <conditionalFormatting sqref="E929">
    <cfRule type="containsText" dxfId="2641" priority="2740" operator="containsText" text="Sin información">
      <formula>NOT(ISERROR(SEARCH("Sin información",E929)))</formula>
    </cfRule>
  </conditionalFormatting>
  <conditionalFormatting sqref="E931">
    <cfRule type="containsText" dxfId="2640" priority="2739" operator="containsText" text="Sin información">
      <formula>NOT(ISERROR(SEARCH("Sin información",E931)))</formula>
    </cfRule>
  </conditionalFormatting>
  <conditionalFormatting sqref="C932:D932">
    <cfRule type="containsText" dxfId="2639" priority="2738" operator="containsText" text="NO+$D$4:$D$10">
      <formula>NOT(ISERROR(SEARCH("NO+$D$4:$D$10",C932)))</formula>
    </cfRule>
  </conditionalFormatting>
  <conditionalFormatting sqref="C932:D932">
    <cfRule type="containsText" dxfId="2638" priority="2736" operator="containsText" text="SI">
      <formula>NOT(ISERROR(SEARCH("SI",C932)))</formula>
    </cfRule>
    <cfRule type="containsText" dxfId="2637" priority="2737" operator="containsText" text="NO">
      <formula>NOT(ISERROR(SEARCH("NO",C932)))</formula>
    </cfRule>
  </conditionalFormatting>
  <conditionalFormatting sqref="E932">
    <cfRule type="containsText" dxfId="2636" priority="2735" operator="containsText" text="Sin información">
      <formula>NOT(ISERROR(SEARCH("Sin información",E932)))</formula>
    </cfRule>
  </conditionalFormatting>
  <conditionalFormatting sqref="C932:D932">
    <cfRule type="containsText" dxfId="2635" priority="2734" operator="containsText" text="NUEVO">
      <formula>NOT(ISERROR(SEARCH("NUEVO",C932)))</formula>
    </cfRule>
  </conditionalFormatting>
  <conditionalFormatting sqref="C933:D933">
    <cfRule type="containsText" dxfId="2634" priority="2733" operator="containsText" text="NO+$D$4:$D$10">
      <formula>NOT(ISERROR(SEARCH("NO+$D$4:$D$10",C933)))</formula>
    </cfRule>
  </conditionalFormatting>
  <conditionalFormatting sqref="C933:D933">
    <cfRule type="containsText" dxfId="2633" priority="2731" operator="containsText" text="SI">
      <formula>NOT(ISERROR(SEARCH("SI",C933)))</formula>
    </cfRule>
    <cfRule type="containsText" dxfId="2632" priority="2732" operator="containsText" text="NO">
      <formula>NOT(ISERROR(SEARCH("NO",C933)))</formula>
    </cfRule>
  </conditionalFormatting>
  <conditionalFormatting sqref="C933:D933">
    <cfRule type="containsText" dxfId="2631" priority="2730" operator="containsText" text="NUEVO">
      <formula>NOT(ISERROR(SEARCH("NUEVO",C933)))</formula>
    </cfRule>
  </conditionalFormatting>
  <conditionalFormatting sqref="E933">
    <cfRule type="containsText" dxfId="2630" priority="2729" operator="containsText" text="Sin información">
      <formula>NOT(ISERROR(SEARCH("Sin información",E933)))</formula>
    </cfRule>
  </conditionalFormatting>
  <conditionalFormatting sqref="E933">
    <cfRule type="containsText" dxfId="2629" priority="2728" operator="containsText" text="NUEVO">
      <formula>NOT(ISERROR(SEARCH("NUEVO",E933)))</formula>
    </cfRule>
  </conditionalFormatting>
  <conditionalFormatting sqref="C934:D935">
    <cfRule type="containsText" dxfId="2628" priority="2727" operator="containsText" text="NO+$D$4:$D$10">
      <formula>NOT(ISERROR(SEARCH("NO+$D$4:$D$10",C934)))</formula>
    </cfRule>
  </conditionalFormatting>
  <conditionalFormatting sqref="C934:D935">
    <cfRule type="containsText" dxfId="2627" priority="2725" operator="containsText" text="SI">
      <formula>NOT(ISERROR(SEARCH("SI",C934)))</formula>
    </cfRule>
    <cfRule type="containsText" dxfId="2626" priority="2726" operator="containsText" text="NO">
      <formula>NOT(ISERROR(SEARCH("NO",C934)))</formula>
    </cfRule>
  </conditionalFormatting>
  <conditionalFormatting sqref="E934">
    <cfRule type="containsText" dxfId="2625" priority="2724" operator="containsText" text="Sin información">
      <formula>NOT(ISERROR(SEARCH("Sin información",E934)))</formula>
    </cfRule>
  </conditionalFormatting>
  <conditionalFormatting sqref="E934 C934:D935">
    <cfRule type="containsText" dxfId="2624" priority="2723" operator="containsText" text="NUEVO">
      <formula>NOT(ISERROR(SEARCH("NUEVO",C934)))</formula>
    </cfRule>
  </conditionalFormatting>
  <conditionalFormatting sqref="E935">
    <cfRule type="containsText" dxfId="2623" priority="2722" operator="containsText" text="Sin información">
      <formula>NOT(ISERROR(SEARCH("Sin información",E935)))</formula>
    </cfRule>
  </conditionalFormatting>
  <conditionalFormatting sqref="E935">
    <cfRule type="containsText" dxfId="2622" priority="2721" operator="containsText" text="NUEVO">
      <formula>NOT(ISERROR(SEARCH("NUEVO",E935)))</formula>
    </cfRule>
  </conditionalFormatting>
  <conditionalFormatting sqref="C936:D938">
    <cfRule type="containsText" dxfId="2621" priority="2720" operator="containsText" text="NO+$D$4:$D$10">
      <formula>NOT(ISERROR(SEARCH("NO+$D$4:$D$10",C936)))</formula>
    </cfRule>
  </conditionalFormatting>
  <conditionalFormatting sqref="C936:D938">
    <cfRule type="containsText" dxfId="2620" priority="2718" operator="containsText" text="SI">
      <formula>NOT(ISERROR(SEARCH("SI",C936)))</formula>
    </cfRule>
    <cfRule type="containsText" dxfId="2619" priority="2719" operator="containsText" text="NO">
      <formula>NOT(ISERROR(SEARCH("NO",C936)))</formula>
    </cfRule>
  </conditionalFormatting>
  <conditionalFormatting sqref="E936">
    <cfRule type="containsText" dxfId="2618" priority="2717" operator="containsText" text="Sin información">
      <formula>NOT(ISERROR(SEARCH("Sin información",E936)))</formula>
    </cfRule>
  </conditionalFormatting>
  <conditionalFormatting sqref="E936 C936:D938">
    <cfRule type="containsText" dxfId="2617" priority="2716" operator="containsText" text="NUEVO">
      <formula>NOT(ISERROR(SEARCH("NUEVO",C936)))</formula>
    </cfRule>
  </conditionalFormatting>
  <conditionalFormatting sqref="E937:E938">
    <cfRule type="containsText" dxfId="2616" priority="2715" operator="containsText" text="Sin información">
      <formula>NOT(ISERROR(SEARCH("Sin información",E937)))</formula>
    </cfRule>
  </conditionalFormatting>
  <conditionalFormatting sqref="E937:E938">
    <cfRule type="containsText" dxfId="2615" priority="2714" operator="containsText" text="NUEVO">
      <formula>NOT(ISERROR(SEARCH("NUEVO",E937)))</formula>
    </cfRule>
  </conditionalFormatting>
  <conditionalFormatting sqref="F938 F936">
    <cfRule type="containsText" dxfId="2614" priority="2710" operator="containsText" text="NUEVO">
      <formula>NOT(ISERROR(SEARCH("NUEVO",F936)))</formula>
    </cfRule>
  </conditionalFormatting>
  <conditionalFormatting sqref="F938 F936">
    <cfRule type="containsText" dxfId="2613" priority="2713" operator="containsText" text="NO+$D$4:$D$10">
      <formula>NOT(ISERROR(SEARCH("NO+$D$4:$D$10",F936)))</formula>
    </cfRule>
  </conditionalFormatting>
  <conditionalFormatting sqref="F938 F936">
    <cfRule type="containsText" dxfId="2612" priority="2711" operator="containsText" text="SI">
      <formula>NOT(ISERROR(SEARCH("SI",F936)))</formula>
    </cfRule>
    <cfRule type="containsText" dxfId="2611" priority="2712" operator="containsText" text="NO">
      <formula>NOT(ISERROR(SEARCH("NO",F936)))</formula>
    </cfRule>
  </conditionalFormatting>
  <conditionalFormatting sqref="C939:D941">
    <cfRule type="containsText" dxfId="2610" priority="2709" operator="containsText" text="NO+$D$4:$D$10">
      <formula>NOT(ISERROR(SEARCH("NO+$D$4:$D$10",C939)))</formula>
    </cfRule>
  </conditionalFormatting>
  <conditionalFormatting sqref="C939:D941">
    <cfRule type="containsText" dxfId="2609" priority="2707" operator="containsText" text="SI">
      <formula>NOT(ISERROR(SEARCH("SI",C939)))</formula>
    </cfRule>
    <cfRule type="containsText" dxfId="2608" priority="2708" operator="containsText" text="NO">
      <formula>NOT(ISERROR(SEARCH("NO",C939)))</formula>
    </cfRule>
  </conditionalFormatting>
  <conditionalFormatting sqref="C939:D941">
    <cfRule type="containsText" dxfId="2607" priority="2706" operator="containsText" text="NUEVO">
      <formula>NOT(ISERROR(SEARCH("NUEVO",C939)))</formula>
    </cfRule>
  </conditionalFormatting>
  <conditionalFormatting sqref="E939:E940">
    <cfRule type="containsText" dxfId="2606" priority="2705" operator="containsText" text="Sin información">
      <formula>NOT(ISERROR(SEARCH("Sin información",E939)))</formula>
    </cfRule>
  </conditionalFormatting>
  <conditionalFormatting sqref="E939:E940">
    <cfRule type="containsText" dxfId="2605" priority="2704" operator="containsText" text="NUEVO">
      <formula>NOT(ISERROR(SEARCH("NUEVO",E939)))</formula>
    </cfRule>
  </conditionalFormatting>
  <conditionalFormatting sqref="E941">
    <cfRule type="containsText" dxfId="2604" priority="2702" operator="containsText" text="NUEVO">
      <formula>NOT(ISERROR(SEARCH("NUEVO",E941)))</formula>
    </cfRule>
  </conditionalFormatting>
  <conditionalFormatting sqref="E941">
    <cfRule type="containsText" dxfId="2603" priority="2703" operator="containsText" text="Sin información">
      <formula>NOT(ISERROR(SEARCH("Sin información",E941)))</formula>
    </cfRule>
  </conditionalFormatting>
  <conditionalFormatting sqref="F939">
    <cfRule type="containsText" dxfId="2602" priority="2698" operator="containsText" text="NUEVO">
      <formula>NOT(ISERROR(SEARCH("NUEVO",F939)))</formula>
    </cfRule>
  </conditionalFormatting>
  <conditionalFormatting sqref="F939">
    <cfRule type="containsText" dxfId="2601" priority="2701" operator="containsText" text="NO+$D$4:$D$10">
      <formula>NOT(ISERROR(SEARCH("NO+$D$4:$D$10",F939)))</formula>
    </cfRule>
  </conditionalFormatting>
  <conditionalFormatting sqref="F939">
    <cfRule type="containsText" dxfId="2600" priority="2699" operator="containsText" text="SI">
      <formula>NOT(ISERROR(SEARCH("SI",F939)))</formula>
    </cfRule>
    <cfRule type="containsText" dxfId="2599" priority="2700" operator="containsText" text="NO">
      <formula>NOT(ISERROR(SEARCH("NO",F939)))</formula>
    </cfRule>
  </conditionalFormatting>
  <conditionalFormatting sqref="C942:D952">
    <cfRule type="containsText" dxfId="2598" priority="2697" operator="containsText" text="NO+$D$4:$D$10">
      <formula>NOT(ISERROR(SEARCH("NO+$D$4:$D$10",C942)))</formula>
    </cfRule>
  </conditionalFormatting>
  <conditionalFormatting sqref="C942:D952">
    <cfRule type="containsText" dxfId="2597" priority="2695" operator="containsText" text="SI">
      <formula>NOT(ISERROR(SEARCH("SI",C942)))</formula>
    </cfRule>
    <cfRule type="containsText" dxfId="2596" priority="2696" operator="containsText" text="NO">
      <formula>NOT(ISERROR(SEARCH("NO",C942)))</formula>
    </cfRule>
  </conditionalFormatting>
  <conditionalFormatting sqref="C942:D952">
    <cfRule type="containsText" dxfId="2595" priority="2694" operator="containsText" text="NUEVO">
      <formula>NOT(ISERROR(SEARCH("NUEVO",C942)))</formula>
    </cfRule>
  </conditionalFormatting>
  <conditionalFormatting sqref="E942">
    <cfRule type="containsText" dxfId="2594" priority="2692" operator="containsText" text="NUEVO">
      <formula>NOT(ISERROR(SEARCH("NUEVO",E942)))</formula>
    </cfRule>
  </conditionalFormatting>
  <conditionalFormatting sqref="E942">
    <cfRule type="containsText" dxfId="2593" priority="2693" operator="containsText" text="Sin información">
      <formula>NOT(ISERROR(SEARCH("Sin información",E942)))</formula>
    </cfRule>
  </conditionalFormatting>
  <conditionalFormatting sqref="E943:E947">
    <cfRule type="containsText" dxfId="2592" priority="2690" operator="containsText" text="NUEVO">
      <formula>NOT(ISERROR(SEARCH("NUEVO",E943)))</formula>
    </cfRule>
  </conditionalFormatting>
  <conditionalFormatting sqref="E943:E947">
    <cfRule type="containsText" dxfId="2591" priority="2691" operator="containsText" text="Sin información">
      <formula>NOT(ISERROR(SEARCH("Sin información",E943)))</formula>
    </cfRule>
  </conditionalFormatting>
  <conditionalFormatting sqref="E948">
    <cfRule type="containsText" dxfId="2590" priority="2688" operator="containsText" text="NUEVO">
      <formula>NOT(ISERROR(SEARCH("NUEVO",E948)))</formula>
    </cfRule>
  </conditionalFormatting>
  <conditionalFormatting sqref="E948">
    <cfRule type="containsText" dxfId="2589" priority="2689" operator="containsText" text="Sin información">
      <formula>NOT(ISERROR(SEARCH("Sin información",E948)))</formula>
    </cfRule>
  </conditionalFormatting>
  <conditionalFormatting sqref="E949:E951">
    <cfRule type="containsText" dxfId="2588" priority="2686" operator="containsText" text="NUEVO">
      <formula>NOT(ISERROR(SEARCH("NUEVO",E949)))</formula>
    </cfRule>
  </conditionalFormatting>
  <conditionalFormatting sqref="E949:E951">
    <cfRule type="containsText" dxfId="2587" priority="2687" operator="containsText" text="Sin información">
      <formula>NOT(ISERROR(SEARCH("Sin información",E949)))</formula>
    </cfRule>
  </conditionalFormatting>
  <conditionalFormatting sqref="E952">
    <cfRule type="containsText" dxfId="2586" priority="2684" operator="containsText" text="NUEVO">
      <formula>NOT(ISERROR(SEARCH("NUEVO",E952)))</formula>
    </cfRule>
  </conditionalFormatting>
  <conditionalFormatting sqref="E952">
    <cfRule type="containsText" dxfId="2585" priority="2685" operator="containsText" text="Sin información">
      <formula>NOT(ISERROR(SEARCH("Sin información",E952)))</formula>
    </cfRule>
  </conditionalFormatting>
  <conditionalFormatting sqref="F949:F952">
    <cfRule type="containsText" dxfId="2584" priority="2680" operator="containsText" text="NUEVO">
      <formula>NOT(ISERROR(SEARCH("NUEVO",F949)))</formula>
    </cfRule>
  </conditionalFormatting>
  <conditionalFormatting sqref="F949:F952">
    <cfRule type="containsText" dxfId="2583" priority="2683" operator="containsText" text="NO+$D$4:$D$10">
      <formula>NOT(ISERROR(SEARCH("NO+$D$4:$D$10",F949)))</formula>
    </cfRule>
  </conditionalFormatting>
  <conditionalFormatting sqref="F949:F952">
    <cfRule type="containsText" dxfId="2582" priority="2681" operator="containsText" text="SI">
      <formula>NOT(ISERROR(SEARCH("SI",F949)))</formula>
    </cfRule>
    <cfRule type="containsText" dxfId="2581" priority="2682" operator="containsText" text="NO">
      <formula>NOT(ISERROR(SEARCH("NO",F949)))</formula>
    </cfRule>
  </conditionalFormatting>
  <conditionalFormatting sqref="C953:D958">
    <cfRule type="containsText" dxfId="2580" priority="2679" operator="containsText" text="NO+$D$4:$D$10">
      <formula>NOT(ISERROR(SEARCH("NO+$D$4:$D$10",C953)))</formula>
    </cfRule>
  </conditionalFormatting>
  <conditionalFormatting sqref="C953:D958">
    <cfRule type="containsText" dxfId="2579" priority="2677" operator="containsText" text="SI">
      <formula>NOT(ISERROR(SEARCH("SI",C953)))</formula>
    </cfRule>
    <cfRule type="containsText" dxfId="2578" priority="2678" operator="containsText" text="NO">
      <formula>NOT(ISERROR(SEARCH("NO",C953)))</formula>
    </cfRule>
  </conditionalFormatting>
  <conditionalFormatting sqref="C953:D958">
    <cfRule type="containsText" dxfId="2577" priority="2676" operator="containsText" text="NUEVO">
      <formula>NOT(ISERROR(SEARCH("NUEVO",C953)))</formula>
    </cfRule>
  </conditionalFormatting>
  <conditionalFormatting sqref="E953:E955">
    <cfRule type="containsText" dxfId="2576" priority="2674" operator="containsText" text="NUEVO">
      <formula>NOT(ISERROR(SEARCH("NUEVO",E953)))</formula>
    </cfRule>
  </conditionalFormatting>
  <conditionalFormatting sqref="E953:E955">
    <cfRule type="containsText" dxfId="2575" priority="2675" operator="containsText" text="Sin información">
      <formula>NOT(ISERROR(SEARCH("Sin información",E953)))</formula>
    </cfRule>
  </conditionalFormatting>
  <conditionalFormatting sqref="E956">
    <cfRule type="containsText" dxfId="2574" priority="2672" operator="containsText" text="NUEVO">
      <formula>NOT(ISERROR(SEARCH("NUEVO",E956)))</formula>
    </cfRule>
  </conditionalFormatting>
  <conditionalFormatting sqref="E957">
    <cfRule type="containsText" dxfId="2573" priority="2670" operator="containsText" text="NUEVO">
      <formula>NOT(ISERROR(SEARCH("NUEVO",E957)))</formula>
    </cfRule>
  </conditionalFormatting>
  <conditionalFormatting sqref="E956">
    <cfRule type="containsText" dxfId="2572" priority="2673" operator="containsText" text="Sin información">
      <formula>NOT(ISERROR(SEARCH("Sin información",E956)))</formula>
    </cfRule>
  </conditionalFormatting>
  <conditionalFormatting sqref="E957">
    <cfRule type="containsText" dxfId="2571" priority="2671" operator="containsText" text="Sin información">
      <formula>NOT(ISERROR(SEARCH("Sin información",E957)))</formula>
    </cfRule>
  </conditionalFormatting>
  <conditionalFormatting sqref="E958">
    <cfRule type="containsText" dxfId="2570" priority="2668" operator="containsText" text="NUEVO">
      <formula>NOT(ISERROR(SEARCH("NUEVO",E958)))</formula>
    </cfRule>
  </conditionalFormatting>
  <conditionalFormatting sqref="E958">
    <cfRule type="containsText" dxfId="2569" priority="2669" operator="containsText" text="Sin información">
      <formula>NOT(ISERROR(SEARCH("Sin información",E958)))</formula>
    </cfRule>
  </conditionalFormatting>
  <conditionalFormatting sqref="C959:D959">
    <cfRule type="containsText" dxfId="2568" priority="2667" operator="containsText" text="NO+$D$4:$D$10">
      <formula>NOT(ISERROR(SEARCH("NO+$D$4:$D$10",C959)))</formula>
    </cfRule>
  </conditionalFormatting>
  <conditionalFormatting sqref="C959:D959">
    <cfRule type="containsText" dxfId="2567" priority="2665" operator="containsText" text="SI">
      <formula>NOT(ISERROR(SEARCH("SI",C959)))</formula>
    </cfRule>
    <cfRule type="containsText" dxfId="2566" priority="2666" operator="containsText" text="NO">
      <formula>NOT(ISERROR(SEARCH("NO",C959)))</formula>
    </cfRule>
  </conditionalFormatting>
  <conditionalFormatting sqref="E959">
    <cfRule type="containsText" dxfId="2565" priority="2664" operator="containsText" text="Sin información">
      <formula>NOT(ISERROR(SEARCH("Sin información",E959)))</formula>
    </cfRule>
  </conditionalFormatting>
  <conditionalFormatting sqref="C959:E959">
    <cfRule type="containsText" dxfId="2564" priority="2663" operator="containsText" text="NUEVO">
      <formula>NOT(ISERROR(SEARCH("NUEVO",C959)))</formula>
    </cfRule>
  </conditionalFormatting>
  <conditionalFormatting sqref="E959">
    <cfRule type="containsText" dxfId="2563" priority="2661" operator="containsText" text="NUEVO">
      <formula>NOT(ISERROR(SEARCH("NUEVO",E959)))</formula>
    </cfRule>
  </conditionalFormatting>
  <conditionalFormatting sqref="E959">
    <cfRule type="containsText" dxfId="2562" priority="2662" operator="containsText" text="Sin información">
      <formula>NOT(ISERROR(SEARCH("Sin información",E959)))</formula>
    </cfRule>
  </conditionalFormatting>
  <conditionalFormatting sqref="C961:D961">
    <cfRule type="containsText" dxfId="2561" priority="2660" operator="containsText" text="NO+$D$4:$D$10">
      <formula>NOT(ISERROR(SEARCH("NO+$D$4:$D$10",C961)))</formula>
    </cfRule>
  </conditionalFormatting>
  <conditionalFormatting sqref="C961:D961">
    <cfRule type="containsText" dxfId="2560" priority="2658" operator="containsText" text="SI">
      <formula>NOT(ISERROR(SEARCH("SI",C961)))</formula>
    </cfRule>
    <cfRule type="containsText" dxfId="2559" priority="2659" operator="containsText" text="NO">
      <formula>NOT(ISERROR(SEARCH("NO",C961)))</formula>
    </cfRule>
  </conditionalFormatting>
  <conditionalFormatting sqref="E961">
    <cfRule type="containsText" dxfId="2558" priority="2657" operator="containsText" text="Sin información">
      <formula>NOT(ISERROR(SEARCH("Sin información",E961)))</formula>
    </cfRule>
  </conditionalFormatting>
  <conditionalFormatting sqref="C961:E961">
    <cfRule type="containsText" dxfId="2557" priority="2656" operator="containsText" text="NUEVO">
      <formula>NOT(ISERROR(SEARCH("NUEVO",C961)))</formula>
    </cfRule>
  </conditionalFormatting>
  <conditionalFormatting sqref="C963:D963">
    <cfRule type="containsText" dxfId="2556" priority="2655" operator="containsText" text="NO+$D$4:$D$10">
      <formula>NOT(ISERROR(SEARCH("NO+$D$4:$D$10",C963)))</formula>
    </cfRule>
  </conditionalFormatting>
  <conditionalFormatting sqref="C963:D963">
    <cfRule type="containsText" dxfId="2555" priority="2653" operator="containsText" text="SI">
      <formula>NOT(ISERROR(SEARCH("SI",C963)))</formula>
    </cfRule>
    <cfRule type="containsText" dxfId="2554" priority="2654" operator="containsText" text="NO">
      <formula>NOT(ISERROR(SEARCH("NO",C963)))</formula>
    </cfRule>
  </conditionalFormatting>
  <conditionalFormatting sqref="E963">
    <cfRule type="containsText" dxfId="2553" priority="2652" operator="containsText" text="Sin información">
      <formula>NOT(ISERROR(SEARCH("Sin información",E963)))</formula>
    </cfRule>
  </conditionalFormatting>
  <conditionalFormatting sqref="C963:E963">
    <cfRule type="containsText" dxfId="2552" priority="2651" operator="containsText" text="NUEVO">
      <formula>NOT(ISERROR(SEARCH("NUEVO",C963)))</formula>
    </cfRule>
  </conditionalFormatting>
  <conditionalFormatting sqref="C964:D964">
    <cfRule type="containsText" dxfId="2551" priority="2650" operator="containsText" text="NO+$D$4:$D$10">
      <formula>NOT(ISERROR(SEARCH("NO+$D$4:$D$10",C964)))</formula>
    </cfRule>
  </conditionalFormatting>
  <conditionalFormatting sqref="C964:D964">
    <cfRule type="containsText" dxfId="2550" priority="2648" operator="containsText" text="SI">
      <formula>NOT(ISERROR(SEARCH("SI",C964)))</formula>
    </cfRule>
    <cfRule type="containsText" dxfId="2549" priority="2649" operator="containsText" text="NO">
      <formula>NOT(ISERROR(SEARCH("NO",C964)))</formula>
    </cfRule>
  </conditionalFormatting>
  <conditionalFormatting sqref="E964">
    <cfRule type="containsText" dxfId="2548" priority="2647" operator="containsText" text="Sin información">
      <formula>NOT(ISERROR(SEARCH("Sin información",E964)))</formula>
    </cfRule>
  </conditionalFormatting>
  <conditionalFormatting sqref="C964:E964">
    <cfRule type="containsText" dxfId="2547" priority="2646" operator="containsText" text="NUEVO">
      <formula>NOT(ISERROR(SEARCH("NUEVO",C964)))</formula>
    </cfRule>
  </conditionalFormatting>
  <conditionalFormatting sqref="C965:D965">
    <cfRule type="containsText" dxfId="2546" priority="2645" operator="containsText" text="NO+$D$4:$D$10">
      <formula>NOT(ISERROR(SEARCH("NO+$D$4:$D$10",C965)))</formula>
    </cfRule>
  </conditionalFormatting>
  <conditionalFormatting sqref="C965:D965">
    <cfRule type="containsText" dxfId="2545" priority="2643" operator="containsText" text="SI">
      <formula>NOT(ISERROR(SEARCH("SI",C965)))</formula>
    </cfRule>
    <cfRule type="containsText" dxfId="2544" priority="2644" operator="containsText" text="NO">
      <formula>NOT(ISERROR(SEARCH("NO",C965)))</formula>
    </cfRule>
  </conditionalFormatting>
  <conditionalFormatting sqref="C965:E965">
    <cfRule type="containsText" dxfId="2543" priority="2642" operator="containsText" text="NUEVO">
      <formula>NOT(ISERROR(SEARCH("NUEVO",C965)))</formula>
    </cfRule>
  </conditionalFormatting>
  <conditionalFormatting sqref="E965">
    <cfRule type="containsText" dxfId="2542" priority="2641" operator="containsText" text="Sin información">
      <formula>NOT(ISERROR(SEARCH("Sin información",E965)))</formula>
    </cfRule>
  </conditionalFormatting>
  <conditionalFormatting sqref="C966:D966">
    <cfRule type="containsText" dxfId="2541" priority="2640" operator="containsText" text="NO+$D$4:$D$10">
      <formula>NOT(ISERROR(SEARCH("NO+$D$4:$D$10",C966)))</formula>
    </cfRule>
  </conditionalFormatting>
  <conditionalFormatting sqref="C966:D966">
    <cfRule type="containsText" dxfId="2540" priority="2638" operator="containsText" text="SI">
      <formula>NOT(ISERROR(SEARCH("SI",C966)))</formula>
    </cfRule>
    <cfRule type="containsText" dxfId="2539" priority="2639" operator="containsText" text="NO">
      <formula>NOT(ISERROR(SEARCH("NO",C966)))</formula>
    </cfRule>
  </conditionalFormatting>
  <conditionalFormatting sqref="E966">
    <cfRule type="containsText" dxfId="2538" priority="2637" operator="containsText" text="Sin información">
      <formula>NOT(ISERROR(SEARCH("Sin información",E966)))</formula>
    </cfRule>
  </conditionalFormatting>
  <conditionalFormatting sqref="C966:E966">
    <cfRule type="containsText" dxfId="2537" priority="2636" operator="containsText" text="NUEVO">
      <formula>NOT(ISERROR(SEARCH("NUEVO",C966)))</formula>
    </cfRule>
  </conditionalFormatting>
  <conditionalFormatting sqref="C967:D968">
    <cfRule type="containsText" dxfId="2536" priority="2635" operator="containsText" text="NO+$D$4:$D$10">
      <formula>NOT(ISERROR(SEARCH("NO+$D$4:$D$10",C967)))</formula>
    </cfRule>
  </conditionalFormatting>
  <conditionalFormatting sqref="C967:D968">
    <cfRule type="containsText" dxfId="2535" priority="2633" operator="containsText" text="SI">
      <formula>NOT(ISERROR(SEARCH("SI",C967)))</formula>
    </cfRule>
    <cfRule type="containsText" dxfId="2534" priority="2634" operator="containsText" text="NO">
      <formula>NOT(ISERROR(SEARCH("NO",C967)))</formula>
    </cfRule>
  </conditionalFormatting>
  <conditionalFormatting sqref="E967">
    <cfRule type="containsText" dxfId="2533" priority="2632" operator="containsText" text="Sin información">
      <formula>NOT(ISERROR(SEARCH("Sin información",E967)))</formula>
    </cfRule>
  </conditionalFormatting>
  <conditionalFormatting sqref="C967:D968">
    <cfRule type="containsText" dxfId="2532" priority="2631" operator="containsText" text="NUEVO">
      <formula>NOT(ISERROR(SEARCH("NUEVO",C967)))</formula>
    </cfRule>
  </conditionalFormatting>
  <conditionalFormatting sqref="E967">
    <cfRule type="containsText" dxfId="2531" priority="2630" operator="containsText" text="Sin información">
      <formula>NOT(ISERROR(SEARCH("Sin información",E967)))</formula>
    </cfRule>
  </conditionalFormatting>
  <conditionalFormatting sqref="E968">
    <cfRule type="containsText" dxfId="2530" priority="2629" operator="containsText" text="Sin información">
      <formula>NOT(ISERROR(SEARCH("Sin información",E968)))</formula>
    </cfRule>
  </conditionalFormatting>
  <conditionalFormatting sqref="E968">
    <cfRule type="containsText" dxfId="2529" priority="2628" operator="containsText" text="NUEVO">
      <formula>NOT(ISERROR(SEARCH("NUEVO",E968)))</formula>
    </cfRule>
  </conditionalFormatting>
  <conditionalFormatting sqref="C970:D971 C973:D974">
    <cfRule type="containsText" dxfId="2528" priority="2627" operator="containsText" text="NO+$D$4:$D$10">
      <formula>NOT(ISERROR(SEARCH("NO+$D$4:$D$10",C970)))</formula>
    </cfRule>
  </conditionalFormatting>
  <conditionalFormatting sqref="C970:D971 C973:D974">
    <cfRule type="containsText" dxfId="2527" priority="2625" operator="containsText" text="SI">
      <formula>NOT(ISERROR(SEARCH("SI",C970)))</formula>
    </cfRule>
    <cfRule type="containsText" dxfId="2526" priority="2626" operator="containsText" text="NO">
      <formula>NOT(ISERROR(SEARCH("NO",C970)))</formula>
    </cfRule>
  </conditionalFormatting>
  <conditionalFormatting sqref="E970">
    <cfRule type="containsText" dxfId="2525" priority="2624" operator="containsText" text="Sin información">
      <formula>NOT(ISERROR(SEARCH("Sin información",E970)))</formula>
    </cfRule>
  </conditionalFormatting>
  <conditionalFormatting sqref="E970 C970:D971 C973:D974">
    <cfRule type="containsText" dxfId="2524" priority="2623" operator="containsText" text="NUEVO">
      <formula>NOT(ISERROR(SEARCH("NUEVO",C970)))</formula>
    </cfRule>
  </conditionalFormatting>
  <conditionalFormatting sqref="E970">
    <cfRule type="containsText" dxfId="2523" priority="2622" operator="containsText" text="Sin información">
      <formula>NOT(ISERROR(SEARCH("Sin información",E970)))</formula>
    </cfRule>
  </conditionalFormatting>
  <conditionalFormatting sqref="E970">
    <cfRule type="containsText" dxfId="2522" priority="2621" operator="containsText" text="NUEVO">
      <formula>NOT(ISERROR(SEARCH("NUEVO",E970)))</formula>
    </cfRule>
  </conditionalFormatting>
  <conditionalFormatting sqref="E971">
    <cfRule type="containsText" dxfId="2521" priority="2620" operator="containsText" text="Sin información">
      <formula>NOT(ISERROR(SEARCH("Sin información",E971)))</formula>
    </cfRule>
  </conditionalFormatting>
  <conditionalFormatting sqref="E971">
    <cfRule type="containsText" dxfId="2520" priority="2619" operator="containsText" text="NUEVO">
      <formula>NOT(ISERROR(SEARCH("NUEVO",E971)))</formula>
    </cfRule>
  </conditionalFormatting>
  <conditionalFormatting sqref="E973">
    <cfRule type="containsText" dxfId="2519" priority="2617" operator="containsText" text="NUEVO">
      <formula>NOT(ISERROR(SEARCH("NUEVO",E973)))</formula>
    </cfRule>
  </conditionalFormatting>
  <conditionalFormatting sqref="E973">
    <cfRule type="containsText" dxfId="2518" priority="2618" operator="containsText" text="Sin información">
      <formula>NOT(ISERROR(SEARCH("Sin información",E973)))</formula>
    </cfRule>
  </conditionalFormatting>
  <conditionalFormatting sqref="E974">
    <cfRule type="containsText" dxfId="2517" priority="2615" operator="containsText" text="NUEVO">
      <formula>NOT(ISERROR(SEARCH("NUEVO",E974)))</formula>
    </cfRule>
  </conditionalFormatting>
  <conditionalFormatting sqref="E974">
    <cfRule type="containsText" dxfId="2516" priority="2616" operator="containsText" text="Sin información">
      <formula>NOT(ISERROR(SEARCH("Sin información",E974)))</formula>
    </cfRule>
  </conditionalFormatting>
  <conditionalFormatting sqref="C975:D975">
    <cfRule type="containsText" dxfId="2515" priority="2614" operator="containsText" text="NO+$D$4:$D$10">
      <formula>NOT(ISERROR(SEARCH("NO+$D$4:$D$10",C975)))</formula>
    </cfRule>
  </conditionalFormatting>
  <conditionalFormatting sqref="C975:D975">
    <cfRule type="containsText" dxfId="2514" priority="2612" operator="containsText" text="SI">
      <formula>NOT(ISERROR(SEARCH("SI",C975)))</formula>
    </cfRule>
    <cfRule type="containsText" dxfId="2513" priority="2613" operator="containsText" text="NO">
      <formula>NOT(ISERROR(SEARCH("NO",C975)))</formula>
    </cfRule>
  </conditionalFormatting>
  <conditionalFormatting sqref="C975:D975">
    <cfRule type="containsText" dxfId="2512" priority="2611" operator="containsText" text="NUEVO">
      <formula>NOT(ISERROR(SEARCH("NUEVO",C975)))</formula>
    </cfRule>
  </conditionalFormatting>
  <conditionalFormatting sqref="E975">
    <cfRule type="containsText" dxfId="2511" priority="2609" operator="containsText" text="NUEVO">
      <formula>NOT(ISERROR(SEARCH("NUEVO",E975)))</formula>
    </cfRule>
  </conditionalFormatting>
  <conditionalFormatting sqref="E975">
    <cfRule type="containsText" dxfId="2510" priority="2610" operator="containsText" text="Sin información">
      <formula>NOT(ISERROR(SEARCH("Sin información",E975)))</formula>
    </cfRule>
  </conditionalFormatting>
  <conditionalFormatting sqref="C972:D972">
    <cfRule type="containsText" dxfId="2509" priority="2608" operator="containsText" text="NO+$D$4:$D$10">
      <formula>NOT(ISERROR(SEARCH("NO+$D$4:$D$10",C972)))</formula>
    </cfRule>
  </conditionalFormatting>
  <conditionalFormatting sqref="C972:D972">
    <cfRule type="containsText" dxfId="2508" priority="2606" operator="containsText" text="SI">
      <formula>NOT(ISERROR(SEARCH("SI",C972)))</formula>
    </cfRule>
    <cfRule type="containsText" dxfId="2507" priority="2607" operator="containsText" text="NO">
      <formula>NOT(ISERROR(SEARCH("NO",C972)))</formula>
    </cfRule>
  </conditionalFormatting>
  <conditionalFormatting sqref="C972:D972">
    <cfRule type="containsText" dxfId="2506" priority="2605" operator="containsText" text="NUEVO">
      <formula>NOT(ISERROR(SEARCH("NUEVO",C972)))</formula>
    </cfRule>
  </conditionalFormatting>
  <conditionalFormatting sqref="E972">
    <cfRule type="containsText" dxfId="2505" priority="2604" operator="containsText" text="Sin información">
      <formula>NOT(ISERROR(SEARCH("Sin información",E972)))</formula>
    </cfRule>
  </conditionalFormatting>
  <conditionalFormatting sqref="E972">
    <cfRule type="containsText" dxfId="2504" priority="2603" operator="containsText" text="NUEVO">
      <formula>NOT(ISERROR(SEARCH("NUEVO",E972)))</formula>
    </cfRule>
  </conditionalFormatting>
  <conditionalFormatting sqref="C969:D969">
    <cfRule type="containsText" dxfId="2503" priority="2602" operator="containsText" text="NO+$D$4:$D$10">
      <formula>NOT(ISERROR(SEARCH("NO+$D$4:$D$10",C969)))</formula>
    </cfRule>
  </conditionalFormatting>
  <conditionalFormatting sqref="C969:D969">
    <cfRule type="containsText" dxfId="2502" priority="2600" operator="containsText" text="SI">
      <formula>NOT(ISERROR(SEARCH("SI",C969)))</formula>
    </cfRule>
    <cfRule type="containsText" dxfId="2501" priority="2601" operator="containsText" text="NO">
      <formula>NOT(ISERROR(SEARCH("NO",C969)))</formula>
    </cfRule>
  </conditionalFormatting>
  <conditionalFormatting sqref="C969:D969">
    <cfRule type="containsText" dxfId="2500" priority="2599" operator="containsText" text="NUEVO">
      <formula>NOT(ISERROR(SEARCH("NUEVO",C969)))</formula>
    </cfRule>
  </conditionalFormatting>
  <conditionalFormatting sqref="E969">
    <cfRule type="containsText" dxfId="2499" priority="2597" operator="containsText" text="NUEVO">
      <formula>NOT(ISERROR(SEARCH("NUEVO",E969)))</formula>
    </cfRule>
  </conditionalFormatting>
  <conditionalFormatting sqref="E969">
    <cfRule type="containsText" dxfId="2498" priority="2598" operator="containsText" text="Sin información">
      <formula>NOT(ISERROR(SEARCH("Sin información",E969)))</formula>
    </cfRule>
  </conditionalFormatting>
  <conditionalFormatting sqref="C980:D980">
    <cfRule type="containsText" dxfId="2497" priority="2596" operator="containsText" text="NO+$D$4:$D$10">
      <formula>NOT(ISERROR(SEARCH("NO+$D$4:$D$10",C980)))</formula>
    </cfRule>
  </conditionalFormatting>
  <conditionalFormatting sqref="C980:D980">
    <cfRule type="containsText" dxfId="2496" priority="2594" operator="containsText" text="SI">
      <formula>NOT(ISERROR(SEARCH("SI",C980)))</formula>
    </cfRule>
    <cfRule type="containsText" dxfId="2495" priority="2595" operator="containsText" text="NO">
      <formula>NOT(ISERROR(SEARCH("NO",C980)))</formula>
    </cfRule>
  </conditionalFormatting>
  <conditionalFormatting sqref="E980">
    <cfRule type="containsText" dxfId="2494" priority="2593" operator="containsText" text="Sin información">
      <formula>NOT(ISERROR(SEARCH("Sin información",E980)))</formula>
    </cfRule>
  </conditionalFormatting>
  <conditionalFormatting sqref="C980:E980">
    <cfRule type="containsText" dxfId="2493" priority="2592" operator="containsText" text="NUEVO">
      <formula>NOT(ISERROR(SEARCH("NUEVO",C980)))</formula>
    </cfRule>
  </conditionalFormatting>
  <conditionalFormatting sqref="E980">
    <cfRule type="containsText" dxfId="2492" priority="2591" operator="containsText" text="Sin información">
      <formula>NOT(ISERROR(SEARCH("Sin información",E980)))</formula>
    </cfRule>
  </conditionalFormatting>
  <conditionalFormatting sqref="C981:D981">
    <cfRule type="containsText" dxfId="2491" priority="2590" operator="containsText" text="NO+$D$4:$D$10">
      <formula>NOT(ISERROR(SEARCH("NO+$D$4:$D$10",C981)))</formula>
    </cfRule>
  </conditionalFormatting>
  <conditionalFormatting sqref="C981:D981">
    <cfRule type="containsText" dxfId="2490" priority="2588" operator="containsText" text="SI">
      <formula>NOT(ISERROR(SEARCH("SI",C981)))</formula>
    </cfRule>
    <cfRule type="containsText" dxfId="2489" priority="2589" operator="containsText" text="NO">
      <formula>NOT(ISERROR(SEARCH("NO",C981)))</formula>
    </cfRule>
  </conditionalFormatting>
  <conditionalFormatting sqref="C981:D981">
    <cfRule type="containsText" dxfId="2488" priority="2587" operator="containsText" text="NUEVO">
      <formula>NOT(ISERROR(SEARCH("NUEVO",C981)))</formula>
    </cfRule>
  </conditionalFormatting>
  <conditionalFormatting sqref="E981">
    <cfRule type="containsText" dxfId="2487" priority="2585" operator="containsText" text="NUEVO">
      <formula>NOT(ISERROR(SEARCH("NUEVO",E981)))</formula>
    </cfRule>
  </conditionalFormatting>
  <conditionalFormatting sqref="E981">
    <cfRule type="containsText" dxfId="2486" priority="2586" operator="containsText" text="Sin información">
      <formula>NOT(ISERROR(SEARCH("Sin información",E981)))</formula>
    </cfRule>
  </conditionalFormatting>
  <conditionalFormatting sqref="C982:D982">
    <cfRule type="containsText" dxfId="2485" priority="2584" operator="containsText" text="NO+$D$4:$D$10">
      <formula>NOT(ISERROR(SEARCH("NO+$D$4:$D$10",C982)))</formula>
    </cfRule>
  </conditionalFormatting>
  <conditionalFormatting sqref="C982:D982">
    <cfRule type="containsText" dxfId="2484" priority="2582" operator="containsText" text="SI">
      <formula>NOT(ISERROR(SEARCH("SI",C982)))</formula>
    </cfRule>
    <cfRule type="containsText" dxfId="2483" priority="2583" operator="containsText" text="NO">
      <formula>NOT(ISERROR(SEARCH("NO",C982)))</formula>
    </cfRule>
  </conditionalFormatting>
  <conditionalFormatting sqref="E982">
    <cfRule type="containsText" dxfId="2482" priority="2581" operator="containsText" text="Sin información">
      <formula>NOT(ISERROR(SEARCH("Sin información",E982)))</formula>
    </cfRule>
  </conditionalFormatting>
  <conditionalFormatting sqref="C982:E982">
    <cfRule type="containsText" dxfId="2481" priority="2580" operator="containsText" text="NUEVO">
      <formula>NOT(ISERROR(SEARCH("NUEVO",C982)))</formula>
    </cfRule>
  </conditionalFormatting>
  <conditionalFormatting sqref="E982">
    <cfRule type="containsText" dxfId="2480" priority="2579" operator="containsText" text="Sin información">
      <formula>NOT(ISERROR(SEARCH("Sin información",E982)))</formula>
    </cfRule>
  </conditionalFormatting>
  <conditionalFormatting sqref="C983:D984">
    <cfRule type="containsText" dxfId="2479" priority="2578" operator="containsText" text="NO+$D$4:$D$10">
      <formula>NOT(ISERROR(SEARCH("NO+$D$4:$D$10",C983)))</formula>
    </cfRule>
  </conditionalFormatting>
  <conditionalFormatting sqref="C983:D984">
    <cfRule type="containsText" dxfId="2478" priority="2576" operator="containsText" text="SI">
      <formula>NOT(ISERROR(SEARCH("SI",C983)))</formula>
    </cfRule>
    <cfRule type="containsText" dxfId="2477" priority="2577" operator="containsText" text="NO">
      <formula>NOT(ISERROR(SEARCH("NO",C983)))</formula>
    </cfRule>
  </conditionalFormatting>
  <conditionalFormatting sqref="E984">
    <cfRule type="containsText" dxfId="2476" priority="2575" operator="containsText" text="Sin información">
      <formula>NOT(ISERROR(SEARCH("Sin información",E984)))</formula>
    </cfRule>
  </conditionalFormatting>
  <conditionalFormatting sqref="E984 C983:D984">
    <cfRule type="containsText" dxfId="2475" priority="2574" operator="containsText" text="NUEVO">
      <formula>NOT(ISERROR(SEARCH("NUEVO",C983)))</formula>
    </cfRule>
  </conditionalFormatting>
  <conditionalFormatting sqref="E983">
    <cfRule type="containsText" dxfId="2474" priority="2572" operator="containsText" text="NUEVO">
      <formula>NOT(ISERROR(SEARCH("NUEVO",E983)))</formula>
    </cfRule>
  </conditionalFormatting>
  <conditionalFormatting sqref="E983">
    <cfRule type="containsText" dxfId="2473" priority="2573" operator="containsText" text="Sin información">
      <formula>NOT(ISERROR(SEARCH("Sin información",E983)))</formula>
    </cfRule>
  </conditionalFormatting>
  <conditionalFormatting sqref="C985:D985">
    <cfRule type="containsText" dxfId="2472" priority="2571" operator="containsText" text="NO+$D$4:$D$10">
      <formula>NOT(ISERROR(SEARCH("NO+$D$4:$D$10",C985)))</formula>
    </cfRule>
  </conditionalFormatting>
  <conditionalFormatting sqref="C985:D985">
    <cfRule type="containsText" dxfId="2471" priority="2569" operator="containsText" text="SI">
      <formula>NOT(ISERROR(SEARCH("SI",C985)))</formula>
    </cfRule>
    <cfRule type="containsText" dxfId="2470" priority="2570" operator="containsText" text="NO">
      <formula>NOT(ISERROR(SEARCH("NO",C985)))</formula>
    </cfRule>
  </conditionalFormatting>
  <conditionalFormatting sqref="C985:D985">
    <cfRule type="containsText" dxfId="2469" priority="2568" operator="containsText" text="NUEVO">
      <formula>NOT(ISERROR(SEARCH("NUEVO",C985)))</formula>
    </cfRule>
  </conditionalFormatting>
  <conditionalFormatting sqref="E985">
    <cfRule type="containsText" dxfId="2468" priority="2567" operator="containsText" text="Sin información">
      <formula>NOT(ISERROR(SEARCH("Sin información",E985)))</formula>
    </cfRule>
  </conditionalFormatting>
  <conditionalFormatting sqref="E985">
    <cfRule type="containsText" dxfId="2467" priority="2566" operator="containsText" text="NUEVO">
      <formula>NOT(ISERROR(SEARCH("NUEVO",E985)))</formula>
    </cfRule>
  </conditionalFormatting>
  <conditionalFormatting sqref="C986:D986">
    <cfRule type="containsText" dxfId="2466" priority="2565" operator="containsText" text="NO+$D$4:$D$10">
      <formula>NOT(ISERROR(SEARCH("NO+$D$4:$D$10",C986)))</formula>
    </cfRule>
  </conditionalFormatting>
  <conditionalFormatting sqref="C986:D986">
    <cfRule type="containsText" dxfId="2465" priority="2563" operator="containsText" text="SI">
      <formula>NOT(ISERROR(SEARCH("SI",C986)))</formula>
    </cfRule>
    <cfRule type="containsText" dxfId="2464" priority="2564" operator="containsText" text="NO">
      <formula>NOT(ISERROR(SEARCH("NO",C986)))</formula>
    </cfRule>
  </conditionalFormatting>
  <conditionalFormatting sqref="E986">
    <cfRule type="containsText" dxfId="2463" priority="2562" operator="containsText" text="Sin información">
      <formula>NOT(ISERROR(SEARCH("Sin información",E986)))</formula>
    </cfRule>
  </conditionalFormatting>
  <conditionalFormatting sqref="C986:E986">
    <cfRule type="containsText" dxfId="2462" priority="2561" operator="containsText" text="NUEVO">
      <formula>NOT(ISERROR(SEARCH("NUEVO",C986)))</formula>
    </cfRule>
  </conditionalFormatting>
  <conditionalFormatting sqref="C988:D988">
    <cfRule type="containsText" dxfId="2461" priority="2560" operator="containsText" text="NO+$D$4:$D$10">
      <formula>NOT(ISERROR(SEARCH("NO+$D$4:$D$10",C988)))</formula>
    </cfRule>
  </conditionalFormatting>
  <conditionalFormatting sqref="C988:D988">
    <cfRule type="containsText" dxfId="2460" priority="2558" operator="containsText" text="SI">
      <formula>NOT(ISERROR(SEARCH("SI",C988)))</formula>
    </cfRule>
    <cfRule type="containsText" dxfId="2459" priority="2559" operator="containsText" text="NO">
      <formula>NOT(ISERROR(SEARCH("NO",C988)))</formula>
    </cfRule>
  </conditionalFormatting>
  <conditionalFormatting sqref="C988:D988">
    <cfRule type="containsText" dxfId="2458" priority="2557" operator="containsText" text="NUEVO">
      <formula>NOT(ISERROR(SEARCH("NUEVO",C988)))</formula>
    </cfRule>
  </conditionalFormatting>
  <conditionalFormatting sqref="E988">
    <cfRule type="containsText" dxfId="2457" priority="2555" operator="containsText" text="NUEVO">
      <formula>NOT(ISERROR(SEARCH("NUEVO",E988)))</formula>
    </cfRule>
  </conditionalFormatting>
  <conditionalFormatting sqref="E988">
    <cfRule type="containsText" dxfId="2456" priority="2554" operator="containsText" text="Sin Información">
      <formula>NOT(ISERROR(SEARCH("Sin Información",E988)))</formula>
    </cfRule>
  </conditionalFormatting>
  <conditionalFormatting sqref="E988">
    <cfRule type="containsText" dxfId="2455" priority="2556" operator="containsText" text="Sin información">
      <formula>NOT(ISERROR(SEARCH("Sin información",E988)))</formula>
    </cfRule>
  </conditionalFormatting>
  <conditionalFormatting sqref="C989:D989">
    <cfRule type="containsText" dxfId="2454" priority="2553" operator="containsText" text="NO+$D$4:$D$10">
      <formula>NOT(ISERROR(SEARCH("NO+$D$4:$D$10",C989)))</formula>
    </cfRule>
  </conditionalFormatting>
  <conditionalFormatting sqref="C989:D989">
    <cfRule type="containsText" dxfId="2453" priority="2551" operator="containsText" text="SI">
      <formula>NOT(ISERROR(SEARCH("SI",C989)))</formula>
    </cfRule>
    <cfRule type="containsText" dxfId="2452" priority="2552" operator="containsText" text="NO">
      <formula>NOT(ISERROR(SEARCH("NO",C989)))</formula>
    </cfRule>
  </conditionalFormatting>
  <conditionalFormatting sqref="E989">
    <cfRule type="containsText" dxfId="2451" priority="2550" operator="containsText" text="Sin información">
      <formula>NOT(ISERROR(SEARCH("Sin información",E989)))</formula>
    </cfRule>
  </conditionalFormatting>
  <conditionalFormatting sqref="C989:E989">
    <cfRule type="containsText" dxfId="2450" priority="2549" operator="containsText" text="NUEVO">
      <formula>NOT(ISERROR(SEARCH("NUEVO",C989)))</formula>
    </cfRule>
  </conditionalFormatting>
  <conditionalFormatting sqref="C990:D990">
    <cfRule type="containsText" dxfId="2449" priority="2548" operator="containsText" text="NO+$D$4:$D$10">
      <formula>NOT(ISERROR(SEARCH("NO+$D$4:$D$10",C990)))</formula>
    </cfRule>
  </conditionalFormatting>
  <conditionalFormatting sqref="C990:D990">
    <cfRule type="containsText" dxfId="2448" priority="2546" operator="containsText" text="SI">
      <formula>NOT(ISERROR(SEARCH("SI",C990)))</formula>
    </cfRule>
    <cfRule type="containsText" dxfId="2447" priority="2547" operator="containsText" text="NO">
      <formula>NOT(ISERROR(SEARCH("NO",C990)))</formula>
    </cfRule>
  </conditionalFormatting>
  <conditionalFormatting sqref="E990">
    <cfRule type="containsText" dxfId="2446" priority="2545" operator="containsText" text="Sin información">
      <formula>NOT(ISERROR(SEARCH("Sin información",E990)))</formula>
    </cfRule>
  </conditionalFormatting>
  <conditionalFormatting sqref="C990:E990">
    <cfRule type="containsText" dxfId="2445" priority="2544" operator="containsText" text="NUEVO">
      <formula>NOT(ISERROR(SEARCH("NUEVO",C990)))</formula>
    </cfRule>
  </conditionalFormatting>
  <conditionalFormatting sqref="E990">
    <cfRule type="containsText" dxfId="2444" priority="2543" operator="containsText" text="Sin Información">
      <formula>NOT(ISERROR(SEARCH("Sin Información",E990)))</formula>
    </cfRule>
  </conditionalFormatting>
  <conditionalFormatting sqref="C991:D992">
    <cfRule type="containsText" dxfId="2443" priority="2542" operator="containsText" text="NO+$D$4:$D$10">
      <formula>NOT(ISERROR(SEARCH("NO+$D$4:$D$10",C991)))</formula>
    </cfRule>
  </conditionalFormatting>
  <conditionalFormatting sqref="C991:D992">
    <cfRule type="containsText" dxfId="2442" priority="2540" operator="containsText" text="SI">
      <formula>NOT(ISERROR(SEARCH("SI",C991)))</formula>
    </cfRule>
    <cfRule type="containsText" dxfId="2441" priority="2541" operator="containsText" text="NO">
      <formula>NOT(ISERROR(SEARCH("NO",C991)))</formula>
    </cfRule>
  </conditionalFormatting>
  <conditionalFormatting sqref="E992">
    <cfRule type="containsText" dxfId="2440" priority="2539" operator="containsText" text="Sin información">
      <formula>NOT(ISERROR(SEARCH("Sin información",E992)))</formula>
    </cfRule>
  </conditionalFormatting>
  <conditionalFormatting sqref="E992 C991:D992">
    <cfRule type="containsText" dxfId="2439" priority="2538" operator="containsText" text="NUEVO">
      <formula>NOT(ISERROR(SEARCH("NUEVO",C991)))</formula>
    </cfRule>
  </conditionalFormatting>
  <conditionalFormatting sqref="E991">
    <cfRule type="containsText" dxfId="2438" priority="2537" operator="containsText" text="Sin información">
      <formula>NOT(ISERROR(SEARCH("Sin información",E991)))</formula>
    </cfRule>
  </conditionalFormatting>
  <conditionalFormatting sqref="E991">
    <cfRule type="containsText" dxfId="2437" priority="2536" operator="containsText" text="NUEVO">
      <formula>NOT(ISERROR(SEARCH("NUEVO",E991)))</formula>
    </cfRule>
  </conditionalFormatting>
  <conditionalFormatting sqref="C993:D993">
    <cfRule type="containsText" dxfId="2436" priority="2535" operator="containsText" text="NO+$D$4:$D$10">
      <formula>NOT(ISERROR(SEARCH("NO+$D$4:$D$10",C993)))</formula>
    </cfRule>
  </conditionalFormatting>
  <conditionalFormatting sqref="C993:D993">
    <cfRule type="containsText" dxfId="2435" priority="2533" operator="containsText" text="SI">
      <formula>NOT(ISERROR(SEARCH("SI",C993)))</formula>
    </cfRule>
    <cfRule type="containsText" dxfId="2434" priority="2534" operator="containsText" text="NO">
      <formula>NOT(ISERROR(SEARCH("NO",C993)))</formula>
    </cfRule>
  </conditionalFormatting>
  <conditionalFormatting sqref="E993">
    <cfRule type="containsText" dxfId="2433" priority="2532" operator="containsText" text="Sin información">
      <formula>NOT(ISERROR(SEARCH("Sin información",E993)))</formula>
    </cfRule>
  </conditionalFormatting>
  <conditionalFormatting sqref="C993:E993">
    <cfRule type="containsText" dxfId="2432" priority="2531" operator="containsText" text="NUEVO">
      <formula>NOT(ISERROR(SEARCH("NUEVO",C993)))</formula>
    </cfRule>
  </conditionalFormatting>
  <conditionalFormatting sqref="C994:D994">
    <cfRule type="containsText" dxfId="2431" priority="2530" operator="containsText" text="NO+$D$4:$D$10">
      <formula>NOT(ISERROR(SEARCH("NO+$D$4:$D$10",C994)))</formula>
    </cfRule>
  </conditionalFormatting>
  <conditionalFormatting sqref="C994:D994">
    <cfRule type="containsText" dxfId="2430" priority="2528" operator="containsText" text="SI">
      <formula>NOT(ISERROR(SEARCH("SI",C994)))</formula>
    </cfRule>
    <cfRule type="containsText" dxfId="2429" priority="2529" operator="containsText" text="NO">
      <formula>NOT(ISERROR(SEARCH("NO",C994)))</formula>
    </cfRule>
  </conditionalFormatting>
  <conditionalFormatting sqref="C994:D994">
    <cfRule type="containsText" dxfId="2428" priority="2527" operator="containsText" text="NUEVO">
      <formula>NOT(ISERROR(SEARCH("NUEVO",C994)))</formula>
    </cfRule>
  </conditionalFormatting>
  <conditionalFormatting sqref="E994">
    <cfRule type="containsText" dxfId="2427" priority="2525" operator="containsText" text="NUEVO">
      <formula>NOT(ISERROR(SEARCH("NUEVO",E994)))</formula>
    </cfRule>
  </conditionalFormatting>
  <conditionalFormatting sqref="E994">
    <cfRule type="containsText" dxfId="2426" priority="2526" operator="containsText" text="Sin información">
      <formula>NOT(ISERROR(SEARCH("Sin información",E994)))</formula>
    </cfRule>
  </conditionalFormatting>
  <conditionalFormatting sqref="C995:D995">
    <cfRule type="containsText" dxfId="2425" priority="2524" operator="containsText" text="NO+$D$4:$D$10">
      <formula>NOT(ISERROR(SEARCH("NO+$D$4:$D$10",C995)))</formula>
    </cfRule>
  </conditionalFormatting>
  <conditionalFormatting sqref="C995:D995">
    <cfRule type="containsText" dxfId="2424" priority="2522" operator="containsText" text="SI">
      <formula>NOT(ISERROR(SEARCH("SI",C995)))</formula>
    </cfRule>
    <cfRule type="containsText" dxfId="2423" priority="2523" operator="containsText" text="NO">
      <formula>NOT(ISERROR(SEARCH("NO",C995)))</formula>
    </cfRule>
  </conditionalFormatting>
  <conditionalFormatting sqref="C995:D995">
    <cfRule type="containsText" dxfId="2422" priority="2521" operator="containsText" text="NUEVO">
      <formula>NOT(ISERROR(SEARCH("NUEVO",C995)))</formula>
    </cfRule>
  </conditionalFormatting>
  <conditionalFormatting sqref="E995">
    <cfRule type="containsText" dxfId="2421" priority="2520" operator="containsText" text="Sin información">
      <formula>NOT(ISERROR(SEARCH("Sin información",E995)))</formula>
    </cfRule>
  </conditionalFormatting>
  <conditionalFormatting sqref="E995">
    <cfRule type="containsText" dxfId="2420" priority="2519" operator="containsText" text="NUEVO">
      <formula>NOT(ISERROR(SEARCH("NUEVO",E995)))</formula>
    </cfRule>
  </conditionalFormatting>
  <conditionalFormatting sqref="C996:D996">
    <cfRule type="containsText" dxfId="2419" priority="2518" operator="containsText" text="NO+$D$4:$D$10">
      <formula>NOT(ISERROR(SEARCH("NO+$D$4:$D$10",C996)))</formula>
    </cfRule>
  </conditionalFormatting>
  <conditionalFormatting sqref="C996:D996">
    <cfRule type="containsText" dxfId="2418" priority="2516" operator="containsText" text="SI">
      <formula>NOT(ISERROR(SEARCH("SI",C996)))</formula>
    </cfRule>
    <cfRule type="containsText" dxfId="2417" priority="2517" operator="containsText" text="NO">
      <formula>NOT(ISERROR(SEARCH("NO",C996)))</formula>
    </cfRule>
  </conditionalFormatting>
  <conditionalFormatting sqref="C996:D996">
    <cfRule type="containsText" dxfId="2416" priority="2515" operator="containsText" text="NUEVO">
      <formula>NOT(ISERROR(SEARCH("NUEVO",C996)))</formula>
    </cfRule>
  </conditionalFormatting>
  <conditionalFormatting sqref="E996">
    <cfRule type="containsText" dxfId="2415" priority="2514" operator="containsText" text="Sin información">
      <formula>NOT(ISERROR(SEARCH("Sin información",E996)))</formula>
    </cfRule>
  </conditionalFormatting>
  <conditionalFormatting sqref="E996">
    <cfRule type="containsText" dxfId="2414" priority="2513" operator="containsText" text="NUEVO">
      <formula>NOT(ISERROR(SEARCH("NUEVO",E996)))</formula>
    </cfRule>
  </conditionalFormatting>
  <conditionalFormatting sqref="C997:D997">
    <cfRule type="containsText" dxfId="2413" priority="2512" operator="containsText" text="NO+$D$4:$D$10">
      <formula>NOT(ISERROR(SEARCH("NO+$D$4:$D$10",C997)))</formula>
    </cfRule>
  </conditionalFormatting>
  <conditionalFormatting sqref="C997:D997">
    <cfRule type="containsText" dxfId="2412" priority="2510" operator="containsText" text="SI">
      <formula>NOT(ISERROR(SEARCH("SI",C997)))</formula>
    </cfRule>
    <cfRule type="containsText" dxfId="2411" priority="2511" operator="containsText" text="NO">
      <formula>NOT(ISERROR(SEARCH("NO",C997)))</formula>
    </cfRule>
  </conditionalFormatting>
  <conditionalFormatting sqref="C997:D997">
    <cfRule type="containsText" dxfId="2410" priority="2509" operator="containsText" text="NUEVO">
      <formula>NOT(ISERROR(SEARCH("NUEVO",C997)))</formula>
    </cfRule>
  </conditionalFormatting>
  <conditionalFormatting sqref="E997">
    <cfRule type="containsText" dxfId="2409" priority="2507" operator="containsText" text="NUEVO">
      <formula>NOT(ISERROR(SEARCH("NUEVO",E997)))</formula>
    </cfRule>
  </conditionalFormatting>
  <conditionalFormatting sqref="E997">
    <cfRule type="containsText" dxfId="2408" priority="2508" operator="containsText" text="Sin información">
      <formula>NOT(ISERROR(SEARCH("Sin información",E997)))</formula>
    </cfRule>
  </conditionalFormatting>
  <conditionalFormatting sqref="C998:D1004">
    <cfRule type="containsText" dxfId="2407" priority="2506" operator="containsText" text="NO+$D$4:$D$10">
      <formula>NOT(ISERROR(SEARCH("NO+$D$4:$D$10",C998)))</formula>
    </cfRule>
  </conditionalFormatting>
  <conditionalFormatting sqref="C998:D1004">
    <cfRule type="containsText" dxfId="2406" priority="2504" operator="containsText" text="SI">
      <formula>NOT(ISERROR(SEARCH("SI",C998)))</formula>
    </cfRule>
    <cfRule type="containsText" dxfId="2405" priority="2505" operator="containsText" text="NO">
      <formula>NOT(ISERROR(SEARCH("NO",C998)))</formula>
    </cfRule>
  </conditionalFormatting>
  <conditionalFormatting sqref="C998:D1004">
    <cfRule type="containsText" dxfId="2404" priority="2503" operator="containsText" text="NUEVO">
      <formula>NOT(ISERROR(SEARCH("NUEVO",C998)))</formula>
    </cfRule>
  </conditionalFormatting>
  <conditionalFormatting sqref="E998 E1000:E1001">
    <cfRule type="containsText" dxfId="2403" priority="2502" operator="containsText" text="Sin información">
      <formula>NOT(ISERROR(SEARCH("Sin información",E998)))</formula>
    </cfRule>
  </conditionalFormatting>
  <conditionalFormatting sqref="E998 E1000:E1001">
    <cfRule type="containsText" dxfId="2402" priority="2501" operator="containsText" text="NUEVO">
      <formula>NOT(ISERROR(SEARCH("NUEVO",E998)))</formula>
    </cfRule>
  </conditionalFormatting>
  <conditionalFormatting sqref="E999">
    <cfRule type="containsText" dxfId="2401" priority="2497" operator="containsText" text="NUEVO">
      <formula>NOT(ISERROR(SEARCH("NUEVO",E999)))</formula>
    </cfRule>
  </conditionalFormatting>
  <conditionalFormatting sqref="E999">
    <cfRule type="containsText" dxfId="2400" priority="2498" operator="containsText" text="Sin información">
      <formula>NOT(ISERROR(SEARCH("Sin información",E999)))</formula>
    </cfRule>
  </conditionalFormatting>
  <conditionalFormatting sqref="E1002:E1004">
    <cfRule type="containsText" dxfId="2399" priority="2495" operator="containsText" text="NUEVO">
      <formula>NOT(ISERROR(SEARCH("NUEVO",E1002)))</formula>
    </cfRule>
  </conditionalFormatting>
  <conditionalFormatting sqref="E1002:E1004">
    <cfRule type="containsText" dxfId="2398" priority="2496" operator="containsText" text="Sin información">
      <formula>NOT(ISERROR(SEARCH("Sin información",E1002)))</formula>
    </cfRule>
  </conditionalFormatting>
  <conditionalFormatting sqref="C1005:D1006">
    <cfRule type="containsText" dxfId="2397" priority="2494" operator="containsText" text="NO+$D$4:$D$10">
      <formula>NOT(ISERROR(SEARCH("NO+$D$4:$D$10",C1005)))</formula>
    </cfRule>
  </conditionalFormatting>
  <conditionalFormatting sqref="C1005:D1006">
    <cfRule type="containsText" dxfId="2396" priority="2492" operator="containsText" text="SI">
      <formula>NOT(ISERROR(SEARCH("SI",C1005)))</formula>
    </cfRule>
    <cfRule type="containsText" dxfId="2395" priority="2493" operator="containsText" text="NO">
      <formula>NOT(ISERROR(SEARCH("NO",C1005)))</formula>
    </cfRule>
  </conditionalFormatting>
  <conditionalFormatting sqref="C1005:D1006">
    <cfRule type="containsText" dxfId="2394" priority="2491" operator="containsText" text="NUEVO">
      <formula>NOT(ISERROR(SEARCH("NUEVO",C1005)))</formula>
    </cfRule>
  </conditionalFormatting>
  <conditionalFormatting sqref="E1005:E1006">
    <cfRule type="containsText" dxfId="2393" priority="2489" operator="containsText" text="NUEVO">
      <formula>NOT(ISERROR(SEARCH("NUEVO",E1005)))</formula>
    </cfRule>
  </conditionalFormatting>
  <conditionalFormatting sqref="E1005:E1006">
    <cfRule type="containsText" dxfId="2392" priority="2490" operator="containsText" text="Sin información">
      <formula>NOT(ISERROR(SEARCH("Sin información",E1005)))</formula>
    </cfRule>
  </conditionalFormatting>
  <conditionalFormatting sqref="C1007:D1007">
    <cfRule type="containsText" dxfId="2391" priority="2488" operator="containsText" text="NO+$D$4:$D$10">
      <formula>NOT(ISERROR(SEARCH("NO+$D$4:$D$10",C1007)))</formula>
    </cfRule>
  </conditionalFormatting>
  <conditionalFormatting sqref="C1007:D1007">
    <cfRule type="containsText" dxfId="2390" priority="2486" operator="containsText" text="SI">
      <formula>NOT(ISERROR(SEARCH("SI",C1007)))</formula>
    </cfRule>
    <cfRule type="containsText" dxfId="2389" priority="2487" operator="containsText" text="NO">
      <formula>NOT(ISERROR(SEARCH("NO",C1007)))</formula>
    </cfRule>
  </conditionalFormatting>
  <conditionalFormatting sqref="C1007:D1007">
    <cfRule type="containsText" dxfId="2388" priority="2485" operator="containsText" text="NUEVO">
      <formula>NOT(ISERROR(SEARCH("NUEVO",C1007)))</formula>
    </cfRule>
  </conditionalFormatting>
  <conditionalFormatting sqref="E1007">
    <cfRule type="containsText" dxfId="2387" priority="2483" operator="containsText" text="NUEVO">
      <formula>NOT(ISERROR(SEARCH("NUEVO",E1007)))</formula>
    </cfRule>
  </conditionalFormatting>
  <conditionalFormatting sqref="E1007">
    <cfRule type="containsText" dxfId="2386" priority="2484" operator="containsText" text="Sin información">
      <formula>NOT(ISERROR(SEARCH("Sin información",E1007)))</formula>
    </cfRule>
  </conditionalFormatting>
  <conditionalFormatting sqref="C987:D987">
    <cfRule type="containsText" dxfId="2385" priority="2482" operator="containsText" text="NO+$D$4:$D$10">
      <formula>NOT(ISERROR(SEARCH("NO+$D$4:$D$10",C987)))</formula>
    </cfRule>
  </conditionalFormatting>
  <conditionalFormatting sqref="C987:D987">
    <cfRule type="containsText" dxfId="2384" priority="2480" operator="containsText" text="SI">
      <formula>NOT(ISERROR(SEARCH("SI",C987)))</formula>
    </cfRule>
    <cfRule type="containsText" dxfId="2383" priority="2481" operator="containsText" text="NO">
      <formula>NOT(ISERROR(SEARCH("NO",C987)))</formula>
    </cfRule>
  </conditionalFormatting>
  <conditionalFormatting sqref="E987">
    <cfRule type="containsText" dxfId="2382" priority="2479" operator="containsText" text="Sin información">
      <formula>NOT(ISERROR(SEARCH("Sin información",E987)))</formula>
    </cfRule>
  </conditionalFormatting>
  <conditionalFormatting sqref="C987:E987">
    <cfRule type="containsText" dxfId="2381" priority="2478" operator="containsText" text="NUEVO">
      <formula>NOT(ISERROR(SEARCH("NUEVO",C987)))</formula>
    </cfRule>
  </conditionalFormatting>
  <conditionalFormatting sqref="C960:D960">
    <cfRule type="containsText" dxfId="2380" priority="2477" operator="containsText" text="NO+$D$4:$D$10">
      <formula>NOT(ISERROR(SEARCH("NO+$D$4:$D$10",C960)))</formula>
    </cfRule>
  </conditionalFormatting>
  <conditionalFormatting sqref="C960:D960">
    <cfRule type="containsText" dxfId="2379" priority="2475" operator="containsText" text="SI">
      <formula>NOT(ISERROR(SEARCH("SI",C960)))</formula>
    </cfRule>
    <cfRule type="containsText" dxfId="2378" priority="2476" operator="containsText" text="NO">
      <formula>NOT(ISERROR(SEARCH("NO",C960)))</formula>
    </cfRule>
  </conditionalFormatting>
  <conditionalFormatting sqref="C960:D960">
    <cfRule type="containsText" dxfId="2377" priority="2474" operator="containsText" text="NUEVO">
      <formula>NOT(ISERROR(SEARCH("NUEVO",C960)))</formula>
    </cfRule>
  </conditionalFormatting>
  <conditionalFormatting sqref="E960">
    <cfRule type="containsText" dxfId="2376" priority="2472" operator="containsText" text="NUEVO">
      <formula>NOT(ISERROR(SEARCH("NUEVO",E960)))</formula>
    </cfRule>
  </conditionalFormatting>
  <conditionalFormatting sqref="E960">
    <cfRule type="containsText" dxfId="2375" priority="2473" operator="containsText" text="Sin información">
      <formula>NOT(ISERROR(SEARCH("Sin información",E960)))</formula>
    </cfRule>
  </conditionalFormatting>
  <conditionalFormatting sqref="C1008:D1008">
    <cfRule type="containsText" dxfId="2374" priority="2471" operator="containsText" text="NO+$D$4:$D$10">
      <formula>NOT(ISERROR(SEARCH("NO+$D$4:$D$10",C1008)))</formula>
    </cfRule>
  </conditionalFormatting>
  <conditionalFormatting sqref="C1008:D1008">
    <cfRule type="containsText" dxfId="2373" priority="2469" operator="containsText" text="SI">
      <formula>NOT(ISERROR(SEARCH("SI",C1008)))</formula>
    </cfRule>
    <cfRule type="containsText" dxfId="2372" priority="2470" operator="containsText" text="NO">
      <formula>NOT(ISERROR(SEARCH("NO",C1008)))</formula>
    </cfRule>
  </conditionalFormatting>
  <conditionalFormatting sqref="C1008:D1008">
    <cfRule type="containsText" dxfId="2371" priority="2468" operator="containsText" text="NUEVO">
      <formula>NOT(ISERROR(SEARCH("NUEVO",C1008)))</formula>
    </cfRule>
  </conditionalFormatting>
  <conditionalFormatting sqref="E1008">
    <cfRule type="containsText" dxfId="2370" priority="2467" operator="containsText" text="Sin información">
      <formula>NOT(ISERROR(SEARCH("Sin información",E1008)))</formula>
    </cfRule>
  </conditionalFormatting>
  <conditionalFormatting sqref="E1008">
    <cfRule type="containsText" dxfId="2369" priority="2466" operator="containsText" text="NUEVO">
      <formula>NOT(ISERROR(SEARCH("NUEVO",E1008)))</formula>
    </cfRule>
  </conditionalFormatting>
  <conditionalFormatting sqref="C1009:D1009">
    <cfRule type="containsText" dxfId="2368" priority="2465" operator="containsText" text="NO+$D$4:$D$10">
      <formula>NOT(ISERROR(SEARCH("NO+$D$4:$D$10",C1009)))</formula>
    </cfRule>
  </conditionalFormatting>
  <conditionalFormatting sqref="C1009:D1009">
    <cfRule type="containsText" dxfId="2367" priority="2463" operator="containsText" text="SI">
      <formula>NOT(ISERROR(SEARCH("SI",C1009)))</formula>
    </cfRule>
    <cfRule type="containsText" dxfId="2366" priority="2464" operator="containsText" text="NO">
      <formula>NOT(ISERROR(SEARCH("NO",C1009)))</formula>
    </cfRule>
  </conditionalFormatting>
  <conditionalFormatting sqref="C1009:D1009">
    <cfRule type="containsText" dxfId="2365" priority="2462" operator="containsText" text="NUEVO">
      <formula>NOT(ISERROR(SEARCH("NUEVO",C1009)))</formula>
    </cfRule>
  </conditionalFormatting>
  <conditionalFormatting sqref="E1009">
    <cfRule type="containsText" dxfId="2364" priority="2460" operator="containsText" text="NUEVO">
      <formula>NOT(ISERROR(SEARCH("NUEVO",E1009)))</formula>
    </cfRule>
  </conditionalFormatting>
  <conditionalFormatting sqref="E1009">
    <cfRule type="containsText" dxfId="2363" priority="2461" operator="containsText" text="Sin información">
      <formula>NOT(ISERROR(SEARCH("Sin información",E1009)))</formula>
    </cfRule>
  </conditionalFormatting>
  <conditionalFormatting sqref="C1010:D1010">
    <cfRule type="containsText" dxfId="2362" priority="2459" operator="containsText" text="NO+$D$4:$D$10">
      <formula>NOT(ISERROR(SEARCH("NO+$D$4:$D$10",C1010)))</formula>
    </cfRule>
  </conditionalFormatting>
  <conditionalFormatting sqref="C1010:D1010">
    <cfRule type="containsText" dxfId="2361" priority="2457" operator="containsText" text="SI">
      <formula>NOT(ISERROR(SEARCH("SI",C1010)))</formula>
    </cfRule>
    <cfRule type="containsText" dxfId="2360" priority="2458" operator="containsText" text="NO">
      <formula>NOT(ISERROR(SEARCH("NO",C1010)))</formula>
    </cfRule>
  </conditionalFormatting>
  <conditionalFormatting sqref="C1010:D1010">
    <cfRule type="containsText" dxfId="2359" priority="2456" operator="containsText" text="NUEVO">
      <formula>NOT(ISERROR(SEARCH("NUEVO",C1010)))</formula>
    </cfRule>
  </conditionalFormatting>
  <conditionalFormatting sqref="E1010">
    <cfRule type="containsText" dxfId="2358" priority="2455" operator="containsText" text="Sin información">
      <formula>NOT(ISERROR(SEARCH("Sin información",E1010)))</formula>
    </cfRule>
  </conditionalFormatting>
  <conditionalFormatting sqref="E1010">
    <cfRule type="containsText" dxfId="2357" priority="2454" operator="containsText" text="NUEVO">
      <formula>NOT(ISERROR(SEARCH("NUEVO",E1010)))</formula>
    </cfRule>
  </conditionalFormatting>
  <conditionalFormatting sqref="C1011:D1011">
    <cfRule type="containsText" dxfId="2356" priority="2453" operator="containsText" text="NO+$D$4:$D$10">
      <formula>NOT(ISERROR(SEARCH("NO+$D$4:$D$10",C1011)))</formula>
    </cfRule>
  </conditionalFormatting>
  <conditionalFormatting sqref="C1011:D1011">
    <cfRule type="containsText" dxfId="2355" priority="2451" operator="containsText" text="SI">
      <formula>NOT(ISERROR(SEARCH("SI",C1011)))</formula>
    </cfRule>
    <cfRule type="containsText" dxfId="2354" priority="2452" operator="containsText" text="NO">
      <formula>NOT(ISERROR(SEARCH("NO",C1011)))</formula>
    </cfRule>
  </conditionalFormatting>
  <conditionalFormatting sqref="C1011:D1011">
    <cfRule type="containsText" dxfId="2353" priority="2450" operator="containsText" text="NUEVO">
      <formula>NOT(ISERROR(SEARCH("NUEVO",C1011)))</formula>
    </cfRule>
  </conditionalFormatting>
  <conditionalFormatting sqref="E1011">
    <cfRule type="containsText" dxfId="2352" priority="2449" operator="containsText" text="Sin información">
      <formula>NOT(ISERROR(SEARCH("Sin información",E1011)))</formula>
    </cfRule>
  </conditionalFormatting>
  <conditionalFormatting sqref="E1011">
    <cfRule type="containsText" dxfId="2351" priority="2448" operator="containsText" text="NUEVO">
      <formula>NOT(ISERROR(SEARCH("NUEVO",E1011)))</formula>
    </cfRule>
  </conditionalFormatting>
  <conditionalFormatting sqref="C1012:D1012">
    <cfRule type="containsText" dxfId="2350" priority="2447" operator="containsText" text="NO+$D$4:$D$10">
      <formula>NOT(ISERROR(SEARCH("NO+$D$4:$D$10",C1012)))</formula>
    </cfRule>
  </conditionalFormatting>
  <conditionalFormatting sqref="C1012:D1012">
    <cfRule type="containsText" dxfId="2349" priority="2445" operator="containsText" text="SI">
      <formula>NOT(ISERROR(SEARCH("SI",C1012)))</formula>
    </cfRule>
    <cfRule type="containsText" dxfId="2348" priority="2446" operator="containsText" text="NO">
      <formula>NOT(ISERROR(SEARCH("NO",C1012)))</formula>
    </cfRule>
  </conditionalFormatting>
  <conditionalFormatting sqref="C1012:D1012">
    <cfRule type="containsText" dxfId="2347" priority="2444" operator="containsText" text="NUEVO">
      <formula>NOT(ISERROR(SEARCH("NUEVO",C1012)))</formula>
    </cfRule>
  </conditionalFormatting>
  <conditionalFormatting sqref="E1012">
    <cfRule type="containsText" dxfId="2346" priority="2442" operator="containsText" text="NUEVO">
      <formula>NOT(ISERROR(SEARCH("NUEVO",E1012)))</formula>
    </cfRule>
  </conditionalFormatting>
  <conditionalFormatting sqref="E1012">
    <cfRule type="containsText" dxfId="2345" priority="2443" operator="containsText" text="Sin información">
      <formula>NOT(ISERROR(SEARCH("Sin información",E1012)))</formula>
    </cfRule>
  </conditionalFormatting>
  <conditionalFormatting sqref="F1012">
    <cfRule type="containsText" dxfId="2344" priority="2441" operator="containsText" text="NO+$D$4:$D$10">
      <formula>NOT(ISERROR(SEARCH("NO+$D$4:$D$10",F1012)))</formula>
    </cfRule>
  </conditionalFormatting>
  <conditionalFormatting sqref="F1012">
    <cfRule type="containsText" dxfId="2343" priority="2439" operator="containsText" text="SI">
      <formula>NOT(ISERROR(SEARCH("SI",F1012)))</formula>
    </cfRule>
    <cfRule type="containsText" dxfId="2342" priority="2440" operator="containsText" text="NO">
      <formula>NOT(ISERROR(SEARCH("NO",F1012)))</formula>
    </cfRule>
  </conditionalFormatting>
  <conditionalFormatting sqref="F1012">
    <cfRule type="containsText" dxfId="2341" priority="2438" operator="containsText" text="NUEVO">
      <formula>NOT(ISERROR(SEARCH("NUEVO",F1012)))</formula>
    </cfRule>
  </conditionalFormatting>
  <conditionalFormatting sqref="C1013:D1013">
    <cfRule type="containsText" dxfId="2340" priority="2437" operator="containsText" text="NO+$D$4:$D$10">
      <formula>NOT(ISERROR(SEARCH("NO+$D$4:$D$10",C1013)))</formula>
    </cfRule>
  </conditionalFormatting>
  <conditionalFormatting sqref="C1013:D1013">
    <cfRule type="containsText" dxfId="2339" priority="2435" operator="containsText" text="SI">
      <formula>NOT(ISERROR(SEARCH("SI",C1013)))</formula>
    </cfRule>
    <cfRule type="containsText" dxfId="2338" priority="2436" operator="containsText" text="NO">
      <formula>NOT(ISERROR(SEARCH("NO",C1013)))</formula>
    </cfRule>
  </conditionalFormatting>
  <conditionalFormatting sqref="E1013">
    <cfRule type="containsText" dxfId="2337" priority="2434" operator="containsText" text="Sin información">
      <formula>NOT(ISERROR(SEARCH("Sin información",E1013)))</formula>
    </cfRule>
  </conditionalFormatting>
  <conditionalFormatting sqref="C1013:E1013">
    <cfRule type="containsText" dxfId="2336" priority="2433" operator="containsText" text="NUEVO">
      <formula>NOT(ISERROR(SEARCH("NUEVO",C1013)))</formula>
    </cfRule>
  </conditionalFormatting>
  <conditionalFormatting sqref="E1013">
    <cfRule type="containsText" dxfId="2335" priority="2432" operator="containsText" text="Sin Información">
      <formula>NOT(ISERROR(SEARCH("Sin Información",E1013)))</formula>
    </cfRule>
  </conditionalFormatting>
  <conditionalFormatting sqref="C1014:D1014">
    <cfRule type="containsText" dxfId="2334" priority="2431" operator="containsText" text="NO+$D$4:$D$10">
      <formula>NOT(ISERROR(SEARCH("NO+$D$4:$D$10",C1014)))</formula>
    </cfRule>
  </conditionalFormatting>
  <conditionalFormatting sqref="C1014:D1014">
    <cfRule type="containsText" dxfId="2333" priority="2429" operator="containsText" text="SI">
      <formula>NOT(ISERROR(SEARCH("SI",C1014)))</formula>
    </cfRule>
    <cfRule type="containsText" dxfId="2332" priority="2430" operator="containsText" text="NO">
      <formula>NOT(ISERROR(SEARCH("NO",C1014)))</formula>
    </cfRule>
  </conditionalFormatting>
  <conditionalFormatting sqref="C1014:D1014">
    <cfRule type="containsText" dxfId="2331" priority="2428" operator="containsText" text="NUEVO">
      <formula>NOT(ISERROR(SEARCH("NUEVO",C1014)))</formula>
    </cfRule>
  </conditionalFormatting>
  <conditionalFormatting sqref="E1014">
    <cfRule type="containsText" dxfId="2330" priority="2427" operator="containsText" text="Sin información">
      <formula>NOT(ISERROR(SEARCH("Sin información",E1014)))</formula>
    </cfRule>
  </conditionalFormatting>
  <conditionalFormatting sqref="E1014">
    <cfRule type="containsText" dxfId="2329" priority="2426" operator="containsText" text="NUEVO">
      <formula>NOT(ISERROR(SEARCH("NUEVO",E1014)))</formula>
    </cfRule>
  </conditionalFormatting>
  <conditionalFormatting sqref="C1015:D1015">
    <cfRule type="containsText" dxfId="2328" priority="2425" operator="containsText" text="NO+$D$4:$D$10">
      <formula>NOT(ISERROR(SEARCH("NO+$D$4:$D$10",C1015)))</formula>
    </cfRule>
  </conditionalFormatting>
  <conditionalFormatting sqref="C1015:D1015">
    <cfRule type="containsText" dxfId="2327" priority="2423" operator="containsText" text="SI">
      <formula>NOT(ISERROR(SEARCH("SI",C1015)))</formula>
    </cfRule>
    <cfRule type="containsText" dxfId="2326" priority="2424" operator="containsText" text="NO">
      <formula>NOT(ISERROR(SEARCH("NO",C1015)))</formula>
    </cfRule>
  </conditionalFormatting>
  <conditionalFormatting sqref="E1015">
    <cfRule type="containsText" dxfId="2325" priority="2422" operator="containsText" text="Sin información">
      <formula>NOT(ISERROR(SEARCH("Sin información",E1015)))</formula>
    </cfRule>
  </conditionalFormatting>
  <conditionalFormatting sqref="C1015:E1015">
    <cfRule type="containsText" dxfId="2324" priority="2421" operator="containsText" text="NUEVO">
      <formula>NOT(ISERROR(SEARCH("NUEVO",C1015)))</formula>
    </cfRule>
  </conditionalFormatting>
  <conditionalFormatting sqref="C1016:D1016">
    <cfRule type="containsText" dxfId="2323" priority="2420" operator="containsText" text="NO+$D$4:$D$10">
      <formula>NOT(ISERROR(SEARCH("NO+$D$4:$D$10",C1016)))</formula>
    </cfRule>
  </conditionalFormatting>
  <conditionalFormatting sqref="C1016:D1016">
    <cfRule type="containsText" dxfId="2322" priority="2418" operator="containsText" text="SI">
      <formula>NOT(ISERROR(SEARCH("SI",C1016)))</formula>
    </cfRule>
    <cfRule type="containsText" dxfId="2321" priority="2419" operator="containsText" text="NO">
      <formula>NOT(ISERROR(SEARCH("NO",C1016)))</formula>
    </cfRule>
  </conditionalFormatting>
  <conditionalFormatting sqref="C1016:D1016">
    <cfRule type="containsText" dxfId="2320" priority="2417" operator="containsText" text="NUEVO">
      <formula>NOT(ISERROR(SEARCH("NUEVO",C1016)))</formula>
    </cfRule>
  </conditionalFormatting>
  <conditionalFormatting sqref="E1016">
    <cfRule type="containsText" dxfId="2319" priority="2416" operator="containsText" text="Sin información">
      <formula>NOT(ISERROR(SEARCH("Sin información",E1016)))</formula>
    </cfRule>
  </conditionalFormatting>
  <conditionalFormatting sqref="E1016">
    <cfRule type="containsText" dxfId="2318" priority="2415" operator="containsText" text="NUEVO">
      <formula>NOT(ISERROR(SEARCH("NUEVO",E1016)))</formula>
    </cfRule>
  </conditionalFormatting>
  <conditionalFormatting sqref="F1016">
    <cfRule type="containsText" dxfId="2317" priority="2414" operator="containsText" text="NO+$D$4:$D$10">
      <formula>NOT(ISERROR(SEARCH("NO+$D$4:$D$10",F1016)))</formula>
    </cfRule>
  </conditionalFormatting>
  <conditionalFormatting sqref="F1016">
    <cfRule type="containsText" dxfId="2316" priority="2412" operator="containsText" text="SI">
      <formula>NOT(ISERROR(SEARCH("SI",F1016)))</formula>
    </cfRule>
    <cfRule type="containsText" dxfId="2315" priority="2413" operator="containsText" text="NO">
      <formula>NOT(ISERROR(SEARCH("NO",F1016)))</formula>
    </cfRule>
  </conditionalFormatting>
  <conditionalFormatting sqref="F1016">
    <cfRule type="containsText" dxfId="2314" priority="2411" operator="containsText" text="NUEVO">
      <formula>NOT(ISERROR(SEARCH("NUEVO",F1016)))</formula>
    </cfRule>
  </conditionalFormatting>
  <conditionalFormatting sqref="C1017:D1017">
    <cfRule type="containsText" dxfId="2313" priority="2410" operator="containsText" text="NO+$D$4:$D$10">
      <formula>NOT(ISERROR(SEARCH("NO+$D$4:$D$10",C1017)))</formula>
    </cfRule>
  </conditionalFormatting>
  <conditionalFormatting sqref="C1017:D1017">
    <cfRule type="containsText" dxfId="2312" priority="2408" operator="containsText" text="SI">
      <formula>NOT(ISERROR(SEARCH("SI",C1017)))</formula>
    </cfRule>
    <cfRule type="containsText" dxfId="2311" priority="2409" operator="containsText" text="NO">
      <formula>NOT(ISERROR(SEARCH("NO",C1017)))</formula>
    </cfRule>
  </conditionalFormatting>
  <conditionalFormatting sqref="C1017:D1017">
    <cfRule type="containsText" dxfId="2310" priority="2407" operator="containsText" text="NUEVO">
      <formula>NOT(ISERROR(SEARCH("NUEVO",C1017)))</formula>
    </cfRule>
  </conditionalFormatting>
  <conditionalFormatting sqref="E1017">
    <cfRule type="containsText" dxfId="2309" priority="2405" operator="containsText" text="NUEVO">
      <formula>NOT(ISERROR(SEARCH("NUEVO",E1017)))</formula>
    </cfRule>
  </conditionalFormatting>
  <conditionalFormatting sqref="E1017">
    <cfRule type="containsText" dxfId="2308" priority="2406" operator="containsText" text="Sin información">
      <formula>NOT(ISERROR(SEARCH("Sin información",E1017)))</formula>
    </cfRule>
  </conditionalFormatting>
  <conditionalFormatting sqref="C1018:D1018">
    <cfRule type="containsText" dxfId="2307" priority="2404" operator="containsText" text="NO+$D$4:$D$10">
      <formula>NOT(ISERROR(SEARCH("NO+$D$4:$D$10",C1018)))</formula>
    </cfRule>
  </conditionalFormatting>
  <conditionalFormatting sqref="C1018:D1018">
    <cfRule type="containsText" dxfId="2306" priority="2402" operator="containsText" text="SI">
      <formula>NOT(ISERROR(SEARCH("SI",C1018)))</formula>
    </cfRule>
    <cfRule type="containsText" dxfId="2305" priority="2403" operator="containsText" text="NO">
      <formula>NOT(ISERROR(SEARCH("NO",C1018)))</formula>
    </cfRule>
  </conditionalFormatting>
  <conditionalFormatting sqref="E1018">
    <cfRule type="containsText" dxfId="2304" priority="2401" operator="containsText" text="Sin información">
      <formula>NOT(ISERROR(SEARCH("Sin información",E1018)))</formula>
    </cfRule>
  </conditionalFormatting>
  <conditionalFormatting sqref="C1018:E1018">
    <cfRule type="containsText" dxfId="2303" priority="2400" operator="containsText" text="NUEVO">
      <formula>NOT(ISERROR(SEARCH("NUEVO",C1018)))</formula>
    </cfRule>
  </conditionalFormatting>
  <conditionalFormatting sqref="C1019:D1019">
    <cfRule type="containsText" dxfId="2302" priority="2399" operator="containsText" text="NO+$D$4:$D$10">
      <formula>NOT(ISERROR(SEARCH("NO+$D$4:$D$10",C1019)))</formula>
    </cfRule>
  </conditionalFormatting>
  <conditionalFormatting sqref="C1019:D1019">
    <cfRule type="containsText" dxfId="2301" priority="2397" operator="containsText" text="SI">
      <formula>NOT(ISERROR(SEARCH("SI",C1019)))</formula>
    </cfRule>
    <cfRule type="containsText" dxfId="2300" priority="2398" operator="containsText" text="NO">
      <formula>NOT(ISERROR(SEARCH("NO",C1019)))</formula>
    </cfRule>
  </conditionalFormatting>
  <conditionalFormatting sqref="C1019:D1019">
    <cfRule type="containsText" dxfId="2299" priority="2396" operator="containsText" text="NUEVO">
      <formula>NOT(ISERROR(SEARCH("NUEVO",C1019)))</formula>
    </cfRule>
  </conditionalFormatting>
  <conditionalFormatting sqref="E1019">
    <cfRule type="containsText" dxfId="2298" priority="2394" operator="containsText" text="NUEVO">
      <formula>NOT(ISERROR(SEARCH("NUEVO",E1019)))</formula>
    </cfRule>
  </conditionalFormatting>
  <conditionalFormatting sqref="E1019">
    <cfRule type="containsText" dxfId="2297" priority="2395" operator="containsText" text="Sin información">
      <formula>NOT(ISERROR(SEARCH("Sin información",E1019)))</formula>
    </cfRule>
  </conditionalFormatting>
  <conditionalFormatting sqref="F1019">
    <cfRule type="containsText" dxfId="2296" priority="2393" operator="containsText" text="NO+$D$4:$D$10">
      <formula>NOT(ISERROR(SEARCH("NO+$D$4:$D$10",F1019)))</formula>
    </cfRule>
  </conditionalFormatting>
  <conditionalFormatting sqref="F1019">
    <cfRule type="containsText" dxfId="2295" priority="2391" operator="containsText" text="SI">
      <formula>NOT(ISERROR(SEARCH("SI",F1019)))</formula>
    </cfRule>
    <cfRule type="containsText" dxfId="2294" priority="2392" operator="containsText" text="NO">
      <formula>NOT(ISERROR(SEARCH("NO",F1019)))</formula>
    </cfRule>
  </conditionalFormatting>
  <conditionalFormatting sqref="F1019">
    <cfRule type="containsText" dxfId="2293" priority="2390" operator="containsText" text="NUEVO">
      <formula>NOT(ISERROR(SEARCH("NUEVO",F1019)))</formula>
    </cfRule>
  </conditionalFormatting>
  <conditionalFormatting sqref="C1020:D1020">
    <cfRule type="containsText" dxfId="2292" priority="2389" operator="containsText" text="NO+$D$4:$D$10">
      <formula>NOT(ISERROR(SEARCH("NO+$D$4:$D$10",C1020)))</formula>
    </cfRule>
  </conditionalFormatting>
  <conditionalFormatting sqref="C1020:D1020">
    <cfRule type="containsText" dxfId="2291" priority="2387" operator="containsText" text="SI">
      <formula>NOT(ISERROR(SEARCH("SI",C1020)))</formula>
    </cfRule>
    <cfRule type="containsText" dxfId="2290" priority="2388" operator="containsText" text="NO">
      <formula>NOT(ISERROR(SEARCH("NO",C1020)))</formula>
    </cfRule>
  </conditionalFormatting>
  <conditionalFormatting sqref="E1020">
    <cfRule type="containsText" dxfId="2289" priority="2386" operator="containsText" text="Sin información">
      <formula>NOT(ISERROR(SEARCH("Sin información",E1020)))</formula>
    </cfRule>
  </conditionalFormatting>
  <conditionalFormatting sqref="C1020:E1020">
    <cfRule type="containsText" dxfId="2288" priority="2385" operator="containsText" text="NUEVO">
      <formula>NOT(ISERROR(SEARCH("NUEVO",C1020)))</formula>
    </cfRule>
  </conditionalFormatting>
  <conditionalFormatting sqref="F1020">
    <cfRule type="containsText" dxfId="2287" priority="2384" operator="containsText" text="NO+$D$4:$D$10">
      <formula>NOT(ISERROR(SEARCH("NO+$D$4:$D$10",F1020)))</formula>
    </cfRule>
  </conditionalFormatting>
  <conditionalFormatting sqref="F1020">
    <cfRule type="containsText" dxfId="2286" priority="2382" operator="containsText" text="SI">
      <formula>NOT(ISERROR(SEARCH("SI",F1020)))</formula>
    </cfRule>
    <cfRule type="containsText" dxfId="2285" priority="2383" operator="containsText" text="NO">
      <formula>NOT(ISERROR(SEARCH("NO",F1020)))</formula>
    </cfRule>
  </conditionalFormatting>
  <conditionalFormatting sqref="F1020">
    <cfRule type="containsText" dxfId="2284" priority="2381" operator="containsText" text="NUEVO">
      <formula>NOT(ISERROR(SEARCH("NUEVO",F1020)))</formula>
    </cfRule>
  </conditionalFormatting>
  <conditionalFormatting sqref="C1021:D1021">
    <cfRule type="containsText" dxfId="2283" priority="2380" operator="containsText" text="NO+$D$4:$D$10">
      <formula>NOT(ISERROR(SEARCH("NO+$D$4:$D$10",C1021)))</formula>
    </cfRule>
  </conditionalFormatting>
  <conditionalFormatting sqref="C1021:D1021">
    <cfRule type="containsText" dxfId="2282" priority="2378" operator="containsText" text="SI">
      <formula>NOT(ISERROR(SEARCH("SI",C1021)))</formula>
    </cfRule>
    <cfRule type="containsText" dxfId="2281" priority="2379" operator="containsText" text="NO">
      <formula>NOT(ISERROR(SEARCH("NO",C1021)))</formula>
    </cfRule>
  </conditionalFormatting>
  <conditionalFormatting sqref="E1021">
    <cfRule type="containsText" dxfId="2280" priority="2377" operator="containsText" text="Sin información">
      <formula>NOT(ISERROR(SEARCH("Sin información",E1021)))</formula>
    </cfRule>
  </conditionalFormatting>
  <conditionalFormatting sqref="C1021:E1021">
    <cfRule type="containsText" dxfId="2279" priority="2376" operator="containsText" text="NUEVO">
      <formula>NOT(ISERROR(SEARCH("NUEVO",C1021)))</formula>
    </cfRule>
  </conditionalFormatting>
  <conditionalFormatting sqref="C1022:D1022">
    <cfRule type="containsText" dxfId="2278" priority="2375" operator="containsText" text="NO+$D$4:$D$10">
      <formula>NOT(ISERROR(SEARCH("NO+$D$4:$D$10",C1022)))</formula>
    </cfRule>
  </conditionalFormatting>
  <conditionalFormatting sqref="C1022:D1022">
    <cfRule type="containsText" dxfId="2277" priority="2373" operator="containsText" text="SI">
      <formula>NOT(ISERROR(SEARCH("SI",C1022)))</formula>
    </cfRule>
    <cfRule type="containsText" dxfId="2276" priority="2374" operator="containsText" text="NO">
      <formula>NOT(ISERROR(SEARCH("NO",C1022)))</formula>
    </cfRule>
  </conditionalFormatting>
  <conditionalFormatting sqref="E1022">
    <cfRule type="containsText" dxfId="2275" priority="2372" operator="containsText" text="Sin información">
      <formula>NOT(ISERROR(SEARCH("Sin información",E1022)))</formula>
    </cfRule>
  </conditionalFormatting>
  <conditionalFormatting sqref="C1022:E1022">
    <cfRule type="containsText" dxfId="2274" priority="2371" operator="containsText" text="NUEVO">
      <formula>NOT(ISERROR(SEARCH("NUEVO",C1022)))</formula>
    </cfRule>
  </conditionalFormatting>
  <conditionalFormatting sqref="C1023:D1025">
    <cfRule type="containsText" dxfId="2273" priority="2364" operator="containsText" text="NO+$D$4:$D$10">
      <formula>NOT(ISERROR(SEARCH("NO+$D$4:$D$10",C1023)))</formula>
    </cfRule>
  </conditionalFormatting>
  <conditionalFormatting sqref="C1023:D1025">
    <cfRule type="containsText" dxfId="2272" priority="2362" operator="containsText" text="SI">
      <formula>NOT(ISERROR(SEARCH("SI",C1023)))</formula>
    </cfRule>
    <cfRule type="containsText" dxfId="2271" priority="2363" operator="containsText" text="NO">
      <formula>NOT(ISERROR(SEARCH("NO",C1023)))</formula>
    </cfRule>
  </conditionalFormatting>
  <conditionalFormatting sqref="C1023:D1025">
    <cfRule type="containsText" dxfId="2270" priority="2361" operator="containsText" text="NUEVO">
      <formula>NOT(ISERROR(SEARCH("NUEVO",C1023)))</formula>
    </cfRule>
  </conditionalFormatting>
  <conditionalFormatting sqref="E1023:E1025">
    <cfRule type="containsText" dxfId="2269" priority="2360" operator="containsText" text="NUEVO">
      <formula>NOT(ISERROR(SEARCH("NUEVO",E1023)))</formula>
    </cfRule>
  </conditionalFormatting>
  <conditionalFormatting sqref="E1023:E1025">
    <cfRule type="containsText" dxfId="2268" priority="2359" operator="containsText" text="Sin información">
      <formula>NOT(ISERROR(SEARCH("Sin información",E1023)))</formula>
    </cfRule>
  </conditionalFormatting>
  <conditionalFormatting sqref="C1026:D1026">
    <cfRule type="containsText" dxfId="2267" priority="2358" operator="containsText" text="NO+$D$4:$D$10">
      <formula>NOT(ISERROR(SEARCH("NO+$D$4:$D$10",C1026)))</formula>
    </cfRule>
  </conditionalFormatting>
  <conditionalFormatting sqref="C1026:D1026">
    <cfRule type="containsText" dxfId="2266" priority="2356" operator="containsText" text="SI">
      <formula>NOT(ISERROR(SEARCH("SI",C1026)))</formula>
    </cfRule>
    <cfRule type="containsText" dxfId="2265" priority="2357" operator="containsText" text="NO">
      <formula>NOT(ISERROR(SEARCH("NO",C1026)))</formula>
    </cfRule>
  </conditionalFormatting>
  <conditionalFormatting sqref="E1026">
    <cfRule type="containsText" dxfId="2264" priority="2355" operator="containsText" text="Sin información">
      <formula>NOT(ISERROR(SEARCH("Sin información",E1026)))</formula>
    </cfRule>
  </conditionalFormatting>
  <conditionalFormatting sqref="C1026:E1026">
    <cfRule type="containsText" dxfId="2263" priority="2354" operator="containsText" text="NUEVO">
      <formula>NOT(ISERROR(SEARCH("NUEVO",C1026)))</formula>
    </cfRule>
  </conditionalFormatting>
  <conditionalFormatting sqref="F1026">
    <cfRule type="containsText" dxfId="2262" priority="2353" operator="containsText" text="NO+$D$4:$D$10">
      <formula>NOT(ISERROR(SEARCH("NO+$D$4:$D$10",F1026)))</formula>
    </cfRule>
  </conditionalFormatting>
  <conditionalFormatting sqref="F1026">
    <cfRule type="containsText" dxfId="2261" priority="2351" operator="containsText" text="SI">
      <formula>NOT(ISERROR(SEARCH("SI",F1026)))</formula>
    </cfRule>
    <cfRule type="containsText" dxfId="2260" priority="2352" operator="containsText" text="NO">
      <formula>NOT(ISERROR(SEARCH("NO",F1026)))</formula>
    </cfRule>
  </conditionalFormatting>
  <conditionalFormatting sqref="F1026">
    <cfRule type="containsText" dxfId="2259" priority="2350" operator="containsText" text="NUEVO">
      <formula>NOT(ISERROR(SEARCH("NUEVO",F1026)))</formula>
    </cfRule>
  </conditionalFormatting>
  <conditionalFormatting sqref="C1027:D1027">
    <cfRule type="containsText" dxfId="2258" priority="2349" operator="containsText" text="NO+$D$4:$D$10">
      <formula>NOT(ISERROR(SEARCH("NO+$D$4:$D$10",C1027)))</formula>
    </cfRule>
  </conditionalFormatting>
  <conditionalFormatting sqref="C1027:D1027">
    <cfRule type="containsText" dxfId="2257" priority="2347" operator="containsText" text="SI">
      <formula>NOT(ISERROR(SEARCH("SI",C1027)))</formula>
    </cfRule>
    <cfRule type="containsText" dxfId="2256" priority="2348" operator="containsText" text="NO">
      <formula>NOT(ISERROR(SEARCH("NO",C1027)))</formula>
    </cfRule>
  </conditionalFormatting>
  <conditionalFormatting sqref="C1027:D1027">
    <cfRule type="containsText" dxfId="2255" priority="2346" operator="containsText" text="NUEVO">
      <formula>NOT(ISERROR(SEARCH("NUEVO",C1027)))</formula>
    </cfRule>
  </conditionalFormatting>
  <conditionalFormatting sqref="E1027">
    <cfRule type="containsText" dxfId="2254" priority="2345" operator="containsText" text="Sin información">
      <formula>NOT(ISERROR(SEARCH("Sin información",E1027)))</formula>
    </cfRule>
  </conditionalFormatting>
  <conditionalFormatting sqref="E1027">
    <cfRule type="containsText" dxfId="2253" priority="2344" operator="containsText" text="NUEVO">
      <formula>NOT(ISERROR(SEARCH("NUEVO",E1027)))</formula>
    </cfRule>
  </conditionalFormatting>
  <conditionalFormatting sqref="F1027">
    <cfRule type="containsText" dxfId="2252" priority="2343" operator="containsText" text="NO+$D$4:$D$10">
      <formula>NOT(ISERROR(SEARCH("NO+$D$4:$D$10",F1027)))</formula>
    </cfRule>
  </conditionalFormatting>
  <conditionalFormatting sqref="F1027">
    <cfRule type="containsText" dxfId="2251" priority="2341" operator="containsText" text="SI">
      <formula>NOT(ISERROR(SEARCH("SI",F1027)))</formula>
    </cfRule>
    <cfRule type="containsText" dxfId="2250" priority="2342" operator="containsText" text="NO">
      <formula>NOT(ISERROR(SEARCH("NO",F1027)))</formula>
    </cfRule>
  </conditionalFormatting>
  <conditionalFormatting sqref="F1027">
    <cfRule type="containsText" dxfId="2249" priority="2340" operator="containsText" text="NUEVO">
      <formula>NOT(ISERROR(SEARCH("NUEVO",F1027)))</formula>
    </cfRule>
  </conditionalFormatting>
  <conditionalFormatting sqref="C1028:D1028">
    <cfRule type="containsText" dxfId="2248" priority="2339" operator="containsText" text="NO+$D$4:$D$10">
      <formula>NOT(ISERROR(SEARCH("NO+$D$4:$D$10",C1028)))</formula>
    </cfRule>
  </conditionalFormatting>
  <conditionalFormatting sqref="C1028:D1028">
    <cfRule type="containsText" dxfId="2247" priority="2337" operator="containsText" text="SI">
      <formula>NOT(ISERROR(SEARCH("SI",C1028)))</formula>
    </cfRule>
    <cfRule type="containsText" dxfId="2246" priority="2338" operator="containsText" text="NO">
      <formula>NOT(ISERROR(SEARCH("NO",C1028)))</formula>
    </cfRule>
  </conditionalFormatting>
  <conditionalFormatting sqref="C1028:D1028">
    <cfRule type="containsText" dxfId="2245" priority="2336" operator="containsText" text="NUEVO">
      <formula>NOT(ISERROR(SEARCH("NUEVO",C1028)))</formula>
    </cfRule>
  </conditionalFormatting>
  <conditionalFormatting sqref="E1028">
    <cfRule type="containsText" dxfId="2244" priority="2335" operator="containsText" text="Sin información">
      <formula>NOT(ISERROR(SEARCH("Sin información",E1028)))</formula>
    </cfRule>
  </conditionalFormatting>
  <conditionalFormatting sqref="E1028">
    <cfRule type="containsText" dxfId="2243" priority="2334" operator="containsText" text="NUEVO">
      <formula>NOT(ISERROR(SEARCH("NUEVO",E1028)))</formula>
    </cfRule>
  </conditionalFormatting>
  <conditionalFormatting sqref="C1029:D1029">
    <cfRule type="containsText" dxfId="2242" priority="2333" operator="containsText" text="NO+$D$4:$D$10">
      <formula>NOT(ISERROR(SEARCH("NO+$D$4:$D$10",C1029)))</formula>
    </cfRule>
  </conditionalFormatting>
  <conditionalFormatting sqref="C1029:D1029">
    <cfRule type="containsText" dxfId="2241" priority="2331" operator="containsText" text="SI">
      <formula>NOT(ISERROR(SEARCH("SI",C1029)))</formula>
    </cfRule>
    <cfRule type="containsText" dxfId="2240" priority="2332" operator="containsText" text="NO">
      <formula>NOT(ISERROR(SEARCH("NO",C1029)))</formula>
    </cfRule>
  </conditionalFormatting>
  <conditionalFormatting sqref="E1029">
    <cfRule type="containsText" dxfId="2239" priority="2330" operator="containsText" text="Sin información">
      <formula>NOT(ISERROR(SEARCH("Sin información",E1029)))</formula>
    </cfRule>
  </conditionalFormatting>
  <conditionalFormatting sqref="C1029:E1029">
    <cfRule type="containsText" dxfId="2238" priority="2329" operator="containsText" text="NUEVO">
      <formula>NOT(ISERROR(SEARCH("NUEVO",C1029)))</formula>
    </cfRule>
  </conditionalFormatting>
  <conditionalFormatting sqref="E1029">
    <cfRule type="containsText" dxfId="2237" priority="2328" operator="containsText" text="Sin información">
      <formula>NOT(ISERROR(SEARCH("Sin información",E1029)))</formula>
    </cfRule>
  </conditionalFormatting>
  <conditionalFormatting sqref="E1029">
    <cfRule type="containsText" dxfId="2236" priority="2327" operator="containsText" text="NUEVO">
      <formula>NOT(ISERROR(SEARCH("NUEVO",E1029)))</formula>
    </cfRule>
  </conditionalFormatting>
  <conditionalFormatting sqref="C1030:D1030">
    <cfRule type="containsText" dxfId="2235" priority="2326" operator="containsText" text="NO+$D$4:$D$10">
      <formula>NOT(ISERROR(SEARCH("NO+$D$4:$D$10",C1030)))</formula>
    </cfRule>
  </conditionalFormatting>
  <conditionalFormatting sqref="C1030:D1030">
    <cfRule type="containsText" dxfId="2234" priority="2324" operator="containsText" text="SI">
      <formula>NOT(ISERROR(SEARCH("SI",C1030)))</formula>
    </cfRule>
    <cfRule type="containsText" dxfId="2233" priority="2325" operator="containsText" text="NO">
      <formula>NOT(ISERROR(SEARCH("NO",C1030)))</formula>
    </cfRule>
  </conditionalFormatting>
  <conditionalFormatting sqref="E1030">
    <cfRule type="containsText" dxfId="2232" priority="2323" operator="containsText" text="Sin información">
      <formula>NOT(ISERROR(SEARCH("Sin información",E1030)))</formula>
    </cfRule>
  </conditionalFormatting>
  <conditionalFormatting sqref="C1030:E1030">
    <cfRule type="containsText" dxfId="2231" priority="2322" operator="containsText" text="NUEVO">
      <formula>NOT(ISERROR(SEARCH("NUEVO",C1030)))</formula>
    </cfRule>
  </conditionalFormatting>
  <conditionalFormatting sqref="E1030">
    <cfRule type="containsText" dxfId="2230" priority="2321" operator="containsText" text="Sin información">
      <formula>NOT(ISERROR(SEARCH("Sin información",E1030)))</formula>
    </cfRule>
  </conditionalFormatting>
  <conditionalFormatting sqref="E1030">
    <cfRule type="containsText" dxfId="2229" priority="2320" operator="containsText" text="NUEVO">
      <formula>NOT(ISERROR(SEARCH("NUEVO",E1030)))</formula>
    </cfRule>
  </conditionalFormatting>
  <conditionalFormatting sqref="C1031:D1031">
    <cfRule type="containsText" dxfId="2228" priority="2319" operator="containsText" text="NO+$D$4:$D$10">
      <formula>NOT(ISERROR(SEARCH("NO+$D$4:$D$10",C1031)))</formula>
    </cfRule>
  </conditionalFormatting>
  <conditionalFormatting sqref="C1031:D1031">
    <cfRule type="containsText" dxfId="2227" priority="2317" operator="containsText" text="SI">
      <formula>NOT(ISERROR(SEARCH("SI",C1031)))</formula>
    </cfRule>
    <cfRule type="containsText" dxfId="2226" priority="2318" operator="containsText" text="NO">
      <formula>NOT(ISERROR(SEARCH("NO",C1031)))</formula>
    </cfRule>
  </conditionalFormatting>
  <conditionalFormatting sqref="E1031">
    <cfRule type="containsText" dxfId="2225" priority="2316" operator="containsText" text="Sin información">
      <formula>NOT(ISERROR(SEARCH("Sin información",E1031)))</formula>
    </cfRule>
  </conditionalFormatting>
  <conditionalFormatting sqref="C1031:E1031">
    <cfRule type="containsText" dxfId="2224" priority="2315" operator="containsText" text="NUEVO">
      <formula>NOT(ISERROR(SEARCH("NUEVO",C1031)))</formula>
    </cfRule>
  </conditionalFormatting>
  <conditionalFormatting sqref="E1031">
    <cfRule type="containsText" dxfId="2223" priority="2314" operator="containsText" text="Sin información">
      <formula>NOT(ISERROR(SEARCH("Sin información",E1031)))</formula>
    </cfRule>
  </conditionalFormatting>
  <conditionalFormatting sqref="E1031">
    <cfRule type="containsText" dxfId="2222" priority="2313" operator="containsText" text="NUEVO">
      <formula>NOT(ISERROR(SEARCH("NUEVO",E1031)))</formula>
    </cfRule>
  </conditionalFormatting>
  <conditionalFormatting sqref="F1031">
    <cfRule type="containsText" dxfId="2221" priority="2312" operator="containsText" text="NO+$D$4:$D$10">
      <formula>NOT(ISERROR(SEARCH("NO+$D$4:$D$10",F1031)))</formula>
    </cfRule>
  </conditionalFormatting>
  <conditionalFormatting sqref="F1031">
    <cfRule type="containsText" dxfId="2220" priority="2310" operator="containsText" text="SI">
      <formula>NOT(ISERROR(SEARCH("SI",F1031)))</formula>
    </cfRule>
    <cfRule type="containsText" dxfId="2219" priority="2311" operator="containsText" text="NO">
      <formula>NOT(ISERROR(SEARCH("NO",F1031)))</formula>
    </cfRule>
  </conditionalFormatting>
  <conditionalFormatting sqref="F1031">
    <cfRule type="containsText" dxfId="2218" priority="2309" operator="containsText" text="NUEVO">
      <formula>NOT(ISERROR(SEARCH("NUEVO",F1031)))</formula>
    </cfRule>
  </conditionalFormatting>
  <conditionalFormatting sqref="C1032:D1038">
    <cfRule type="containsText" dxfId="2217" priority="2308" operator="containsText" text="NO+$D$4:$D$10">
      <formula>NOT(ISERROR(SEARCH("NO+$D$4:$D$10",C1032)))</formula>
    </cfRule>
  </conditionalFormatting>
  <conditionalFormatting sqref="C1032:D1038">
    <cfRule type="containsText" dxfId="2216" priority="2306" operator="containsText" text="SI">
      <formula>NOT(ISERROR(SEARCH("SI",C1032)))</formula>
    </cfRule>
    <cfRule type="containsText" dxfId="2215" priority="2307" operator="containsText" text="NO">
      <formula>NOT(ISERROR(SEARCH("NO",C1032)))</formula>
    </cfRule>
  </conditionalFormatting>
  <conditionalFormatting sqref="C1032:D1038">
    <cfRule type="containsText" dxfId="2214" priority="2305" operator="containsText" text="NUEVO">
      <formula>NOT(ISERROR(SEARCH("NUEVO",C1032)))</formula>
    </cfRule>
  </conditionalFormatting>
  <conditionalFormatting sqref="E1032">
    <cfRule type="containsText" dxfId="2213" priority="2304" operator="containsText" text="Sin información">
      <formula>NOT(ISERROR(SEARCH("Sin información",E1032)))</formula>
    </cfRule>
  </conditionalFormatting>
  <conditionalFormatting sqref="E1032">
    <cfRule type="containsText" dxfId="2212" priority="2303" operator="containsText" text="NUEVO">
      <formula>NOT(ISERROR(SEARCH("NUEVO",E1032)))</formula>
    </cfRule>
  </conditionalFormatting>
  <conditionalFormatting sqref="E1034:E1036">
    <cfRule type="containsText" dxfId="2211" priority="2301" operator="containsText" text="NUEVO">
      <formula>NOT(ISERROR(SEARCH("NUEVO",E1034)))</formula>
    </cfRule>
  </conditionalFormatting>
  <conditionalFormatting sqref="E1034:E1036">
    <cfRule type="containsText" dxfId="2210" priority="2302" operator="containsText" text="Sin información">
      <formula>NOT(ISERROR(SEARCH("Sin información",E1034)))</formula>
    </cfRule>
  </conditionalFormatting>
  <conditionalFormatting sqref="E1037">
    <cfRule type="containsText" dxfId="2209" priority="2299" operator="containsText" text="NUEVO">
      <formula>NOT(ISERROR(SEARCH("NUEVO",E1037)))</formula>
    </cfRule>
  </conditionalFormatting>
  <conditionalFormatting sqref="E1037">
    <cfRule type="containsText" dxfId="2208" priority="2300" operator="containsText" text="Sin información">
      <formula>NOT(ISERROR(SEARCH("Sin información",E1037)))</formula>
    </cfRule>
  </conditionalFormatting>
  <conditionalFormatting sqref="E1033">
    <cfRule type="containsText" dxfId="2207" priority="2298" operator="containsText" text="Sin información">
      <formula>NOT(ISERROR(SEARCH("Sin información",E1033)))</formula>
    </cfRule>
  </conditionalFormatting>
  <conditionalFormatting sqref="E1033">
    <cfRule type="containsText" dxfId="2206" priority="2297" operator="containsText" text="NUEVO">
      <formula>NOT(ISERROR(SEARCH("NUEVO",E1033)))</formula>
    </cfRule>
  </conditionalFormatting>
  <conditionalFormatting sqref="F1037 F1034">
    <cfRule type="containsText" dxfId="2205" priority="2296" operator="containsText" text="NO+$D$4:$D$10">
      <formula>NOT(ISERROR(SEARCH("NO+$D$4:$D$10",F1034)))</formula>
    </cfRule>
  </conditionalFormatting>
  <conditionalFormatting sqref="F1037 F1034">
    <cfRule type="containsText" dxfId="2204" priority="2294" operator="containsText" text="SI">
      <formula>NOT(ISERROR(SEARCH("SI",F1034)))</formula>
    </cfRule>
    <cfRule type="containsText" dxfId="2203" priority="2295" operator="containsText" text="NO">
      <formula>NOT(ISERROR(SEARCH("NO",F1034)))</formula>
    </cfRule>
  </conditionalFormatting>
  <conditionalFormatting sqref="F1037 F1034">
    <cfRule type="containsText" dxfId="2202" priority="2293" operator="containsText" text="NUEVO">
      <formula>NOT(ISERROR(SEARCH("NUEVO",F1034)))</formula>
    </cfRule>
  </conditionalFormatting>
  <conditionalFormatting sqref="E1038">
    <cfRule type="containsText" dxfId="2201" priority="2292" operator="containsText" text="Sin información">
      <formula>NOT(ISERROR(SEARCH("Sin información",E1038)))</formula>
    </cfRule>
  </conditionalFormatting>
  <conditionalFormatting sqref="E1038">
    <cfRule type="containsText" dxfId="2200" priority="2291" operator="containsText" text="NUEVO">
      <formula>NOT(ISERROR(SEARCH("NUEVO",E1038)))</formula>
    </cfRule>
  </conditionalFormatting>
  <conditionalFormatting sqref="C1039:D1043">
    <cfRule type="containsText" dxfId="2199" priority="2290" operator="containsText" text="NO+$D$4:$D$10">
      <formula>NOT(ISERROR(SEARCH("NO+$D$4:$D$10",C1039)))</formula>
    </cfRule>
  </conditionalFormatting>
  <conditionalFormatting sqref="C1039:D1043">
    <cfRule type="containsText" dxfId="2198" priority="2288" operator="containsText" text="SI">
      <formula>NOT(ISERROR(SEARCH("SI",C1039)))</formula>
    </cfRule>
    <cfRule type="containsText" dxfId="2197" priority="2289" operator="containsText" text="NO">
      <formula>NOT(ISERROR(SEARCH("NO",C1039)))</formula>
    </cfRule>
  </conditionalFormatting>
  <conditionalFormatting sqref="C1039:D1043">
    <cfRule type="containsText" dxfId="2196" priority="2287" operator="containsText" text="NUEVO">
      <formula>NOT(ISERROR(SEARCH("NUEVO",C1039)))</formula>
    </cfRule>
  </conditionalFormatting>
  <conditionalFormatting sqref="E1039">
    <cfRule type="containsText" dxfId="2195" priority="2286" operator="containsText" text="Sin información">
      <formula>NOT(ISERROR(SEARCH("Sin información",E1039)))</formula>
    </cfRule>
  </conditionalFormatting>
  <conditionalFormatting sqref="E1039">
    <cfRule type="containsText" dxfId="2194" priority="2285" operator="containsText" text="NUEVO">
      <formula>NOT(ISERROR(SEARCH("NUEVO",E1039)))</formula>
    </cfRule>
  </conditionalFormatting>
  <conditionalFormatting sqref="E1040">
    <cfRule type="containsText" dxfId="2193" priority="2284" operator="containsText" text="Sin información">
      <formula>NOT(ISERROR(SEARCH("Sin información",E1040)))</formula>
    </cfRule>
  </conditionalFormatting>
  <conditionalFormatting sqref="E1040">
    <cfRule type="containsText" dxfId="2192" priority="2283" operator="containsText" text="NUEVO">
      <formula>NOT(ISERROR(SEARCH("NUEVO",E1040)))</formula>
    </cfRule>
  </conditionalFormatting>
  <conditionalFormatting sqref="E1041:E1042">
    <cfRule type="containsText" dxfId="2191" priority="2282" operator="containsText" text="Sin información">
      <formula>NOT(ISERROR(SEARCH("Sin información",E1041)))</formula>
    </cfRule>
  </conditionalFormatting>
  <conditionalFormatting sqref="E1041:E1042">
    <cfRule type="containsText" dxfId="2190" priority="2281" operator="containsText" text="NUEVO">
      <formula>NOT(ISERROR(SEARCH("NUEVO",E1041)))</formula>
    </cfRule>
  </conditionalFormatting>
  <conditionalFormatting sqref="E1043">
    <cfRule type="containsText" dxfId="2189" priority="2280" operator="containsText" text="Sin información">
      <formula>NOT(ISERROR(SEARCH("Sin información",E1043)))</formula>
    </cfRule>
  </conditionalFormatting>
  <conditionalFormatting sqref="E1043">
    <cfRule type="containsText" dxfId="2188" priority="2279" operator="containsText" text="NUEVO">
      <formula>NOT(ISERROR(SEARCH("NUEVO",E1043)))</formula>
    </cfRule>
  </conditionalFormatting>
  <conditionalFormatting sqref="C1044:D1044">
    <cfRule type="containsText" dxfId="2187" priority="2278" operator="containsText" text="NO+$D$4:$D$10">
      <formula>NOT(ISERROR(SEARCH("NO+$D$4:$D$10",C1044)))</formula>
    </cfRule>
  </conditionalFormatting>
  <conditionalFormatting sqref="C1044:D1044">
    <cfRule type="containsText" dxfId="2186" priority="2276" operator="containsText" text="SI">
      <formula>NOT(ISERROR(SEARCH("SI",C1044)))</formula>
    </cfRule>
    <cfRule type="containsText" dxfId="2185" priority="2277" operator="containsText" text="NO">
      <formula>NOT(ISERROR(SEARCH("NO",C1044)))</formula>
    </cfRule>
  </conditionalFormatting>
  <conditionalFormatting sqref="E1044">
    <cfRule type="containsText" dxfId="2184" priority="2275" operator="containsText" text="Sin información">
      <formula>NOT(ISERROR(SEARCH("Sin información",E1044)))</formula>
    </cfRule>
  </conditionalFormatting>
  <conditionalFormatting sqref="C1044:E1044">
    <cfRule type="containsText" dxfId="2183" priority="2274" operator="containsText" text="NUEVO">
      <formula>NOT(ISERROR(SEARCH("NUEVO",C1044)))</formula>
    </cfRule>
  </conditionalFormatting>
  <conditionalFormatting sqref="C1047:D1047 C1049:D1052">
    <cfRule type="containsText" dxfId="2182" priority="2267" operator="containsText" text="NO+$D$4:$D$10">
      <formula>NOT(ISERROR(SEARCH("NO+$D$4:$D$10",C1047)))</formula>
    </cfRule>
  </conditionalFormatting>
  <conditionalFormatting sqref="C1047:D1047 C1049:D1052">
    <cfRule type="containsText" dxfId="2181" priority="2265" operator="containsText" text="SI">
      <formula>NOT(ISERROR(SEARCH("SI",C1047)))</formula>
    </cfRule>
    <cfRule type="containsText" dxfId="2180" priority="2266" operator="containsText" text="NO">
      <formula>NOT(ISERROR(SEARCH("NO",C1047)))</formula>
    </cfRule>
  </conditionalFormatting>
  <conditionalFormatting sqref="C1047:D1047 C1049:D1052">
    <cfRule type="containsText" dxfId="2179" priority="2264" operator="containsText" text="NUEVO">
      <formula>NOT(ISERROR(SEARCH("NUEVO",C1047)))</formula>
    </cfRule>
  </conditionalFormatting>
  <conditionalFormatting sqref="E1047">
    <cfRule type="containsText" dxfId="2178" priority="2263" operator="containsText" text="Sin información">
      <formula>NOT(ISERROR(SEARCH("Sin información",E1047)))</formula>
    </cfRule>
  </conditionalFormatting>
  <conditionalFormatting sqref="E1047">
    <cfRule type="containsText" dxfId="2177" priority="2262" operator="containsText" text="NUEVO">
      <formula>NOT(ISERROR(SEARCH("NUEVO",E1047)))</formula>
    </cfRule>
  </conditionalFormatting>
  <conditionalFormatting sqref="E1049:E1052">
    <cfRule type="containsText" dxfId="2176" priority="2261" operator="containsText" text="Sin información">
      <formula>NOT(ISERROR(SEARCH("Sin información",E1049)))</formula>
    </cfRule>
  </conditionalFormatting>
  <conditionalFormatting sqref="E1049:E1052">
    <cfRule type="containsText" dxfId="2175" priority="2260" operator="containsText" text="NUEVO">
      <formula>NOT(ISERROR(SEARCH("NUEVO",E1049)))</formula>
    </cfRule>
  </conditionalFormatting>
  <conditionalFormatting sqref="F960">
    <cfRule type="containsText" dxfId="2174" priority="2256" operator="containsText" text="NUEVO">
      <formula>NOT(ISERROR(SEARCH("NUEVO",F960)))</formula>
    </cfRule>
  </conditionalFormatting>
  <conditionalFormatting sqref="F960">
    <cfRule type="containsText" dxfId="2173" priority="2259" operator="containsText" text="NO+$D$4:$D$10">
      <formula>NOT(ISERROR(SEARCH("NO+$D$4:$D$10",F960)))</formula>
    </cfRule>
  </conditionalFormatting>
  <conditionalFormatting sqref="F960">
    <cfRule type="containsText" dxfId="2172" priority="2257" operator="containsText" text="SI">
      <formula>NOT(ISERROR(SEARCH("SI",F960)))</formula>
    </cfRule>
    <cfRule type="containsText" dxfId="2171" priority="2258" operator="containsText" text="NO">
      <formula>NOT(ISERROR(SEARCH("NO",F960)))</formula>
    </cfRule>
  </conditionalFormatting>
  <conditionalFormatting sqref="C962:D962">
    <cfRule type="containsText" dxfId="2170" priority="2255" operator="containsText" text="NO+$D$4:$D$10">
      <formula>NOT(ISERROR(SEARCH("NO+$D$4:$D$10",C962)))</formula>
    </cfRule>
  </conditionalFormatting>
  <conditionalFormatting sqref="C962:D962">
    <cfRule type="containsText" dxfId="2169" priority="2253" operator="containsText" text="SI">
      <formula>NOT(ISERROR(SEARCH("SI",C962)))</formula>
    </cfRule>
    <cfRule type="containsText" dxfId="2168" priority="2254" operator="containsText" text="NO">
      <formula>NOT(ISERROR(SEARCH("NO",C962)))</formula>
    </cfRule>
  </conditionalFormatting>
  <conditionalFormatting sqref="C962:D962">
    <cfRule type="containsText" dxfId="2167" priority="2252" operator="containsText" text="NUEVO">
      <formula>NOT(ISERROR(SEARCH("NUEVO",C962)))</formula>
    </cfRule>
  </conditionalFormatting>
  <conditionalFormatting sqref="E962">
    <cfRule type="containsText" dxfId="2166" priority="2251" operator="containsText" text="NUEVO">
      <formula>NOT(ISERROR(SEARCH("NUEVO",E962)))</formula>
    </cfRule>
  </conditionalFormatting>
  <conditionalFormatting sqref="E962">
    <cfRule type="containsText" dxfId="2165" priority="2250" operator="containsText" text="Sin Información">
      <formula>NOT(ISERROR(SEARCH("Sin Información",E962)))</formula>
    </cfRule>
  </conditionalFormatting>
  <conditionalFormatting sqref="F962">
    <cfRule type="containsText" dxfId="2164" priority="2249" operator="containsText" text="NO+$D$4:$D$10">
      <formula>NOT(ISERROR(SEARCH("NO+$D$4:$D$10",F962)))</formula>
    </cfRule>
  </conditionalFormatting>
  <conditionalFormatting sqref="F962">
    <cfRule type="containsText" dxfId="2163" priority="2247" operator="containsText" text="SI">
      <formula>NOT(ISERROR(SEARCH("SI",F962)))</formula>
    </cfRule>
    <cfRule type="containsText" dxfId="2162" priority="2248" operator="containsText" text="NO">
      <formula>NOT(ISERROR(SEARCH("NO",F962)))</formula>
    </cfRule>
  </conditionalFormatting>
  <conditionalFormatting sqref="F962">
    <cfRule type="containsText" dxfId="2161" priority="2246" operator="containsText" text="NUEVO">
      <formula>NOT(ISERROR(SEARCH("NUEVO",F962)))</formula>
    </cfRule>
  </conditionalFormatting>
  <conditionalFormatting sqref="C976:D976">
    <cfRule type="containsText" dxfId="2160" priority="2245" operator="containsText" text="NO+$D$4:$D$10">
      <formula>NOT(ISERROR(SEARCH("NO+$D$4:$D$10",C976)))</formula>
    </cfRule>
  </conditionalFormatting>
  <conditionalFormatting sqref="C976:D976">
    <cfRule type="containsText" dxfId="2159" priority="2243" operator="containsText" text="SI">
      <formula>NOT(ISERROR(SEARCH("SI",C976)))</formula>
    </cfRule>
    <cfRule type="containsText" dxfId="2158" priority="2244" operator="containsText" text="NO">
      <formula>NOT(ISERROR(SEARCH("NO",C976)))</formula>
    </cfRule>
  </conditionalFormatting>
  <conditionalFormatting sqref="E976">
    <cfRule type="containsText" dxfId="2157" priority="2242" operator="containsText" text="Sin información">
      <formula>NOT(ISERROR(SEARCH("Sin información",E976)))</formula>
    </cfRule>
  </conditionalFormatting>
  <conditionalFormatting sqref="C976:E976">
    <cfRule type="containsText" dxfId="2156" priority="2241" operator="containsText" text="NUEVO">
      <formula>NOT(ISERROR(SEARCH("NUEVO",C976)))</formula>
    </cfRule>
  </conditionalFormatting>
  <conditionalFormatting sqref="E976">
    <cfRule type="containsText" dxfId="2155" priority="2240" operator="containsText" text="Sin Información">
      <formula>NOT(ISERROR(SEARCH("Sin Información",E976)))</formula>
    </cfRule>
  </conditionalFormatting>
  <conditionalFormatting sqref="F976">
    <cfRule type="containsText" dxfId="2154" priority="2239" operator="containsText" text="NO+$D$4:$D$10">
      <formula>NOT(ISERROR(SEARCH("NO+$D$4:$D$10",F976)))</formula>
    </cfRule>
  </conditionalFormatting>
  <conditionalFormatting sqref="F976">
    <cfRule type="containsText" dxfId="2153" priority="2237" operator="containsText" text="SI">
      <formula>NOT(ISERROR(SEARCH("SI",F976)))</formula>
    </cfRule>
    <cfRule type="containsText" dxfId="2152" priority="2238" operator="containsText" text="NO">
      <formula>NOT(ISERROR(SEARCH("NO",F976)))</formula>
    </cfRule>
  </conditionalFormatting>
  <conditionalFormatting sqref="F976">
    <cfRule type="containsText" dxfId="2151" priority="2236" operator="containsText" text="NUEVO">
      <formula>NOT(ISERROR(SEARCH("NUEVO",F976)))</formula>
    </cfRule>
  </conditionalFormatting>
  <conditionalFormatting sqref="C1045:D1046">
    <cfRule type="containsText" dxfId="2150" priority="2235" operator="containsText" text="NO+$D$4:$D$10">
      <formula>NOT(ISERROR(SEARCH("NO+$D$4:$D$10",C1045)))</formula>
    </cfRule>
  </conditionalFormatting>
  <conditionalFormatting sqref="C1045:D1046">
    <cfRule type="containsText" dxfId="2149" priority="2233" operator="containsText" text="SI">
      <formula>NOT(ISERROR(SEARCH("SI",C1045)))</formula>
    </cfRule>
    <cfRule type="containsText" dxfId="2148" priority="2234" operator="containsText" text="NO">
      <formula>NOT(ISERROR(SEARCH("NO",C1045)))</formula>
    </cfRule>
  </conditionalFormatting>
  <conditionalFormatting sqref="E1045:E1046">
    <cfRule type="containsText" dxfId="2147" priority="2232" operator="containsText" text="Sin información">
      <formula>NOT(ISERROR(SEARCH("Sin información",E1045)))</formula>
    </cfRule>
  </conditionalFormatting>
  <conditionalFormatting sqref="C1045:E1046">
    <cfRule type="containsText" dxfId="2146" priority="2231" operator="containsText" text="NUEVO">
      <formula>NOT(ISERROR(SEARCH("NUEVO",C1045)))</formula>
    </cfRule>
  </conditionalFormatting>
  <conditionalFormatting sqref="F1045:F1046">
    <cfRule type="containsText" dxfId="2145" priority="2230" operator="containsText" text="NO+$D$4:$D$10">
      <formula>NOT(ISERROR(SEARCH("NO+$D$4:$D$10",F1045)))</formula>
    </cfRule>
  </conditionalFormatting>
  <conditionalFormatting sqref="F1045:F1046">
    <cfRule type="containsText" dxfId="2144" priority="2228" operator="containsText" text="SI">
      <formula>NOT(ISERROR(SEARCH("SI",F1045)))</formula>
    </cfRule>
    <cfRule type="containsText" dxfId="2143" priority="2229" operator="containsText" text="NO">
      <formula>NOT(ISERROR(SEARCH("NO",F1045)))</formula>
    </cfRule>
  </conditionalFormatting>
  <conditionalFormatting sqref="F1045:F1046">
    <cfRule type="containsText" dxfId="2142" priority="2227" operator="containsText" text="NUEVO">
      <formula>NOT(ISERROR(SEARCH("NUEVO",F1045)))</formula>
    </cfRule>
  </conditionalFormatting>
  <conditionalFormatting sqref="C1048:D1048">
    <cfRule type="containsText" dxfId="2141" priority="2226" operator="containsText" text="NO+$D$4:$D$10">
      <formula>NOT(ISERROR(SEARCH("NO+$D$4:$D$10",C1048)))</formula>
    </cfRule>
  </conditionalFormatting>
  <conditionalFormatting sqref="C1048:D1048">
    <cfRule type="containsText" dxfId="2140" priority="2224" operator="containsText" text="SI">
      <formula>NOT(ISERROR(SEARCH("SI",C1048)))</formula>
    </cfRule>
    <cfRule type="containsText" dxfId="2139" priority="2225" operator="containsText" text="NO">
      <formula>NOT(ISERROR(SEARCH("NO",C1048)))</formula>
    </cfRule>
  </conditionalFormatting>
  <conditionalFormatting sqref="C1048:D1048">
    <cfRule type="containsText" dxfId="2138" priority="2223" operator="containsText" text="NUEVO">
      <formula>NOT(ISERROR(SEARCH("NUEVO",C1048)))</formula>
    </cfRule>
  </conditionalFormatting>
  <conditionalFormatting sqref="E1048">
    <cfRule type="containsText" dxfId="2137" priority="2222" operator="containsText" text="Sin información">
      <formula>NOT(ISERROR(SEARCH("Sin información",E1048)))</formula>
    </cfRule>
  </conditionalFormatting>
  <conditionalFormatting sqref="E1048">
    <cfRule type="containsText" dxfId="2136" priority="2221" operator="containsText" text="NUEVO">
      <formula>NOT(ISERROR(SEARCH("NUEVO",E1048)))</formula>
    </cfRule>
  </conditionalFormatting>
  <conditionalFormatting sqref="F1048">
    <cfRule type="containsText" dxfId="2135" priority="2220" operator="containsText" text="NO+$D$4:$D$10">
      <formula>NOT(ISERROR(SEARCH("NO+$D$4:$D$10",F1048)))</formula>
    </cfRule>
  </conditionalFormatting>
  <conditionalFormatting sqref="F1048">
    <cfRule type="containsText" dxfId="2134" priority="2218" operator="containsText" text="SI">
      <formula>NOT(ISERROR(SEARCH("SI",F1048)))</formula>
    </cfRule>
    <cfRule type="containsText" dxfId="2133" priority="2219" operator="containsText" text="NO">
      <formula>NOT(ISERROR(SEARCH("NO",F1048)))</formula>
    </cfRule>
  </conditionalFormatting>
  <conditionalFormatting sqref="F1048">
    <cfRule type="containsText" dxfId="2132" priority="2217" operator="containsText" text="NUEVO">
      <formula>NOT(ISERROR(SEARCH("NUEVO",F1048)))</formula>
    </cfRule>
  </conditionalFormatting>
  <conditionalFormatting sqref="C1053:D1055">
    <cfRule type="containsText" dxfId="2131" priority="2216" operator="containsText" text="NO+$D$4:$D$10">
      <formula>NOT(ISERROR(SEARCH("NO+$D$4:$D$10",C1053)))</formula>
    </cfRule>
  </conditionalFormatting>
  <conditionalFormatting sqref="C1053:D1055">
    <cfRule type="containsText" dxfId="2130" priority="2214" operator="containsText" text="SI">
      <formula>NOT(ISERROR(SEARCH("SI",C1053)))</formula>
    </cfRule>
    <cfRule type="containsText" dxfId="2129" priority="2215" operator="containsText" text="NO">
      <formula>NOT(ISERROR(SEARCH("NO",C1053)))</formula>
    </cfRule>
  </conditionalFormatting>
  <conditionalFormatting sqref="C1053:D1055">
    <cfRule type="containsText" dxfId="2128" priority="2213" operator="containsText" text="NUEVO">
      <formula>NOT(ISERROR(SEARCH("NUEVO",C1053)))</formula>
    </cfRule>
  </conditionalFormatting>
  <conditionalFormatting sqref="E1053">
    <cfRule type="containsText" dxfId="2127" priority="2211" operator="containsText" text="NUEVO">
      <formula>NOT(ISERROR(SEARCH("NUEVO",E1053)))</formula>
    </cfRule>
  </conditionalFormatting>
  <conditionalFormatting sqref="E1053">
    <cfRule type="containsText" dxfId="2126" priority="2212" operator="containsText" text="Sin información">
      <formula>NOT(ISERROR(SEARCH("Sin información",E1053)))</formula>
    </cfRule>
  </conditionalFormatting>
  <conditionalFormatting sqref="E1054">
    <cfRule type="containsText" dxfId="2125" priority="2209" operator="containsText" text="NUEVO">
      <formula>NOT(ISERROR(SEARCH("NUEVO",E1054)))</formula>
    </cfRule>
  </conditionalFormatting>
  <conditionalFormatting sqref="E1054">
    <cfRule type="containsText" dxfId="2124" priority="2210" operator="containsText" text="Sin información">
      <formula>NOT(ISERROR(SEARCH("Sin información",E1054)))</formula>
    </cfRule>
  </conditionalFormatting>
  <conditionalFormatting sqref="E1055">
    <cfRule type="containsText" dxfId="2123" priority="2207" operator="containsText" text="NUEVO">
      <formula>NOT(ISERROR(SEARCH("NUEVO",E1055)))</formula>
    </cfRule>
  </conditionalFormatting>
  <conditionalFormatting sqref="E1055">
    <cfRule type="containsText" dxfId="2122" priority="2208" operator="containsText" text="Sin información">
      <formula>NOT(ISERROR(SEARCH("Sin información",E1055)))</formula>
    </cfRule>
  </conditionalFormatting>
  <conditionalFormatting sqref="F1053:F1055">
    <cfRule type="containsText" dxfId="2121" priority="2206" operator="containsText" text="NO+$D$4:$D$10">
      <formula>NOT(ISERROR(SEARCH("NO+$D$4:$D$10",F1053)))</formula>
    </cfRule>
  </conditionalFormatting>
  <conditionalFormatting sqref="F1053:F1055">
    <cfRule type="containsText" dxfId="2120" priority="2204" operator="containsText" text="SI">
      <formula>NOT(ISERROR(SEARCH("SI",F1053)))</formula>
    </cfRule>
    <cfRule type="containsText" dxfId="2119" priority="2205" operator="containsText" text="NO">
      <formula>NOT(ISERROR(SEARCH("NO",F1053)))</formula>
    </cfRule>
  </conditionalFormatting>
  <conditionalFormatting sqref="F1053:F1055">
    <cfRule type="containsText" dxfId="2118" priority="2203" operator="containsText" text="NUEVO">
      <formula>NOT(ISERROR(SEARCH("NUEVO",F1053)))</formula>
    </cfRule>
  </conditionalFormatting>
  <conditionalFormatting sqref="C1058:D1058">
    <cfRule type="containsText" dxfId="2117" priority="2202" operator="containsText" text="NO+$D$4:$D$10">
      <formula>NOT(ISERROR(SEARCH("NO+$D$4:$D$10",C1058)))</formula>
    </cfRule>
  </conditionalFormatting>
  <conditionalFormatting sqref="C1058:D1058">
    <cfRule type="containsText" dxfId="2116" priority="2200" operator="containsText" text="SI">
      <formula>NOT(ISERROR(SEARCH("SI",C1058)))</formula>
    </cfRule>
    <cfRule type="containsText" dxfId="2115" priority="2201" operator="containsText" text="NO">
      <formula>NOT(ISERROR(SEARCH("NO",C1058)))</formula>
    </cfRule>
  </conditionalFormatting>
  <conditionalFormatting sqref="E1058">
    <cfRule type="containsText" dxfId="2114" priority="2199" operator="containsText" text="Sin información">
      <formula>NOT(ISERROR(SEARCH("Sin información",E1058)))</formula>
    </cfRule>
  </conditionalFormatting>
  <conditionalFormatting sqref="C1058:E1058">
    <cfRule type="containsText" dxfId="2113" priority="2198" operator="containsText" text="NUEVO">
      <formula>NOT(ISERROR(SEARCH("NUEVO",C1058)))</formula>
    </cfRule>
  </conditionalFormatting>
  <conditionalFormatting sqref="E1058">
    <cfRule type="containsText" dxfId="2112" priority="2197" operator="containsText" text="Sin Información">
      <formula>NOT(ISERROR(SEARCH("Sin Información",E1058)))</formula>
    </cfRule>
  </conditionalFormatting>
  <conditionalFormatting sqref="E1058">
    <cfRule type="containsText" dxfId="2111" priority="2196" operator="containsText" text="Sin información">
      <formula>NOT(ISERROR(SEARCH("Sin información",E1058)))</formula>
    </cfRule>
  </conditionalFormatting>
  <conditionalFormatting sqref="C1059:D1059">
    <cfRule type="containsText" dxfId="2110" priority="2195" operator="containsText" text="NO+$D$4:$D$10">
      <formula>NOT(ISERROR(SEARCH("NO+$D$4:$D$10",C1059)))</formula>
    </cfRule>
  </conditionalFormatting>
  <conditionalFormatting sqref="C1059:D1059">
    <cfRule type="containsText" dxfId="2109" priority="2193" operator="containsText" text="SI">
      <formula>NOT(ISERROR(SEARCH("SI",C1059)))</formula>
    </cfRule>
    <cfRule type="containsText" dxfId="2108" priority="2194" operator="containsText" text="NO">
      <formula>NOT(ISERROR(SEARCH("NO",C1059)))</formula>
    </cfRule>
  </conditionalFormatting>
  <conditionalFormatting sqref="C1059:D1059">
    <cfRule type="containsText" dxfId="2107" priority="2192" operator="containsText" text="NUEVO">
      <formula>NOT(ISERROR(SEARCH("NUEVO",C1059)))</formula>
    </cfRule>
  </conditionalFormatting>
  <conditionalFormatting sqref="E1059">
    <cfRule type="containsText" dxfId="2106" priority="2191" operator="containsText" text="Sin información">
      <formula>NOT(ISERROR(SEARCH("Sin información",E1059)))</formula>
    </cfRule>
  </conditionalFormatting>
  <conditionalFormatting sqref="E1059">
    <cfRule type="containsText" dxfId="2105" priority="2190" operator="containsText" text="NUEVO">
      <formula>NOT(ISERROR(SEARCH("NUEVO",E1059)))</formula>
    </cfRule>
  </conditionalFormatting>
  <conditionalFormatting sqref="C1060:D1060">
    <cfRule type="containsText" dxfId="2104" priority="2189" operator="containsText" text="NO+$D$4:$D$10">
      <formula>NOT(ISERROR(SEARCH("NO+$D$4:$D$10",C1060)))</formula>
    </cfRule>
  </conditionalFormatting>
  <conditionalFormatting sqref="C1060:D1060">
    <cfRule type="containsText" dxfId="2103" priority="2187" operator="containsText" text="SI">
      <formula>NOT(ISERROR(SEARCH("SI",C1060)))</formula>
    </cfRule>
    <cfRule type="containsText" dxfId="2102" priority="2188" operator="containsText" text="NO">
      <formula>NOT(ISERROR(SEARCH("NO",C1060)))</formula>
    </cfRule>
  </conditionalFormatting>
  <conditionalFormatting sqref="C1060:D1060">
    <cfRule type="containsText" dxfId="2101" priority="2186" operator="containsText" text="NUEVO">
      <formula>NOT(ISERROR(SEARCH("NUEVO",C1060)))</formula>
    </cfRule>
  </conditionalFormatting>
  <conditionalFormatting sqref="E1060">
    <cfRule type="containsText" dxfId="2100" priority="2185" operator="containsText" text="Sin información">
      <formula>NOT(ISERROR(SEARCH("Sin información",E1060)))</formula>
    </cfRule>
  </conditionalFormatting>
  <conditionalFormatting sqref="E1060">
    <cfRule type="containsText" dxfId="2099" priority="2184" operator="containsText" text="Sin información">
      <formula>NOT(ISERROR(SEARCH("Sin información",E1060)))</formula>
    </cfRule>
  </conditionalFormatting>
  <conditionalFormatting sqref="E1060">
    <cfRule type="containsText" dxfId="2098" priority="2183" operator="containsText" text="NUEVO">
      <formula>NOT(ISERROR(SEARCH("NUEVO",E1060)))</formula>
    </cfRule>
  </conditionalFormatting>
  <conditionalFormatting sqref="C1061:D1061">
    <cfRule type="containsText" dxfId="2097" priority="2182" operator="containsText" text="NO+$D$4:$D$10">
      <formula>NOT(ISERROR(SEARCH("NO+$D$4:$D$10",C1061)))</formula>
    </cfRule>
  </conditionalFormatting>
  <conditionalFormatting sqref="C1061:D1061">
    <cfRule type="containsText" dxfId="2096" priority="2180" operator="containsText" text="SI">
      <formula>NOT(ISERROR(SEARCH("SI",C1061)))</formula>
    </cfRule>
    <cfRule type="containsText" dxfId="2095" priority="2181" operator="containsText" text="NO">
      <formula>NOT(ISERROR(SEARCH("NO",C1061)))</formula>
    </cfRule>
  </conditionalFormatting>
  <conditionalFormatting sqref="C1061:D1061">
    <cfRule type="containsText" dxfId="2094" priority="2179" operator="containsText" text="NUEVO">
      <formula>NOT(ISERROR(SEARCH("NUEVO",C1061)))</formula>
    </cfRule>
  </conditionalFormatting>
  <conditionalFormatting sqref="E1061">
    <cfRule type="containsText" dxfId="2093" priority="2178" operator="containsText" text="Sin información">
      <formula>NOT(ISERROR(SEARCH("Sin información",E1061)))</formula>
    </cfRule>
  </conditionalFormatting>
  <conditionalFormatting sqref="E1061">
    <cfRule type="containsText" dxfId="2092" priority="2177" operator="containsText" text="NUEVO">
      <formula>NOT(ISERROR(SEARCH("NUEVO",E1061)))</formula>
    </cfRule>
  </conditionalFormatting>
  <conditionalFormatting sqref="C1062:D1062">
    <cfRule type="containsText" dxfId="2091" priority="2176" operator="containsText" text="NO+$D$4:$D$10">
      <formula>NOT(ISERROR(SEARCH("NO+$D$4:$D$10",C1062)))</formula>
    </cfRule>
  </conditionalFormatting>
  <conditionalFormatting sqref="C1062:D1062">
    <cfRule type="containsText" dxfId="2090" priority="2174" operator="containsText" text="SI">
      <formula>NOT(ISERROR(SEARCH("SI",C1062)))</formula>
    </cfRule>
    <cfRule type="containsText" dxfId="2089" priority="2175" operator="containsText" text="NO">
      <formula>NOT(ISERROR(SEARCH("NO",C1062)))</formula>
    </cfRule>
  </conditionalFormatting>
  <conditionalFormatting sqref="C1062:D1062">
    <cfRule type="containsText" dxfId="2088" priority="2173" operator="containsText" text="NUEVO">
      <formula>NOT(ISERROR(SEARCH("NUEVO",C1062)))</formula>
    </cfRule>
  </conditionalFormatting>
  <conditionalFormatting sqref="E1062">
    <cfRule type="containsText" dxfId="2087" priority="2171" operator="containsText" text="NUEVO">
      <formula>NOT(ISERROR(SEARCH("NUEVO",E1062)))</formula>
    </cfRule>
  </conditionalFormatting>
  <conditionalFormatting sqref="E1062">
    <cfRule type="containsText" dxfId="2086" priority="2172" operator="containsText" text="Sin información">
      <formula>NOT(ISERROR(SEARCH("Sin información",E1062)))</formula>
    </cfRule>
  </conditionalFormatting>
  <conditionalFormatting sqref="C1063:D1063">
    <cfRule type="containsText" dxfId="2085" priority="2170" operator="containsText" text="NO+$D$4:$D$10">
      <formula>NOT(ISERROR(SEARCH("NO+$D$4:$D$10",C1063)))</formula>
    </cfRule>
  </conditionalFormatting>
  <conditionalFormatting sqref="C1063:D1063">
    <cfRule type="containsText" dxfId="2084" priority="2168" operator="containsText" text="SI">
      <formula>NOT(ISERROR(SEARCH("SI",C1063)))</formula>
    </cfRule>
    <cfRule type="containsText" dxfId="2083" priority="2169" operator="containsText" text="NO">
      <formula>NOT(ISERROR(SEARCH("NO",C1063)))</formula>
    </cfRule>
  </conditionalFormatting>
  <conditionalFormatting sqref="C1063:D1063">
    <cfRule type="containsText" dxfId="2082" priority="2167" operator="containsText" text="NUEVO">
      <formula>NOT(ISERROR(SEARCH("NUEVO",C1063)))</formula>
    </cfRule>
  </conditionalFormatting>
  <conditionalFormatting sqref="E1063">
    <cfRule type="containsText" dxfId="2081" priority="2166" operator="containsText" text="Sin información">
      <formula>NOT(ISERROR(SEARCH("Sin información",E1063)))</formula>
    </cfRule>
  </conditionalFormatting>
  <conditionalFormatting sqref="E1063">
    <cfRule type="containsText" dxfId="2080" priority="2165" operator="containsText" text="Sin información">
      <formula>NOT(ISERROR(SEARCH("Sin información",E1063)))</formula>
    </cfRule>
  </conditionalFormatting>
  <conditionalFormatting sqref="E1063">
    <cfRule type="containsText" dxfId="2079" priority="2164" operator="containsText" text="NUEVO">
      <formula>NOT(ISERROR(SEARCH("NUEVO",E1063)))</formula>
    </cfRule>
  </conditionalFormatting>
  <conditionalFormatting sqref="C1064:D1064">
    <cfRule type="containsText" dxfId="2078" priority="2163" operator="containsText" text="NO+$D$4:$D$10">
      <formula>NOT(ISERROR(SEARCH("NO+$D$4:$D$10",C1064)))</formula>
    </cfRule>
  </conditionalFormatting>
  <conditionalFormatting sqref="C1064:D1064">
    <cfRule type="containsText" dxfId="2077" priority="2161" operator="containsText" text="SI">
      <formula>NOT(ISERROR(SEARCH("SI",C1064)))</formula>
    </cfRule>
    <cfRule type="containsText" dxfId="2076" priority="2162" operator="containsText" text="NO">
      <formula>NOT(ISERROR(SEARCH("NO",C1064)))</formula>
    </cfRule>
  </conditionalFormatting>
  <conditionalFormatting sqref="C1064:D1064">
    <cfRule type="containsText" dxfId="2075" priority="2160" operator="containsText" text="NUEVO">
      <formula>NOT(ISERROR(SEARCH("NUEVO",C1064)))</formula>
    </cfRule>
  </conditionalFormatting>
  <conditionalFormatting sqref="E1064">
    <cfRule type="containsText" dxfId="2074" priority="2159" operator="containsText" text="NUEVO">
      <formula>NOT(ISERROR(SEARCH("NUEVO",E1064)))</formula>
    </cfRule>
  </conditionalFormatting>
  <conditionalFormatting sqref="E1064">
    <cfRule type="containsText" dxfId="2073" priority="2158" operator="containsText" text="Sin Información">
      <formula>NOT(ISERROR(SEARCH("Sin Información",E1064)))</formula>
    </cfRule>
  </conditionalFormatting>
  <conditionalFormatting sqref="C1065:D1065">
    <cfRule type="containsText" dxfId="2072" priority="2157" operator="containsText" text="NO+$D$4:$D$10">
      <formula>NOT(ISERROR(SEARCH("NO+$D$4:$D$10",C1065)))</formula>
    </cfRule>
  </conditionalFormatting>
  <conditionalFormatting sqref="C1065:D1065">
    <cfRule type="containsText" dxfId="2071" priority="2155" operator="containsText" text="SI">
      <formula>NOT(ISERROR(SEARCH("SI",C1065)))</formula>
    </cfRule>
    <cfRule type="containsText" dxfId="2070" priority="2156" operator="containsText" text="NO">
      <formula>NOT(ISERROR(SEARCH("NO",C1065)))</formula>
    </cfRule>
  </conditionalFormatting>
  <conditionalFormatting sqref="C1065:D1065">
    <cfRule type="containsText" dxfId="2069" priority="2154" operator="containsText" text="NUEVO">
      <formula>NOT(ISERROR(SEARCH("NUEVO",C1065)))</formula>
    </cfRule>
  </conditionalFormatting>
  <conditionalFormatting sqref="E1065">
    <cfRule type="containsText" dxfId="2068" priority="2153" operator="containsText" text="NUEVO">
      <formula>NOT(ISERROR(SEARCH("NUEVO",E1065)))</formula>
    </cfRule>
  </conditionalFormatting>
  <conditionalFormatting sqref="E1065">
    <cfRule type="containsText" dxfId="2067" priority="2152" operator="containsText" text="Sin Información">
      <formula>NOT(ISERROR(SEARCH("Sin Información",E1065)))</formula>
    </cfRule>
  </conditionalFormatting>
  <conditionalFormatting sqref="C1066:D1066">
    <cfRule type="containsText" dxfId="2066" priority="2144" operator="containsText" text="NO+$D$4:$D$10">
      <formula>NOT(ISERROR(SEARCH("NO+$D$4:$D$10",C1066)))</formula>
    </cfRule>
  </conditionalFormatting>
  <conditionalFormatting sqref="C1066:D1066">
    <cfRule type="containsText" dxfId="2065" priority="2142" operator="containsText" text="SI">
      <formula>NOT(ISERROR(SEARCH("SI",C1066)))</formula>
    </cfRule>
    <cfRule type="containsText" dxfId="2064" priority="2143" operator="containsText" text="NO">
      <formula>NOT(ISERROR(SEARCH("NO",C1066)))</formula>
    </cfRule>
  </conditionalFormatting>
  <conditionalFormatting sqref="C1066:D1066">
    <cfRule type="containsText" dxfId="2063" priority="2141" operator="containsText" text="NUEVO">
      <formula>NOT(ISERROR(SEARCH("NUEVO",C1066)))</formula>
    </cfRule>
  </conditionalFormatting>
  <conditionalFormatting sqref="E1066">
    <cfRule type="containsText" dxfId="2062" priority="2145" operator="containsText" text="Sin información">
      <formula>NOT(ISERROR(SEARCH("Sin información",E1459)))</formula>
    </cfRule>
  </conditionalFormatting>
  <conditionalFormatting sqref="E1066">
    <cfRule type="containsText" dxfId="2061" priority="2146" operator="containsText" text="NUEVO">
      <formula>NOT(ISERROR(SEARCH("NUEVO",E1459)))</formula>
    </cfRule>
  </conditionalFormatting>
  <conditionalFormatting sqref="C1067:D1067">
    <cfRule type="containsText" dxfId="2060" priority="2138" operator="containsText" text="NO+$D$4:$D$10">
      <formula>NOT(ISERROR(SEARCH("NO+$D$4:$D$10",C1067)))</formula>
    </cfRule>
  </conditionalFormatting>
  <conditionalFormatting sqref="C1067:D1067">
    <cfRule type="containsText" dxfId="2059" priority="2136" operator="containsText" text="SI">
      <formula>NOT(ISERROR(SEARCH("SI",C1067)))</formula>
    </cfRule>
    <cfRule type="containsText" dxfId="2058" priority="2137" operator="containsText" text="NO">
      <formula>NOT(ISERROR(SEARCH("NO",C1067)))</formula>
    </cfRule>
  </conditionalFormatting>
  <conditionalFormatting sqref="C1067:D1067">
    <cfRule type="containsText" dxfId="2057" priority="2135" operator="containsText" text="NUEVO">
      <formula>NOT(ISERROR(SEARCH("NUEVO",C1067)))</formula>
    </cfRule>
  </conditionalFormatting>
  <conditionalFormatting sqref="E1067">
    <cfRule type="containsText" dxfId="2056" priority="2139" operator="containsText" text="NUEVO">
      <formula>NOT(ISERROR(SEARCH("NUEVO",E1458)))</formula>
    </cfRule>
  </conditionalFormatting>
  <conditionalFormatting sqref="E1067">
    <cfRule type="containsText" dxfId="2055" priority="2140" operator="containsText" text="Sin información">
      <formula>NOT(ISERROR(SEARCH("Sin información",E1458)))</formula>
    </cfRule>
  </conditionalFormatting>
  <conditionalFormatting sqref="C1068:D1068">
    <cfRule type="containsText" dxfId="2054" priority="2134" operator="containsText" text="NO+$D$4:$D$10">
      <formula>NOT(ISERROR(SEARCH("NO+$D$4:$D$10",C1068)))</formula>
    </cfRule>
  </conditionalFormatting>
  <conditionalFormatting sqref="C1068:D1068">
    <cfRule type="containsText" dxfId="2053" priority="2132" operator="containsText" text="SI">
      <formula>NOT(ISERROR(SEARCH("SI",C1068)))</formula>
    </cfRule>
    <cfRule type="containsText" dxfId="2052" priority="2133" operator="containsText" text="NO">
      <formula>NOT(ISERROR(SEARCH("NO",C1068)))</formula>
    </cfRule>
  </conditionalFormatting>
  <conditionalFormatting sqref="E1068">
    <cfRule type="containsText" dxfId="2051" priority="2131" operator="containsText" text="Sin información">
      <formula>NOT(ISERROR(SEARCH("Sin información",E1068)))</formula>
    </cfRule>
  </conditionalFormatting>
  <conditionalFormatting sqref="C1068:E1068">
    <cfRule type="containsText" dxfId="2050" priority="2130" operator="containsText" text="NUEVO">
      <formula>NOT(ISERROR(SEARCH("NUEVO",C1068)))</formula>
    </cfRule>
  </conditionalFormatting>
  <conditionalFormatting sqref="E1068">
    <cfRule type="containsText" dxfId="2049" priority="2129" operator="containsText" text="Sin Información">
      <formula>NOT(ISERROR(SEARCH("Sin Información",E1068)))</formula>
    </cfRule>
  </conditionalFormatting>
  <conditionalFormatting sqref="E1068">
    <cfRule type="containsText" dxfId="2048" priority="2128" operator="containsText" text="Sin información">
      <formula>NOT(ISERROR(SEARCH("Sin información",E1068)))</formula>
    </cfRule>
  </conditionalFormatting>
  <conditionalFormatting sqref="C1069:D1069">
    <cfRule type="containsText" dxfId="2047" priority="2120" operator="containsText" text="NO+$D$4:$D$10">
      <formula>NOT(ISERROR(SEARCH("NO+$D$4:$D$10",C1069)))</formula>
    </cfRule>
  </conditionalFormatting>
  <conditionalFormatting sqref="C1069:D1069">
    <cfRule type="containsText" dxfId="2046" priority="2118" operator="containsText" text="SI">
      <formula>NOT(ISERROR(SEARCH("SI",C1069)))</formula>
    </cfRule>
    <cfRule type="containsText" dxfId="2045" priority="2119" operator="containsText" text="NO">
      <formula>NOT(ISERROR(SEARCH("NO",C1069)))</formula>
    </cfRule>
  </conditionalFormatting>
  <conditionalFormatting sqref="E1069">
    <cfRule type="containsText" dxfId="2044" priority="2117" operator="containsText" text="Sin información">
      <formula>NOT(ISERROR(SEARCH("Sin información",E1069)))</formula>
    </cfRule>
  </conditionalFormatting>
  <conditionalFormatting sqref="C1069:E1069">
    <cfRule type="containsText" dxfId="2043" priority="2116" operator="containsText" text="NUEVO">
      <formula>NOT(ISERROR(SEARCH("NUEVO",C1069)))</formula>
    </cfRule>
  </conditionalFormatting>
  <conditionalFormatting sqref="C1070:D1070">
    <cfRule type="containsText" dxfId="2042" priority="2115" operator="containsText" text="NO+$D$4:$D$10">
      <formula>NOT(ISERROR(SEARCH("NO+$D$4:$D$10",C1070)))</formula>
    </cfRule>
  </conditionalFormatting>
  <conditionalFormatting sqref="C1070:D1070">
    <cfRule type="containsText" dxfId="2041" priority="2113" operator="containsText" text="SI">
      <formula>NOT(ISERROR(SEARCH("SI",C1070)))</formula>
    </cfRule>
    <cfRule type="containsText" dxfId="2040" priority="2114" operator="containsText" text="NO">
      <formula>NOT(ISERROR(SEARCH("NO",C1070)))</formula>
    </cfRule>
  </conditionalFormatting>
  <conditionalFormatting sqref="E1070">
    <cfRule type="containsText" dxfId="2039" priority="2112" operator="containsText" text="Sin información">
      <formula>NOT(ISERROR(SEARCH("Sin información",E1070)))</formula>
    </cfRule>
  </conditionalFormatting>
  <conditionalFormatting sqref="C1070:D1070">
    <cfRule type="containsText" dxfId="2038" priority="2111" operator="containsText" text="NUEVO">
      <formula>NOT(ISERROR(SEARCH("NUEVO",C1070)))</formula>
    </cfRule>
  </conditionalFormatting>
  <conditionalFormatting sqref="E1070">
    <cfRule type="containsText" dxfId="2037" priority="2109" operator="containsText" text="NUEVO">
      <formula>NOT(ISERROR(SEARCH("NUEVO",E1070)))</formula>
    </cfRule>
  </conditionalFormatting>
  <conditionalFormatting sqref="E1070">
    <cfRule type="containsText" dxfId="2036" priority="2110" operator="containsText" text="Sin información">
      <formula>NOT(ISERROR(SEARCH("Sin información",E1070)))</formula>
    </cfRule>
  </conditionalFormatting>
  <conditionalFormatting sqref="C1071:D1071">
    <cfRule type="containsText" dxfId="2035" priority="2108" operator="containsText" text="NO+$D$4:$D$10">
      <formula>NOT(ISERROR(SEARCH("NO+$D$4:$D$10",C1071)))</formula>
    </cfRule>
  </conditionalFormatting>
  <conditionalFormatting sqref="C1071:D1071">
    <cfRule type="containsText" dxfId="2034" priority="2106" operator="containsText" text="SI">
      <formula>NOT(ISERROR(SEARCH("SI",C1071)))</formula>
    </cfRule>
    <cfRule type="containsText" dxfId="2033" priority="2107" operator="containsText" text="NO">
      <formula>NOT(ISERROR(SEARCH("NO",C1071)))</formula>
    </cfRule>
  </conditionalFormatting>
  <conditionalFormatting sqref="C1071:D1071">
    <cfRule type="containsText" dxfId="2032" priority="2105" operator="containsText" text="NUEVO">
      <formula>NOT(ISERROR(SEARCH("NUEVO",C1071)))</formula>
    </cfRule>
  </conditionalFormatting>
  <conditionalFormatting sqref="E1071">
    <cfRule type="containsText" dxfId="2031" priority="2104" operator="containsText" text="Sin información">
      <formula>NOT(ISERROR(SEARCH("Sin información",E1071)))</formula>
    </cfRule>
  </conditionalFormatting>
  <conditionalFormatting sqref="E1071">
    <cfRule type="containsText" dxfId="2030" priority="2102" operator="containsText" text="NUEVO">
      <formula>NOT(ISERROR(SEARCH("NUEVO",E1071)))</formula>
    </cfRule>
  </conditionalFormatting>
  <conditionalFormatting sqref="E1071">
    <cfRule type="containsText" dxfId="2029" priority="2103" operator="containsText" text="Sin información">
      <formula>NOT(ISERROR(SEARCH("Sin información",E1071)))</formula>
    </cfRule>
  </conditionalFormatting>
  <conditionalFormatting sqref="C1072:D1072">
    <cfRule type="containsText" dxfId="2028" priority="2101" operator="containsText" text="NO+$D$4:$D$10">
      <formula>NOT(ISERROR(SEARCH("NO+$D$4:$D$10",C1072)))</formula>
    </cfRule>
  </conditionalFormatting>
  <conditionalFormatting sqref="C1072:D1072">
    <cfRule type="containsText" dxfId="2027" priority="2099" operator="containsText" text="SI">
      <formula>NOT(ISERROR(SEARCH("SI",C1072)))</formula>
    </cfRule>
    <cfRule type="containsText" dxfId="2026" priority="2100" operator="containsText" text="NO">
      <formula>NOT(ISERROR(SEARCH("NO",C1072)))</formula>
    </cfRule>
  </conditionalFormatting>
  <conditionalFormatting sqref="C1072:D1072">
    <cfRule type="containsText" dxfId="2025" priority="2098" operator="containsText" text="NUEVO">
      <formula>NOT(ISERROR(SEARCH("NUEVO",C1072)))</formula>
    </cfRule>
  </conditionalFormatting>
  <conditionalFormatting sqref="E1072">
    <cfRule type="containsText" dxfId="2024" priority="2097" operator="containsText" text="NUEVO">
      <formula>NOT(ISERROR(SEARCH("NUEVO",E1072)))</formula>
    </cfRule>
  </conditionalFormatting>
  <conditionalFormatting sqref="E1072">
    <cfRule type="containsText" dxfId="2023" priority="2096" operator="containsText" text="Sin Información">
      <formula>NOT(ISERROR(SEARCH("Sin Información",E1072)))</formula>
    </cfRule>
  </conditionalFormatting>
  <conditionalFormatting sqref="C1073:D1073">
    <cfRule type="containsText" dxfId="2022" priority="2095" operator="containsText" text="NO+$D$4:$D$10">
      <formula>NOT(ISERROR(SEARCH("NO+$D$4:$D$10",C1073)))</formula>
    </cfRule>
  </conditionalFormatting>
  <conditionalFormatting sqref="C1073:D1073">
    <cfRule type="containsText" dxfId="2021" priority="2093" operator="containsText" text="SI">
      <formula>NOT(ISERROR(SEARCH("SI",C1073)))</formula>
    </cfRule>
    <cfRule type="containsText" dxfId="2020" priority="2094" operator="containsText" text="NO">
      <formula>NOT(ISERROR(SEARCH("NO",C1073)))</formula>
    </cfRule>
  </conditionalFormatting>
  <conditionalFormatting sqref="C1073:D1073">
    <cfRule type="containsText" dxfId="2019" priority="2092" operator="containsText" text="NUEVO">
      <formula>NOT(ISERROR(SEARCH("NUEVO",C1073)))</formula>
    </cfRule>
  </conditionalFormatting>
  <conditionalFormatting sqref="E1073">
    <cfRule type="containsText" dxfId="2018" priority="2091" operator="containsText" text="NUEVO">
      <formula>NOT(ISERROR(SEARCH("NUEVO",E1073)))</formula>
    </cfRule>
  </conditionalFormatting>
  <conditionalFormatting sqref="E1073">
    <cfRule type="containsText" dxfId="2017" priority="2090" operator="containsText" text="Sin Información">
      <formula>NOT(ISERROR(SEARCH("Sin Información",E1073)))</formula>
    </cfRule>
  </conditionalFormatting>
  <conditionalFormatting sqref="C1074:D1074">
    <cfRule type="containsText" dxfId="2016" priority="2089" operator="containsText" text="NO+$D$4:$D$10">
      <formula>NOT(ISERROR(SEARCH("NO+$D$4:$D$10",C1074)))</formula>
    </cfRule>
  </conditionalFormatting>
  <conditionalFormatting sqref="C1074:D1074">
    <cfRule type="containsText" dxfId="2015" priority="2087" operator="containsText" text="SI">
      <formula>NOT(ISERROR(SEARCH("SI",C1074)))</formula>
    </cfRule>
    <cfRule type="containsText" dxfId="2014" priority="2088" operator="containsText" text="NO">
      <formula>NOT(ISERROR(SEARCH("NO",C1074)))</formula>
    </cfRule>
  </conditionalFormatting>
  <conditionalFormatting sqref="C1074:D1074">
    <cfRule type="containsText" dxfId="2013" priority="2086" operator="containsText" text="NUEVO">
      <formula>NOT(ISERROR(SEARCH("NUEVO",C1074)))</formula>
    </cfRule>
  </conditionalFormatting>
  <conditionalFormatting sqref="E1074">
    <cfRule type="containsText" dxfId="2012" priority="2085" operator="containsText" text="NUEVO">
      <formula>NOT(ISERROR(SEARCH("NUEVO",E1074)))</formula>
    </cfRule>
  </conditionalFormatting>
  <conditionalFormatting sqref="E1074">
    <cfRule type="containsText" dxfId="2011" priority="2084" operator="containsText" text="Sin Información">
      <formula>NOT(ISERROR(SEARCH("Sin Información",E1074)))</formula>
    </cfRule>
  </conditionalFormatting>
  <conditionalFormatting sqref="C1088:D1088 C1075:D1075 C1141:D1151 C1115:D1116 C1121:D1125">
    <cfRule type="containsText" dxfId="2010" priority="2083" operator="containsText" text="NO+$D$4:$D$10">
      <formula>NOT(ISERROR(SEARCH("NO+$D$4:$D$10",C1075)))</formula>
    </cfRule>
  </conditionalFormatting>
  <conditionalFormatting sqref="C1088:D1088 C1075:D1075 C1141:D1151 C1115:D1116 C1121:D1125">
    <cfRule type="containsText" dxfId="2009" priority="2081" operator="containsText" text="SI">
      <formula>NOT(ISERROR(SEARCH("SI",C1075)))</formula>
    </cfRule>
    <cfRule type="containsText" dxfId="2008" priority="2082" operator="containsText" text="NO">
      <formula>NOT(ISERROR(SEARCH("NO",C1075)))</formula>
    </cfRule>
  </conditionalFormatting>
  <conditionalFormatting sqref="C1088:D1088 C1149:E1151 C1075:D1075 C1141:D1148 C1115:E1116 C1121:D1125">
    <cfRule type="containsText" dxfId="2007" priority="2080" operator="containsText" text="NUEVO">
      <formula>NOT(ISERROR(SEARCH("NUEVO",C1075)))</formula>
    </cfRule>
  </conditionalFormatting>
  <conditionalFormatting sqref="E1088 E1149:E1151 E1115:E1116">
    <cfRule type="containsText" dxfId="2006" priority="2079" operator="containsText" text="Sin información">
      <formula>NOT(ISERROR(SEARCH("Sin información",E1088)))</formula>
    </cfRule>
  </conditionalFormatting>
  <conditionalFormatting sqref="E1075">
    <cfRule type="containsText" dxfId="2005" priority="2078" operator="containsText" text="Sin información">
      <formula>NOT(ISERROR(SEARCH("Sin información",E1075)))</formula>
    </cfRule>
  </conditionalFormatting>
  <conditionalFormatting sqref="E1075">
    <cfRule type="containsText" dxfId="2004" priority="2077" operator="containsText" text="NUEVO">
      <formula>NOT(ISERROR(SEARCH("NUEVO",E1075)))</formula>
    </cfRule>
  </conditionalFormatting>
  <conditionalFormatting sqref="C1076:D1076">
    <cfRule type="containsText" dxfId="2003" priority="2076" operator="containsText" text="NO+$D$4:$D$10">
      <formula>NOT(ISERROR(SEARCH("NO+$D$4:$D$10",C1076)))</formula>
    </cfRule>
  </conditionalFormatting>
  <conditionalFormatting sqref="C1076:D1076">
    <cfRule type="containsText" dxfId="2002" priority="2074" operator="containsText" text="SI">
      <formula>NOT(ISERROR(SEARCH("SI",C1076)))</formula>
    </cfRule>
    <cfRule type="containsText" dxfId="2001" priority="2075" operator="containsText" text="NO">
      <formula>NOT(ISERROR(SEARCH("NO",C1076)))</formula>
    </cfRule>
  </conditionalFormatting>
  <conditionalFormatting sqref="C1076:E1076">
    <cfRule type="containsText" dxfId="2000" priority="2073" operator="containsText" text="NUEVO">
      <formula>NOT(ISERROR(SEARCH("NUEVO",C1076)))</formula>
    </cfRule>
  </conditionalFormatting>
  <conditionalFormatting sqref="E1076">
    <cfRule type="containsText" dxfId="1999" priority="2072" operator="containsText" text="Sin información">
      <formula>NOT(ISERROR(SEARCH("Sin información",E1076)))</formula>
    </cfRule>
  </conditionalFormatting>
  <conditionalFormatting sqref="C1077:D1077">
    <cfRule type="containsText" dxfId="1998" priority="2071" operator="containsText" text="NO+$D$4:$D$10">
      <formula>NOT(ISERROR(SEARCH("NO+$D$4:$D$10",C1077)))</formula>
    </cfRule>
  </conditionalFormatting>
  <conditionalFormatting sqref="C1077:D1077">
    <cfRule type="containsText" dxfId="1997" priority="2069" operator="containsText" text="SI">
      <formula>NOT(ISERROR(SEARCH("SI",C1077)))</formula>
    </cfRule>
    <cfRule type="containsText" dxfId="1996" priority="2070" operator="containsText" text="NO">
      <formula>NOT(ISERROR(SEARCH("NO",C1077)))</formula>
    </cfRule>
  </conditionalFormatting>
  <conditionalFormatting sqref="E1077">
    <cfRule type="containsText" dxfId="1995" priority="2068" operator="containsText" text="Sin información">
      <formula>NOT(ISERROR(SEARCH("Sin información",E1077)))</formula>
    </cfRule>
  </conditionalFormatting>
  <conditionalFormatting sqref="C1077:E1077">
    <cfRule type="containsText" dxfId="1994" priority="2067" operator="containsText" text="NUEVO">
      <formula>NOT(ISERROR(SEARCH("NUEVO",C1077)))</formula>
    </cfRule>
  </conditionalFormatting>
  <conditionalFormatting sqref="C1078:D1078">
    <cfRule type="containsText" dxfId="1993" priority="2066" operator="containsText" text="NO+$D$4:$D$10">
      <formula>NOT(ISERROR(SEARCH("NO+$D$4:$D$10",C1078)))</formula>
    </cfRule>
  </conditionalFormatting>
  <conditionalFormatting sqref="C1078:D1078">
    <cfRule type="containsText" dxfId="1992" priority="2064" operator="containsText" text="SI">
      <formula>NOT(ISERROR(SEARCH("SI",C1078)))</formula>
    </cfRule>
    <cfRule type="containsText" dxfId="1991" priority="2065" operator="containsText" text="NO">
      <formula>NOT(ISERROR(SEARCH("NO",C1078)))</formula>
    </cfRule>
  </conditionalFormatting>
  <conditionalFormatting sqref="C1078:D1078">
    <cfRule type="containsText" dxfId="1990" priority="2063" operator="containsText" text="NUEVO">
      <formula>NOT(ISERROR(SEARCH("NUEVO",C1078)))</formula>
    </cfRule>
  </conditionalFormatting>
  <conditionalFormatting sqref="E1078">
    <cfRule type="containsText" dxfId="1989" priority="2062" operator="containsText" text="Sin información">
      <formula>NOT(ISERROR(SEARCH("Sin información",E1078)))</formula>
    </cfRule>
  </conditionalFormatting>
  <conditionalFormatting sqref="E1078">
    <cfRule type="containsText" dxfId="1988" priority="2061" operator="containsText" text="NUEVO">
      <formula>NOT(ISERROR(SEARCH("NUEVO",E1078)))</formula>
    </cfRule>
  </conditionalFormatting>
  <conditionalFormatting sqref="C1079:D1079">
    <cfRule type="containsText" dxfId="1987" priority="2060" operator="containsText" text="NO+$D$4:$D$10">
      <formula>NOT(ISERROR(SEARCH("NO+$D$4:$D$10",C1079)))</formula>
    </cfRule>
  </conditionalFormatting>
  <conditionalFormatting sqref="C1079:D1079">
    <cfRule type="containsText" dxfId="1986" priority="2058" operator="containsText" text="SI">
      <formula>NOT(ISERROR(SEARCH("SI",C1079)))</formula>
    </cfRule>
    <cfRule type="containsText" dxfId="1985" priority="2059" operator="containsText" text="NO">
      <formula>NOT(ISERROR(SEARCH("NO",C1079)))</formula>
    </cfRule>
  </conditionalFormatting>
  <conditionalFormatting sqref="E1079">
    <cfRule type="containsText" dxfId="1984" priority="2057" operator="containsText" text="Sin información">
      <formula>NOT(ISERROR(SEARCH("Sin información",E1079)))</formula>
    </cfRule>
  </conditionalFormatting>
  <conditionalFormatting sqref="C1079:E1079">
    <cfRule type="containsText" dxfId="1983" priority="2056" operator="containsText" text="NUEVO">
      <formula>NOT(ISERROR(SEARCH("NUEVO",C1079)))</formula>
    </cfRule>
  </conditionalFormatting>
  <conditionalFormatting sqref="C1080:D1080">
    <cfRule type="containsText" dxfId="1982" priority="2055" operator="containsText" text="NO+$D$4:$D$10">
      <formula>NOT(ISERROR(SEARCH("NO+$D$4:$D$10",C1080)))</formula>
    </cfRule>
  </conditionalFormatting>
  <conditionalFormatting sqref="C1080:D1080">
    <cfRule type="containsText" dxfId="1981" priority="2053" operator="containsText" text="SI">
      <formula>NOT(ISERROR(SEARCH("SI",C1080)))</formula>
    </cfRule>
    <cfRule type="containsText" dxfId="1980" priority="2054" operator="containsText" text="NO">
      <formula>NOT(ISERROR(SEARCH("NO",C1080)))</formula>
    </cfRule>
  </conditionalFormatting>
  <conditionalFormatting sqref="E1080">
    <cfRule type="containsText" dxfId="1979" priority="2052" operator="containsText" text="Sin información">
      <formula>NOT(ISERROR(SEARCH("Sin información",E1080)))</formula>
    </cfRule>
  </conditionalFormatting>
  <conditionalFormatting sqref="C1080:E1080">
    <cfRule type="containsText" dxfId="1978" priority="2051" operator="containsText" text="NUEVO">
      <formula>NOT(ISERROR(SEARCH("NUEVO",C1080)))</formula>
    </cfRule>
  </conditionalFormatting>
  <conditionalFormatting sqref="C1081:D1081">
    <cfRule type="containsText" dxfId="1977" priority="2050" operator="containsText" text="NO+$D$4:$D$10">
      <formula>NOT(ISERROR(SEARCH("NO+$D$4:$D$10",C1081)))</formula>
    </cfRule>
  </conditionalFormatting>
  <conditionalFormatting sqref="C1081:D1081">
    <cfRule type="containsText" dxfId="1976" priority="2048" operator="containsText" text="SI">
      <formula>NOT(ISERROR(SEARCH("SI",C1081)))</formula>
    </cfRule>
    <cfRule type="containsText" dxfId="1975" priority="2049" operator="containsText" text="NO">
      <formula>NOT(ISERROR(SEARCH("NO",C1081)))</formula>
    </cfRule>
  </conditionalFormatting>
  <conditionalFormatting sqref="E1081">
    <cfRule type="containsText" dxfId="1974" priority="2047" operator="containsText" text="Sin información">
      <formula>NOT(ISERROR(SEARCH("Sin información",E1081)))</formula>
    </cfRule>
  </conditionalFormatting>
  <conditionalFormatting sqref="C1081:E1081">
    <cfRule type="containsText" dxfId="1973" priority="2046" operator="containsText" text="NUEVO">
      <formula>NOT(ISERROR(SEARCH("NUEVO",C1081)))</formula>
    </cfRule>
  </conditionalFormatting>
  <conditionalFormatting sqref="C1082:D1082">
    <cfRule type="containsText" dxfId="1972" priority="2045" operator="containsText" text="NO+$D$4:$D$10">
      <formula>NOT(ISERROR(SEARCH("NO+$D$4:$D$10",C1082)))</formula>
    </cfRule>
  </conditionalFormatting>
  <conditionalFormatting sqref="C1082:D1082">
    <cfRule type="containsText" dxfId="1971" priority="2043" operator="containsText" text="SI">
      <formula>NOT(ISERROR(SEARCH("SI",C1082)))</formula>
    </cfRule>
    <cfRule type="containsText" dxfId="1970" priority="2044" operator="containsText" text="NO">
      <formula>NOT(ISERROR(SEARCH("NO",C1082)))</formula>
    </cfRule>
  </conditionalFormatting>
  <conditionalFormatting sqref="E1082">
    <cfRule type="containsText" dxfId="1969" priority="2042" operator="containsText" text="Sin información">
      <formula>NOT(ISERROR(SEARCH("Sin información",E1082)))</formula>
    </cfRule>
  </conditionalFormatting>
  <conditionalFormatting sqref="C1082:E1082">
    <cfRule type="containsText" dxfId="1968" priority="2041" operator="containsText" text="NUEVO">
      <formula>NOT(ISERROR(SEARCH("NUEVO",C1082)))</formula>
    </cfRule>
  </conditionalFormatting>
  <conditionalFormatting sqref="C1083:D1083">
    <cfRule type="containsText" dxfId="1967" priority="2040" operator="containsText" text="NO+$D$4:$D$10">
      <formula>NOT(ISERROR(SEARCH("NO+$D$4:$D$10",C1083)))</formula>
    </cfRule>
  </conditionalFormatting>
  <conditionalFormatting sqref="C1083:D1083">
    <cfRule type="containsText" dxfId="1966" priority="2038" operator="containsText" text="SI">
      <formula>NOT(ISERROR(SEARCH("SI",C1083)))</formula>
    </cfRule>
    <cfRule type="containsText" dxfId="1965" priority="2039" operator="containsText" text="NO">
      <formula>NOT(ISERROR(SEARCH("NO",C1083)))</formula>
    </cfRule>
  </conditionalFormatting>
  <conditionalFormatting sqref="C1083:E1083">
    <cfRule type="containsText" dxfId="1964" priority="2037" operator="containsText" text="NUEVO">
      <formula>NOT(ISERROR(SEARCH("NUEVO",C1083)))</formula>
    </cfRule>
  </conditionalFormatting>
  <conditionalFormatting sqref="E1083">
    <cfRule type="containsText" dxfId="1963" priority="2036" operator="containsText" text="Sin información">
      <formula>NOT(ISERROR(SEARCH("Sin información",E1083)))</formula>
    </cfRule>
  </conditionalFormatting>
  <conditionalFormatting sqref="C1084:D1084">
    <cfRule type="containsText" dxfId="1962" priority="2035" operator="containsText" text="NO+$D$4:$D$10">
      <formula>NOT(ISERROR(SEARCH("NO+$D$4:$D$10",C1084)))</formula>
    </cfRule>
  </conditionalFormatting>
  <conditionalFormatting sqref="C1084:D1084">
    <cfRule type="containsText" dxfId="1961" priority="2033" operator="containsText" text="SI">
      <formula>NOT(ISERROR(SEARCH("SI",C1084)))</formula>
    </cfRule>
    <cfRule type="containsText" dxfId="1960" priority="2034" operator="containsText" text="NO">
      <formula>NOT(ISERROR(SEARCH("NO",C1084)))</formula>
    </cfRule>
  </conditionalFormatting>
  <conditionalFormatting sqref="E1084">
    <cfRule type="containsText" dxfId="1959" priority="2032" operator="containsText" text="Sin información">
      <formula>NOT(ISERROR(SEARCH("Sin información",E1084)))</formula>
    </cfRule>
  </conditionalFormatting>
  <conditionalFormatting sqref="C1084:E1084">
    <cfRule type="containsText" dxfId="1958" priority="2031" operator="containsText" text="NUEVO">
      <formula>NOT(ISERROR(SEARCH("NUEVO",C1084)))</formula>
    </cfRule>
  </conditionalFormatting>
  <conditionalFormatting sqref="C1085:D1085">
    <cfRule type="containsText" dxfId="1957" priority="2024" operator="containsText" text="NO+$D$4:$D$10">
      <formula>NOT(ISERROR(SEARCH("NO+$D$4:$D$10",C1085)))</formula>
    </cfRule>
  </conditionalFormatting>
  <conditionalFormatting sqref="C1085:D1085">
    <cfRule type="containsText" dxfId="1956" priority="2022" operator="containsText" text="SI">
      <formula>NOT(ISERROR(SEARCH("SI",C1085)))</formula>
    </cfRule>
    <cfRule type="containsText" dxfId="1955" priority="2023" operator="containsText" text="NO">
      <formula>NOT(ISERROR(SEARCH("NO",C1085)))</formula>
    </cfRule>
  </conditionalFormatting>
  <conditionalFormatting sqref="C1085:D1085">
    <cfRule type="containsText" dxfId="1954" priority="2021" operator="containsText" text="NUEVO">
      <formula>NOT(ISERROR(SEARCH("NUEVO",C1085)))</formula>
    </cfRule>
  </conditionalFormatting>
  <conditionalFormatting sqref="E1085">
    <cfRule type="containsText" dxfId="1953" priority="2020" operator="containsText" text="Sin información">
      <formula>NOT(ISERROR(SEARCH("Sin información",E1085)))</formula>
    </cfRule>
  </conditionalFormatting>
  <conditionalFormatting sqref="E1085">
    <cfRule type="containsText" dxfId="1952" priority="2019" operator="containsText" text="NUEVO">
      <formula>NOT(ISERROR(SEARCH("NUEVO",E1085)))</formula>
    </cfRule>
  </conditionalFormatting>
  <conditionalFormatting sqref="C1086:D1086">
    <cfRule type="containsText" dxfId="1951" priority="2018" operator="containsText" text="NO+$D$4:$D$10">
      <formula>NOT(ISERROR(SEARCH("NO+$D$4:$D$10",C1086)))</formula>
    </cfRule>
  </conditionalFormatting>
  <conditionalFormatting sqref="C1086:D1086">
    <cfRule type="containsText" dxfId="1950" priority="2016" operator="containsText" text="SI">
      <formula>NOT(ISERROR(SEARCH("SI",C1086)))</formula>
    </cfRule>
    <cfRule type="containsText" dxfId="1949" priority="2017" operator="containsText" text="NO">
      <formula>NOT(ISERROR(SEARCH("NO",C1086)))</formula>
    </cfRule>
  </conditionalFormatting>
  <conditionalFormatting sqref="E1086">
    <cfRule type="containsText" dxfId="1948" priority="2015" operator="containsText" text="Sin información">
      <formula>NOT(ISERROR(SEARCH("Sin información",E1086)))</formula>
    </cfRule>
  </conditionalFormatting>
  <conditionalFormatting sqref="C1086:E1086">
    <cfRule type="containsText" dxfId="1947" priority="2014" operator="containsText" text="NUEVO">
      <formula>NOT(ISERROR(SEARCH("NUEVO",C1086)))</formula>
    </cfRule>
  </conditionalFormatting>
  <conditionalFormatting sqref="C1087:D1087">
    <cfRule type="containsText" dxfId="1946" priority="2013" operator="containsText" text="NO+$D$4:$D$10">
      <formula>NOT(ISERROR(SEARCH("NO+$D$4:$D$10",C1087)))</formula>
    </cfRule>
  </conditionalFormatting>
  <conditionalFormatting sqref="C1087:D1087">
    <cfRule type="containsText" dxfId="1945" priority="2011" operator="containsText" text="SI">
      <formula>NOT(ISERROR(SEARCH("SI",C1087)))</formula>
    </cfRule>
    <cfRule type="containsText" dxfId="1944" priority="2012" operator="containsText" text="NO">
      <formula>NOT(ISERROR(SEARCH("NO",C1087)))</formula>
    </cfRule>
  </conditionalFormatting>
  <conditionalFormatting sqref="E1087">
    <cfRule type="containsText" dxfId="1943" priority="2010" operator="containsText" text="Sin información">
      <formula>NOT(ISERROR(SEARCH("Sin información",E1087)))</formula>
    </cfRule>
  </conditionalFormatting>
  <conditionalFormatting sqref="C1087:E1087">
    <cfRule type="containsText" dxfId="1942" priority="2009" operator="containsText" text="NUEVO">
      <formula>NOT(ISERROR(SEARCH("NUEVO",C1087)))</formula>
    </cfRule>
  </conditionalFormatting>
  <conditionalFormatting sqref="E1088">
    <cfRule type="containsText" dxfId="1941" priority="2008" operator="containsText" text="Sin información">
      <formula>NOT(ISERROR(SEARCH("Sin información",E1088)))</formula>
    </cfRule>
  </conditionalFormatting>
  <conditionalFormatting sqref="C1089:D1089">
    <cfRule type="containsText" dxfId="1940" priority="2007" operator="containsText" text="NO+$D$4:$D$10">
      <formula>NOT(ISERROR(SEARCH("NO+$D$4:$D$10",C1089)))</formula>
    </cfRule>
  </conditionalFormatting>
  <conditionalFormatting sqref="C1089:D1089">
    <cfRule type="containsText" dxfId="1939" priority="2005" operator="containsText" text="SI">
      <formula>NOT(ISERROR(SEARCH("SI",C1089)))</formula>
    </cfRule>
    <cfRule type="containsText" dxfId="1938" priority="2006" operator="containsText" text="NO">
      <formula>NOT(ISERROR(SEARCH("NO",C1089)))</formula>
    </cfRule>
  </conditionalFormatting>
  <conditionalFormatting sqref="E1089">
    <cfRule type="containsText" dxfId="1937" priority="2004" operator="containsText" text="Sin información">
      <formula>NOT(ISERROR(SEARCH("Sin información",E1089)))</formula>
    </cfRule>
  </conditionalFormatting>
  <conditionalFormatting sqref="C1089:E1089">
    <cfRule type="containsText" dxfId="1936" priority="2003" operator="containsText" text="NUEVO">
      <formula>NOT(ISERROR(SEARCH("NUEVO",C1089)))</formula>
    </cfRule>
  </conditionalFormatting>
  <conditionalFormatting sqref="E1089">
    <cfRule type="containsText" dxfId="1935" priority="2002" operator="containsText" text="Sin Información">
      <formula>NOT(ISERROR(SEARCH("Sin Información",E1089)))</formula>
    </cfRule>
  </conditionalFormatting>
  <conditionalFormatting sqref="C1090:D1090">
    <cfRule type="containsText" dxfId="1934" priority="2001" operator="containsText" text="NO+$D$4:$D$10">
      <formula>NOT(ISERROR(SEARCH("NO+$D$4:$D$10",C1090)))</formula>
    </cfRule>
  </conditionalFormatting>
  <conditionalFormatting sqref="C1090:D1090">
    <cfRule type="containsText" dxfId="1933" priority="1999" operator="containsText" text="SI">
      <formula>NOT(ISERROR(SEARCH("SI",C1090)))</formula>
    </cfRule>
    <cfRule type="containsText" dxfId="1932" priority="2000" operator="containsText" text="NO">
      <formula>NOT(ISERROR(SEARCH("NO",C1090)))</formula>
    </cfRule>
  </conditionalFormatting>
  <conditionalFormatting sqref="E1090">
    <cfRule type="containsText" dxfId="1931" priority="1998" operator="containsText" text="Sin información">
      <formula>NOT(ISERROR(SEARCH("Sin información",E1090)))</formula>
    </cfRule>
  </conditionalFormatting>
  <conditionalFormatting sqref="C1090:E1090">
    <cfRule type="containsText" dxfId="1930" priority="1997" operator="containsText" text="NUEVO">
      <formula>NOT(ISERROR(SEARCH("NUEVO",C1090)))</formula>
    </cfRule>
  </conditionalFormatting>
  <conditionalFormatting sqref="C1091:D1091">
    <cfRule type="containsText" dxfId="1929" priority="1996" operator="containsText" text="NO+$D$4:$D$10">
      <formula>NOT(ISERROR(SEARCH("NO+$D$4:$D$10",C1091)))</formula>
    </cfRule>
  </conditionalFormatting>
  <conditionalFormatting sqref="C1091:D1091">
    <cfRule type="containsText" dxfId="1928" priority="1994" operator="containsText" text="SI">
      <formula>NOT(ISERROR(SEARCH("SI",C1091)))</formula>
    </cfRule>
    <cfRule type="containsText" dxfId="1927" priority="1995" operator="containsText" text="NO">
      <formula>NOT(ISERROR(SEARCH("NO",C1091)))</formula>
    </cfRule>
  </conditionalFormatting>
  <conditionalFormatting sqref="E1091">
    <cfRule type="containsText" dxfId="1926" priority="1993" operator="containsText" text="Sin información">
      <formula>NOT(ISERROR(SEARCH("Sin información",E1091)))</formula>
    </cfRule>
  </conditionalFormatting>
  <conditionalFormatting sqref="C1091:E1091">
    <cfRule type="containsText" dxfId="1925" priority="1992" operator="containsText" text="NUEVO">
      <formula>NOT(ISERROR(SEARCH("NUEVO",C1091)))</formula>
    </cfRule>
  </conditionalFormatting>
  <conditionalFormatting sqref="C1092:D1092">
    <cfRule type="containsText" dxfId="1924" priority="1991" operator="containsText" text="NO+$D$4:$D$10">
      <formula>NOT(ISERROR(SEARCH("NO+$D$4:$D$10",C1092)))</formula>
    </cfRule>
  </conditionalFormatting>
  <conditionalFormatting sqref="C1092:D1092">
    <cfRule type="containsText" dxfId="1923" priority="1989" operator="containsText" text="SI">
      <formula>NOT(ISERROR(SEARCH("SI",C1092)))</formula>
    </cfRule>
    <cfRule type="containsText" dxfId="1922" priority="1990" operator="containsText" text="NO">
      <formula>NOT(ISERROR(SEARCH("NO",C1092)))</formula>
    </cfRule>
  </conditionalFormatting>
  <conditionalFormatting sqref="E1092">
    <cfRule type="containsText" dxfId="1921" priority="1988" operator="containsText" text="Sin información">
      <formula>NOT(ISERROR(SEARCH("Sin información",E1092)))</formula>
    </cfRule>
  </conditionalFormatting>
  <conditionalFormatting sqref="C1092:E1092">
    <cfRule type="containsText" dxfId="1920" priority="1987" operator="containsText" text="NUEVO">
      <formula>NOT(ISERROR(SEARCH("NUEVO",C1092)))</formula>
    </cfRule>
  </conditionalFormatting>
  <conditionalFormatting sqref="C1094:D1094">
    <cfRule type="containsText" dxfId="1919" priority="1986" operator="containsText" text="NO+$D$4:$D$10">
      <formula>NOT(ISERROR(SEARCH("NO+$D$4:$D$10",C1094)))</formula>
    </cfRule>
  </conditionalFormatting>
  <conditionalFormatting sqref="C1094:D1094">
    <cfRule type="containsText" dxfId="1918" priority="1984" operator="containsText" text="SI">
      <formula>NOT(ISERROR(SEARCH("SI",C1094)))</formula>
    </cfRule>
    <cfRule type="containsText" dxfId="1917" priority="1985" operator="containsText" text="NO">
      <formula>NOT(ISERROR(SEARCH("NO",C1094)))</formula>
    </cfRule>
  </conditionalFormatting>
  <conditionalFormatting sqref="E1094">
    <cfRule type="containsText" dxfId="1916" priority="1983" operator="containsText" text="Sin información">
      <formula>NOT(ISERROR(SEARCH("Sin información",E1094)))</formula>
    </cfRule>
  </conditionalFormatting>
  <conditionalFormatting sqref="C1094:E1094">
    <cfRule type="containsText" dxfId="1915" priority="1982" operator="containsText" text="NUEVO">
      <formula>NOT(ISERROR(SEARCH("NUEVO",C1094)))</formula>
    </cfRule>
  </conditionalFormatting>
  <conditionalFormatting sqref="C1095:D1095">
    <cfRule type="containsText" dxfId="1914" priority="1981" operator="containsText" text="NO+$D$4:$D$10">
      <formula>NOT(ISERROR(SEARCH("NO+$D$4:$D$10",C1095)))</formula>
    </cfRule>
  </conditionalFormatting>
  <conditionalFormatting sqref="C1095:D1095">
    <cfRule type="containsText" dxfId="1913" priority="1979" operator="containsText" text="SI">
      <formula>NOT(ISERROR(SEARCH("SI",C1095)))</formula>
    </cfRule>
    <cfRule type="containsText" dxfId="1912" priority="1980" operator="containsText" text="NO">
      <formula>NOT(ISERROR(SEARCH("NO",C1095)))</formula>
    </cfRule>
  </conditionalFormatting>
  <conditionalFormatting sqref="E1095">
    <cfRule type="containsText" dxfId="1911" priority="1978" operator="containsText" text="Sin información">
      <formula>NOT(ISERROR(SEARCH("Sin información",E1095)))</formula>
    </cfRule>
  </conditionalFormatting>
  <conditionalFormatting sqref="C1095:E1095">
    <cfRule type="containsText" dxfId="1910" priority="1977" operator="containsText" text="NUEVO">
      <formula>NOT(ISERROR(SEARCH("NUEVO",C1095)))</formula>
    </cfRule>
  </conditionalFormatting>
  <conditionalFormatting sqref="C1096:D1096">
    <cfRule type="containsText" dxfId="1909" priority="1976" operator="containsText" text="NO+$D$4:$D$10">
      <formula>NOT(ISERROR(SEARCH("NO+$D$4:$D$10",C1096)))</formula>
    </cfRule>
  </conditionalFormatting>
  <conditionalFormatting sqref="C1096:D1096">
    <cfRule type="containsText" dxfId="1908" priority="1974" operator="containsText" text="SI">
      <formula>NOT(ISERROR(SEARCH("SI",C1096)))</formula>
    </cfRule>
    <cfRule type="containsText" dxfId="1907" priority="1975" operator="containsText" text="NO">
      <formula>NOT(ISERROR(SEARCH("NO",C1096)))</formula>
    </cfRule>
  </conditionalFormatting>
  <conditionalFormatting sqref="E1096">
    <cfRule type="containsText" dxfId="1906" priority="1973" operator="containsText" text="Sin información">
      <formula>NOT(ISERROR(SEARCH("Sin información",E1096)))</formula>
    </cfRule>
  </conditionalFormatting>
  <conditionalFormatting sqref="C1096:E1096">
    <cfRule type="containsText" dxfId="1905" priority="1972" operator="containsText" text="NUEVO">
      <formula>NOT(ISERROR(SEARCH("NUEVO",C1096)))</formula>
    </cfRule>
  </conditionalFormatting>
  <conditionalFormatting sqref="E1096">
    <cfRule type="containsText" dxfId="1904" priority="1971" operator="containsText" text="Sin Información">
      <formula>NOT(ISERROR(SEARCH("Sin Información",E1096)))</formula>
    </cfRule>
  </conditionalFormatting>
  <conditionalFormatting sqref="C1097:D1097">
    <cfRule type="containsText" dxfId="1903" priority="1970" operator="containsText" text="NO+$D$4:$D$10">
      <formula>NOT(ISERROR(SEARCH("NO+$D$4:$D$10",C1097)))</formula>
    </cfRule>
  </conditionalFormatting>
  <conditionalFormatting sqref="C1097:D1097">
    <cfRule type="containsText" dxfId="1902" priority="1968" operator="containsText" text="SI">
      <formula>NOT(ISERROR(SEARCH("SI",C1097)))</formula>
    </cfRule>
    <cfRule type="containsText" dxfId="1901" priority="1969" operator="containsText" text="NO">
      <formula>NOT(ISERROR(SEARCH("NO",C1097)))</formula>
    </cfRule>
  </conditionalFormatting>
  <conditionalFormatting sqref="E1097">
    <cfRule type="containsText" dxfId="1900" priority="1967" operator="containsText" text="Sin información">
      <formula>NOT(ISERROR(SEARCH("Sin información",E1097)))</formula>
    </cfRule>
  </conditionalFormatting>
  <conditionalFormatting sqref="C1097:E1097">
    <cfRule type="containsText" dxfId="1899" priority="1966" operator="containsText" text="NUEVO">
      <formula>NOT(ISERROR(SEARCH("NUEVO",C1097)))</formula>
    </cfRule>
  </conditionalFormatting>
  <conditionalFormatting sqref="C1098:D1098">
    <cfRule type="containsText" dxfId="1898" priority="1965" operator="containsText" text="NO+$D$4:$D$10">
      <formula>NOT(ISERROR(SEARCH("NO+$D$4:$D$10",C1098)))</formula>
    </cfRule>
  </conditionalFormatting>
  <conditionalFormatting sqref="C1098:D1098">
    <cfRule type="containsText" dxfId="1897" priority="1963" operator="containsText" text="SI">
      <formula>NOT(ISERROR(SEARCH("SI",C1098)))</formula>
    </cfRule>
    <cfRule type="containsText" dxfId="1896" priority="1964" operator="containsText" text="NO">
      <formula>NOT(ISERROR(SEARCH("NO",C1098)))</formula>
    </cfRule>
  </conditionalFormatting>
  <conditionalFormatting sqref="E1098">
    <cfRule type="containsText" dxfId="1895" priority="1962" operator="containsText" text="Sin información">
      <formula>NOT(ISERROR(SEARCH("Sin información",E1098)))</formula>
    </cfRule>
  </conditionalFormatting>
  <conditionalFormatting sqref="C1098:E1098">
    <cfRule type="containsText" dxfId="1894" priority="1961" operator="containsText" text="NUEVO">
      <formula>NOT(ISERROR(SEARCH("NUEVO",C1098)))</formula>
    </cfRule>
  </conditionalFormatting>
  <conditionalFormatting sqref="C1099:D1099">
    <cfRule type="containsText" dxfId="1893" priority="1960" operator="containsText" text="NO+$D$4:$D$10">
      <formula>NOT(ISERROR(SEARCH("NO+$D$4:$D$10",C1099)))</formula>
    </cfRule>
  </conditionalFormatting>
  <conditionalFormatting sqref="C1099:D1099">
    <cfRule type="containsText" dxfId="1892" priority="1958" operator="containsText" text="SI">
      <formula>NOT(ISERROR(SEARCH("SI",C1099)))</formula>
    </cfRule>
    <cfRule type="containsText" dxfId="1891" priority="1959" operator="containsText" text="NO">
      <formula>NOT(ISERROR(SEARCH("NO",C1099)))</formula>
    </cfRule>
  </conditionalFormatting>
  <conditionalFormatting sqref="C1099:D1099">
    <cfRule type="containsText" dxfId="1890" priority="1957" operator="containsText" text="NUEVO">
      <formula>NOT(ISERROR(SEARCH("NUEVO",C1099)))</formula>
    </cfRule>
  </conditionalFormatting>
  <conditionalFormatting sqref="E1099">
    <cfRule type="containsText" dxfId="1889" priority="1956" operator="containsText" text="Sin información">
      <formula>NOT(ISERROR(SEARCH("Sin información",E1099)))</formula>
    </cfRule>
  </conditionalFormatting>
  <conditionalFormatting sqref="E1099">
    <cfRule type="containsText" dxfId="1888" priority="1955" operator="containsText" text="NUEVO">
      <formula>NOT(ISERROR(SEARCH("NUEVO",E1099)))</formula>
    </cfRule>
  </conditionalFormatting>
  <conditionalFormatting sqref="C1100:D1100">
    <cfRule type="containsText" dxfId="1887" priority="1954" operator="containsText" text="NO+$D$4:$D$10">
      <formula>NOT(ISERROR(SEARCH("NO+$D$4:$D$10",C1100)))</formula>
    </cfRule>
  </conditionalFormatting>
  <conditionalFormatting sqref="C1100:D1100">
    <cfRule type="containsText" dxfId="1886" priority="1952" operator="containsText" text="SI">
      <formula>NOT(ISERROR(SEARCH("SI",C1100)))</formula>
    </cfRule>
    <cfRule type="containsText" dxfId="1885" priority="1953" operator="containsText" text="NO">
      <formula>NOT(ISERROR(SEARCH("NO",C1100)))</formula>
    </cfRule>
  </conditionalFormatting>
  <conditionalFormatting sqref="E1100">
    <cfRule type="containsText" dxfId="1884" priority="1951" operator="containsText" text="Sin información">
      <formula>NOT(ISERROR(SEARCH("Sin información",E1100)))</formula>
    </cfRule>
  </conditionalFormatting>
  <conditionalFormatting sqref="C1100:E1100">
    <cfRule type="containsText" dxfId="1883" priority="1950" operator="containsText" text="NUEVO">
      <formula>NOT(ISERROR(SEARCH("NUEVO",C1100)))</formula>
    </cfRule>
  </conditionalFormatting>
  <conditionalFormatting sqref="C1101:D1101">
    <cfRule type="containsText" dxfId="1882" priority="1949" operator="containsText" text="NO+$D$4:$D$10">
      <formula>NOT(ISERROR(SEARCH("NO+$D$4:$D$10",C1101)))</formula>
    </cfRule>
  </conditionalFormatting>
  <conditionalFormatting sqref="C1101:D1101">
    <cfRule type="containsText" dxfId="1881" priority="1947" operator="containsText" text="SI">
      <formula>NOT(ISERROR(SEARCH("SI",C1101)))</formula>
    </cfRule>
    <cfRule type="containsText" dxfId="1880" priority="1948" operator="containsText" text="NO">
      <formula>NOT(ISERROR(SEARCH("NO",C1101)))</formula>
    </cfRule>
  </conditionalFormatting>
  <conditionalFormatting sqref="E1101">
    <cfRule type="containsText" dxfId="1879" priority="1946" operator="containsText" text="Sin información">
      <formula>NOT(ISERROR(SEARCH("Sin información",E1101)))</formula>
    </cfRule>
  </conditionalFormatting>
  <conditionalFormatting sqref="C1101:E1101">
    <cfRule type="containsText" dxfId="1878" priority="1945" operator="containsText" text="NUEVO">
      <formula>NOT(ISERROR(SEARCH("NUEVO",C1101)))</formula>
    </cfRule>
  </conditionalFormatting>
  <conditionalFormatting sqref="C1102:D1105">
    <cfRule type="containsText" dxfId="1877" priority="1944" operator="containsText" text="NO+$D$4:$D$10">
      <formula>NOT(ISERROR(SEARCH("NO+$D$4:$D$10",C1102)))</formula>
    </cfRule>
  </conditionalFormatting>
  <conditionalFormatting sqref="C1102:D1105">
    <cfRule type="containsText" dxfId="1876" priority="1942" operator="containsText" text="SI">
      <formula>NOT(ISERROR(SEARCH("SI",C1102)))</formula>
    </cfRule>
    <cfRule type="containsText" dxfId="1875" priority="1943" operator="containsText" text="NO">
      <formula>NOT(ISERROR(SEARCH("NO",C1102)))</formula>
    </cfRule>
  </conditionalFormatting>
  <conditionalFormatting sqref="E1104:E1105 E1102">
    <cfRule type="containsText" dxfId="1874" priority="1941" operator="containsText" text="Sin información">
      <formula>NOT(ISERROR(SEARCH("Sin información",E1102)))</formula>
    </cfRule>
  </conditionalFormatting>
  <conditionalFormatting sqref="E1104:E1105 E1102 C1102:D1105">
    <cfRule type="containsText" dxfId="1873" priority="1940" operator="containsText" text="NUEVO">
      <formula>NOT(ISERROR(SEARCH("NUEVO",C1102)))</formula>
    </cfRule>
  </conditionalFormatting>
  <conditionalFormatting sqref="E1103">
    <cfRule type="containsText" dxfId="1872" priority="1939" operator="containsText" text="Sin información">
      <formula>NOT(ISERROR(SEARCH("Sin información",E1103)))</formula>
    </cfRule>
  </conditionalFormatting>
  <conditionalFormatting sqref="E1103">
    <cfRule type="containsText" dxfId="1871" priority="1938" operator="containsText" text="NUEVO">
      <formula>NOT(ISERROR(SEARCH("NUEVO",E1103)))</formula>
    </cfRule>
  </conditionalFormatting>
  <conditionalFormatting sqref="C1106:D1106">
    <cfRule type="containsText" dxfId="1870" priority="1937" operator="containsText" text="NO+$D$4:$D$10">
      <formula>NOT(ISERROR(SEARCH("NO+$D$4:$D$10",C1106)))</formula>
    </cfRule>
  </conditionalFormatting>
  <conditionalFormatting sqref="C1106:D1106">
    <cfRule type="containsText" dxfId="1869" priority="1935" operator="containsText" text="SI">
      <formula>NOT(ISERROR(SEARCH("SI",C1106)))</formula>
    </cfRule>
    <cfRule type="containsText" dxfId="1868" priority="1936" operator="containsText" text="NO">
      <formula>NOT(ISERROR(SEARCH("NO",C1106)))</formula>
    </cfRule>
  </conditionalFormatting>
  <conditionalFormatting sqref="E1106">
    <cfRule type="containsText" dxfId="1867" priority="1934" operator="containsText" text="Sin información">
      <formula>NOT(ISERROR(SEARCH("Sin información",E1106)))</formula>
    </cfRule>
  </conditionalFormatting>
  <conditionalFormatting sqref="C1106:E1106">
    <cfRule type="containsText" dxfId="1866" priority="1933" operator="containsText" text="NUEVO">
      <formula>NOT(ISERROR(SEARCH("NUEVO",C1106)))</formula>
    </cfRule>
  </conditionalFormatting>
  <conditionalFormatting sqref="C1107:D1107">
    <cfRule type="containsText" dxfId="1865" priority="1932" operator="containsText" text="NO+$D$4:$D$10">
      <formula>NOT(ISERROR(SEARCH("NO+$D$4:$D$10",C1107)))</formula>
    </cfRule>
  </conditionalFormatting>
  <conditionalFormatting sqref="C1107:D1107">
    <cfRule type="containsText" dxfId="1864" priority="1930" operator="containsText" text="SI">
      <formula>NOT(ISERROR(SEARCH("SI",C1107)))</formula>
    </cfRule>
    <cfRule type="containsText" dxfId="1863" priority="1931" operator="containsText" text="NO">
      <formula>NOT(ISERROR(SEARCH("NO",C1107)))</formula>
    </cfRule>
  </conditionalFormatting>
  <conditionalFormatting sqref="C1107:D1107">
    <cfRule type="containsText" dxfId="1862" priority="1929" operator="containsText" text="NUEVO">
      <formula>NOT(ISERROR(SEARCH("NUEVO",C1107)))</formula>
    </cfRule>
  </conditionalFormatting>
  <conditionalFormatting sqref="E1107">
    <cfRule type="containsText" dxfId="1861" priority="1928" operator="containsText" text="Sin información">
      <formula>NOT(ISERROR(SEARCH("Sin información",E1107)))</formula>
    </cfRule>
  </conditionalFormatting>
  <conditionalFormatting sqref="E1107">
    <cfRule type="containsText" dxfId="1860" priority="1927" operator="containsText" text="NUEVO">
      <formula>NOT(ISERROR(SEARCH("NUEVO",E1107)))</formula>
    </cfRule>
  </conditionalFormatting>
  <conditionalFormatting sqref="C1108:D1108">
    <cfRule type="containsText" dxfId="1859" priority="1926" operator="containsText" text="NO+$D$4:$D$10">
      <formula>NOT(ISERROR(SEARCH("NO+$D$4:$D$10",C1108)))</formula>
    </cfRule>
  </conditionalFormatting>
  <conditionalFormatting sqref="C1108:D1108">
    <cfRule type="containsText" dxfId="1858" priority="1924" operator="containsText" text="SI">
      <formula>NOT(ISERROR(SEARCH("SI",C1108)))</formula>
    </cfRule>
    <cfRule type="containsText" dxfId="1857" priority="1925" operator="containsText" text="NO">
      <formula>NOT(ISERROR(SEARCH("NO",C1108)))</formula>
    </cfRule>
  </conditionalFormatting>
  <conditionalFormatting sqref="C1108:D1108">
    <cfRule type="containsText" dxfId="1856" priority="1923" operator="containsText" text="NUEVO">
      <formula>NOT(ISERROR(SEARCH("NUEVO",C1108)))</formula>
    </cfRule>
  </conditionalFormatting>
  <conditionalFormatting sqref="E1108">
    <cfRule type="containsText" dxfId="1855" priority="1922" operator="containsText" text="Sin información">
      <formula>NOT(ISERROR(SEARCH("Sin información",E1108)))</formula>
    </cfRule>
  </conditionalFormatting>
  <conditionalFormatting sqref="E1108">
    <cfRule type="containsText" dxfId="1854" priority="1921" operator="containsText" text="NUEVO">
      <formula>NOT(ISERROR(SEARCH("NUEVO",E1108)))</formula>
    </cfRule>
  </conditionalFormatting>
  <conditionalFormatting sqref="C1109:D1109">
    <cfRule type="containsText" dxfId="1853" priority="1920" operator="containsText" text="NO+$D$4:$D$10">
      <formula>NOT(ISERROR(SEARCH("NO+$D$4:$D$10",C1109)))</formula>
    </cfRule>
  </conditionalFormatting>
  <conditionalFormatting sqref="C1109:D1109">
    <cfRule type="containsText" dxfId="1852" priority="1918" operator="containsText" text="SI">
      <formula>NOT(ISERROR(SEARCH("SI",C1109)))</formula>
    </cfRule>
    <cfRule type="containsText" dxfId="1851" priority="1919" operator="containsText" text="NO">
      <formula>NOT(ISERROR(SEARCH("NO",C1109)))</formula>
    </cfRule>
  </conditionalFormatting>
  <conditionalFormatting sqref="E1109">
    <cfRule type="containsText" dxfId="1850" priority="1917" operator="containsText" text="Sin información">
      <formula>NOT(ISERROR(SEARCH("Sin información",E1109)))</formula>
    </cfRule>
  </conditionalFormatting>
  <conditionalFormatting sqref="C1109:E1109">
    <cfRule type="containsText" dxfId="1849" priority="1916" operator="containsText" text="NUEVO">
      <formula>NOT(ISERROR(SEARCH("NUEVO",C1109)))</formula>
    </cfRule>
  </conditionalFormatting>
  <conditionalFormatting sqref="C1110:D1110">
    <cfRule type="containsText" dxfId="1848" priority="1915" operator="containsText" text="NO+$D$4:$D$10">
      <formula>NOT(ISERROR(SEARCH("NO+$D$4:$D$10",C1110)))</formula>
    </cfRule>
  </conditionalFormatting>
  <conditionalFormatting sqref="C1110:D1110">
    <cfRule type="containsText" dxfId="1847" priority="1913" operator="containsText" text="SI">
      <formula>NOT(ISERROR(SEARCH("SI",C1110)))</formula>
    </cfRule>
    <cfRule type="containsText" dxfId="1846" priority="1914" operator="containsText" text="NO">
      <formula>NOT(ISERROR(SEARCH("NO",C1110)))</formula>
    </cfRule>
  </conditionalFormatting>
  <conditionalFormatting sqref="E1110">
    <cfRule type="containsText" dxfId="1845" priority="1912" operator="containsText" text="Sin información">
      <formula>NOT(ISERROR(SEARCH("Sin información",E1110)))</formula>
    </cfRule>
  </conditionalFormatting>
  <conditionalFormatting sqref="C1110:E1110">
    <cfRule type="containsText" dxfId="1844" priority="1911" operator="containsText" text="NUEVO">
      <formula>NOT(ISERROR(SEARCH("NUEVO",C1110)))</formula>
    </cfRule>
  </conditionalFormatting>
  <conditionalFormatting sqref="C1111:D1111">
    <cfRule type="containsText" dxfId="1843" priority="1910" operator="containsText" text="NO+$D$4:$D$10">
      <formula>NOT(ISERROR(SEARCH("NO+$D$4:$D$10",C1111)))</formula>
    </cfRule>
  </conditionalFormatting>
  <conditionalFormatting sqref="C1111:D1111">
    <cfRule type="containsText" dxfId="1842" priority="1908" operator="containsText" text="SI">
      <formula>NOT(ISERROR(SEARCH("SI",C1111)))</formula>
    </cfRule>
    <cfRule type="containsText" dxfId="1841" priority="1909" operator="containsText" text="NO">
      <formula>NOT(ISERROR(SEARCH("NO",C1111)))</formula>
    </cfRule>
  </conditionalFormatting>
  <conditionalFormatting sqref="E1111">
    <cfRule type="containsText" dxfId="1840" priority="1907" operator="containsText" text="Sin información">
      <formula>NOT(ISERROR(SEARCH("Sin información",E1111)))</formula>
    </cfRule>
  </conditionalFormatting>
  <conditionalFormatting sqref="C1111:E1111">
    <cfRule type="containsText" dxfId="1839" priority="1906" operator="containsText" text="NUEVO">
      <formula>NOT(ISERROR(SEARCH("NUEVO",C1111)))</formula>
    </cfRule>
  </conditionalFormatting>
  <conditionalFormatting sqref="C1112:D1112">
    <cfRule type="containsText" dxfId="1838" priority="1905" operator="containsText" text="NO+$D$4:$D$10">
      <formula>NOT(ISERROR(SEARCH("NO+$D$4:$D$10",C1112)))</formula>
    </cfRule>
  </conditionalFormatting>
  <conditionalFormatting sqref="C1112:D1112">
    <cfRule type="containsText" dxfId="1837" priority="1903" operator="containsText" text="SI">
      <formula>NOT(ISERROR(SEARCH("SI",C1112)))</formula>
    </cfRule>
    <cfRule type="containsText" dxfId="1836" priority="1904" operator="containsText" text="NO">
      <formula>NOT(ISERROR(SEARCH("NO",C1112)))</formula>
    </cfRule>
  </conditionalFormatting>
  <conditionalFormatting sqref="C1112:D1112">
    <cfRule type="containsText" dxfId="1835" priority="1902" operator="containsText" text="NUEVO">
      <formula>NOT(ISERROR(SEARCH("NUEVO",C1112)))</formula>
    </cfRule>
  </conditionalFormatting>
  <conditionalFormatting sqref="E1112">
    <cfRule type="containsText" dxfId="1834" priority="1901" operator="containsText" text="Sin información">
      <formula>NOT(ISERROR(SEARCH("Sin información",E1112)))</formula>
    </cfRule>
  </conditionalFormatting>
  <conditionalFormatting sqref="E1112">
    <cfRule type="containsText" dxfId="1833" priority="1900" operator="containsText" text="NUEVO">
      <formula>NOT(ISERROR(SEARCH("NUEVO",E1112)))</formula>
    </cfRule>
  </conditionalFormatting>
  <conditionalFormatting sqref="C1113:D1113">
    <cfRule type="containsText" dxfId="1832" priority="1899" operator="containsText" text="NO+$D$4:$D$10">
      <formula>NOT(ISERROR(SEARCH("NO+$D$4:$D$10",C1113)))</formula>
    </cfRule>
  </conditionalFormatting>
  <conditionalFormatting sqref="C1113:D1113">
    <cfRule type="containsText" dxfId="1831" priority="1897" operator="containsText" text="SI">
      <formula>NOT(ISERROR(SEARCH("SI",C1113)))</formula>
    </cfRule>
    <cfRule type="containsText" dxfId="1830" priority="1898" operator="containsText" text="NO">
      <formula>NOT(ISERROR(SEARCH("NO",C1113)))</formula>
    </cfRule>
  </conditionalFormatting>
  <conditionalFormatting sqref="E1113">
    <cfRule type="containsText" dxfId="1829" priority="1896" operator="containsText" text="Sin información">
      <formula>NOT(ISERROR(SEARCH("Sin información",E1113)))</formula>
    </cfRule>
  </conditionalFormatting>
  <conditionalFormatting sqref="C1113:E1113">
    <cfRule type="containsText" dxfId="1828" priority="1895" operator="containsText" text="NUEVO">
      <formula>NOT(ISERROR(SEARCH("NUEVO",C1113)))</formula>
    </cfRule>
  </conditionalFormatting>
  <conditionalFormatting sqref="C1114:D1114">
    <cfRule type="containsText" dxfId="1827" priority="1894" operator="containsText" text="NO+$D$4:$D$10">
      <formula>NOT(ISERROR(SEARCH("NO+$D$4:$D$10",C1114)))</formula>
    </cfRule>
  </conditionalFormatting>
  <conditionalFormatting sqref="C1114:D1114">
    <cfRule type="containsText" dxfId="1826" priority="1892" operator="containsText" text="SI">
      <formula>NOT(ISERROR(SEARCH("SI",C1114)))</formula>
    </cfRule>
    <cfRule type="containsText" dxfId="1825" priority="1893" operator="containsText" text="NO">
      <formula>NOT(ISERROR(SEARCH("NO",C1114)))</formula>
    </cfRule>
  </conditionalFormatting>
  <conditionalFormatting sqref="E1114">
    <cfRule type="containsText" dxfId="1824" priority="1891" operator="containsText" text="Sin información">
      <formula>NOT(ISERROR(SEARCH("Sin información",E1114)))</formula>
    </cfRule>
  </conditionalFormatting>
  <conditionalFormatting sqref="C1114:E1114">
    <cfRule type="containsText" dxfId="1823" priority="1890" operator="containsText" text="NUEVO">
      <formula>NOT(ISERROR(SEARCH("NUEVO",C1114)))</formula>
    </cfRule>
  </conditionalFormatting>
  <conditionalFormatting sqref="C1117:D1117">
    <cfRule type="containsText" dxfId="1822" priority="1889" operator="containsText" text="NO+$D$4:$D$10">
      <formula>NOT(ISERROR(SEARCH("NO+$D$4:$D$10",C1117)))</formula>
    </cfRule>
  </conditionalFormatting>
  <conditionalFormatting sqref="C1117:D1117">
    <cfRule type="containsText" dxfId="1821" priority="1887" operator="containsText" text="SI">
      <formula>NOT(ISERROR(SEARCH("SI",C1117)))</formula>
    </cfRule>
    <cfRule type="containsText" dxfId="1820" priority="1888" operator="containsText" text="NO">
      <formula>NOT(ISERROR(SEARCH("NO",C1117)))</formula>
    </cfRule>
  </conditionalFormatting>
  <conditionalFormatting sqref="C1117:D1117">
    <cfRule type="containsText" dxfId="1819" priority="1886" operator="containsText" text="NUEVO">
      <formula>NOT(ISERROR(SEARCH("NUEVO",C1117)))</formula>
    </cfRule>
  </conditionalFormatting>
  <conditionalFormatting sqref="E1117">
    <cfRule type="containsText" dxfId="1818" priority="1884" operator="containsText" text="NUEVO">
      <formula>NOT(ISERROR(SEARCH("NUEVO",E1117)))</formula>
    </cfRule>
  </conditionalFormatting>
  <conditionalFormatting sqref="E1117">
    <cfRule type="containsText" dxfId="1817" priority="1885" operator="containsText" text="Sin información">
      <formula>NOT(ISERROR(SEARCH("Sin información",E1117)))</formula>
    </cfRule>
  </conditionalFormatting>
  <conditionalFormatting sqref="C1118:D1118">
    <cfRule type="containsText" dxfId="1816" priority="1883" operator="containsText" text="NO+$D$4:$D$10">
      <formula>NOT(ISERROR(SEARCH("NO+$D$4:$D$10",C1118)))</formula>
    </cfRule>
  </conditionalFormatting>
  <conditionalFormatting sqref="C1118:D1118">
    <cfRule type="containsText" dxfId="1815" priority="1881" operator="containsText" text="SI">
      <formula>NOT(ISERROR(SEARCH("SI",C1118)))</formula>
    </cfRule>
    <cfRule type="containsText" dxfId="1814" priority="1882" operator="containsText" text="NO">
      <formula>NOT(ISERROR(SEARCH("NO",C1118)))</formula>
    </cfRule>
  </conditionalFormatting>
  <conditionalFormatting sqref="E1118">
    <cfRule type="containsText" dxfId="1813" priority="1880" operator="containsText" text="Sin información">
      <formula>NOT(ISERROR(SEARCH("Sin información",E1118)))</formula>
    </cfRule>
  </conditionalFormatting>
  <conditionalFormatting sqref="C1118:E1118">
    <cfRule type="containsText" dxfId="1812" priority="1879" operator="containsText" text="NUEVO">
      <formula>NOT(ISERROR(SEARCH("NUEVO",C1118)))</formula>
    </cfRule>
  </conditionalFormatting>
  <conditionalFormatting sqref="C1119:D1119">
    <cfRule type="containsText" dxfId="1811" priority="1878" operator="containsText" text="NO+$D$4:$D$10">
      <formula>NOT(ISERROR(SEARCH("NO+$D$4:$D$10",C1119)))</formula>
    </cfRule>
  </conditionalFormatting>
  <conditionalFormatting sqref="C1119:D1119">
    <cfRule type="containsText" dxfId="1810" priority="1876" operator="containsText" text="SI">
      <formula>NOT(ISERROR(SEARCH("SI",C1119)))</formula>
    </cfRule>
    <cfRule type="containsText" dxfId="1809" priority="1877" operator="containsText" text="NO">
      <formula>NOT(ISERROR(SEARCH("NO",C1119)))</formula>
    </cfRule>
  </conditionalFormatting>
  <conditionalFormatting sqref="E1119">
    <cfRule type="containsText" dxfId="1808" priority="1875" operator="containsText" text="Sin información">
      <formula>NOT(ISERROR(SEARCH("Sin información",E1119)))</formula>
    </cfRule>
  </conditionalFormatting>
  <conditionalFormatting sqref="C1119:E1119">
    <cfRule type="containsText" dxfId="1807" priority="1874" operator="containsText" text="NUEVO">
      <formula>NOT(ISERROR(SEARCH("NUEVO",C1119)))</formula>
    </cfRule>
  </conditionalFormatting>
  <conditionalFormatting sqref="C1120:D1120">
    <cfRule type="containsText" dxfId="1806" priority="1873" operator="containsText" text="NO+$D$4:$D$10">
      <formula>NOT(ISERROR(SEARCH("NO+$D$4:$D$10",C1120)))</formula>
    </cfRule>
  </conditionalFormatting>
  <conditionalFormatting sqref="C1120:D1120">
    <cfRule type="containsText" dxfId="1805" priority="1871" operator="containsText" text="SI">
      <formula>NOT(ISERROR(SEARCH("SI",C1120)))</formula>
    </cfRule>
    <cfRule type="containsText" dxfId="1804" priority="1872" operator="containsText" text="NO">
      <formula>NOT(ISERROR(SEARCH("NO",C1120)))</formula>
    </cfRule>
  </conditionalFormatting>
  <conditionalFormatting sqref="E1120">
    <cfRule type="containsText" dxfId="1803" priority="1870" operator="containsText" text="Sin información">
      <formula>NOT(ISERROR(SEARCH("Sin información",E1120)))</formula>
    </cfRule>
  </conditionalFormatting>
  <conditionalFormatting sqref="C1120:E1120">
    <cfRule type="containsText" dxfId="1802" priority="1869" operator="containsText" text="NUEVO">
      <formula>NOT(ISERROR(SEARCH("NUEVO",C1120)))</formula>
    </cfRule>
  </conditionalFormatting>
  <conditionalFormatting sqref="E1121:E1124">
    <cfRule type="containsText" dxfId="1801" priority="1868" operator="containsText" text="Sin información">
      <formula>NOT(ISERROR(SEARCH("Sin información",E1121)))</formula>
    </cfRule>
  </conditionalFormatting>
  <conditionalFormatting sqref="E1121:E1124">
    <cfRule type="containsText" dxfId="1800" priority="1867" operator="containsText" text="NUEVO">
      <formula>NOT(ISERROR(SEARCH("NUEVO",E1121)))</formula>
    </cfRule>
  </conditionalFormatting>
  <conditionalFormatting sqref="E1125">
    <cfRule type="containsText" dxfId="1799" priority="1866" operator="containsText" text="Sin información">
      <formula>NOT(ISERROR(SEARCH("Sin información",E1125)))</formula>
    </cfRule>
  </conditionalFormatting>
  <conditionalFormatting sqref="E1125">
    <cfRule type="containsText" dxfId="1798" priority="1865" operator="containsText" text="NUEVO">
      <formula>NOT(ISERROR(SEARCH("NUEVO",E1125)))</formula>
    </cfRule>
  </conditionalFormatting>
  <conditionalFormatting sqref="C1126:D1126">
    <cfRule type="containsText" dxfId="1797" priority="1864" operator="containsText" text="NO+$D$4:$D$10">
      <formula>NOT(ISERROR(SEARCH("NO+$D$4:$D$10",C1126)))</formula>
    </cfRule>
  </conditionalFormatting>
  <conditionalFormatting sqref="C1126:D1126">
    <cfRule type="containsText" dxfId="1796" priority="1862" operator="containsText" text="SI">
      <formula>NOT(ISERROR(SEARCH("SI",C1126)))</formula>
    </cfRule>
    <cfRule type="containsText" dxfId="1795" priority="1863" operator="containsText" text="NO">
      <formula>NOT(ISERROR(SEARCH("NO",C1126)))</formula>
    </cfRule>
  </conditionalFormatting>
  <conditionalFormatting sqref="E1126">
    <cfRule type="containsText" dxfId="1794" priority="1861" operator="containsText" text="Sin información">
      <formula>NOT(ISERROR(SEARCH("Sin información",E1126)))</formula>
    </cfRule>
  </conditionalFormatting>
  <conditionalFormatting sqref="C1126:E1126">
    <cfRule type="containsText" dxfId="1793" priority="1860" operator="containsText" text="NUEVO">
      <formula>NOT(ISERROR(SEARCH("NUEVO",C1126)))</formula>
    </cfRule>
  </conditionalFormatting>
  <conditionalFormatting sqref="C1127:D1127">
    <cfRule type="containsText" dxfId="1792" priority="1859" operator="containsText" text="NO+$D$4:$D$10">
      <formula>NOT(ISERROR(SEARCH("NO+$D$4:$D$10",C1127)))</formula>
    </cfRule>
  </conditionalFormatting>
  <conditionalFormatting sqref="C1127:D1127">
    <cfRule type="containsText" dxfId="1791" priority="1857" operator="containsText" text="SI">
      <formula>NOT(ISERROR(SEARCH("SI",C1127)))</formula>
    </cfRule>
    <cfRule type="containsText" dxfId="1790" priority="1858" operator="containsText" text="NO">
      <formula>NOT(ISERROR(SEARCH("NO",C1127)))</formula>
    </cfRule>
  </conditionalFormatting>
  <conditionalFormatting sqref="E1127">
    <cfRule type="containsText" dxfId="1789" priority="1856" operator="containsText" text="Sin información">
      <formula>NOT(ISERROR(SEARCH("Sin información",E1127)))</formula>
    </cfRule>
  </conditionalFormatting>
  <conditionalFormatting sqref="C1127:E1127">
    <cfRule type="containsText" dxfId="1788" priority="1855" operator="containsText" text="NUEVO">
      <formula>NOT(ISERROR(SEARCH("NUEVO",C1127)))</formula>
    </cfRule>
  </conditionalFormatting>
  <conditionalFormatting sqref="C1128:D1128">
    <cfRule type="containsText" dxfId="1787" priority="1854" operator="containsText" text="NO+$D$4:$D$10">
      <formula>NOT(ISERROR(SEARCH("NO+$D$4:$D$10",C1128)))</formula>
    </cfRule>
  </conditionalFormatting>
  <conditionalFormatting sqref="C1128:D1128">
    <cfRule type="containsText" dxfId="1786" priority="1852" operator="containsText" text="SI">
      <formula>NOT(ISERROR(SEARCH("SI",C1128)))</formula>
    </cfRule>
    <cfRule type="containsText" dxfId="1785" priority="1853" operator="containsText" text="NO">
      <formula>NOT(ISERROR(SEARCH("NO",C1128)))</formula>
    </cfRule>
  </conditionalFormatting>
  <conditionalFormatting sqref="E1128">
    <cfRule type="containsText" dxfId="1784" priority="1851" operator="containsText" text="Sin información">
      <formula>NOT(ISERROR(SEARCH("Sin información",E1128)))</formula>
    </cfRule>
  </conditionalFormatting>
  <conditionalFormatting sqref="C1128:E1128">
    <cfRule type="containsText" dxfId="1783" priority="1850" operator="containsText" text="NUEVO">
      <formula>NOT(ISERROR(SEARCH("NUEVO",C1128)))</formula>
    </cfRule>
  </conditionalFormatting>
  <conditionalFormatting sqref="E1128">
    <cfRule type="containsText" dxfId="1782" priority="1849" operator="containsText" text="Sin Información">
      <formula>NOT(ISERROR(SEARCH("Sin Información",E1128)))</formula>
    </cfRule>
  </conditionalFormatting>
  <conditionalFormatting sqref="C1129:D1129">
    <cfRule type="containsText" dxfId="1781" priority="1848" operator="containsText" text="NO+$D$4:$D$10">
      <formula>NOT(ISERROR(SEARCH("NO+$D$4:$D$10",C1129)))</formula>
    </cfRule>
  </conditionalFormatting>
  <conditionalFormatting sqref="C1129:D1129">
    <cfRule type="containsText" dxfId="1780" priority="1846" operator="containsText" text="SI">
      <formula>NOT(ISERROR(SEARCH("SI",C1129)))</formula>
    </cfRule>
    <cfRule type="containsText" dxfId="1779" priority="1847" operator="containsText" text="NO">
      <formula>NOT(ISERROR(SEARCH("NO",C1129)))</formula>
    </cfRule>
  </conditionalFormatting>
  <conditionalFormatting sqref="E1129">
    <cfRule type="containsText" dxfId="1778" priority="1845" operator="containsText" text="Sin información">
      <formula>NOT(ISERROR(SEARCH("Sin información",E1129)))</formula>
    </cfRule>
  </conditionalFormatting>
  <conditionalFormatting sqref="C1129:E1129">
    <cfRule type="containsText" dxfId="1777" priority="1844" operator="containsText" text="NUEVO">
      <formula>NOT(ISERROR(SEARCH("NUEVO",C1129)))</formula>
    </cfRule>
  </conditionalFormatting>
  <conditionalFormatting sqref="C1130:D1130">
    <cfRule type="containsText" dxfId="1776" priority="1843" operator="containsText" text="NO+$D$4:$D$10">
      <formula>NOT(ISERROR(SEARCH("NO+$D$4:$D$10",C1130)))</formula>
    </cfRule>
  </conditionalFormatting>
  <conditionalFormatting sqref="C1130:D1130">
    <cfRule type="containsText" dxfId="1775" priority="1841" operator="containsText" text="SI">
      <formula>NOT(ISERROR(SEARCH("SI",C1130)))</formula>
    </cfRule>
    <cfRule type="containsText" dxfId="1774" priority="1842" operator="containsText" text="NO">
      <formula>NOT(ISERROR(SEARCH("NO",C1130)))</formula>
    </cfRule>
  </conditionalFormatting>
  <conditionalFormatting sqref="E1130">
    <cfRule type="containsText" dxfId="1773" priority="1840" operator="containsText" text="Sin información">
      <formula>NOT(ISERROR(SEARCH("Sin información",E1130)))</formula>
    </cfRule>
  </conditionalFormatting>
  <conditionalFormatting sqref="C1130:E1130">
    <cfRule type="containsText" dxfId="1772" priority="1839" operator="containsText" text="NUEVO">
      <formula>NOT(ISERROR(SEARCH("NUEVO",C1130)))</formula>
    </cfRule>
  </conditionalFormatting>
  <conditionalFormatting sqref="C1131:D1132">
    <cfRule type="containsText" dxfId="1771" priority="1838" operator="containsText" text="NO+$D$4:$D$10">
      <formula>NOT(ISERROR(SEARCH("NO+$D$4:$D$10",C1131)))</formula>
    </cfRule>
  </conditionalFormatting>
  <conditionalFormatting sqref="C1131:D1132">
    <cfRule type="containsText" dxfId="1770" priority="1836" operator="containsText" text="SI">
      <formula>NOT(ISERROR(SEARCH("SI",C1131)))</formula>
    </cfRule>
    <cfRule type="containsText" dxfId="1769" priority="1837" operator="containsText" text="NO">
      <formula>NOT(ISERROR(SEARCH("NO",C1131)))</formula>
    </cfRule>
  </conditionalFormatting>
  <conditionalFormatting sqref="E1131:E1132">
    <cfRule type="containsText" dxfId="1768" priority="1835" operator="containsText" text="Sin información">
      <formula>NOT(ISERROR(SEARCH("Sin información",E1131)))</formula>
    </cfRule>
  </conditionalFormatting>
  <conditionalFormatting sqref="C1131:E1132">
    <cfRule type="containsText" dxfId="1767" priority="1834" operator="containsText" text="NUEVO">
      <formula>NOT(ISERROR(SEARCH("NUEVO",C1131)))</formula>
    </cfRule>
  </conditionalFormatting>
  <conditionalFormatting sqref="C1133:D1136">
    <cfRule type="containsText" dxfId="1766" priority="1833" operator="containsText" text="NO+$D$4:$D$10">
      <formula>NOT(ISERROR(SEARCH("NO+$D$4:$D$10",C1133)))</formula>
    </cfRule>
  </conditionalFormatting>
  <conditionalFormatting sqref="C1133:D1136">
    <cfRule type="containsText" dxfId="1765" priority="1831" operator="containsText" text="SI">
      <formula>NOT(ISERROR(SEARCH("SI",C1133)))</formula>
    </cfRule>
    <cfRule type="containsText" dxfId="1764" priority="1832" operator="containsText" text="NO">
      <formula>NOT(ISERROR(SEARCH("NO",C1133)))</formula>
    </cfRule>
  </conditionalFormatting>
  <conditionalFormatting sqref="E1133:E1136">
    <cfRule type="containsText" dxfId="1763" priority="1830" operator="containsText" text="Sin información">
      <formula>NOT(ISERROR(SEARCH("Sin información",E1133)))</formula>
    </cfRule>
  </conditionalFormatting>
  <conditionalFormatting sqref="C1133:E1136">
    <cfRule type="containsText" dxfId="1762" priority="1829" operator="containsText" text="NUEVO">
      <formula>NOT(ISERROR(SEARCH("NUEVO",C1133)))</formula>
    </cfRule>
  </conditionalFormatting>
  <conditionalFormatting sqref="C1137:D1138">
    <cfRule type="containsText" dxfId="1761" priority="1828" operator="containsText" text="NO+$D$4:$D$10">
      <formula>NOT(ISERROR(SEARCH("NO+$D$4:$D$10",C1137)))</formula>
    </cfRule>
  </conditionalFormatting>
  <conditionalFormatting sqref="C1137:D1138">
    <cfRule type="containsText" dxfId="1760" priority="1826" operator="containsText" text="SI">
      <formula>NOT(ISERROR(SEARCH("SI",C1137)))</formula>
    </cfRule>
    <cfRule type="containsText" dxfId="1759" priority="1827" operator="containsText" text="NO">
      <formula>NOT(ISERROR(SEARCH("NO",C1137)))</formula>
    </cfRule>
  </conditionalFormatting>
  <conditionalFormatting sqref="E1138">
    <cfRule type="containsText" dxfId="1758" priority="1825" operator="containsText" text="Sin información">
      <formula>NOT(ISERROR(SEARCH("Sin información",E1138)))</formula>
    </cfRule>
  </conditionalFormatting>
  <conditionalFormatting sqref="E1138 C1137:D1138">
    <cfRule type="containsText" dxfId="1757" priority="1824" operator="containsText" text="NUEVO">
      <formula>NOT(ISERROR(SEARCH("NUEVO",C1137)))</formula>
    </cfRule>
  </conditionalFormatting>
  <conditionalFormatting sqref="E1137">
    <cfRule type="containsText" dxfId="1756" priority="1823" operator="containsText" text="Sin información">
      <formula>NOT(ISERROR(SEARCH("Sin información",E1137)))</formula>
    </cfRule>
  </conditionalFormatting>
  <conditionalFormatting sqref="E1137">
    <cfRule type="containsText" dxfId="1755" priority="1822" operator="containsText" text="NUEVO">
      <formula>NOT(ISERROR(SEARCH("NUEVO",E1137)))</formula>
    </cfRule>
  </conditionalFormatting>
  <conditionalFormatting sqref="C1139:D1139">
    <cfRule type="containsText" dxfId="1754" priority="1821" operator="containsText" text="NO+$D$4:$D$10">
      <formula>NOT(ISERROR(SEARCH("NO+$D$4:$D$10",C1139)))</formula>
    </cfRule>
  </conditionalFormatting>
  <conditionalFormatting sqref="C1139:D1139">
    <cfRule type="containsText" dxfId="1753" priority="1819" operator="containsText" text="SI">
      <formula>NOT(ISERROR(SEARCH("SI",C1139)))</formula>
    </cfRule>
    <cfRule type="containsText" dxfId="1752" priority="1820" operator="containsText" text="NO">
      <formula>NOT(ISERROR(SEARCH("NO",C1139)))</formula>
    </cfRule>
  </conditionalFormatting>
  <conditionalFormatting sqref="E1139">
    <cfRule type="containsText" dxfId="1751" priority="1818" operator="containsText" text="Sin información">
      <formula>NOT(ISERROR(SEARCH("Sin información",E1139)))</formula>
    </cfRule>
  </conditionalFormatting>
  <conditionalFormatting sqref="C1139:E1139">
    <cfRule type="containsText" dxfId="1750" priority="1817" operator="containsText" text="NUEVO">
      <formula>NOT(ISERROR(SEARCH("NUEVO",C1139)))</formula>
    </cfRule>
  </conditionalFormatting>
  <conditionalFormatting sqref="C1140:D1140">
    <cfRule type="containsText" dxfId="1749" priority="1816" operator="containsText" text="NO+$D$4:$D$10">
      <formula>NOT(ISERROR(SEARCH("NO+$D$4:$D$10",C1140)))</formula>
    </cfRule>
  </conditionalFormatting>
  <conditionalFormatting sqref="C1140:D1140">
    <cfRule type="containsText" dxfId="1748" priority="1814" operator="containsText" text="SI">
      <formula>NOT(ISERROR(SEARCH("SI",C1140)))</formula>
    </cfRule>
    <cfRule type="containsText" dxfId="1747" priority="1815" operator="containsText" text="NO">
      <formula>NOT(ISERROR(SEARCH("NO",C1140)))</formula>
    </cfRule>
  </conditionalFormatting>
  <conditionalFormatting sqref="E1140">
    <cfRule type="containsText" dxfId="1746" priority="1813" operator="containsText" text="Sin información">
      <formula>NOT(ISERROR(SEARCH("Sin información",E1140)))</formula>
    </cfRule>
  </conditionalFormatting>
  <conditionalFormatting sqref="C1140:E1140">
    <cfRule type="containsText" dxfId="1745" priority="1812" operator="containsText" text="NUEVO">
      <formula>NOT(ISERROR(SEARCH("NUEVO",C1140)))</formula>
    </cfRule>
  </conditionalFormatting>
  <conditionalFormatting sqref="E1140">
    <cfRule type="containsText" dxfId="1744" priority="1811" operator="containsText" text="Sin Información">
      <formula>NOT(ISERROR(SEARCH("Sin Información",E1140)))</formula>
    </cfRule>
  </conditionalFormatting>
  <conditionalFormatting sqref="E1141">
    <cfRule type="containsText" dxfId="1743" priority="1810" operator="containsText" text="Sin información">
      <formula>NOT(ISERROR(SEARCH("Sin información",E1141)))</formula>
    </cfRule>
  </conditionalFormatting>
  <conditionalFormatting sqref="E1141">
    <cfRule type="containsText" dxfId="1742" priority="1809" operator="containsText" text="NUEVO">
      <formula>NOT(ISERROR(SEARCH("NUEVO",E1141)))</formula>
    </cfRule>
  </conditionalFormatting>
  <conditionalFormatting sqref="E1141">
    <cfRule type="containsText" dxfId="1741" priority="1808" operator="containsText" text="Sin Información">
      <formula>NOT(ISERROR(SEARCH("Sin Información",E1141)))</formula>
    </cfRule>
  </conditionalFormatting>
  <conditionalFormatting sqref="E1142:E1148">
    <cfRule type="containsText" dxfId="1740" priority="1807" operator="containsText" text="Sin información">
      <formula>NOT(ISERROR(SEARCH("Sin información",E1142)))</formula>
    </cfRule>
  </conditionalFormatting>
  <conditionalFormatting sqref="E1142:E1148">
    <cfRule type="containsText" dxfId="1739" priority="1806" operator="containsText" text="NUEVO">
      <formula>NOT(ISERROR(SEARCH("NUEVO",E1142)))</formula>
    </cfRule>
  </conditionalFormatting>
  <conditionalFormatting sqref="C1152:D1152">
    <cfRule type="containsText" dxfId="1738" priority="1805" operator="containsText" text="NO+$D$4:$D$10">
      <formula>NOT(ISERROR(SEARCH("NO+$D$4:$D$10",C1152)))</formula>
    </cfRule>
  </conditionalFormatting>
  <conditionalFormatting sqref="C1152:D1152">
    <cfRule type="containsText" dxfId="1737" priority="1803" operator="containsText" text="SI">
      <formula>NOT(ISERROR(SEARCH("SI",C1152)))</formula>
    </cfRule>
    <cfRule type="containsText" dxfId="1736" priority="1804" operator="containsText" text="NO">
      <formula>NOT(ISERROR(SEARCH("NO",C1152)))</formula>
    </cfRule>
  </conditionalFormatting>
  <conditionalFormatting sqref="C1152:D1152">
    <cfRule type="containsText" dxfId="1735" priority="1802" operator="containsText" text="NUEVO">
      <formula>NOT(ISERROR(SEARCH("NUEVO",C1152)))</formula>
    </cfRule>
  </conditionalFormatting>
  <conditionalFormatting sqref="E1152">
    <cfRule type="containsText" dxfId="1734" priority="1801" operator="containsText" text="Sin información">
      <formula>NOT(ISERROR(SEARCH("Sin información",E1152)))</formula>
    </cfRule>
  </conditionalFormatting>
  <conditionalFormatting sqref="E1152">
    <cfRule type="containsText" dxfId="1733" priority="1800" operator="containsText" text="NUEVO">
      <formula>NOT(ISERROR(SEARCH("NUEVO",E1152)))</formula>
    </cfRule>
  </conditionalFormatting>
  <conditionalFormatting sqref="C1153:D1154">
    <cfRule type="containsText" dxfId="1732" priority="1799" operator="containsText" text="NO+$D$4:$D$10">
      <formula>NOT(ISERROR(SEARCH("NO+$D$4:$D$10",C1153)))</formula>
    </cfRule>
  </conditionalFormatting>
  <conditionalFormatting sqref="C1153:D1154">
    <cfRule type="containsText" dxfId="1731" priority="1797" operator="containsText" text="SI">
      <formula>NOT(ISERROR(SEARCH("SI",C1153)))</formula>
    </cfRule>
    <cfRule type="containsText" dxfId="1730" priority="1798" operator="containsText" text="NO">
      <formula>NOT(ISERROR(SEARCH("NO",C1153)))</formula>
    </cfRule>
  </conditionalFormatting>
  <conditionalFormatting sqref="E1153">
    <cfRule type="containsText" dxfId="1729" priority="1796" operator="containsText" text="Sin información">
      <formula>NOT(ISERROR(SEARCH("Sin información",E1153)))</formula>
    </cfRule>
  </conditionalFormatting>
  <conditionalFormatting sqref="E1153 C1153:D1154">
    <cfRule type="containsText" dxfId="1728" priority="1795" operator="containsText" text="NUEVO">
      <formula>NOT(ISERROR(SEARCH("NUEVO",C1153)))</formula>
    </cfRule>
  </conditionalFormatting>
  <conditionalFormatting sqref="E1153">
    <cfRule type="containsText" dxfId="1727" priority="1794" operator="containsText" text="Sin Información">
      <formula>NOT(ISERROR(SEARCH("Sin Información",E1153)))</formula>
    </cfRule>
  </conditionalFormatting>
  <conditionalFormatting sqref="E1154">
    <cfRule type="containsText" dxfId="1726" priority="1793" operator="containsText" text="Sin información">
      <formula>NOT(ISERROR(SEARCH("Sin información",E1154)))</formula>
    </cfRule>
  </conditionalFormatting>
  <conditionalFormatting sqref="E1154">
    <cfRule type="containsText" dxfId="1725" priority="1792" operator="containsText" text="NUEVO">
      <formula>NOT(ISERROR(SEARCH("NUEVO",E1154)))</formula>
    </cfRule>
  </conditionalFormatting>
  <conditionalFormatting sqref="E1154">
    <cfRule type="containsText" dxfId="1724" priority="1791" operator="containsText" text="Sin Información">
      <formula>NOT(ISERROR(SEARCH("Sin Información",E1154)))</formula>
    </cfRule>
  </conditionalFormatting>
  <conditionalFormatting sqref="C1155:D1155">
    <cfRule type="containsText" dxfId="1723" priority="1790" operator="containsText" text="NO+$D$4:$D$10">
      <formula>NOT(ISERROR(SEARCH("NO+$D$4:$D$10",C1155)))</formula>
    </cfRule>
  </conditionalFormatting>
  <conditionalFormatting sqref="C1155:D1155">
    <cfRule type="containsText" dxfId="1722" priority="1788" operator="containsText" text="SI">
      <formula>NOT(ISERROR(SEARCH("SI",C1155)))</formula>
    </cfRule>
    <cfRule type="containsText" dxfId="1721" priority="1789" operator="containsText" text="NO">
      <formula>NOT(ISERROR(SEARCH("NO",C1155)))</formula>
    </cfRule>
  </conditionalFormatting>
  <conditionalFormatting sqref="E1155">
    <cfRule type="containsText" dxfId="1720" priority="1787" operator="containsText" text="Sin información">
      <formula>NOT(ISERROR(SEARCH("Sin información",E1155)))</formula>
    </cfRule>
  </conditionalFormatting>
  <conditionalFormatting sqref="C1155:E1155">
    <cfRule type="containsText" dxfId="1719" priority="1786" operator="containsText" text="NUEVO">
      <formula>NOT(ISERROR(SEARCH("NUEVO",C1155)))</formula>
    </cfRule>
  </conditionalFormatting>
  <conditionalFormatting sqref="C1156:E1156">
    <cfRule type="containsText" dxfId="1718" priority="1781" operator="containsText" text="NUEVO">
      <formula>NOT(ISERROR(SEARCH("NUEVO",C1156)))</formula>
    </cfRule>
  </conditionalFormatting>
  <conditionalFormatting sqref="C1156:D1156">
    <cfRule type="containsText" dxfId="1717" priority="1785" operator="containsText" text="NO+$D$4:$D$10">
      <formula>NOT(ISERROR(SEARCH("NO+$D$4:$D$10",C1156)))</formula>
    </cfRule>
  </conditionalFormatting>
  <conditionalFormatting sqref="C1156:D1156">
    <cfRule type="containsText" dxfId="1716" priority="1783" operator="containsText" text="SI">
      <formula>NOT(ISERROR(SEARCH("SI",C1156)))</formula>
    </cfRule>
    <cfRule type="containsText" dxfId="1715" priority="1784" operator="containsText" text="NO">
      <formula>NOT(ISERROR(SEARCH("NO",C1156)))</formula>
    </cfRule>
  </conditionalFormatting>
  <conditionalFormatting sqref="E1156">
    <cfRule type="containsText" dxfId="1714" priority="1782" operator="containsText" text="Sin información">
      <formula>NOT(ISERROR(SEARCH("Sin información",E1156)))</formula>
    </cfRule>
  </conditionalFormatting>
  <conditionalFormatting sqref="C1157:D1157">
    <cfRule type="containsText" dxfId="1713" priority="1780" operator="containsText" text="NO+$D$4:$D$10">
      <formula>NOT(ISERROR(SEARCH("NO+$D$4:$D$10",C1157)))</formula>
    </cfRule>
  </conditionalFormatting>
  <conditionalFormatting sqref="C1157:D1157">
    <cfRule type="containsText" dxfId="1712" priority="1778" operator="containsText" text="SI">
      <formula>NOT(ISERROR(SEARCH("SI",C1157)))</formula>
    </cfRule>
    <cfRule type="containsText" dxfId="1711" priority="1779" operator="containsText" text="NO">
      <formula>NOT(ISERROR(SEARCH("NO",C1157)))</formula>
    </cfRule>
  </conditionalFormatting>
  <conditionalFormatting sqref="E1157">
    <cfRule type="containsText" dxfId="1710" priority="1777" operator="containsText" text="Sin información">
      <formula>NOT(ISERROR(SEARCH("Sin información",E1157)))</formula>
    </cfRule>
  </conditionalFormatting>
  <conditionalFormatting sqref="C1157:E1157">
    <cfRule type="containsText" dxfId="1709" priority="1776" operator="containsText" text="NUEVO">
      <formula>NOT(ISERROR(SEARCH("NUEVO",C1157)))</formula>
    </cfRule>
  </conditionalFormatting>
  <conditionalFormatting sqref="C1158:D1158">
    <cfRule type="containsText" dxfId="1708" priority="1775" operator="containsText" text="NO+$D$4:$D$10">
      <formula>NOT(ISERROR(SEARCH("NO+$D$4:$D$10",C1158)))</formula>
    </cfRule>
  </conditionalFormatting>
  <conditionalFormatting sqref="C1158:D1158">
    <cfRule type="containsText" dxfId="1707" priority="1773" operator="containsText" text="SI">
      <formula>NOT(ISERROR(SEARCH("SI",C1158)))</formula>
    </cfRule>
    <cfRule type="containsText" dxfId="1706" priority="1774" operator="containsText" text="NO">
      <formula>NOT(ISERROR(SEARCH("NO",C1158)))</formula>
    </cfRule>
  </conditionalFormatting>
  <conditionalFormatting sqref="E1158">
    <cfRule type="containsText" dxfId="1705" priority="1772" operator="containsText" text="Sin información">
      <formula>NOT(ISERROR(SEARCH("Sin información",E1158)))</formula>
    </cfRule>
  </conditionalFormatting>
  <conditionalFormatting sqref="C1158:E1158">
    <cfRule type="containsText" dxfId="1704" priority="1771" operator="containsText" text="NUEVO">
      <formula>NOT(ISERROR(SEARCH("NUEVO",C1158)))</formula>
    </cfRule>
  </conditionalFormatting>
  <conditionalFormatting sqref="E1158">
    <cfRule type="containsText" dxfId="1703" priority="1770" operator="containsText" text="Sin Información">
      <formula>NOT(ISERROR(SEARCH("Sin Información",E1158)))</formula>
    </cfRule>
  </conditionalFormatting>
  <conditionalFormatting sqref="C1159:D1159">
    <cfRule type="containsText" dxfId="1702" priority="1769" operator="containsText" text="NO+$D$4:$D$10">
      <formula>NOT(ISERROR(SEARCH("NO+$D$4:$D$10",C1159)))</formula>
    </cfRule>
  </conditionalFormatting>
  <conditionalFormatting sqref="C1159:D1159">
    <cfRule type="containsText" dxfId="1701" priority="1767" operator="containsText" text="SI">
      <formula>NOT(ISERROR(SEARCH("SI",C1159)))</formula>
    </cfRule>
    <cfRule type="containsText" dxfId="1700" priority="1768" operator="containsText" text="NO">
      <formula>NOT(ISERROR(SEARCH("NO",C1159)))</formula>
    </cfRule>
  </conditionalFormatting>
  <conditionalFormatting sqref="C1159:D1159">
    <cfRule type="containsText" dxfId="1699" priority="1766" operator="containsText" text="NUEVO">
      <formula>NOT(ISERROR(SEARCH("NUEVO",C1159)))</formula>
    </cfRule>
  </conditionalFormatting>
  <conditionalFormatting sqref="E1159">
    <cfRule type="containsText" dxfId="1698" priority="1765" operator="containsText" text="Sin información">
      <formula>NOT(ISERROR(SEARCH("Sin información",E1159)))</formula>
    </cfRule>
  </conditionalFormatting>
  <conditionalFormatting sqref="E1159">
    <cfRule type="containsText" dxfId="1697" priority="1764" operator="containsText" text="NUEVO">
      <formula>NOT(ISERROR(SEARCH("NUEVO",E1159)))</formula>
    </cfRule>
  </conditionalFormatting>
  <conditionalFormatting sqref="C1160:D1160">
    <cfRule type="containsText" dxfId="1696" priority="1763" operator="containsText" text="NO+$D$4:$D$10">
      <formula>NOT(ISERROR(SEARCH("NO+$D$4:$D$10",C1160)))</formula>
    </cfRule>
  </conditionalFormatting>
  <conditionalFormatting sqref="C1160:D1160">
    <cfRule type="containsText" dxfId="1695" priority="1761" operator="containsText" text="SI">
      <formula>NOT(ISERROR(SEARCH("SI",C1160)))</formula>
    </cfRule>
    <cfRule type="containsText" dxfId="1694" priority="1762" operator="containsText" text="NO">
      <formula>NOT(ISERROR(SEARCH("NO",C1160)))</formula>
    </cfRule>
  </conditionalFormatting>
  <conditionalFormatting sqref="E1160">
    <cfRule type="containsText" dxfId="1693" priority="1760" operator="containsText" text="Sin información">
      <formula>NOT(ISERROR(SEARCH("Sin información",E1160)))</formula>
    </cfRule>
  </conditionalFormatting>
  <conditionalFormatting sqref="C1160:E1160">
    <cfRule type="containsText" dxfId="1692" priority="1759" operator="containsText" text="NUEVO">
      <formula>NOT(ISERROR(SEARCH("NUEVO",C1160)))</formula>
    </cfRule>
  </conditionalFormatting>
  <conditionalFormatting sqref="C1161:D1161">
    <cfRule type="containsText" dxfId="1691" priority="1758" operator="containsText" text="NO+$D$4:$D$10">
      <formula>NOT(ISERROR(SEARCH("NO+$D$4:$D$10",C1161)))</formula>
    </cfRule>
  </conditionalFormatting>
  <conditionalFormatting sqref="C1161:D1161">
    <cfRule type="containsText" dxfId="1690" priority="1756" operator="containsText" text="SI">
      <formula>NOT(ISERROR(SEARCH("SI",C1161)))</formula>
    </cfRule>
    <cfRule type="containsText" dxfId="1689" priority="1757" operator="containsText" text="NO">
      <formula>NOT(ISERROR(SEARCH("NO",C1161)))</formula>
    </cfRule>
  </conditionalFormatting>
  <conditionalFormatting sqref="E1161">
    <cfRule type="containsText" dxfId="1688" priority="1755" operator="containsText" text="Sin información">
      <formula>NOT(ISERROR(SEARCH("Sin información",E1161)))</formula>
    </cfRule>
  </conditionalFormatting>
  <conditionalFormatting sqref="C1161:E1161">
    <cfRule type="containsText" dxfId="1687" priority="1754" operator="containsText" text="NUEVO">
      <formula>NOT(ISERROR(SEARCH("NUEVO",C1161)))</formula>
    </cfRule>
  </conditionalFormatting>
  <conditionalFormatting sqref="C1162:D1162">
    <cfRule type="containsText" dxfId="1686" priority="1753" operator="containsText" text="NO+$D$4:$D$10">
      <formula>NOT(ISERROR(SEARCH("NO+$D$4:$D$10",C1162)))</formula>
    </cfRule>
  </conditionalFormatting>
  <conditionalFormatting sqref="C1162:D1162">
    <cfRule type="containsText" dxfId="1685" priority="1751" operator="containsText" text="SI">
      <formula>NOT(ISERROR(SEARCH("SI",C1162)))</formula>
    </cfRule>
    <cfRule type="containsText" dxfId="1684" priority="1752" operator="containsText" text="NO">
      <formula>NOT(ISERROR(SEARCH("NO",C1162)))</formula>
    </cfRule>
  </conditionalFormatting>
  <conditionalFormatting sqref="E1162">
    <cfRule type="containsText" dxfId="1683" priority="1750" operator="containsText" text="Sin información">
      <formula>NOT(ISERROR(SEARCH("Sin información",E1162)))</formula>
    </cfRule>
  </conditionalFormatting>
  <conditionalFormatting sqref="C1162:E1162">
    <cfRule type="containsText" dxfId="1682" priority="1749" operator="containsText" text="NUEVO">
      <formula>NOT(ISERROR(SEARCH("NUEVO",C1162)))</formula>
    </cfRule>
  </conditionalFormatting>
  <conditionalFormatting sqref="C1163:D1163">
    <cfRule type="containsText" dxfId="1681" priority="1748" operator="containsText" text="NO+$D$4:$D$10">
      <formula>NOT(ISERROR(SEARCH("NO+$D$4:$D$10",C1163)))</formula>
    </cfRule>
  </conditionalFormatting>
  <conditionalFormatting sqref="C1163:D1163">
    <cfRule type="containsText" dxfId="1680" priority="1746" operator="containsText" text="SI">
      <formula>NOT(ISERROR(SEARCH("SI",C1163)))</formula>
    </cfRule>
    <cfRule type="containsText" dxfId="1679" priority="1747" operator="containsText" text="NO">
      <formula>NOT(ISERROR(SEARCH("NO",C1163)))</formula>
    </cfRule>
  </conditionalFormatting>
  <conditionalFormatting sqref="E1163">
    <cfRule type="containsText" dxfId="1678" priority="1745" operator="containsText" text="Sin información">
      <formula>NOT(ISERROR(SEARCH("Sin información",E1163)))</formula>
    </cfRule>
  </conditionalFormatting>
  <conditionalFormatting sqref="C1163:E1163">
    <cfRule type="containsText" dxfId="1677" priority="1744" operator="containsText" text="NUEVO">
      <formula>NOT(ISERROR(SEARCH("NUEVO",C1163)))</formula>
    </cfRule>
  </conditionalFormatting>
  <conditionalFormatting sqref="C1164:D1164">
    <cfRule type="containsText" dxfId="1676" priority="1743" operator="containsText" text="NO+$D$4:$D$10">
      <formula>NOT(ISERROR(SEARCH("NO+$D$4:$D$10",C1164)))</formula>
    </cfRule>
  </conditionalFormatting>
  <conditionalFormatting sqref="C1164:D1164">
    <cfRule type="containsText" dxfId="1675" priority="1741" operator="containsText" text="SI">
      <formula>NOT(ISERROR(SEARCH("SI",C1164)))</formula>
    </cfRule>
    <cfRule type="containsText" dxfId="1674" priority="1742" operator="containsText" text="NO">
      <formula>NOT(ISERROR(SEARCH("NO",C1164)))</formula>
    </cfRule>
  </conditionalFormatting>
  <conditionalFormatting sqref="E1164">
    <cfRule type="containsText" dxfId="1673" priority="1740" operator="containsText" text="Sin información">
      <formula>NOT(ISERROR(SEARCH("Sin información",E1164)))</formula>
    </cfRule>
  </conditionalFormatting>
  <conditionalFormatting sqref="C1164:E1164">
    <cfRule type="containsText" dxfId="1672" priority="1739" operator="containsText" text="NUEVO">
      <formula>NOT(ISERROR(SEARCH("NUEVO",C1164)))</formula>
    </cfRule>
  </conditionalFormatting>
  <conditionalFormatting sqref="C1165:D1165">
    <cfRule type="containsText" dxfId="1671" priority="1738" operator="containsText" text="NO+$D$4:$D$10">
      <formula>NOT(ISERROR(SEARCH("NO+$D$4:$D$10",C1165)))</formula>
    </cfRule>
  </conditionalFormatting>
  <conditionalFormatting sqref="C1165:D1165">
    <cfRule type="containsText" dxfId="1670" priority="1736" operator="containsText" text="SI">
      <formula>NOT(ISERROR(SEARCH("SI",C1165)))</formula>
    </cfRule>
    <cfRule type="containsText" dxfId="1669" priority="1737" operator="containsText" text="NO">
      <formula>NOT(ISERROR(SEARCH("NO",C1165)))</formula>
    </cfRule>
  </conditionalFormatting>
  <conditionalFormatting sqref="E1165">
    <cfRule type="containsText" dxfId="1668" priority="1735" operator="containsText" text="Sin información">
      <formula>NOT(ISERROR(SEARCH("Sin información",E1165)))</formula>
    </cfRule>
  </conditionalFormatting>
  <conditionalFormatting sqref="C1165:E1165">
    <cfRule type="containsText" dxfId="1667" priority="1734" operator="containsText" text="NUEVO">
      <formula>NOT(ISERROR(SEARCH("NUEVO",C1165)))</formula>
    </cfRule>
  </conditionalFormatting>
  <conditionalFormatting sqref="C1166:D1166">
    <cfRule type="containsText" dxfId="1666" priority="1733" operator="containsText" text="NO+$D$4:$D$10">
      <formula>NOT(ISERROR(SEARCH("NO+$D$4:$D$10",C1166)))</formula>
    </cfRule>
  </conditionalFormatting>
  <conditionalFormatting sqref="C1166:D1166">
    <cfRule type="containsText" dxfId="1665" priority="1731" operator="containsText" text="SI">
      <formula>NOT(ISERROR(SEARCH("SI",C1166)))</formula>
    </cfRule>
    <cfRule type="containsText" dxfId="1664" priority="1732" operator="containsText" text="NO">
      <formula>NOT(ISERROR(SEARCH("NO",C1166)))</formula>
    </cfRule>
  </conditionalFormatting>
  <conditionalFormatting sqref="E1166">
    <cfRule type="containsText" dxfId="1663" priority="1730" operator="containsText" text="Sin información">
      <formula>NOT(ISERROR(SEARCH("Sin información",E1166)))</formula>
    </cfRule>
  </conditionalFormatting>
  <conditionalFormatting sqref="C1166:E1166">
    <cfRule type="containsText" dxfId="1662" priority="1729" operator="containsText" text="NUEVO">
      <formula>NOT(ISERROR(SEARCH("NUEVO",C1166)))</formula>
    </cfRule>
  </conditionalFormatting>
  <conditionalFormatting sqref="C1167:D1167">
    <cfRule type="containsText" dxfId="1661" priority="1728" operator="containsText" text="NO+$D$4:$D$10">
      <formula>NOT(ISERROR(SEARCH("NO+$D$4:$D$10",C1167)))</formula>
    </cfRule>
  </conditionalFormatting>
  <conditionalFormatting sqref="C1167:D1167">
    <cfRule type="containsText" dxfId="1660" priority="1726" operator="containsText" text="SI">
      <formula>NOT(ISERROR(SEARCH("SI",C1167)))</formula>
    </cfRule>
    <cfRule type="containsText" dxfId="1659" priority="1727" operator="containsText" text="NO">
      <formula>NOT(ISERROR(SEARCH("NO",C1167)))</formula>
    </cfRule>
  </conditionalFormatting>
  <conditionalFormatting sqref="E1167">
    <cfRule type="containsText" dxfId="1658" priority="1725" operator="containsText" text="Sin información">
      <formula>NOT(ISERROR(SEARCH("Sin información",E1167)))</formula>
    </cfRule>
  </conditionalFormatting>
  <conditionalFormatting sqref="C1167:E1167">
    <cfRule type="containsText" dxfId="1657" priority="1724" operator="containsText" text="NUEVO">
      <formula>NOT(ISERROR(SEARCH("NUEVO",C1167)))</formula>
    </cfRule>
  </conditionalFormatting>
  <conditionalFormatting sqref="C1168:D1168">
    <cfRule type="containsText" dxfId="1656" priority="1723" operator="containsText" text="NO+$D$4:$D$10">
      <formula>NOT(ISERROR(SEARCH("NO+$D$4:$D$10",C1168)))</formula>
    </cfRule>
  </conditionalFormatting>
  <conditionalFormatting sqref="C1168:D1168">
    <cfRule type="containsText" dxfId="1655" priority="1721" operator="containsText" text="SI">
      <formula>NOT(ISERROR(SEARCH("SI",C1168)))</formula>
    </cfRule>
    <cfRule type="containsText" dxfId="1654" priority="1722" operator="containsText" text="NO">
      <formula>NOT(ISERROR(SEARCH("NO",C1168)))</formula>
    </cfRule>
  </conditionalFormatting>
  <conditionalFormatting sqref="E1168">
    <cfRule type="containsText" dxfId="1653" priority="1720" operator="containsText" text="Sin información">
      <formula>NOT(ISERROR(SEARCH("Sin información",E1168)))</formula>
    </cfRule>
  </conditionalFormatting>
  <conditionalFormatting sqref="C1168:E1168">
    <cfRule type="containsText" dxfId="1652" priority="1719" operator="containsText" text="NUEVO">
      <formula>NOT(ISERROR(SEARCH("NUEVO",C1168)))</formula>
    </cfRule>
  </conditionalFormatting>
  <conditionalFormatting sqref="C1169:D1169">
    <cfRule type="containsText" dxfId="1651" priority="1718" operator="containsText" text="NO+$D$4:$D$10">
      <formula>NOT(ISERROR(SEARCH("NO+$D$4:$D$10",C1169)))</formula>
    </cfRule>
  </conditionalFormatting>
  <conditionalFormatting sqref="C1169:D1169">
    <cfRule type="containsText" dxfId="1650" priority="1716" operator="containsText" text="SI">
      <formula>NOT(ISERROR(SEARCH("SI",C1169)))</formula>
    </cfRule>
    <cfRule type="containsText" dxfId="1649" priority="1717" operator="containsText" text="NO">
      <formula>NOT(ISERROR(SEARCH("NO",C1169)))</formula>
    </cfRule>
  </conditionalFormatting>
  <conditionalFormatting sqref="E1169">
    <cfRule type="containsText" dxfId="1648" priority="1715" operator="containsText" text="Sin información">
      <formula>NOT(ISERROR(SEARCH("Sin información",E1169)))</formula>
    </cfRule>
  </conditionalFormatting>
  <conditionalFormatting sqref="C1169:E1169">
    <cfRule type="containsText" dxfId="1647" priority="1714" operator="containsText" text="NUEVO">
      <formula>NOT(ISERROR(SEARCH("NUEVO",C1169)))</formula>
    </cfRule>
  </conditionalFormatting>
  <conditionalFormatting sqref="C1170:D1170">
    <cfRule type="containsText" dxfId="1646" priority="1713" operator="containsText" text="NO+$D$4:$D$10">
      <formula>NOT(ISERROR(SEARCH("NO+$D$4:$D$10",C1170)))</formula>
    </cfRule>
  </conditionalFormatting>
  <conditionalFormatting sqref="C1170:D1170">
    <cfRule type="containsText" dxfId="1645" priority="1711" operator="containsText" text="SI">
      <formula>NOT(ISERROR(SEARCH("SI",C1170)))</formula>
    </cfRule>
    <cfRule type="containsText" dxfId="1644" priority="1712" operator="containsText" text="NO">
      <formula>NOT(ISERROR(SEARCH("NO",C1170)))</formula>
    </cfRule>
  </conditionalFormatting>
  <conditionalFormatting sqref="E1170">
    <cfRule type="containsText" dxfId="1643" priority="1710" operator="containsText" text="Sin información">
      <formula>NOT(ISERROR(SEARCH("Sin información",E1170)))</formula>
    </cfRule>
  </conditionalFormatting>
  <conditionalFormatting sqref="C1170:E1170">
    <cfRule type="containsText" dxfId="1642" priority="1709" operator="containsText" text="NUEVO">
      <formula>NOT(ISERROR(SEARCH("NUEVO",C1170)))</formula>
    </cfRule>
  </conditionalFormatting>
  <conditionalFormatting sqref="C1171:D1171">
    <cfRule type="containsText" dxfId="1641" priority="1708" operator="containsText" text="NO+$D$4:$D$10">
      <formula>NOT(ISERROR(SEARCH("NO+$D$4:$D$10",C1171)))</formula>
    </cfRule>
  </conditionalFormatting>
  <conditionalFormatting sqref="C1171:D1171">
    <cfRule type="containsText" dxfId="1640" priority="1706" operator="containsText" text="SI">
      <formula>NOT(ISERROR(SEARCH("SI",C1171)))</formula>
    </cfRule>
    <cfRule type="containsText" dxfId="1639" priority="1707" operator="containsText" text="NO">
      <formula>NOT(ISERROR(SEARCH("NO",C1171)))</formula>
    </cfRule>
  </conditionalFormatting>
  <conditionalFormatting sqref="E1171">
    <cfRule type="containsText" dxfId="1638" priority="1705" operator="containsText" text="Sin información">
      <formula>NOT(ISERROR(SEARCH("Sin información",E1171)))</formula>
    </cfRule>
  </conditionalFormatting>
  <conditionalFormatting sqref="C1171:E1171">
    <cfRule type="containsText" dxfId="1637" priority="1704" operator="containsText" text="NUEVO">
      <formula>NOT(ISERROR(SEARCH("NUEVO",C1171)))</formula>
    </cfRule>
  </conditionalFormatting>
  <conditionalFormatting sqref="C1172:D1172">
    <cfRule type="containsText" dxfId="1636" priority="1703" operator="containsText" text="NO+$D$4:$D$10">
      <formula>NOT(ISERROR(SEARCH("NO+$D$4:$D$10",C1172)))</formula>
    </cfRule>
  </conditionalFormatting>
  <conditionalFormatting sqref="C1172:D1172">
    <cfRule type="containsText" dxfId="1635" priority="1701" operator="containsText" text="SI">
      <formula>NOT(ISERROR(SEARCH("SI",C1172)))</formula>
    </cfRule>
    <cfRule type="containsText" dxfId="1634" priority="1702" operator="containsText" text="NO">
      <formula>NOT(ISERROR(SEARCH("NO",C1172)))</formula>
    </cfRule>
  </conditionalFormatting>
  <conditionalFormatting sqref="E1172">
    <cfRule type="containsText" dxfId="1633" priority="1700" operator="containsText" text="Sin información">
      <formula>NOT(ISERROR(SEARCH("Sin información",E1172)))</formula>
    </cfRule>
  </conditionalFormatting>
  <conditionalFormatting sqref="C1172:E1172">
    <cfRule type="containsText" dxfId="1632" priority="1699" operator="containsText" text="NUEVO">
      <formula>NOT(ISERROR(SEARCH("NUEVO",C1172)))</formula>
    </cfRule>
  </conditionalFormatting>
  <conditionalFormatting sqref="C1173:D1173">
    <cfRule type="containsText" dxfId="1631" priority="1698" operator="containsText" text="NO+$D$4:$D$10">
      <formula>NOT(ISERROR(SEARCH("NO+$D$4:$D$10",C1173)))</formula>
    </cfRule>
  </conditionalFormatting>
  <conditionalFormatting sqref="C1173:D1173">
    <cfRule type="containsText" dxfId="1630" priority="1696" operator="containsText" text="SI">
      <formula>NOT(ISERROR(SEARCH("SI",C1173)))</formula>
    </cfRule>
    <cfRule type="containsText" dxfId="1629" priority="1697" operator="containsText" text="NO">
      <formula>NOT(ISERROR(SEARCH("NO",C1173)))</formula>
    </cfRule>
  </conditionalFormatting>
  <conditionalFormatting sqref="C1173:D1173">
    <cfRule type="containsText" dxfId="1628" priority="1695" operator="containsText" text="NUEVO">
      <formula>NOT(ISERROR(SEARCH("NUEVO",C1173)))</formula>
    </cfRule>
  </conditionalFormatting>
  <conditionalFormatting sqref="E1173">
    <cfRule type="containsText" dxfId="1627" priority="1694" operator="containsText" text="Sin información">
      <formula>NOT(ISERROR(SEARCH("Sin información",E1173)))</formula>
    </cfRule>
  </conditionalFormatting>
  <conditionalFormatting sqref="E1173">
    <cfRule type="containsText" dxfId="1626" priority="1693" operator="containsText" text="NUEVO">
      <formula>NOT(ISERROR(SEARCH("NUEVO",E1173)))</formula>
    </cfRule>
  </conditionalFormatting>
  <conditionalFormatting sqref="C1174:D1174">
    <cfRule type="containsText" dxfId="1625" priority="1692" operator="containsText" text="NO+$D$4:$D$10">
      <formula>NOT(ISERROR(SEARCH("NO+$D$4:$D$10",C1174)))</formula>
    </cfRule>
  </conditionalFormatting>
  <conditionalFormatting sqref="C1174:D1174">
    <cfRule type="containsText" dxfId="1624" priority="1690" operator="containsText" text="SI">
      <formula>NOT(ISERROR(SEARCH("SI",C1174)))</formula>
    </cfRule>
    <cfRule type="containsText" dxfId="1623" priority="1691" operator="containsText" text="NO">
      <formula>NOT(ISERROR(SEARCH("NO",C1174)))</formula>
    </cfRule>
  </conditionalFormatting>
  <conditionalFormatting sqref="E1174">
    <cfRule type="containsText" dxfId="1622" priority="1689" operator="containsText" text="Sin información">
      <formula>NOT(ISERROR(SEARCH("Sin información",E1174)))</formula>
    </cfRule>
  </conditionalFormatting>
  <conditionalFormatting sqref="C1174:E1174">
    <cfRule type="containsText" dxfId="1621" priority="1688" operator="containsText" text="NUEVO">
      <formula>NOT(ISERROR(SEARCH("NUEVO",C1174)))</formula>
    </cfRule>
  </conditionalFormatting>
  <conditionalFormatting sqref="C1175:D1175">
    <cfRule type="containsText" dxfId="1620" priority="1687" operator="containsText" text="NO+$D$4:$D$10">
      <formula>NOT(ISERROR(SEARCH("NO+$D$4:$D$10",C1175)))</formula>
    </cfRule>
  </conditionalFormatting>
  <conditionalFormatting sqref="C1175:D1175">
    <cfRule type="containsText" dxfId="1619" priority="1685" operator="containsText" text="SI">
      <formula>NOT(ISERROR(SEARCH("SI",C1175)))</formula>
    </cfRule>
    <cfRule type="containsText" dxfId="1618" priority="1686" operator="containsText" text="NO">
      <formula>NOT(ISERROR(SEARCH("NO",C1175)))</formula>
    </cfRule>
  </conditionalFormatting>
  <conditionalFormatting sqref="E1175">
    <cfRule type="containsText" dxfId="1617" priority="1684" operator="containsText" text="Sin información">
      <formula>NOT(ISERROR(SEARCH("Sin información",E1175)))</formula>
    </cfRule>
  </conditionalFormatting>
  <conditionalFormatting sqref="C1175:E1175">
    <cfRule type="containsText" dxfId="1616" priority="1683" operator="containsText" text="NUEVO">
      <formula>NOT(ISERROR(SEARCH("NUEVO",C1175)))</formula>
    </cfRule>
  </conditionalFormatting>
  <conditionalFormatting sqref="C1176:D1176">
    <cfRule type="containsText" dxfId="1615" priority="1682" operator="containsText" text="NO+$D$4:$D$10">
      <formula>NOT(ISERROR(SEARCH("NO+$D$4:$D$10",C1176)))</formula>
    </cfRule>
  </conditionalFormatting>
  <conditionalFormatting sqref="C1176:D1176">
    <cfRule type="containsText" dxfId="1614" priority="1680" operator="containsText" text="SI">
      <formula>NOT(ISERROR(SEARCH("SI",C1176)))</formula>
    </cfRule>
    <cfRule type="containsText" dxfId="1613" priority="1681" operator="containsText" text="NO">
      <formula>NOT(ISERROR(SEARCH("NO",C1176)))</formula>
    </cfRule>
  </conditionalFormatting>
  <conditionalFormatting sqref="E1176">
    <cfRule type="containsText" dxfId="1612" priority="1679" operator="containsText" text="Sin información">
      <formula>NOT(ISERROR(SEARCH("Sin información",E1176)))</formula>
    </cfRule>
  </conditionalFormatting>
  <conditionalFormatting sqref="C1176:E1176">
    <cfRule type="containsText" dxfId="1611" priority="1678" operator="containsText" text="NUEVO">
      <formula>NOT(ISERROR(SEARCH("NUEVO",C1176)))</formula>
    </cfRule>
  </conditionalFormatting>
  <conditionalFormatting sqref="C1177:D1177">
    <cfRule type="containsText" dxfId="1610" priority="1677" operator="containsText" text="NO+$D$4:$D$10">
      <formula>NOT(ISERROR(SEARCH("NO+$D$4:$D$10",C1177)))</formula>
    </cfRule>
  </conditionalFormatting>
  <conditionalFormatting sqref="C1177:D1177">
    <cfRule type="containsText" dxfId="1609" priority="1675" operator="containsText" text="SI">
      <formula>NOT(ISERROR(SEARCH("SI",C1177)))</formula>
    </cfRule>
    <cfRule type="containsText" dxfId="1608" priority="1676" operator="containsText" text="NO">
      <formula>NOT(ISERROR(SEARCH("NO",C1177)))</formula>
    </cfRule>
  </conditionalFormatting>
  <conditionalFormatting sqref="C1177:D1177">
    <cfRule type="containsText" dxfId="1607" priority="1674" operator="containsText" text="NUEVO">
      <formula>NOT(ISERROR(SEARCH("NUEVO",C1177)))</formula>
    </cfRule>
  </conditionalFormatting>
  <conditionalFormatting sqref="E1177">
    <cfRule type="containsText" dxfId="1606" priority="1673" operator="containsText" text="Sin información">
      <formula>NOT(ISERROR(SEARCH("Sin información",E1177)))</formula>
    </cfRule>
  </conditionalFormatting>
  <conditionalFormatting sqref="E1177">
    <cfRule type="containsText" dxfId="1605" priority="1672" operator="containsText" text="NUEVO">
      <formula>NOT(ISERROR(SEARCH("NUEVO",E1177)))</formula>
    </cfRule>
  </conditionalFormatting>
  <conditionalFormatting sqref="C1178:D1178">
    <cfRule type="containsText" dxfId="1604" priority="1671" operator="containsText" text="NO+$D$4:$D$10">
      <formula>NOT(ISERROR(SEARCH("NO+$D$4:$D$10",C1178)))</formula>
    </cfRule>
  </conditionalFormatting>
  <conditionalFormatting sqref="C1178:D1178">
    <cfRule type="containsText" dxfId="1603" priority="1669" operator="containsText" text="SI">
      <formula>NOT(ISERROR(SEARCH("SI",C1178)))</formula>
    </cfRule>
    <cfRule type="containsText" dxfId="1602" priority="1670" operator="containsText" text="NO">
      <formula>NOT(ISERROR(SEARCH("NO",C1178)))</formula>
    </cfRule>
  </conditionalFormatting>
  <conditionalFormatting sqref="C1178:D1178">
    <cfRule type="containsText" dxfId="1601" priority="1668" operator="containsText" text="NUEVO">
      <formula>NOT(ISERROR(SEARCH("NUEVO",C1178)))</formula>
    </cfRule>
  </conditionalFormatting>
  <conditionalFormatting sqref="E1178">
    <cfRule type="containsText" dxfId="1600" priority="1667" operator="containsText" text="Sin información">
      <formula>NOT(ISERROR(SEARCH("Sin información",E1178)))</formula>
    </cfRule>
  </conditionalFormatting>
  <conditionalFormatting sqref="E1178">
    <cfRule type="containsText" dxfId="1599" priority="1666" operator="containsText" text="NUEVO">
      <formula>NOT(ISERROR(SEARCH("NUEVO",E1178)))</formula>
    </cfRule>
  </conditionalFormatting>
  <conditionalFormatting sqref="C1179:D1179">
    <cfRule type="containsText" dxfId="1598" priority="1665" operator="containsText" text="NO+$D$4:$D$10">
      <formula>NOT(ISERROR(SEARCH("NO+$D$4:$D$10",C1179)))</formula>
    </cfRule>
  </conditionalFormatting>
  <conditionalFormatting sqref="C1179:D1179">
    <cfRule type="containsText" dxfId="1597" priority="1663" operator="containsText" text="SI">
      <formula>NOT(ISERROR(SEARCH("SI",C1179)))</formula>
    </cfRule>
    <cfRule type="containsText" dxfId="1596" priority="1664" operator="containsText" text="NO">
      <formula>NOT(ISERROR(SEARCH("NO",C1179)))</formula>
    </cfRule>
  </conditionalFormatting>
  <conditionalFormatting sqref="E1179">
    <cfRule type="containsText" dxfId="1595" priority="1662" operator="containsText" text="Sin información">
      <formula>NOT(ISERROR(SEARCH("Sin información",E1179)))</formula>
    </cfRule>
  </conditionalFormatting>
  <conditionalFormatting sqref="C1179:E1179">
    <cfRule type="containsText" dxfId="1594" priority="1661" operator="containsText" text="NUEVO">
      <formula>NOT(ISERROR(SEARCH("NUEVO",C1179)))</formula>
    </cfRule>
  </conditionalFormatting>
  <conditionalFormatting sqref="C1180:D1180">
    <cfRule type="containsText" dxfId="1593" priority="1660" operator="containsText" text="NO+$D$4:$D$10">
      <formula>NOT(ISERROR(SEARCH("NO+$D$4:$D$10",C1180)))</formula>
    </cfRule>
  </conditionalFormatting>
  <conditionalFormatting sqref="C1180:D1180">
    <cfRule type="containsText" dxfId="1592" priority="1658" operator="containsText" text="SI">
      <formula>NOT(ISERROR(SEARCH("SI",C1180)))</formula>
    </cfRule>
    <cfRule type="containsText" dxfId="1591" priority="1659" operator="containsText" text="NO">
      <formula>NOT(ISERROR(SEARCH("NO",C1180)))</formula>
    </cfRule>
  </conditionalFormatting>
  <conditionalFormatting sqref="E1180">
    <cfRule type="containsText" dxfId="1590" priority="1657" operator="containsText" text="Sin información">
      <formula>NOT(ISERROR(SEARCH("Sin información",E1180)))</formula>
    </cfRule>
  </conditionalFormatting>
  <conditionalFormatting sqref="C1180:E1180">
    <cfRule type="containsText" dxfId="1589" priority="1656" operator="containsText" text="NUEVO">
      <formula>NOT(ISERROR(SEARCH("NUEVO",C1180)))</formula>
    </cfRule>
  </conditionalFormatting>
  <conditionalFormatting sqref="C1181:D1181">
    <cfRule type="containsText" dxfId="1588" priority="1655" operator="containsText" text="NO+$D$4:$D$10">
      <formula>NOT(ISERROR(SEARCH("NO+$D$4:$D$10",C1181)))</formula>
    </cfRule>
  </conditionalFormatting>
  <conditionalFormatting sqref="C1181:D1181">
    <cfRule type="containsText" dxfId="1587" priority="1653" operator="containsText" text="SI">
      <formula>NOT(ISERROR(SEARCH("SI",C1181)))</formula>
    </cfRule>
    <cfRule type="containsText" dxfId="1586" priority="1654" operator="containsText" text="NO">
      <formula>NOT(ISERROR(SEARCH("NO",C1181)))</formula>
    </cfRule>
  </conditionalFormatting>
  <conditionalFormatting sqref="E1181">
    <cfRule type="containsText" dxfId="1585" priority="1652" operator="containsText" text="Sin información">
      <formula>NOT(ISERROR(SEARCH("Sin información",E1181)))</formula>
    </cfRule>
  </conditionalFormatting>
  <conditionalFormatting sqref="C1181:E1181">
    <cfRule type="containsText" dxfId="1584" priority="1651" operator="containsText" text="NUEVO">
      <formula>NOT(ISERROR(SEARCH("NUEVO",C1181)))</formula>
    </cfRule>
  </conditionalFormatting>
  <conditionalFormatting sqref="C1182:D1182">
    <cfRule type="containsText" dxfId="1583" priority="1650" operator="containsText" text="NO+$D$4:$D$10">
      <formula>NOT(ISERROR(SEARCH("NO+$D$4:$D$10",C1182)))</formula>
    </cfRule>
  </conditionalFormatting>
  <conditionalFormatting sqref="C1182:D1182">
    <cfRule type="containsText" dxfId="1582" priority="1648" operator="containsText" text="SI">
      <formula>NOT(ISERROR(SEARCH("SI",C1182)))</formula>
    </cfRule>
    <cfRule type="containsText" dxfId="1581" priority="1649" operator="containsText" text="NO">
      <formula>NOT(ISERROR(SEARCH("NO",C1182)))</formula>
    </cfRule>
  </conditionalFormatting>
  <conditionalFormatting sqref="E1182">
    <cfRule type="containsText" dxfId="1580" priority="1647" operator="containsText" text="Sin información">
      <formula>NOT(ISERROR(SEARCH("Sin información",E1182)))</formula>
    </cfRule>
  </conditionalFormatting>
  <conditionalFormatting sqref="C1182:E1182">
    <cfRule type="containsText" dxfId="1579" priority="1646" operator="containsText" text="NUEVO">
      <formula>NOT(ISERROR(SEARCH("NUEVO",C1182)))</formula>
    </cfRule>
  </conditionalFormatting>
  <conditionalFormatting sqref="C1183:D1183">
    <cfRule type="containsText" dxfId="1578" priority="1645" operator="containsText" text="NO+$D$4:$D$10">
      <formula>NOT(ISERROR(SEARCH("NO+$D$4:$D$10",C1183)))</formula>
    </cfRule>
  </conditionalFormatting>
  <conditionalFormatting sqref="C1183:D1183">
    <cfRule type="containsText" dxfId="1577" priority="1643" operator="containsText" text="SI">
      <formula>NOT(ISERROR(SEARCH("SI",C1183)))</formula>
    </cfRule>
    <cfRule type="containsText" dxfId="1576" priority="1644" operator="containsText" text="NO">
      <formula>NOT(ISERROR(SEARCH("NO",C1183)))</formula>
    </cfRule>
  </conditionalFormatting>
  <conditionalFormatting sqref="E1183">
    <cfRule type="containsText" dxfId="1575" priority="1642" operator="containsText" text="Sin información">
      <formula>NOT(ISERROR(SEARCH("Sin información",E1183)))</formula>
    </cfRule>
  </conditionalFormatting>
  <conditionalFormatting sqref="C1183:E1183">
    <cfRule type="containsText" dxfId="1574" priority="1641" operator="containsText" text="NUEVO">
      <formula>NOT(ISERROR(SEARCH("NUEVO",C1183)))</formula>
    </cfRule>
  </conditionalFormatting>
  <conditionalFormatting sqref="C1184:D1184">
    <cfRule type="containsText" dxfId="1573" priority="1635" operator="containsText" text="NO+$D$4:$D$10">
      <formula>NOT(ISERROR(SEARCH("NO+$D$4:$D$10",C1184)))</formula>
    </cfRule>
  </conditionalFormatting>
  <conditionalFormatting sqref="C1184:D1184">
    <cfRule type="containsText" dxfId="1572" priority="1633" operator="containsText" text="SI">
      <formula>NOT(ISERROR(SEARCH("SI",C1184)))</formula>
    </cfRule>
    <cfRule type="containsText" dxfId="1571" priority="1634" operator="containsText" text="NO">
      <formula>NOT(ISERROR(SEARCH("NO",C1184)))</formula>
    </cfRule>
  </conditionalFormatting>
  <conditionalFormatting sqref="C1184:D1184">
    <cfRule type="containsText" dxfId="1570" priority="1632" operator="containsText" text="NUEVO">
      <formula>NOT(ISERROR(SEARCH("NUEVO",C1184)))</formula>
    </cfRule>
  </conditionalFormatting>
  <conditionalFormatting sqref="E1184">
    <cfRule type="containsText" dxfId="1569" priority="1631" operator="containsText" text="Sin información">
      <formula>NOT(ISERROR(SEARCH("Sin información",E1184)))</formula>
    </cfRule>
  </conditionalFormatting>
  <conditionalFormatting sqref="E1184">
    <cfRule type="containsText" dxfId="1568" priority="1630" operator="containsText" text="NUEVO">
      <formula>NOT(ISERROR(SEARCH("NUEVO",E1184)))</formula>
    </cfRule>
  </conditionalFormatting>
  <conditionalFormatting sqref="C1185:D1185">
    <cfRule type="containsText" dxfId="1567" priority="1629" operator="containsText" text="NO+$D$4:$D$10">
      <formula>NOT(ISERROR(SEARCH("NO+$D$4:$D$10",C1185)))</formula>
    </cfRule>
  </conditionalFormatting>
  <conditionalFormatting sqref="C1185:D1185">
    <cfRule type="containsText" dxfId="1566" priority="1627" operator="containsText" text="SI">
      <formula>NOT(ISERROR(SEARCH("SI",C1185)))</formula>
    </cfRule>
    <cfRule type="containsText" dxfId="1565" priority="1628" operator="containsText" text="NO">
      <formula>NOT(ISERROR(SEARCH("NO",C1185)))</formula>
    </cfRule>
  </conditionalFormatting>
  <conditionalFormatting sqref="C1185:D1185">
    <cfRule type="containsText" dxfId="1564" priority="1626" operator="containsText" text="NUEVO">
      <formula>NOT(ISERROR(SEARCH("NUEVO",C1185)))</formula>
    </cfRule>
  </conditionalFormatting>
  <conditionalFormatting sqref="E1185">
    <cfRule type="containsText" dxfId="1563" priority="1624" operator="containsText" text="NUEVO">
      <formula>NOT(ISERROR(SEARCH("NUEVO",E1185)))</formula>
    </cfRule>
  </conditionalFormatting>
  <conditionalFormatting sqref="E1185">
    <cfRule type="containsText" dxfId="1562" priority="1625" operator="containsText" text="Sin información">
      <formula>NOT(ISERROR(SEARCH("Sin información",E1185)))</formula>
    </cfRule>
  </conditionalFormatting>
  <conditionalFormatting sqref="C1186:D1186">
    <cfRule type="containsText" dxfId="1561" priority="1623" operator="containsText" text="NO+$D$4:$D$10">
      <formula>NOT(ISERROR(SEARCH("NO+$D$4:$D$10",C1186)))</formula>
    </cfRule>
  </conditionalFormatting>
  <conditionalFormatting sqref="C1186:D1186">
    <cfRule type="containsText" dxfId="1560" priority="1621" operator="containsText" text="SI">
      <formula>NOT(ISERROR(SEARCH("SI",C1186)))</formula>
    </cfRule>
    <cfRule type="containsText" dxfId="1559" priority="1622" operator="containsText" text="NO">
      <formula>NOT(ISERROR(SEARCH("NO",C1186)))</formula>
    </cfRule>
  </conditionalFormatting>
  <conditionalFormatting sqref="C1186:D1186">
    <cfRule type="containsText" dxfId="1558" priority="1620" operator="containsText" text="NUEVO">
      <formula>NOT(ISERROR(SEARCH("NUEVO",C1186)))</formula>
    </cfRule>
  </conditionalFormatting>
  <conditionalFormatting sqref="E1186">
    <cfRule type="containsText" dxfId="1557" priority="1619" operator="containsText" text="Sin información">
      <formula>NOT(ISERROR(SEARCH("Sin información",E1186)))</formula>
    </cfRule>
  </conditionalFormatting>
  <conditionalFormatting sqref="E1186">
    <cfRule type="containsText" dxfId="1556" priority="1618" operator="containsText" text="NUEVO">
      <formula>NOT(ISERROR(SEARCH("NUEVO",E1186)))</formula>
    </cfRule>
  </conditionalFormatting>
  <conditionalFormatting sqref="C1187:D1187">
    <cfRule type="containsText" dxfId="1555" priority="1617" operator="containsText" text="NO+$D$4:$D$10">
      <formula>NOT(ISERROR(SEARCH("NO+$D$4:$D$10",C1187)))</formula>
    </cfRule>
  </conditionalFormatting>
  <conditionalFormatting sqref="C1187:D1187">
    <cfRule type="containsText" dxfId="1554" priority="1615" operator="containsText" text="SI">
      <formula>NOT(ISERROR(SEARCH("SI",C1187)))</formula>
    </cfRule>
    <cfRule type="containsText" dxfId="1553" priority="1616" operator="containsText" text="NO">
      <formula>NOT(ISERROR(SEARCH("NO",C1187)))</formula>
    </cfRule>
  </conditionalFormatting>
  <conditionalFormatting sqref="C1187:D1187">
    <cfRule type="containsText" dxfId="1552" priority="1614" operator="containsText" text="NUEVO">
      <formula>NOT(ISERROR(SEARCH("NUEVO",C1187)))</formula>
    </cfRule>
  </conditionalFormatting>
  <conditionalFormatting sqref="E1187">
    <cfRule type="containsText" dxfId="1551" priority="1613" operator="containsText" text="Sin información">
      <formula>NOT(ISERROR(SEARCH("Sin información",E1187)))</formula>
    </cfRule>
  </conditionalFormatting>
  <conditionalFormatting sqref="E1187">
    <cfRule type="containsText" dxfId="1550" priority="1612" operator="containsText" text="NUEVO">
      <formula>NOT(ISERROR(SEARCH("NUEVO",E1187)))</formula>
    </cfRule>
  </conditionalFormatting>
  <conditionalFormatting sqref="C1188:D1188">
    <cfRule type="containsText" dxfId="1549" priority="1611" operator="containsText" text="NO+$D$4:$D$10">
      <formula>NOT(ISERROR(SEARCH("NO+$D$4:$D$10",C1188)))</formula>
    </cfRule>
  </conditionalFormatting>
  <conditionalFormatting sqref="C1188:D1188">
    <cfRule type="containsText" dxfId="1548" priority="1609" operator="containsText" text="SI">
      <formula>NOT(ISERROR(SEARCH("SI",C1188)))</formula>
    </cfRule>
    <cfRule type="containsText" dxfId="1547" priority="1610" operator="containsText" text="NO">
      <formula>NOT(ISERROR(SEARCH("NO",C1188)))</formula>
    </cfRule>
  </conditionalFormatting>
  <conditionalFormatting sqref="C1188:D1188">
    <cfRule type="containsText" dxfId="1546" priority="1608" operator="containsText" text="NUEVO">
      <formula>NOT(ISERROR(SEARCH("NUEVO",C1188)))</formula>
    </cfRule>
  </conditionalFormatting>
  <conditionalFormatting sqref="E1188">
    <cfRule type="containsText" dxfId="1545" priority="1606" operator="containsText" text="NUEVO">
      <formula>NOT(ISERROR(SEARCH("NUEVO",E1188)))</formula>
    </cfRule>
  </conditionalFormatting>
  <conditionalFormatting sqref="E1188">
    <cfRule type="containsText" dxfId="1544" priority="1607" operator="containsText" text="Sin información">
      <formula>NOT(ISERROR(SEARCH("Sin información",E1188)))</formula>
    </cfRule>
  </conditionalFormatting>
  <conditionalFormatting sqref="C1189:D1189">
    <cfRule type="containsText" dxfId="1543" priority="1605" operator="containsText" text="NO+$D$4:$D$10">
      <formula>NOT(ISERROR(SEARCH("NO+$D$4:$D$10",C1189)))</formula>
    </cfRule>
  </conditionalFormatting>
  <conditionalFormatting sqref="C1189:D1189">
    <cfRule type="containsText" dxfId="1542" priority="1603" operator="containsText" text="SI">
      <formula>NOT(ISERROR(SEARCH("SI",C1189)))</formula>
    </cfRule>
    <cfRule type="containsText" dxfId="1541" priority="1604" operator="containsText" text="NO">
      <formula>NOT(ISERROR(SEARCH("NO",C1189)))</formula>
    </cfRule>
  </conditionalFormatting>
  <conditionalFormatting sqref="C1189:D1189">
    <cfRule type="containsText" dxfId="1540" priority="1602" operator="containsText" text="NUEVO">
      <formula>NOT(ISERROR(SEARCH("NUEVO",C1189)))</formula>
    </cfRule>
  </conditionalFormatting>
  <conditionalFormatting sqref="E1189">
    <cfRule type="containsText" dxfId="1539" priority="1601" operator="containsText" text="Sin información">
      <formula>NOT(ISERROR(SEARCH("Sin información",E1189)))</formula>
    </cfRule>
  </conditionalFormatting>
  <conditionalFormatting sqref="E1189">
    <cfRule type="containsText" dxfId="1538" priority="1600" operator="containsText" text="NUEVO">
      <formula>NOT(ISERROR(SEARCH("NUEVO",E1189)))</formula>
    </cfRule>
  </conditionalFormatting>
  <conditionalFormatting sqref="C1190:D1190">
    <cfRule type="containsText" dxfId="1537" priority="1599" operator="containsText" text="NO+$D$4:$D$10">
      <formula>NOT(ISERROR(SEARCH("NO+$D$4:$D$10",C1190)))</formula>
    </cfRule>
  </conditionalFormatting>
  <conditionalFormatting sqref="C1190:D1190">
    <cfRule type="containsText" dxfId="1536" priority="1597" operator="containsText" text="SI">
      <formula>NOT(ISERROR(SEARCH("SI",C1190)))</formula>
    </cfRule>
    <cfRule type="containsText" dxfId="1535" priority="1598" operator="containsText" text="NO">
      <formula>NOT(ISERROR(SEARCH("NO",C1190)))</formula>
    </cfRule>
  </conditionalFormatting>
  <conditionalFormatting sqref="E1190">
    <cfRule type="containsText" dxfId="1534" priority="1596" operator="containsText" text="Sin información">
      <formula>NOT(ISERROR(SEARCH("Sin información",E1190)))</formula>
    </cfRule>
  </conditionalFormatting>
  <conditionalFormatting sqref="C1190:E1190">
    <cfRule type="containsText" dxfId="1533" priority="1595" operator="containsText" text="NUEVO">
      <formula>NOT(ISERROR(SEARCH("NUEVO",C1190)))</formula>
    </cfRule>
  </conditionalFormatting>
  <conditionalFormatting sqref="C1191:D1191">
    <cfRule type="containsText" dxfId="1532" priority="1594" operator="containsText" text="NO+$D$4:$D$10">
      <formula>NOT(ISERROR(SEARCH("NO+$D$4:$D$10",C1191)))</formula>
    </cfRule>
  </conditionalFormatting>
  <conditionalFormatting sqref="C1191:D1191">
    <cfRule type="containsText" dxfId="1531" priority="1592" operator="containsText" text="SI">
      <formula>NOT(ISERROR(SEARCH("SI",C1191)))</formula>
    </cfRule>
    <cfRule type="containsText" dxfId="1530" priority="1593" operator="containsText" text="NO">
      <formula>NOT(ISERROR(SEARCH("NO",C1191)))</formula>
    </cfRule>
  </conditionalFormatting>
  <conditionalFormatting sqref="E1191">
    <cfRule type="containsText" dxfId="1529" priority="1591" operator="containsText" text="Sin información">
      <formula>NOT(ISERROR(SEARCH("Sin información",E1191)))</formula>
    </cfRule>
  </conditionalFormatting>
  <conditionalFormatting sqref="C1191:E1191">
    <cfRule type="containsText" dxfId="1528" priority="1590" operator="containsText" text="NUEVO">
      <formula>NOT(ISERROR(SEARCH("NUEVO",C1191)))</formula>
    </cfRule>
  </conditionalFormatting>
  <conditionalFormatting sqref="C1192:D1192">
    <cfRule type="containsText" dxfId="1527" priority="1589" operator="containsText" text="NO+$D$4:$D$10">
      <formula>NOT(ISERROR(SEARCH("NO+$D$4:$D$10",C1192)))</formula>
    </cfRule>
  </conditionalFormatting>
  <conditionalFormatting sqref="C1192:D1192">
    <cfRule type="containsText" dxfId="1526" priority="1587" operator="containsText" text="SI">
      <formula>NOT(ISERROR(SEARCH("SI",C1192)))</formula>
    </cfRule>
    <cfRule type="containsText" dxfId="1525" priority="1588" operator="containsText" text="NO">
      <formula>NOT(ISERROR(SEARCH("NO",C1192)))</formula>
    </cfRule>
  </conditionalFormatting>
  <conditionalFormatting sqref="C1192:D1192">
    <cfRule type="containsText" dxfId="1524" priority="1586" operator="containsText" text="NUEVO">
      <formula>NOT(ISERROR(SEARCH("NUEVO",C1192)))</formula>
    </cfRule>
  </conditionalFormatting>
  <conditionalFormatting sqref="E1192">
    <cfRule type="containsText" dxfId="1523" priority="1585" operator="containsText" text="Sin información">
      <formula>NOT(ISERROR(SEARCH("Sin información",E1192)))</formula>
    </cfRule>
  </conditionalFormatting>
  <conditionalFormatting sqref="E1192">
    <cfRule type="containsText" dxfId="1522" priority="1584" operator="containsText" text="NUEVO">
      <formula>NOT(ISERROR(SEARCH("NUEVO",E1192)))</formula>
    </cfRule>
  </conditionalFormatting>
  <conditionalFormatting sqref="C1193:D1193">
    <cfRule type="containsText" dxfId="1521" priority="1583" operator="containsText" text="NO+$D$4:$D$10">
      <formula>NOT(ISERROR(SEARCH("NO+$D$4:$D$10",C1193)))</formula>
    </cfRule>
  </conditionalFormatting>
  <conditionalFormatting sqref="C1193:D1193">
    <cfRule type="containsText" dxfId="1520" priority="1581" operator="containsText" text="SI">
      <formula>NOT(ISERROR(SEARCH("SI",C1193)))</formula>
    </cfRule>
    <cfRule type="containsText" dxfId="1519" priority="1582" operator="containsText" text="NO">
      <formula>NOT(ISERROR(SEARCH("NO",C1193)))</formula>
    </cfRule>
  </conditionalFormatting>
  <conditionalFormatting sqref="C1193:D1193">
    <cfRule type="containsText" dxfId="1518" priority="1580" operator="containsText" text="NUEVO">
      <formula>NOT(ISERROR(SEARCH("NUEVO",C1193)))</formula>
    </cfRule>
  </conditionalFormatting>
  <conditionalFormatting sqref="E1193">
    <cfRule type="containsText" dxfId="1517" priority="1579" operator="containsText" text="Sin información">
      <formula>NOT(ISERROR(SEARCH("Sin información",E1193)))</formula>
    </cfRule>
  </conditionalFormatting>
  <conditionalFormatting sqref="E1193">
    <cfRule type="containsText" dxfId="1516" priority="1578" operator="containsText" text="NUEVO">
      <formula>NOT(ISERROR(SEARCH("NUEVO",E1193)))</formula>
    </cfRule>
  </conditionalFormatting>
  <conditionalFormatting sqref="C1194:D1194">
    <cfRule type="containsText" dxfId="1515" priority="1577" operator="containsText" text="NO+$D$4:$D$10">
      <formula>NOT(ISERROR(SEARCH("NO+$D$4:$D$10",C1194)))</formula>
    </cfRule>
  </conditionalFormatting>
  <conditionalFormatting sqref="C1194:D1194">
    <cfRule type="containsText" dxfId="1514" priority="1575" operator="containsText" text="SI">
      <formula>NOT(ISERROR(SEARCH("SI",C1194)))</formula>
    </cfRule>
    <cfRule type="containsText" dxfId="1513" priority="1576" operator="containsText" text="NO">
      <formula>NOT(ISERROR(SEARCH("NO",C1194)))</formula>
    </cfRule>
  </conditionalFormatting>
  <conditionalFormatting sqref="C1194:D1194">
    <cfRule type="containsText" dxfId="1512" priority="1574" operator="containsText" text="NUEVO">
      <formula>NOT(ISERROR(SEARCH("NUEVO",C1194)))</formula>
    </cfRule>
  </conditionalFormatting>
  <conditionalFormatting sqref="E1194">
    <cfRule type="containsText" dxfId="1511" priority="1573" operator="containsText" text="Sin información">
      <formula>NOT(ISERROR(SEARCH("Sin información",E1194)))</formula>
    </cfRule>
  </conditionalFormatting>
  <conditionalFormatting sqref="E1194">
    <cfRule type="containsText" dxfId="1510" priority="1572" operator="containsText" text="NUEVO">
      <formula>NOT(ISERROR(SEARCH("NUEVO",E1194)))</formula>
    </cfRule>
  </conditionalFormatting>
  <conditionalFormatting sqref="C1195:D1195">
    <cfRule type="containsText" dxfId="1509" priority="1571" operator="containsText" text="NO+$D$4:$D$10">
      <formula>NOT(ISERROR(SEARCH("NO+$D$4:$D$10",C1195)))</formula>
    </cfRule>
  </conditionalFormatting>
  <conditionalFormatting sqref="C1195:D1195">
    <cfRule type="containsText" dxfId="1508" priority="1569" operator="containsText" text="SI">
      <formula>NOT(ISERROR(SEARCH("SI",C1195)))</formula>
    </cfRule>
    <cfRule type="containsText" dxfId="1507" priority="1570" operator="containsText" text="NO">
      <formula>NOT(ISERROR(SEARCH("NO",C1195)))</formula>
    </cfRule>
  </conditionalFormatting>
  <conditionalFormatting sqref="C1195:D1195">
    <cfRule type="containsText" dxfId="1506" priority="1568" operator="containsText" text="NUEVO">
      <formula>NOT(ISERROR(SEARCH("NUEVO",C1195)))</formula>
    </cfRule>
  </conditionalFormatting>
  <conditionalFormatting sqref="E1195">
    <cfRule type="containsText" dxfId="1505" priority="1566" operator="containsText" text="NUEVO">
      <formula>NOT(ISERROR(SEARCH("NUEVO",E1195)))</formula>
    </cfRule>
  </conditionalFormatting>
  <conditionalFormatting sqref="E1195">
    <cfRule type="containsText" dxfId="1504" priority="1567" operator="containsText" text="Sin información">
      <formula>NOT(ISERROR(SEARCH("Sin información",E1195)))</formula>
    </cfRule>
  </conditionalFormatting>
  <conditionalFormatting sqref="C1196:D1196">
    <cfRule type="containsText" dxfId="1503" priority="1565" operator="containsText" text="NO+$D$4:$D$10">
      <formula>NOT(ISERROR(SEARCH("NO+$D$4:$D$10",C1196)))</formula>
    </cfRule>
  </conditionalFormatting>
  <conditionalFormatting sqref="C1196:D1196">
    <cfRule type="containsText" dxfId="1502" priority="1563" operator="containsText" text="SI">
      <formula>NOT(ISERROR(SEARCH("SI",C1196)))</formula>
    </cfRule>
    <cfRule type="containsText" dxfId="1501" priority="1564" operator="containsText" text="NO">
      <formula>NOT(ISERROR(SEARCH("NO",C1196)))</formula>
    </cfRule>
  </conditionalFormatting>
  <conditionalFormatting sqref="E1196">
    <cfRule type="containsText" dxfId="1500" priority="1562" operator="containsText" text="Sin información">
      <formula>NOT(ISERROR(SEARCH("Sin información",E1196)))</formula>
    </cfRule>
  </conditionalFormatting>
  <conditionalFormatting sqref="C1196:E1196">
    <cfRule type="containsText" dxfId="1499" priority="1561" operator="containsText" text="NUEVO">
      <formula>NOT(ISERROR(SEARCH("NUEVO",C1196)))</formula>
    </cfRule>
  </conditionalFormatting>
  <conditionalFormatting sqref="C1197:D1197">
    <cfRule type="containsText" dxfId="1498" priority="1560" operator="containsText" text="NO+$D$4:$D$10">
      <formula>NOT(ISERROR(SEARCH("NO+$D$4:$D$10",C1197)))</formula>
    </cfRule>
  </conditionalFormatting>
  <conditionalFormatting sqref="C1197:D1197">
    <cfRule type="containsText" dxfId="1497" priority="1558" operator="containsText" text="SI">
      <formula>NOT(ISERROR(SEARCH("SI",C1197)))</formula>
    </cfRule>
    <cfRule type="containsText" dxfId="1496" priority="1559" operator="containsText" text="NO">
      <formula>NOT(ISERROR(SEARCH("NO",C1197)))</formula>
    </cfRule>
  </conditionalFormatting>
  <conditionalFormatting sqref="E1197">
    <cfRule type="containsText" dxfId="1495" priority="1557" operator="containsText" text="Sin información">
      <formula>NOT(ISERROR(SEARCH("Sin información",E1197)))</formula>
    </cfRule>
  </conditionalFormatting>
  <conditionalFormatting sqref="C1197:E1197">
    <cfRule type="containsText" dxfId="1494" priority="1556" operator="containsText" text="NUEVO">
      <formula>NOT(ISERROR(SEARCH("NUEVO",C1197)))</formula>
    </cfRule>
  </conditionalFormatting>
  <conditionalFormatting sqref="E1197">
    <cfRule type="containsText" dxfId="1493" priority="1555" operator="containsText" text="Sin Información">
      <formula>NOT(ISERROR(SEARCH("Sin Información",E1197)))</formula>
    </cfRule>
  </conditionalFormatting>
  <conditionalFormatting sqref="C1198:D1198">
    <cfRule type="containsText" dxfId="1492" priority="1554" operator="containsText" text="NO+$D$4:$D$10">
      <formula>NOT(ISERROR(SEARCH("NO+$D$4:$D$10",C1198)))</formula>
    </cfRule>
  </conditionalFormatting>
  <conditionalFormatting sqref="C1198:D1198">
    <cfRule type="containsText" dxfId="1491" priority="1552" operator="containsText" text="SI">
      <formula>NOT(ISERROR(SEARCH("SI",C1198)))</formula>
    </cfRule>
    <cfRule type="containsText" dxfId="1490" priority="1553" operator="containsText" text="NO">
      <formula>NOT(ISERROR(SEARCH("NO",C1198)))</formula>
    </cfRule>
  </conditionalFormatting>
  <conditionalFormatting sqref="E1198">
    <cfRule type="containsText" dxfId="1489" priority="1551" operator="containsText" text="Sin información">
      <formula>NOT(ISERROR(SEARCH("Sin información",E1198)))</formula>
    </cfRule>
  </conditionalFormatting>
  <conditionalFormatting sqref="C1198:E1198">
    <cfRule type="containsText" dxfId="1488" priority="1550" operator="containsText" text="NUEVO">
      <formula>NOT(ISERROR(SEARCH("NUEVO",C1198)))</formula>
    </cfRule>
  </conditionalFormatting>
  <conditionalFormatting sqref="E1198">
    <cfRule type="containsText" dxfId="1487" priority="1549" operator="containsText" text="Sin Información">
      <formula>NOT(ISERROR(SEARCH("Sin Información",E1198)))</formula>
    </cfRule>
  </conditionalFormatting>
  <conditionalFormatting sqref="C1199:D1199">
    <cfRule type="containsText" dxfId="1486" priority="1548" operator="containsText" text="NO+$D$4:$D$10">
      <formula>NOT(ISERROR(SEARCH("NO+$D$4:$D$10",C1199)))</formula>
    </cfRule>
  </conditionalFormatting>
  <conditionalFormatting sqref="C1199:D1199">
    <cfRule type="containsText" dxfId="1485" priority="1546" operator="containsText" text="SI">
      <formula>NOT(ISERROR(SEARCH("SI",C1199)))</formula>
    </cfRule>
    <cfRule type="containsText" dxfId="1484" priority="1547" operator="containsText" text="NO">
      <formula>NOT(ISERROR(SEARCH("NO",C1199)))</formula>
    </cfRule>
  </conditionalFormatting>
  <conditionalFormatting sqref="E1199">
    <cfRule type="containsText" dxfId="1483" priority="1545" operator="containsText" text="Sin información">
      <formula>NOT(ISERROR(SEARCH("Sin información",E1199)))</formula>
    </cfRule>
  </conditionalFormatting>
  <conditionalFormatting sqref="C1199:E1199">
    <cfRule type="containsText" dxfId="1482" priority="1544" operator="containsText" text="NUEVO">
      <formula>NOT(ISERROR(SEARCH("NUEVO",C1199)))</formula>
    </cfRule>
  </conditionalFormatting>
  <conditionalFormatting sqref="C1200:D1200">
    <cfRule type="containsText" dxfId="1481" priority="1543" operator="containsText" text="NO+$D$4:$D$10">
      <formula>NOT(ISERROR(SEARCH("NO+$D$4:$D$10",C1200)))</formula>
    </cfRule>
  </conditionalFormatting>
  <conditionalFormatting sqref="C1200:D1200">
    <cfRule type="containsText" dxfId="1480" priority="1541" operator="containsText" text="SI">
      <formula>NOT(ISERROR(SEARCH("SI",C1200)))</formula>
    </cfRule>
    <cfRule type="containsText" dxfId="1479" priority="1542" operator="containsText" text="NO">
      <formula>NOT(ISERROR(SEARCH("NO",C1200)))</formula>
    </cfRule>
  </conditionalFormatting>
  <conditionalFormatting sqref="C1200:D1200">
    <cfRule type="containsText" dxfId="1478" priority="1540" operator="containsText" text="NUEVO">
      <formula>NOT(ISERROR(SEARCH("NUEVO",C1200)))</formula>
    </cfRule>
  </conditionalFormatting>
  <conditionalFormatting sqref="E1200">
    <cfRule type="containsText" dxfId="1477" priority="1539" operator="containsText" text="Sin información">
      <formula>NOT(ISERROR(SEARCH("Sin información",E1200)))</formula>
    </cfRule>
  </conditionalFormatting>
  <conditionalFormatting sqref="E1200">
    <cfRule type="containsText" dxfId="1476" priority="1538" operator="containsText" text="NUEVO">
      <formula>NOT(ISERROR(SEARCH("NUEVO",E1200)))</formula>
    </cfRule>
  </conditionalFormatting>
  <conditionalFormatting sqref="C1201:D1201">
    <cfRule type="containsText" dxfId="1475" priority="1537" operator="containsText" text="NO+$D$4:$D$10">
      <formula>NOT(ISERROR(SEARCH("NO+$D$4:$D$10",C1201)))</formula>
    </cfRule>
  </conditionalFormatting>
  <conditionalFormatting sqref="C1201:D1201">
    <cfRule type="containsText" dxfId="1474" priority="1535" operator="containsText" text="SI">
      <formula>NOT(ISERROR(SEARCH("SI",C1201)))</formula>
    </cfRule>
    <cfRule type="containsText" dxfId="1473" priority="1536" operator="containsText" text="NO">
      <formula>NOT(ISERROR(SEARCH("NO",C1201)))</formula>
    </cfRule>
  </conditionalFormatting>
  <conditionalFormatting sqref="C1201:D1201">
    <cfRule type="containsText" dxfId="1472" priority="1534" operator="containsText" text="NUEVO">
      <formula>NOT(ISERROR(SEARCH("NUEVO",C1201)))</formula>
    </cfRule>
  </conditionalFormatting>
  <conditionalFormatting sqref="E1201">
    <cfRule type="containsText" dxfId="1471" priority="1532" operator="containsText" text="NUEVO">
      <formula>NOT(ISERROR(SEARCH("NUEVO",E1201)))</formula>
    </cfRule>
  </conditionalFormatting>
  <conditionalFormatting sqref="E1201">
    <cfRule type="containsText" dxfId="1470" priority="1533" operator="containsText" text="Sin información">
      <formula>NOT(ISERROR(SEARCH("Sin información",E1201)))</formula>
    </cfRule>
  </conditionalFormatting>
  <conditionalFormatting sqref="C1203:D1203">
    <cfRule type="containsText" dxfId="1469" priority="1531" operator="containsText" text="NO+$D$4:$D$10">
      <formula>NOT(ISERROR(SEARCH("NO+$D$4:$D$10",C1203)))</formula>
    </cfRule>
  </conditionalFormatting>
  <conditionalFormatting sqref="C1203:D1203">
    <cfRule type="containsText" dxfId="1468" priority="1529" operator="containsText" text="SI">
      <formula>NOT(ISERROR(SEARCH("SI",C1203)))</formula>
    </cfRule>
    <cfRule type="containsText" dxfId="1467" priority="1530" operator="containsText" text="NO">
      <formula>NOT(ISERROR(SEARCH("NO",C1203)))</formula>
    </cfRule>
  </conditionalFormatting>
  <conditionalFormatting sqref="C1203:D1203">
    <cfRule type="containsText" dxfId="1466" priority="1528" operator="containsText" text="NUEVO">
      <formula>NOT(ISERROR(SEARCH("NUEVO",C1203)))</formula>
    </cfRule>
  </conditionalFormatting>
  <conditionalFormatting sqref="E1203">
    <cfRule type="containsText" dxfId="1465" priority="1526" operator="containsText" text="NUEVO">
      <formula>NOT(ISERROR(SEARCH("NUEVO",E1203)))</formula>
    </cfRule>
  </conditionalFormatting>
  <conditionalFormatting sqref="E1203">
    <cfRule type="containsText" dxfId="1464" priority="1527" operator="containsText" text="Sin información">
      <formula>NOT(ISERROR(SEARCH("Sin información",E1203)))</formula>
    </cfRule>
  </conditionalFormatting>
  <conditionalFormatting sqref="C1204:D1204">
    <cfRule type="containsText" dxfId="1463" priority="1525" operator="containsText" text="NO+$D$4:$D$10">
      <formula>NOT(ISERROR(SEARCH("NO+$D$4:$D$10",C1204)))</formula>
    </cfRule>
  </conditionalFormatting>
  <conditionalFormatting sqref="C1204:D1204">
    <cfRule type="containsText" dxfId="1462" priority="1523" operator="containsText" text="SI">
      <formula>NOT(ISERROR(SEARCH("SI",C1204)))</formula>
    </cfRule>
    <cfRule type="containsText" dxfId="1461" priority="1524" operator="containsText" text="NO">
      <formula>NOT(ISERROR(SEARCH("NO",C1204)))</formula>
    </cfRule>
  </conditionalFormatting>
  <conditionalFormatting sqref="C1204:D1204">
    <cfRule type="containsText" dxfId="1460" priority="1522" operator="containsText" text="NUEVO">
      <formula>NOT(ISERROR(SEARCH("NUEVO",C1204)))</formula>
    </cfRule>
  </conditionalFormatting>
  <conditionalFormatting sqref="E1204">
    <cfRule type="containsText" dxfId="1459" priority="1520" operator="containsText" text="NUEVO">
      <formula>NOT(ISERROR(SEARCH("NUEVO",E1204)))</formula>
    </cfRule>
  </conditionalFormatting>
  <conditionalFormatting sqref="E1204">
    <cfRule type="containsText" dxfId="1458" priority="1521" operator="containsText" text="Sin información">
      <formula>NOT(ISERROR(SEARCH("Sin información",E1204)))</formula>
    </cfRule>
  </conditionalFormatting>
  <conditionalFormatting sqref="C1205:D1205">
    <cfRule type="containsText" dxfId="1457" priority="1519" operator="containsText" text="NO+$D$4:$D$10">
      <formula>NOT(ISERROR(SEARCH("NO+$D$4:$D$10",C1205)))</formula>
    </cfRule>
  </conditionalFormatting>
  <conditionalFormatting sqref="C1205:D1205">
    <cfRule type="containsText" dxfId="1456" priority="1517" operator="containsText" text="SI">
      <formula>NOT(ISERROR(SEARCH("SI",C1205)))</formula>
    </cfRule>
    <cfRule type="containsText" dxfId="1455" priority="1518" operator="containsText" text="NO">
      <formula>NOT(ISERROR(SEARCH("NO",C1205)))</formula>
    </cfRule>
  </conditionalFormatting>
  <conditionalFormatting sqref="C1205:D1205">
    <cfRule type="containsText" dxfId="1454" priority="1516" operator="containsText" text="NUEVO">
      <formula>NOT(ISERROR(SEARCH("NUEVO",C1205)))</formula>
    </cfRule>
  </conditionalFormatting>
  <conditionalFormatting sqref="E1205">
    <cfRule type="containsText" dxfId="1453" priority="1514" operator="containsText" text="NUEVO">
      <formula>NOT(ISERROR(SEARCH("NUEVO",E1205)))</formula>
    </cfRule>
  </conditionalFormatting>
  <conditionalFormatting sqref="E1205">
    <cfRule type="containsText" dxfId="1452" priority="1515" operator="containsText" text="Sin información">
      <formula>NOT(ISERROR(SEARCH("Sin información",E1205)))</formula>
    </cfRule>
  </conditionalFormatting>
  <conditionalFormatting sqref="C1206:D1206">
    <cfRule type="containsText" dxfId="1451" priority="1513" operator="containsText" text="NO+$D$4:$D$10">
      <formula>NOT(ISERROR(SEARCH("NO+$D$4:$D$10",C1206)))</formula>
    </cfRule>
  </conditionalFormatting>
  <conditionalFormatting sqref="C1206:D1206">
    <cfRule type="containsText" dxfId="1450" priority="1511" operator="containsText" text="SI">
      <formula>NOT(ISERROR(SEARCH("SI",C1206)))</formula>
    </cfRule>
    <cfRule type="containsText" dxfId="1449" priority="1512" operator="containsText" text="NO">
      <formula>NOT(ISERROR(SEARCH("NO",C1206)))</formula>
    </cfRule>
  </conditionalFormatting>
  <conditionalFormatting sqref="C1206:D1206">
    <cfRule type="containsText" dxfId="1448" priority="1510" operator="containsText" text="NUEVO">
      <formula>NOT(ISERROR(SEARCH("NUEVO",C1206)))</formula>
    </cfRule>
  </conditionalFormatting>
  <conditionalFormatting sqref="E1206">
    <cfRule type="containsText" dxfId="1447" priority="1508" operator="containsText" text="NUEVO">
      <formula>NOT(ISERROR(SEARCH("NUEVO",E1206)))</formula>
    </cfRule>
  </conditionalFormatting>
  <conditionalFormatting sqref="E1206">
    <cfRule type="containsText" dxfId="1446" priority="1509" operator="containsText" text="Sin información">
      <formula>NOT(ISERROR(SEARCH("Sin información",E1206)))</formula>
    </cfRule>
  </conditionalFormatting>
  <conditionalFormatting sqref="C1207:D1207">
    <cfRule type="containsText" dxfId="1445" priority="1507" operator="containsText" text="NO+$D$4:$D$10">
      <formula>NOT(ISERROR(SEARCH("NO+$D$4:$D$10",C1207)))</formula>
    </cfRule>
  </conditionalFormatting>
  <conditionalFormatting sqref="C1207:D1207">
    <cfRule type="containsText" dxfId="1444" priority="1505" operator="containsText" text="SI">
      <formula>NOT(ISERROR(SEARCH("SI",C1207)))</formula>
    </cfRule>
    <cfRule type="containsText" dxfId="1443" priority="1506" operator="containsText" text="NO">
      <formula>NOT(ISERROR(SEARCH("NO",C1207)))</formula>
    </cfRule>
  </conditionalFormatting>
  <conditionalFormatting sqref="E1207">
    <cfRule type="containsText" dxfId="1442" priority="1504" operator="containsText" text="Sin información">
      <formula>NOT(ISERROR(SEARCH("Sin información",E1207)))</formula>
    </cfRule>
  </conditionalFormatting>
  <conditionalFormatting sqref="C1207:E1207">
    <cfRule type="containsText" dxfId="1441" priority="1503" operator="containsText" text="NUEVO">
      <formula>NOT(ISERROR(SEARCH("NUEVO",C1207)))</formula>
    </cfRule>
  </conditionalFormatting>
  <conditionalFormatting sqref="E1210">
    <cfRule type="containsText" dxfId="1440" priority="1494" operator="containsText" text="Sin información">
      <formula>NOT(ISERROR(SEARCH("Sin información",E1210)))</formula>
    </cfRule>
  </conditionalFormatting>
  <conditionalFormatting sqref="C1208:D1209">
    <cfRule type="containsText" dxfId="1439" priority="1502" operator="containsText" text="NO+$D$4:$D$10">
      <formula>NOT(ISERROR(SEARCH("NO+$D$4:$D$10",C1208)))</formula>
    </cfRule>
  </conditionalFormatting>
  <conditionalFormatting sqref="C1208:D1209">
    <cfRule type="containsText" dxfId="1438" priority="1500" operator="containsText" text="SI">
      <formula>NOT(ISERROR(SEARCH("SI",C1208)))</formula>
    </cfRule>
    <cfRule type="containsText" dxfId="1437" priority="1501" operator="containsText" text="NO">
      <formula>NOT(ISERROR(SEARCH("NO",C1208)))</formula>
    </cfRule>
  </conditionalFormatting>
  <conditionalFormatting sqref="E1208:E1209">
    <cfRule type="containsText" dxfId="1436" priority="1499" operator="containsText" text="Sin información">
      <formula>NOT(ISERROR(SEARCH("Sin información",E1208)))</formula>
    </cfRule>
  </conditionalFormatting>
  <conditionalFormatting sqref="C1208:E1209">
    <cfRule type="containsText" dxfId="1435" priority="1498" operator="containsText" text="NUEVO">
      <formula>NOT(ISERROR(SEARCH("NUEVO",C1208)))</formula>
    </cfRule>
  </conditionalFormatting>
  <conditionalFormatting sqref="C1210:D1210">
    <cfRule type="containsText" dxfId="1434" priority="1497" operator="containsText" text="NO+$D$4:$D$10">
      <formula>NOT(ISERROR(SEARCH("NO+$D$4:$D$10",C1210)))</formula>
    </cfRule>
  </conditionalFormatting>
  <conditionalFormatting sqref="C1210:D1210">
    <cfRule type="containsText" dxfId="1433" priority="1495" operator="containsText" text="SI">
      <formula>NOT(ISERROR(SEARCH("SI",C1210)))</formula>
    </cfRule>
    <cfRule type="containsText" dxfId="1432" priority="1496" operator="containsText" text="NO">
      <formula>NOT(ISERROR(SEARCH("NO",C1210)))</formula>
    </cfRule>
  </conditionalFormatting>
  <conditionalFormatting sqref="C1210:E1210">
    <cfRule type="containsText" dxfId="1431" priority="1493" operator="containsText" text="NUEVO">
      <formula>NOT(ISERROR(SEARCH("NUEVO",C1210)))</formula>
    </cfRule>
  </conditionalFormatting>
  <conditionalFormatting sqref="C1211:D1211">
    <cfRule type="containsText" dxfId="1430" priority="1492" operator="containsText" text="NO+$D$4:$D$10">
      <formula>NOT(ISERROR(SEARCH("NO+$D$4:$D$10",C1211)))</formula>
    </cfRule>
  </conditionalFormatting>
  <conditionalFormatting sqref="C1211:D1211">
    <cfRule type="containsText" dxfId="1429" priority="1490" operator="containsText" text="SI">
      <formula>NOT(ISERROR(SEARCH("SI",C1211)))</formula>
    </cfRule>
    <cfRule type="containsText" dxfId="1428" priority="1491" operator="containsText" text="NO">
      <formula>NOT(ISERROR(SEARCH("NO",C1211)))</formula>
    </cfRule>
  </conditionalFormatting>
  <conditionalFormatting sqref="E1211">
    <cfRule type="containsText" dxfId="1427" priority="1489" operator="containsText" text="Sin información">
      <formula>NOT(ISERROR(SEARCH("Sin información",E1211)))</formula>
    </cfRule>
  </conditionalFormatting>
  <conditionalFormatting sqref="C1211:D1211">
    <cfRule type="containsText" dxfId="1426" priority="1488" operator="containsText" text="NUEVO">
      <formula>NOT(ISERROR(SEARCH("NUEVO",C1211)))</formula>
    </cfRule>
  </conditionalFormatting>
  <conditionalFormatting sqref="E1211">
    <cfRule type="containsText" dxfId="1425" priority="1487" operator="containsText" text="Sin información">
      <formula>NOT(ISERROR(SEARCH("Sin información",E1211)))</formula>
    </cfRule>
  </conditionalFormatting>
  <conditionalFormatting sqref="C1213:D1213">
    <cfRule type="containsText" dxfId="1424" priority="1486" operator="containsText" text="NO+$D$4:$D$10">
      <formula>NOT(ISERROR(SEARCH("NO+$D$4:$D$10",C1213)))</formula>
    </cfRule>
  </conditionalFormatting>
  <conditionalFormatting sqref="C1213:D1213">
    <cfRule type="containsText" dxfId="1423" priority="1484" operator="containsText" text="SI">
      <formula>NOT(ISERROR(SEARCH("SI",C1213)))</formula>
    </cfRule>
    <cfRule type="containsText" dxfId="1422" priority="1485" operator="containsText" text="NO">
      <formula>NOT(ISERROR(SEARCH("NO",C1213)))</formula>
    </cfRule>
  </conditionalFormatting>
  <conditionalFormatting sqref="E1213">
    <cfRule type="containsText" dxfId="1421" priority="1483" operator="containsText" text="Sin información">
      <formula>NOT(ISERROR(SEARCH("Sin información",E1213)))</formula>
    </cfRule>
  </conditionalFormatting>
  <conditionalFormatting sqref="C1213:E1213">
    <cfRule type="containsText" dxfId="1420" priority="1482" operator="containsText" text="NUEVO">
      <formula>NOT(ISERROR(SEARCH("NUEVO",C1213)))</formula>
    </cfRule>
  </conditionalFormatting>
  <conditionalFormatting sqref="C1214:D1214">
    <cfRule type="containsText" dxfId="1419" priority="1481" operator="containsText" text="NO+$D$4:$D$10">
      <formula>NOT(ISERROR(SEARCH("NO+$D$4:$D$10",C1214)))</formula>
    </cfRule>
  </conditionalFormatting>
  <conditionalFormatting sqref="C1214:D1214">
    <cfRule type="containsText" dxfId="1418" priority="1479" operator="containsText" text="SI">
      <formula>NOT(ISERROR(SEARCH("SI",C1214)))</formula>
    </cfRule>
    <cfRule type="containsText" dxfId="1417" priority="1480" operator="containsText" text="NO">
      <formula>NOT(ISERROR(SEARCH("NO",C1214)))</formula>
    </cfRule>
  </conditionalFormatting>
  <conditionalFormatting sqref="E1214">
    <cfRule type="containsText" dxfId="1416" priority="1478" operator="containsText" text="Sin información">
      <formula>NOT(ISERROR(SEARCH("Sin información",E1214)))</formula>
    </cfRule>
  </conditionalFormatting>
  <conditionalFormatting sqref="C1214:E1214">
    <cfRule type="containsText" dxfId="1415" priority="1477" operator="containsText" text="NUEVO">
      <formula>NOT(ISERROR(SEARCH("NUEVO",C1214)))</formula>
    </cfRule>
  </conditionalFormatting>
  <conditionalFormatting sqref="C1218:D1220">
    <cfRule type="containsText" dxfId="1414" priority="1476" operator="containsText" text="NO+$D$4:$D$10">
      <formula>NOT(ISERROR(SEARCH("NO+$D$4:$D$10",C1218)))</formula>
    </cfRule>
  </conditionalFormatting>
  <conditionalFormatting sqref="C1218:D1220">
    <cfRule type="containsText" dxfId="1413" priority="1474" operator="containsText" text="SI">
      <formula>NOT(ISERROR(SEARCH("SI",C1218)))</formula>
    </cfRule>
    <cfRule type="containsText" dxfId="1412" priority="1475" operator="containsText" text="NO">
      <formula>NOT(ISERROR(SEARCH("NO",C1218)))</formula>
    </cfRule>
  </conditionalFormatting>
  <conditionalFormatting sqref="C1218:D1220">
    <cfRule type="containsText" dxfId="1411" priority="1473" operator="containsText" text="NUEVO">
      <formula>NOT(ISERROR(SEARCH("NUEVO",C1218)))</formula>
    </cfRule>
  </conditionalFormatting>
  <conditionalFormatting sqref="E1218:E1220">
    <cfRule type="containsText" dxfId="1410" priority="1472" operator="containsText" text="Sin información">
      <formula>NOT(ISERROR(SEARCH("Sin información",E1218)))</formula>
    </cfRule>
  </conditionalFormatting>
  <conditionalFormatting sqref="E1218:E1220">
    <cfRule type="containsText" dxfId="1409" priority="1471" operator="containsText" text="NUEVO">
      <formula>NOT(ISERROR(SEARCH("NUEVO",E1218)))</formula>
    </cfRule>
  </conditionalFormatting>
  <conditionalFormatting sqref="C1221:D1232">
    <cfRule type="containsText" dxfId="1408" priority="1470" operator="containsText" text="NO+$D$4:$D$10">
      <formula>NOT(ISERROR(SEARCH("NO+$D$4:$D$10",C1221)))</formula>
    </cfRule>
  </conditionalFormatting>
  <conditionalFormatting sqref="C1221:D1232">
    <cfRule type="containsText" dxfId="1407" priority="1468" operator="containsText" text="SI">
      <formula>NOT(ISERROR(SEARCH("SI",C1221)))</formula>
    </cfRule>
    <cfRule type="containsText" dxfId="1406" priority="1469" operator="containsText" text="NO">
      <formula>NOT(ISERROR(SEARCH("NO",C1221)))</formula>
    </cfRule>
  </conditionalFormatting>
  <conditionalFormatting sqref="E1221:E1232">
    <cfRule type="containsText" dxfId="1405" priority="1467" operator="containsText" text="Sin información">
      <formula>NOT(ISERROR(SEARCH("Sin información",E1221)))</formula>
    </cfRule>
  </conditionalFormatting>
  <conditionalFormatting sqref="C1221:E1232">
    <cfRule type="containsText" dxfId="1404" priority="1466" operator="containsText" text="NUEVO">
      <formula>NOT(ISERROR(SEARCH("NUEVO",C1221)))</formula>
    </cfRule>
  </conditionalFormatting>
  <conditionalFormatting sqref="E1231:E1232">
    <cfRule type="containsText" dxfId="1403" priority="1465" operator="containsText" text="Sin Información">
      <formula>NOT(ISERROR(SEARCH("Sin Información",E1231)))</formula>
    </cfRule>
  </conditionalFormatting>
  <conditionalFormatting sqref="E1231">
    <cfRule type="containsText" dxfId="1402" priority="1464" operator="containsText" text="Sin información">
      <formula>NOT(ISERROR(SEARCH("Sin información",E1231)))</formula>
    </cfRule>
  </conditionalFormatting>
  <conditionalFormatting sqref="C1233:D1233">
    <cfRule type="containsText" dxfId="1401" priority="1463" operator="containsText" text="NO+$D$4:$D$10">
      <formula>NOT(ISERROR(SEARCH("NO+$D$4:$D$10",C1233)))</formula>
    </cfRule>
  </conditionalFormatting>
  <conditionalFormatting sqref="C1233:D1233">
    <cfRule type="containsText" dxfId="1400" priority="1461" operator="containsText" text="SI">
      <formula>NOT(ISERROR(SEARCH("SI",C1233)))</formula>
    </cfRule>
    <cfRule type="containsText" dxfId="1399" priority="1462" operator="containsText" text="NO">
      <formula>NOT(ISERROR(SEARCH("NO",C1233)))</formula>
    </cfRule>
  </conditionalFormatting>
  <conditionalFormatting sqref="E1233">
    <cfRule type="containsText" dxfId="1398" priority="1460" operator="containsText" text="Sin información">
      <formula>NOT(ISERROR(SEARCH("Sin información",E1233)))</formula>
    </cfRule>
  </conditionalFormatting>
  <conditionalFormatting sqref="C1233:E1233">
    <cfRule type="containsText" dxfId="1397" priority="1459" operator="containsText" text="NUEVO">
      <formula>NOT(ISERROR(SEARCH("NUEVO",C1233)))</formula>
    </cfRule>
  </conditionalFormatting>
  <conditionalFormatting sqref="C1234:D1235">
    <cfRule type="containsText" dxfId="1396" priority="1458" operator="containsText" text="NO+$D$4:$D$10">
      <formula>NOT(ISERROR(SEARCH("NO+$D$4:$D$10",C1234)))</formula>
    </cfRule>
  </conditionalFormatting>
  <conditionalFormatting sqref="C1234:D1235">
    <cfRule type="containsText" dxfId="1395" priority="1456" operator="containsText" text="SI">
      <formula>NOT(ISERROR(SEARCH("SI",C1234)))</formula>
    </cfRule>
    <cfRule type="containsText" dxfId="1394" priority="1457" operator="containsText" text="NO">
      <formula>NOT(ISERROR(SEARCH("NO",C1234)))</formula>
    </cfRule>
  </conditionalFormatting>
  <conditionalFormatting sqref="E1234">
    <cfRule type="containsText" dxfId="1393" priority="1455" operator="containsText" text="Sin información">
      <formula>NOT(ISERROR(SEARCH("Sin información",E1234)))</formula>
    </cfRule>
  </conditionalFormatting>
  <conditionalFormatting sqref="C1234:D1235 E1234">
    <cfRule type="containsText" dxfId="1392" priority="1454" operator="containsText" text="NUEVO">
      <formula>NOT(ISERROR(SEARCH("NUEVO",C1234)))</formula>
    </cfRule>
  </conditionalFormatting>
  <conditionalFormatting sqref="E1235">
    <cfRule type="containsText" dxfId="1391" priority="1452" operator="containsText" text="NUEVO">
      <formula>NOT(ISERROR(SEARCH("NUEVO",E1235)))</formula>
    </cfRule>
  </conditionalFormatting>
  <conditionalFormatting sqref="E1235">
    <cfRule type="containsText" dxfId="1390" priority="1453" operator="containsText" text="Sin información">
      <formula>NOT(ISERROR(SEARCH("Sin información",E1235)))</formula>
    </cfRule>
  </conditionalFormatting>
  <conditionalFormatting sqref="C1236:D1237">
    <cfRule type="containsText" dxfId="1389" priority="1451" operator="containsText" text="NO+$D$4:$D$10">
      <formula>NOT(ISERROR(SEARCH("NO+$D$4:$D$10",C1236)))</formula>
    </cfRule>
  </conditionalFormatting>
  <conditionalFormatting sqref="C1236:D1237">
    <cfRule type="containsText" dxfId="1388" priority="1449" operator="containsText" text="SI">
      <formula>NOT(ISERROR(SEARCH("SI",C1236)))</formula>
    </cfRule>
    <cfRule type="containsText" dxfId="1387" priority="1450" operator="containsText" text="NO">
      <formula>NOT(ISERROR(SEARCH("NO",C1236)))</formula>
    </cfRule>
  </conditionalFormatting>
  <conditionalFormatting sqref="C1236:D1237">
    <cfRule type="containsText" dxfId="1386" priority="1448" operator="containsText" text="NUEVO">
      <formula>NOT(ISERROR(SEARCH("NUEVO",C1236)))</formula>
    </cfRule>
  </conditionalFormatting>
  <conditionalFormatting sqref="E1236">
    <cfRule type="containsText" dxfId="1385" priority="1446" operator="containsText" text="NUEVO">
      <formula>NOT(ISERROR(SEARCH("NUEVO",E1236)))</formula>
    </cfRule>
  </conditionalFormatting>
  <conditionalFormatting sqref="E1236">
    <cfRule type="containsText" dxfId="1384" priority="1447" operator="containsText" text="Sin información">
      <formula>NOT(ISERROR(SEARCH("Sin información",E1236)))</formula>
    </cfRule>
  </conditionalFormatting>
  <conditionalFormatting sqref="E1237">
    <cfRule type="containsText" dxfId="1383" priority="1444" operator="containsText" text="NUEVO">
      <formula>NOT(ISERROR(SEARCH("NUEVO",E1237)))</formula>
    </cfRule>
  </conditionalFormatting>
  <conditionalFormatting sqref="E1237">
    <cfRule type="containsText" dxfId="1382" priority="1445" operator="containsText" text="Sin información">
      <formula>NOT(ISERROR(SEARCH("Sin información",E1237)))</formula>
    </cfRule>
  </conditionalFormatting>
  <conditionalFormatting sqref="C1239:D1239">
    <cfRule type="containsText" dxfId="1381" priority="1443" operator="containsText" text="NO+$D$4:$D$10">
      <formula>NOT(ISERROR(SEARCH("NO+$D$4:$D$10",C1239)))</formula>
    </cfRule>
  </conditionalFormatting>
  <conditionalFormatting sqref="C1239:D1239">
    <cfRule type="containsText" dxfId="1380" priority="1441" operator="containsText" text="SI">
      <formula>NOT(ISERROR(SEARCH("SI",C1239)))</formula>
    </cfRule>
    <cfRule type="containsText" dxfId="1379" priority="1442" operator="containsText" text="NO">
      <formula>NOT(ISERROR(SEARCH("NO",C1239)))</formula>
    </cfRule>
  </conditionalFormatting>
  <conditionalFormatting sqref="C1239:D1239">
    <cfRule type="containsText" dxfId="1378" priority="1440" operator="containsText" text="NUEVO">
      <formula>NOT(ISERROR(SEARCH("NUEVO",C1239)))</formula>
    </cfRule>
  </conditionalFormatting>
  <conditionalFormatting sqref="E1239">
    <cfRule type="containsText" dxfId="1377" priority="1438" operator="containsText" text="NUEVO">
      <formula>NOT(ISERROR(SEARCH("NUEVO",E1239)))</formula>
    </cfRule>
  </conditionalFormatting>
  <conditionalFormatting sqref="E1239">
    <cfRule type="containsText" dxfId="1376" priority="1439" operator="containsText" text="Sin información">
      <formula>NOT(ISERROR(SEARCH("Sin información",E1239)))</formula>
    </cfRule>
  </conditionalFormatting>
  <conditionalFormatting sqref="C1241:D1241">
    <cfRule type="containsText" dxfId="1375" priority="1437" operator="containsText" text="NO+$D$4:$D$10">
      <formula>NOT(ISERROR(SEARCH("NO+$D$4:$D$10",C1241)))</formula>
    </cfRule>
  </conditionalFormatting>
  <conditionalFormatting sqref="C1241:D1241">
    <cfRule type="containsText" dxfId="1374" priority="1435" operator="containsText" text="SI">
      <formula>NOT(ISERROR(SEARCH("SI",C1241)))</formula>
    </cfRule>
    <cfRule type="containsText" dxfId="1373" priority="1436" operator="containsText" text="NO">
      <formula>NOT(ISERROR(SEARCH("NO",C1241)))</formula>
    </cfRule>
  </conditionalFormatting>
  <conditionalFormatting sqref="C1241:D1241">
    <cfRule type="containsText" dxfId="1372" priority="1434" operator="containsText" text="NUEVO">
      <formula>NOT(ISERROR(SEARCH("NUEVO",C1241)))</formula>
    </cfRule>
  </conditionalFormatting>
  <conditionalFormatting sqref="E1241">
    <cfRule type="containsText" dxfId="1371" priority="1432" operator="containsText" text="NUEVO">
      <formula>NOT(ISERROR(SEARCH("NUEVO",E1241)))</formula>
    </cfRule>
  </conditionalFormatting>
  <conditionalFormatting sqref="E1241">
    <cfRule type="containsText" dxfId="1370" priority="1433" operator="containsText" text="Sin información">
      <formula>NOT(ISERROR(SEARCH("Sin información",E1241)))</formula>
    </cfRule>
  </conditionalFormatting>
  <conditionalFormatting sqref="C1242:D1242">
    <cfRule type="containsText" dxfId="1369" priority="1431" operator="containsText" text="NO+$D$4:$D$10">
      <formula>NOT(ISERROR(SEARCH("NO+$D$4:$D$10",C1242)))</formula>
    </cfRule>
  </conditionalFormatting>
  <conditionalFormatting sqref="C1242:D1242">
    <cfRule type="containsText" dxfId="1368" priority="1429" operator="containsText" text="SI">
      <formula>NOT(ISERROR(SEARCH("SI",C1242)))</formula>
    </cfRule>
    <cfRule type="containsText" dxfId="1367" priority="1430" operator="containsText" text="NO">
      <formula>NOT(ISERROR(SEARCH("NO",C1242)))</formula>
    </cfRule>
  </conditionalFormatting>
  <conditionalFormatting sqref="C1242:D1242">
    <cfRule type="containsText" dxfId="1366" priority="1428" operator="containsText" text="NUEVO">
      <formula>NOT(ISERROR(SEARCH("NUEVO",C1242)))</formula>
    </cfRule>
  </conditionalFormatting>
  <conditionalFormatting sqref="E1242">
    <cfRule type="containsText" dxfId="1365" priority="1426" operator="containsText" text="NUEVO">
      <formula>NOT(ISERROR(SEARCH("NUEVO",E1242)))</formula>
    </cfRule>
  </conditionalFormatting>
  <conditionalFormatting sqref="E1242">
    <cfRule type="containsText" dxfId="1364" priority="1427" operator="containsText" text="Sin información">
      <formula>NOT(ISERROR(SEARCH("Sin información",E1242)))</formula>
    </cfRule>
  </conditionalFormatting>
  <conditionalFormatting sqref="C1243:D1243">
    <cfRule type="containsText" dxfId="1363" priority="1425" operator="containsText" text="NO+$D$4:$D$10">
      <formula>NOT(ISERROR(SEARCH("NO+$D$4:$D$10",C1243)))</formula>
    </cfRule>
  </conditionalFormatting>
  <conditionalFormatting sqref="C1243:D1243">
    <cfRule type="containsText" dxfId="1362" priority="1423" operator="containsText" text="SI">
      <formula>NOT(ISERROR(SEARCH("SI",C1243)))</formula>
    </cfRule>
    <cfRule type="containsText" dxfId="1361" priority="1424" operator="containsText" text="NO">
      <formula>NOT(ISERROR(SEARCH("NO",C1243)))</formula>
    </cfRule>
  </conditionalFormatting>
  <conditionalFormatting sqref="C1243:D1243">
    <cfRule type="containsText" dxfId="1360" priority="1422" operator="containsText" text="NUEVO">
      <formula>NOT(ISERROR(SEARCH("NUEVO",C1243)))</formula>
    </cfRule>
  </conditionalFormatting>
  <conditionalFormatting sqref="E1243">
    <cfRule type="containsText" dxfId="1359" priority="1420" operator="containsText" text="NUEVO">
      <formula>NOT(ISERROR(SEARCH("NUEVO",E1243)))</formula>
    </cfRule>
  </conditionalFormatting>
  <conditionalFormatting sqref="E1243">
    <cfRule type="containsText" dxfId="1358" priority="1421" operator="containsText" text="Sin información">
      <formula>NOT(ISERROR(SEARCH("Sin información",E1243)))</formula>
    </cfRule>
  </conditionalFormatting>
  <conditionalFormatting sqref="C1245:D1245">
    <cfRule type="containsText" dxfId="1357" priority="1419" operator="containsText" text="NO+$D$4:$D$10">
      <formula>NOT(ISERROR(SEARCH("NO+$D$4:$D$10",C1245)))</formula>
    </cfRule>
  </conditionalFormatting>
  <conditionalFormatting sqref="C1245:D1245">
    <cfRule type="containsText" dxfId="1356" priority="1417" operator="containsText" text="SI">
      <formula>NOT(ISERROR(SEARCH("SI",C1245)))</formula>
    </cfRule>
    <cfRule type="containsText" dxfId="1355" priority="1418" operator="containsText" text="NO">
      <formula>NOT(ISERROR(SEARCH("NO",C1245)))</formula>
    </cfRule>
  </conditionalFormatting>
  <conditionalFormatting sqref="E1245">
    <cfRule type="containsText" dxfId="1354" priority="1416" operator="containsText" text="Sin información">
      <formula>NOT(ISERROR(SEARCH("Sin información",E1245)))</formula>
    </cfRule>
  </conditionalFormatting>
  <conditionalFormatting sqref="C1245:E1245">
    <cfRule type="containsText" dxfId="1353" priority="1415" operator="containsText" text="NUEVO">
      <formula>NOT(ISERROR(SEARCH("NUEVO",C1245)))</formula>
    </cfRule>
  </conditionalFormatting>
  <conditionalFormatting sqref="C1247:D1247">
    <cfRule type="containsText" dxfId="1352" priority="1414" operator="containsText" text="NO+$D$4:$D$10">
      <formula>NOT(ISERROR(SEARCH("NO+$D$4:$D$10",C1247)))</formula>
    </cfRule>
  </conditionalFormatting>
  <conditionalFormatting sqref="C1247:D1247">
    <cfRule type="containsText" dxfId="1351" priority="1412" operator="containsText" text="SI">
      <formula>NOT(ISERROR(SEARCH("SI",C1247)))</formula>
    </cfRule>
    <cfRule type="containsText" dxfId="1350" priority="1413" operator="containsText" text="NO">
      <formula>NOT(ISERROR(SEARCH("NO",C1247)))</formula>
    </cfRule>
  </conditionalFormatting>
  <conditionalFormatting sqref="E1247">
    <cfRule type="containsText" dxfId="1349" priority="1411" operator="containsText" text="Sin información">
      <formula>NOT(ISERROR(SEARCH("Sin información",E1247)))</formula>
    </cfRule>
  </conditionalFormatting>
  <conditionalFormatting sqref="C1247:E1247">
    <cfRule type="containsText" dxfId="1348" priority="1410" operator="containsText" text="NUEVO">
      <formula>NOT(ISERROR(SEARCH("NUEVO",C1247)))</formula>
    </cfRule>
  </conditionalFormatting>
  <conditionalFormatting sqref="C1255:D1255">
    <cfRule type="containsText" dxfId="1347" priority="1404" operator="containsText" text="NO+$D$4:$D$10">
      <formula>NOT(ISERROR(SEARCH("NO+$D$4:$D$10",C1255)))</formula>
    </cfRule>
  </conditionalFormatting>
  <conditionalFormatting sqref="C1255:D1255">
    <cfRule type="containsText" dxfId="1346" priority="1402" operator="containsText" text="SI">
      <formula>NOT(ISERROR(SEARCH("SI",C1255)))</formula>
    </cfRule>
    <cfRule type="containsText" dxfId="1345" priority="1403" operator="containsText" text="NO">
      <formula>NOT(ISERROR(SEARCH("NO",C1255)))</formula>
    </cfRule>
  </conditionalFormatting>
  <conditionalFormatting sqref="E1255">
    <cfRule type="containsText" dxfId="1344" priority="1401" operator="containsText" text="Sin información">
      <formula>NOT(ISERROR(SEARCH("Sin información",E1255)))</formula>
    </cfRule>
  </conditionalFormatting>
  <conditionalFormatting sqref="C1255:E1255">
    <cfRule type="containsText" dxfId="1343" priority="1400" operator="containsText" text="NUEVO">
      <formula>NOT(ISERROR(SEARCH("NUEVO",C1255)))</formula>
    </cfRule>
  </conditionalFormatting>
  <conditionalFormatting sqref="C1250:D1250">
    <cfRule type="containsText" dxfId="1342" priority="1409" operator="containsText" text="NO+$D$4:$D$10">
      <formula>NOT(ISERROR(SEARCH("NO+$D$4:$D$10",C1250)))</formula>
    </cfRule>
  </conditionalFormatting>
  <conditionalFormatting sqref="C1250:D1250">
    <cfRule type="containsText" dxfId="1341" priority="1407" operator="containsText" text="SI">
      <formula>NOT(ISERROR(SEARCH("SI",C1250)))</formula>
    </cfRule>
    <cfRule type="containsText" dxfId="1340" priority="1408" operator="containsText" text="NO">
      <formula>NOT(ISERROR(SEARCH("NO",C1250)))</formula>
    </cfRule>
  </conditionalFormatting>
  <conditionalFormatting sqref="E1250">
    <cfRule type="containsText" dxfId="1339" priority="1406" operator="containsText" text="Sin información">
      <formula>NOT(ISERROR(SEARCH("Sin información",E1250)))</formula>
    </cfRule>
  </conditionalFormatting>
  <conditionalFormatting sqref="C1250:E1250">
    <cfRule type="containsText" dxfId="1338" priority="1405" operator="containsText" text="NUEVO">
      <formula>NOT(ISERROR(SEARCH("NUEVO",C1250)))</formula>
    </cfRule>
  </conditionalFormatting>
  <conditionalFormatting sqref="E1255">
    <cfRule type="containsText" dxfId="1337" priority="1399" operator="containsText" text="NUEVO">
      <formula>NOT(ISERROR(SEARCH("NUEVO",E1255)))</formula>
    </cfRule>
  </conditionalFormatting>
  <conditionalFormatting sqref="E1255">
    <cfRule type="containsText" dxfId="1336" priority="1398" operator="containsText" text="Sin información">
      <formula>NOT(ISERROR(SEARCH("Sin información",E1255)))</formula>
    </cfRule>
  </conditionalFormatting>
  <conditionalFormatting sqref="C1258:D1258">
    <cfRule type="containsText" dxfId="1335" priority="1397" operator="containsText" text="NO+$D$4:$D$10">
      <formula>NOT(ISERROR(SEARCH("NO+$D$4:$D$10",C1258)))</formula>
    </cfRule>
  </conditionalFormatting>
  <conditionalFormatting sqref="C1258:D1258">
    <cfRule type="containsText" dxfId="1334" priority="1395" operator="containsText" text="SI">
      <formula>NOT(ISERROR(SEARCH("SI",C1258)))</formula>
    </cfRule>
    <cfRule type="containsText" dxfId="1333" priority="1396" operator="containsText" text="NO">
      <formula>NOT(ISERROR(SEARCH("NO",C1258)))</formula>
    </cfRule>
  </conditionalFormatting>
  <conditionalFormatting sqref="C1258:D1258">
    <cfRule type="containsText" dxfId="1332" priority="1394" operator="containsText" text="NUEVO">
      <formula>NOT(ISERROR(SEARCH("NUEVO",C1258)))</formula>
    </cfRule>
  </conditionalFormatting>
  <conditionalFormatting sqref="E1258">
    <cfRule type="containsText" dxfId="1331" priority="1392" operator="containsText" text="NUEVO">
      <formula>NOT(ISERROR(SEARCH("NUEVO",E1258)))</formula>
    </cfRule>
  </conditionalFormatting>
  <conditionalFormatting sqref="E1258">
    <cfRule type="containsText" dxfId="1330" priority="1393" operator="containsText" text="Sin información">
      <formula>NOT(ISERROR(SEARCH("Sin información",E1258)))</formula>
    </cfRule>
  </conditionalFormatting>
  <conditionalFormatting sqref="C1259:D1259">
    <cfRule type="containsText" dxfId="1329" priority="1391" operator="containsText" text="NO+$D$4:$D$10">
      <formula>NOT(ISERROR(SEARCH("NO+$D$4:$D$10",C1259)))</formula>
    </cfRule>
  </conditionalFormatting>
  <conditionalFormatting sqref="C1259:D1259">
    <cfRule type="containsText" dxfId="1328" priority="1389" operator="containsText" text="SI">
      <formula>NOT(ISERROR(SEARCH("SI",C1259)))</formula>
    </cfRule>
    <cfRule type="containsText" dxfId="1327" priority="1390" operator="containsText" text="NO">
      <formula>NOT(ISERROR(SEARCH("NO",C1259)))</formula>
    </cfRule>
  </conditionalFormatting>
  <conditionalFormatting sqref="C1259:D1259">
    <cfRule type="containsText" dxfId="1326" priority="1388" operator="containsText" text="NUEVO">
      <formula>NOT(ISERROR(SEARCH("NUEVO",C1259)))</formula>
    </cfRule>
  </conditionalFormatting>
  <conditionalFormatting sqref="E1259">
    <cfRule type="containsText" dxfId="1325" priority="1386" operator="containsText" text="NUEVO">
      <formula>NOT(ISERROR(SEARCH("NUEVO",E1259)))</formula>
    </cfRule>
  </conditionalFormatting>
  <conditionalFormatting sqref="E1259">
    <cfRule type="containsText" dxfId="1324" priority="1387" operator="containsText" text="Sin información">
      <formula>NOT(ISERROR(SEARCH("Sin información",E1259)))</formula>
    </cfRule>
  </conditionalFormatting>
  <conditionalFormatting sqref="C1260:D1260">
    <cfRule type="containsText" dxfId="1323" priority="1385" operator="containsText" text="NO+$D$4:$D$10">
      <formula>NOT(ISERROR(SEARCH("NO+$D$4:$D$10",C1260)))</formula>
    </cfRule>
  </conditionalFormatting>
  <conditionalFormatting sqref="C1260:D1260">
    <cfRule type="containsText" dxfId="1322" priority="1383" operator="containsText" text="SI">
      <formula>NOT(ISERROR(SEARCH("SI",C1260)))</formula>
    </cfRule>
    <cfRule type="containsText" dxfId="1321" priority="1384" operator="containsText" text="NO">
      <formula>NOT(ISERROR(SEARCH("NO",C1260)))</formula>
    </cfRule>
  </conditionalFormatting>
  <conditionalFormatting sqref="C1260:D1260">
    <cfRule type="containsText" dxfId="1320" priority="1382" operator="containsText" text="NUEVO">
      <formula>NOT(ISERROR(SEARCH("NUEVO",C1260)))</formula>
    </cfRule>
  </conditionalFormatting>
  <conditionalFormatting sqref="E1260">
    <cfRule type="containsText" dxfId="1319" priority="1381" operator="containsText" text="Sin información">
      <formula>NOT(ISERROR(SEARCH("Sin información",E1260)))</formula>
    </cfRule>
  </conditionalFormatting>
  <conditionalFormatting sqref="E1260">
    <cfRule type="containsText" dxfId="1318" priority="1380" operator="containsText" text="NUEVO">
      <formula>NOT(ISERROR(SEARCH("NUEVO",E1260)))</formula>
    </cfRule>
  </conditionalFormatting>
  <conditionalFormatting sqref="C1261:D1266">
    <cfRule type="containsText" dxfId="1317" priority="1379" operator="containsText" text="NO+$D$4:$D$10">
      <formula>NOT(ISERROR(SEARCH("NO+$D$4:$D$10",C1261)))</formula>
    </cfRule>
  </conditionalFormatting>
  <conditionalFormatting sqref="C1261:D1266">
    <cfRule type="containsText" dxfId="1316" priority="1377" operator="containsText" text="SI">
      <formula>NOT(ISERROR(SEARCH("SI",C1261)))</formula>
    </cfRule>
    <cfRule type="containsText" dxfId="1315" priority="1378" operator="containsText" text="NO">
      <formula>NOT(ISERROR(SEARCH("NO",C1261)))</formula>
    </cfRule>
  </conditionalFormatting>
  <conditionalFormatting sqref="C1261:D1266">
    <cfRule type="containsText" dxfId="1314" priority="1376" operator="containsText" text="NUEVO">
      <formula>NOT(ISERROR(SEARCH("NUEVO",C1261)))</formula>
    </cfRule>
  </conditionalFormatting>
  <conditionalFormatting sqref="E1261:E1266">
    <cfRule type="containsText" dxfId="1313" priority="1375" operator="containsText" text="Sin información">
      <formula>NOT(ISERROR(SEARCH("Sin información",E1261)))</formula>
    </cfRule>
  </conditionalFormatting>
  <conditionalFormatting sqref="E1261:E1266">
    <cfRule type="containsText" dxfId="1312" priority="1374" operator="containsText" text="NUEVO">
      <formula>NOT(ISERROR(SEARCH("NUEVO",E1261)))</formula>
    </cfRule>
  </conditionalFormatting>
  <conditionalFormatting sqref="C1267:D1271">
    <cfRule type="containsText" dxfId="1311" priority="1373" operator="containsText" text="NO+$D$4:$D$10">
      <formula>NOT(ISERROR(SEARCH("NO+$D$4:$D$10",C1267)))</formula>
    </cfRule>
  </conditionalFormatting>
  <conditionalFormatting sqref="C1267:D1271">
    <cfRule type="containsText" dxfId="1310" priority="1371" operator="containsText" text="SI">
      <formula>NOT(ISERROR(SEARCH("SI",C1267)))</formula>
    </cfRule>
    <cfRule type="containsText" dxfId="1309" priority="1372" operator="containsText" text="NO">
      <formula>NOT(ISERROR(SEARCH("NO",C1267)))</formula>
    </cfRule>
  </conditionalFormatting>
  <conditionalFormatting sqref="C1267:D1271">
    <cfRule type="containsText" dxfId="1308" priority="1370" operator="containsText" text="NUEVO">
      <formula>NOT(ISERROR(SEARCH("NUEVO",C1267)))</formula>
    </cfRule>
  </conditionalFormatting>
  <conditionalFormatting sqref="E1267:E1269">
    <cfRule type="containsText" dxfId="1307" priority="1369" operator="containsText" text="Sin información">
      <formula>NOT(ISERROR(SEARCH("Sin información",E1267)))</formula>
    </cfRule>
  </conditionalFormatting>
  <conditionalFormatting sqref="E1267:E1269">
    <cfRule type="containsText" dxfId="1306" priority="1368" operator="containsText" text="NUEVO">
      <formula>NOT(ISERROR(SEARCH("NUEVO",E1267)))</formula>
    </cfRule>
  </conditionalFormatting>
  <conditionalFormatting sqref="E1270">
    <cfRule type="containsText" dxfId="1305" priority="1366" operator="containsText" text="NUEVO">
      <formula>NOT(ISERROR(SEARCH("NUEVO",E1270)))</formula>
    </cfRule>
  </conditionalFormatting>
  <conditionalFormatting sqref="E1270">
    <cfRule type="containsText" dxfId="1304" priority="1367" operator="containsText" text="Sin información">
      <formula>NOT(ISERROR(SEARCH("Sin información",E1270)))</formula>
    </cfRule>
  </conditionalFormatting>
  <conditionalFormatting sqref="E1271">
    <cfRule type="containsText" dxfId="1303" priority="1364" operator="containsText" text="NUEVO">
      <formula>NOT(ISERROR(SEARCH("NUEVO",E1271)))</formula>
    </cfRule>
  </conditionalFormatting>
  <conditionalFormatting sqref="E1271">
    <cfRule type="containsText" dxfId="1302" priority="1365" operator="containsText" text="Sin información">
      <formula>NOT(ISERROR(SEARCH("Sin información",E1271)))</formula>
    </cfRule>
  </conditionalFormatting>
  <conditionalFormatting sqref="C1248:D1248">
    <cfRule type="containsText" dxfId="1301" priority="1363" operator="containsText" text="NO+$D$4:$D$10">
      <formula>NOT(ISERROR(SEARCH("NO+$D$4:$D$10",C1248)))</formula>
    </cfRule>
  </conditionalFormatting>
  <conditionalFormatting sqref="C1248:D1248">
    <cfRule type="containsText" dxfId="1300" priority="1361" operator="containsText" text="SI">
      <formula>NOT(ISERROR(SEARCH("SI",C1248)))</formula>
    </cfRule>
    <cfRule type="containsText" dxfId="1299" priority="1362" operator="containsText" text="NO">
      <formula>NOT(ISERROR(SEARCH("NO",C1248)))</formula>
    </cfRule>
  </conditionalFormatting>
  <conditionalFormatting sqref="C1248:D1248">
    <cfRule type="containsText" dxfId="1298" priority="1360" operator="containsText" text="NUEVO">
      <formula>NOT(ISERROR(SEARCH("NUEVO",C1248)))</formula>
    </cfRule>
  </conditionalFormatting>
  <conditionalFormatting sqref="E1248">
    <cfRule type="containsText" dxfId="1297" priority="1359" operator="containsText" text="Sin información">
      <formula>NOT(ISERROR(SEARCH("Sin información",E1248)))</formula>
    </cfRule>
  </conditionalFormatting>
  <conditionalFormatting sqref="E1248">
    <cfRule type="containsText" dxfId="1296" priority="1358" operator="containsText" text="NUEVO">
      <formula>NOT(ISERROR(SEARCH("NUEVO",E1248)))</formula>
    </cfRule>
  </conditionalFormatting>
  <conditionalFormatting sqref="C1251:D1251">
    <cfRule type="containsText" dxfId="1295" priority="1357" operator="containsText" text="NO+$D$4:$D$10">
      <formula>NOT(ISERROR(SEARCH("NO+$D$4:$D$10",C1251)))</formula>
    </cfRule>
  </conditionalFormatting>
  <conditionalFormatting sqref="C1251:D1251">
    <cfRule type="containsText" dxfId="1294" priority="1355" operator="containsText" text="SI">
      <formula>NOT(ISERROR(SEARCH("SI",C1251)))</formula>
    </cfRule>
    <cfRule type="containsText" dxfId="1293" priority="1356" operator="containsText" text="NO">
      <formula>NOT(ISERROR(SEARCH("NO",C1251)))</formula>
    </cfRule>
  </conditionalFormatting>
  <conditionalFormatting sqref="C1251:D1251">
    <cfRule type="containsText" dxfId="1292" priority="1354" operator="containsText" text="NUEVO">
      <formula>NOT(ISERROR(SEARCH("NUEVO",C1251)))</formula>
    </cfRule>
  </conditionalFormatting>
  <conditionalFormatting sqref="E1251">
    <cfRule type="containsText" dxfId="1291" priority="1353" operator="containsText" text="Sin información">
      <formula>NOT(ISERROR(SEARCH("Sin información",E1251)))</formula>
    </cfRule>
  </conditionalFormatting>
  <conditionalFormatting sqref="E1251">
    <cfRule type="containsText" dxfId="1290" priority="1351" operator="containsText" text="NUEVO">
      <formula>NOT(ISERROR(SEARCH("NUEVO",E1251)))</formula>
    </cfRule>
  </conditionalFormatting>
  <conditionalFormatting sqref="E1251">
    <cfRule type="containsText" dxfId="1289" priority="1352" operator="containsText" text="Sin información">
      <formula>NOT(ISERROR(SEARCH("Sin información",E1251)))</formula>
    </cfRule>
  </conditionalFormatting>
  <conditionalFormatting sqref="C1217:D1217">
    <cfRule type="containsText" dxfId="1288" priority="1350" operator="containsText" text="NO+$D$4:$D$10">
      <formula>NOT(ISERROR(SEARCH("NO+$D$4:$D$10",C1217)))</formula>
    </cfRule>
  </conditionalFormatting>
  <conditionalFormatting sqref="C1217:D1217">
    <cfRule type="containsText" dxfId="1287" priority="1348" operator="containsText" text="SI">
      <formula>NOT(ISERROR(SEARCH("SI",C1217)))</formula>
    </cfRule>
    <cfRule type="containsText" dxfId="1286" priority="1349" operator="containsText" text="NO">
      <formula>NOT(ISERROR(SEARCH("NO",C1217)))</formula>
    </cfRule>
  </conditionalFormatting>
  <conditionalFormatting sqref="C1217:D1217">
    <cfRule type="containsText" dxfId="1285" priority="1347" operator="containsText" text="NUEVO">
      <formula>NOT(ISERROR(SEARCH("NUEVO",C1217)))</formula>
    </cfRule>
  </conditionalFormatting>
  <conditionalFormatting sqref="E1217">
    <cfRule type="containsText" dxfId="1284" priority="1346" operator="containsText" text="Sin información">
      <formula>NOT(ISERROR(SEARCH("Sin información",E1217)))</formula>
    </cfRule>
  </conditionalFormatting>
  <conditionalFormatting sqref="E1217">
    <cfRule type="containsText" dxfId="1283" priority="1344" operator="containsText" text="NUEVO">
      <formula>NOT(ISERROR(SEARCH("NUEVO",E1217)))</formula>
    </cfRule>
  </conditionalFormatting>
  <conditionalFormatting sqref="E1217">
    <cfRule type="containsText" dxfId="1282" priority="1345" operator="containsText" text="Sin información">
      <formula>NOT(ISERROR(SEARCH("Sin información",E1217)))</formula>
    </cfRule>
  </conditionalFormatting>
  <conditionalFormatting sqref="C1216:D1216">
    <cfRule type="containsText" dxfId="1281" priority="1343" operator="containsText" text="NO+$D$4:$D$10">
      <formula>NOT(ISERROR(SEARCH("NO+$D$4:$D$10",C1216)))</formula>
    </cfRule>
  </conditionalFormatting>
  <conditionalFormatting sqref="C1216:D1216">
    <cfRule type="containsText" dxfId="1280" priority="1341" operator="containsText" text="SI">
      <formula>NOT(ISERROR(SEARCH("SI",C1216)))</formula>
    </cfRule>
    <cfRule type="containsText" dxfId="1279" priority="1342" operator="containsText" text="NO">
      <formula>NOT(ISERROR(SEARCH("NO",C1216)))</formula>
    </cfRule>
  </conditionalFormatting>
  <conditionalFormatting sqref="C1216:D1216">
    <cfRule type="containsText" dxfId="1278" priority="1340" operator="containsText" text="NUEVO">
      <formula>NOT(ISERROR(SEARCH("NUEVO",C1216)))</formula>
    </cfRule>
  </conditionalFormatting>
  <conditionalFormatting sqref="E1216">
    <cfRule type="containsText" dxfId="1277" priority="1339" operator="containsText" text="Sin información">
      <formula>NOT(ISERROR(SEARCH("Sin información",E1216)))</formula>
    </cfRule>
  </conditionalFormatting>
  <conditionalFormatting sqref="E1216">
    <cfRule type="containsText" dxfId="1276" priority="1337" operator="containsText" text="NUEVO">
      <formula>NOT(ISERROR(SEARCH("NUEVO",E1216)))</formula>
    </cfRule>
  </conditionalFormatting>
  <conditionalFormatting sqref="E1216">
    <cfRule type="containsText" dxfId="1275" priority="1338" operator="containsText" text="Sin información">
      <formula>NOT(ISERROR(SEARCH("Sin información",E1216)))</formula>
    </cfRule>
  </conditionalFormatting>
  <conditionalFormatting sqref="C1215:D1215">
    <cfRule type="containsText" dxfId="1274" priority="1336" operator="containsText" text="NO+$D$4:$D$10">
      <formula>NOT(ISERROR(SEARCH("NO+$D$4:$D$10",C1215)))</formula>
    </cfRule>
  </conditionalFormatting>
  <conditionalFormatting sqref="C1215:D1215">
    <cfRule type="containsText" dxfId="1273" priority="1334" operator="containsText" text="SI">
      <formula>NOT(ISERROR(SEARCH("SI",C1215)))</formula>
    </cfRule>
    <cfRule type="containsText" dxfId="1272" priority="1335" operator="containsText" text="NO">
      <formula>NOT(ISERROR(SEARCH("NO",C1215)))</formula>
    </cfRule>
  </conditionalFormatting>
  <conditionalFormatting sqref="C1215:D1215">
    <cfRule type="containsText" dxfId="1271" priority="1333" operator="containsText" text="NUEVO">
      <formula>NOT(ISERROR(SEARCH("NUEVO",C1215)))</formula>
    </cfRule>
  </conditionalFormatting>
  <conditionalFormatting sqref="E1215">
    <cfRule type="containsText" dxfId="1270" priority="1332" operator="containsText" text="Sin información">
      <formula>NOT(ISERROR(SEARCH("Sin información",E1215)))</formula>
    </cfRule>
  </conditionalFormatting>
  <conditionalFormatting sqref="E1215">
    <cfRule type="containsText" dxfId="1269" priority="1331" operator="containsText" text="NUEVO">
      <formula>NOT(ISERROR(SEARCH("NUEVO",E1215)))</formula>
    </cfRule>
  </conditionalFormatting>
  <conditionalFormatting sqref="C1212:D1212">
    <cfRule type="containsText" dxfId="1268" priority="1330" operator="containsText" text="NO+$D$4:$D$10">
      <formula>NOT(ISERROR(SEARCH("NO+$D$4:$D$10",C1212)))</formula>
    </cfRule>
  </conditionalFormatting>
  <conditionalFormatting sqref="C1212:D1212">
    <cfRule type="containsText" dxfId="1267" priority="1328" operator="containsText" text="SI">
      <formula>NOT(ISERROR(SEARCH("SI",C1212)))</formula>
    </cfRule>
    <cfRule type="containsText" dxfId="1266" priority="1329" operator="containsText" text="NO">
      <formula>NOT(ISERROR(SEARCH("NO",C1212)))</formula>
    </cfRule>
  </conditionalFormatting>
  <conditionalFormatting sqref="C1212:D1212">
    <cfRule type="containsText" dxfId="1265" priority="1327" operator="containsText" text="NUEVO">
      <formula>NOT(ISERROR(SEARCH("NUEVO",C1212)))</formula>
    </cfRule>
  </conditionalFormatting>
  <conditionalFormatting sqref="E1212">
    <cfRule type="containsText" dxfId="1264" priority="1326" operator="containsText" text="Sin información">
      <formula>NOT(ISERROR(SEARCH("Sin información",E1212)))</formula>
    </cfRule>
  </conditionalFormatting>
  <conditionalFormatting sqref="E1212">
    <cfRule type="containsText" dxfId="1263" priority="1325" operator="containsText" text="NUEVO">
      <formula>NOT(ISERROR(SEARCH("NUEVO",E1212)))</formula>
    </cfRule>
  </conditionalFormatting>
  <conditionalFormatting sqref="C1272:D1272">
    <cfRule type="containsText" dxfId="1262" priority="1324" operator="containsText" text="NO+$D$4:$D$10">
      <formula>NOT(ISERROR(SEARCH("NO+$D$4:$D$10",C1272)))</formula>
    </cfRule>
  </conditionalFormatting>
  <conditionalFormatting sqref="C1272:D1272">
    <cfRule type="containsText" dxfId="1261" priority="1322" operator="containsText" text="SI">
      <formula>NOT(ISERROR(SEARCH("SI",C1272)))</formula>
    </cfRule>
    <cfRule type="containsText" dxfId="1260" priority="1323" operator="containsText" text="NO">
      <formula>NOT(ISERROR(SEARCH("NO",C1272)))</formula>
    </cfRule>
  </conditionalFormatting>
  <conditionalFormatting sqref="C1272:D1272">
    <cfRule type="containsText" dxfId="1259" priority="1321" operator="containsText" text="NUEVO">
      <formula>NOT(ISERROR(SEARCH("NUEVO",C1272)))</formula>
    </cfRule>
  </conditionalFormatting>
  <conditionalFormatting sqref="E1272">
    <cfRule type="containsText" dxfId="1258" priority="1319" operator="containsText" text="NUEVO">
      <formula>NOT(ISERROR(SEARCH("NUEVO",E1272)))</formula>
    </cfRule>
  </conditionalFormatting>
  <conditionalFormatting sqref="E1272">
    <cfRule type="containsText" dxfId="1257" priority="1320" operator="containsText" text="Sin información">
      <formula>NOT(ISERROR(SEARCH("Sin información",E1272)))</formula>
    </cfRule>
  </conditionalFormatting>
  <conditionalFormatting sqref="C1273:D1273">
    <cfRule type="containsText" dxfId="1256" priority="1318" operator="containsText" text="NO+$D$4:$D$10">
      <formula>NOT(ISERROR(SEARCH("NO+$D$4:$D$10",C1273)))</formula>
    </cfRule>
  </conditionalFormatting>
  <conditionalFormatting sqref="C1273:D1273">
    <cfRule type="containsText" dxfId="1255" priority="1316" operator="containsText" text="SI">
      <formula>NOT(ISERROR(SEARCH("SI",C1273)))</formula>
    </cfRule>
    <cfRule type="containsText" dxfId="1254" priority="1317" operator="containsText" text="NO">
      <formula>NOT(ISERROR(SEARCH("NO",C1273)))</formula>
    </cfRule>
  </conditionalFormatting>
  <conditionalFormatting sqref="E1273">
    <cfRule type="containsText" dxfId="1253" priority="1315" operator="containsText" text="Sin información">
      <formula>NOT(ISERROR(SEARCH("Sin información",E1273)))</formula>
    </cfRule>
  </conditionalFormatting>
  <conditionalFormatting sqref="C1273:E1273">
    <cfRule type="containsText" dxfId="1252" priority="1314" operator="containsText" text="NUEVO">
      <formula>NOT(ISERROR(SEARCH("NUEVO",C1273)))</formula>
    </cfRule>
  </conditionalFormatting>
  <conditionalFormatting sqref="C1274:D1274">
    <cfRule type="containsText" dxfId="1251" priority="1313" operator="containsText" text="NO+$D$4:$D$10">
      <formula>NOT(ISERROR(SEARCH("NO+$D$4:$D$10",C1274)))</formula>
    </cfRule>
  </conditionalFormatting>
  <conditionalFormatting sqref="C1274:D1274">
    <cfRule type="containsText" dxfId="1250" priority="1311" operator="containsText" text="SI">
      <formula>NOT(ISERROR(SEARCH("SI",C1274)))</formula>
    </cfRule>
    <cfRule type="containsText" dxfId="1249" priority="1312" operator="containsText" text="NO">
      <formula>NOT(ISERROR(SEARCH("NO",C1274)))</formula>
    </cfRule>
  </conditionalFormatting>
  <conditionalFormatting sqref="E1274">
    <cfRule type="containsText" dxfId="1248" priority="1310" operator="containsText" text="Sin información">
      <formula>NOT(ISERROR(SEARCH("Sin información",E1274)))</formula>
    </cfRule>
  </conditionalFormatting>
  <conditionalFormatting sqref="C1274:E1274">
    <cfRule type="containsText" dxfId="1247" priority="1309" operator="containsText" text="NUEVO">
      <formula>NOT(ISERROR(SEARCH("NUEVO",C1274)))</formula>
    </cfRule>
  </conditionalFormatting>
  <conditionalFormatting sqref="C1292:D1292">
    <cfRule type="containsText" dxfId="1246" priority="1308" operator="containsText" text="NO+$D$4:$D$10">
      <formula>NOT(ISERROR(SEARCH("NO+$D$4:$D$10",C1292)))</formula>
    </cfRule>
  </conditionalFormatting>
  <conditionalFormatting sqref="C1292:D1292">
    <cfRule type="containsText" dxfId="1245" priority="1306" operator="containsText" text="SI">
      <formula>NOT(ISERROR(SEARCH("SI",C1292)))</formula>
    </cfRule>
    <cfRule type="containsText" dxfId="1244" priority="1307" operator="containsText" text="NO">
      <formula>NOT(ISERROR(SEARCH("NO",C1292)))</formula>
    </cfRule>
  </conditionalFormatting>
  <conditionalFormatting sqref="E1292">
    <cfRule type="containsText" dxfId="1243" priority="1305" operator="containsText" text="Sin información">
      <formula>NOT(ISERROR(SEARCH("Sin información",E1292)))</formula>
    </cfRule>
  </conditionalFormatting>
  <conditionalFormatting sqref="C1292:E1292">
    <cfRule type="containsText" dxfId="1242" priority="1304" operator="containsText" text="NUEVO">
      <formula>NOT(ISERROR(SEARCH("NUEVO",C1292)))</formula>
    </cfRule>
  </conditionalFormatting>
  <conditionalFormatting sqref="E1292">
    <cfRule type="containsText" dxfId="1241" priority="1303" operator="containsText" text="NUEVO">
      <formula>NOT(ISERROR(SEARCH("NUEVO",E1292)))</formula>
    </cfRule>
  </conditionalFormatting>
  <conditionalFormatting sqref="E1292">
    <cfRule type="containsText" dxfId="1240" priority="1302" operator="containsText" text="Sin información">
      <formula>NOT(ISERROR(SEARCH("Sin información",E1292)))</formula>
    </cfRule>
  </conditionalFormatting>
  <conditionalFormatting sqref="C1293:D1293">
    <cfRule type="containsText" dxfId="1239" priority="1301" operator="containsText" text="NO+$D$4:$D$10">
      <formula>NOT(ISERROR(SEARCH("NO+$D$4:$D$10",C1293)))</formula>
    </cfRule>
  </conditionalFormatting>
  <conditionalFormatting sqref="C1293:D1293">
    <cfRule type="containsText" dxfId="1238" priority="1299" operator="containsText" text="SI">
      <formula>NOT(ISERROR(SEARCH("SI",C1293)))</formula>
    </cfRule>
    <cfRule type="containsText" dxfId="1237" priority="1300" operator="containsText" text="NO">
      <formula>NOT(ISERROR(SEARCH("NO",C1293)))</formula>
    </cfRule>
  </conditionalFormatting>
  <conditionalFormatting sqref="E1293">
    <cfRule type="containsText" dxfId="1236" priority="1298" operator="containsText" text="Sin información">
      <formula>NOT(ISERROR(SEARCH("Sin información",E1293)))</formula>
    </cfRule>
  </conditionalFormatting>
  <conditionalFormatting sqref="C1293:E1293">
    <cfRule type="containsText" dxfId="1235" priority="1297" operator="containsText" text="NUEVO">
      <formula>NOT(ISERROR(SEARCH("NUEVO",C1293)))</formula>
    </cfRule>
  </conditionalFormatting>
  <conditionalFormatting sqref="E1293">
    <cfRule type="containsText" dxfId="1234" priority="1296" operator="containsText" text="NUEVO">
      <formula>NOT(ISERROR(SEARCH("NUEVO",E1293)))</formula>
    </cfRule>
  </conditionalFormatting>
  <conditionalFormatting sqref="E1293">
    <cfRule type="containsText" dxfId="1233" priority="1295" operator="containsText" text="Sin información">
      <formula>NOT(ISERROR(SEARCH("Sin información",E1293)))</formula>
    </cfRule>
  </conditionalFormatting>
  <conditionalFormatting sqref="C1294:D1294">
    <cfRule type="containsText" dxfId="1232" priority="1294" operator="containsText" text="NO+$D$4:$D$10">
      <formula>NOT(ISERROR(SEARCH("NO+$D$4:$D$10",C1294)))</formula>
    </cfRule>
  </conditionalFormatting>
  <conditionalFormatting sqref="C1294:D1294">
    <cfRule type="containsText" dxfId="1231" priority="1292" operator="containsText" text="SI">
      <formula>NOT(ISERROR(SEARCH("SI",C1294)))</formula>
    </cfRule>
    <cfRule type="containsText" dxfId="1230" priority="1293" operator="containsText" text="NO">
      <formula>NOT(ISERROR(SEARCH("NO",C1294)))</formula>
    </cfRule>
  </conditionalFormatting>
  <conditionalFormatting sqref="E1294">
    <cfRule type="containsText" dxfId="1229" priority="1291" operator="containsText" text="Sin información">
      <formula>NOT(ISERROR(SEARCH("Sin información",E1294)))</formula>
    </cfRule>
  </conditionalFormatting>
  <conditionalFormatting sqref="C1294:E1294">
    <cfRule type="containsText" dxfId="1228" priority="1290" operator="containsText" text="NUEVO">
      <formula>NOT(ISERROR(SEARCH("NUEVO",C1294)))</formula>
    </cfRule>
  </conditionalFormatting>
  <conditionalFormatting sqref="E1294">
    <cfRule type="containsText" dxfId="1227" priority="1289" operator="containsText" text="NUEVO">
      <formula>NOT(ISERROR(SEARCH("NUEVO",E1294)))</formula>
    </cfRule>
  </conditionalFormatting>
  <conditionalFormatting sqref="E1294">
    <cfRule type="containsText" dxfId="1226" priority="1288" operator="containsText" text="Sin información">
      <formula>NOT(ISERROR(SEARCH("Sin información",E1294)))</formula>
    </cfRule>
  </conditionalFormatting>
  <conditionalFormatting sqref="C1295:D1295">
    <cfRule type="containsText" dxfId="1225" priority="1287" operator="containsText" text="NO+$D$4:$D$10">
      <formula>NOT(ISERROR(SEARCH("NO+$D$4:$D$10",C1295)))</formula>
    </cfRule>
  </conditionalFormatting>
  <conditionalFormatting sqref="C1295:D1295">
    <cfRule type="containsText" dxfId="1224" priority="1285" operator="containsText" text="SI">
      <formula>NOT(ISERROR(SEARCH("SI",C1295)))</formula>
    </cfRule>
    <cfRule type="containsText" dxfId="1223" priority="1286" operator="containsText" text="NO">
      <formula>NOT(ISERROR(SEARCH("NO",C1295)))</formula>
    </cfRule>
  </conditionalFormatting>
  <conditionalFormatting sqref="C1295:D1295">
    <cfRule type="containsText" dxfId="1222" priority="1284" operator="containsText" text="NUEVO">
      <formula>NOT(ISERROR(SEARCH("NUEVO",C1295)))</formula>
    </cfRule>
  </conditionalFormatting>
  <conditionalFormatting sqref="E1295">
    <cfRule type="containsText" dxfId="1221" priority="1282" operator="containsText" text="NUEVO">
      <formula>NOT(ISERROR(SEARCH("NUEVO",E1295)))</formula>
    </cfRule>
  </conditionalFormatting>
  <conditionalFormatting sqref="E1295">
    <cfRule type="containsText" dxfId="1220" priority="1283" operator="containsText" text="Sin información">
      <formula>NOT(ISERROR(SEARCH("Sin información",E1295)))</formula>
    </cfRule>
  </conditionalFormatting>
  <conditionalFormatting sqref="C1296:D1297">
    <cfRule type="containsText" dxfId="1219" priority="1281" operator="containsText" text="NO+$D$4:$D$10">
      <formula>NOT(ISERROR(SEARCH("NO+$D$4:$D$10",C1296)))</formula>
    </cfRule>
  </conditionalFormatting>
  <conditionalFormatting sqref="C1296:D1297">
    <cfRule type="containsText" dxfId="1218" priority="1279" operator="containsText" text="SI">
      <formula>NOT(ISERROR(SEARCH("SI",C1296)))</formula>
    </cfRule>
    <cfRule type="containsText" dxfId="1217" priority="1280" operator="containsText" text="NO">
      <formula>NOT(ISERROR(SEARCH("NO",C1296)))</formula>
    </cfRule>
  </conditionalFormatting>
  <conditionalFormatting sqref="C1296:D1297">
    <cfRule type="containsText" dxfId="1216" priority="1278" operator="containsText" text="NUEVO">
      <formula>NOT(ISERROR(SEARCH("NUEVO",C1296)))</formula>
    </cfRule>
  </conditionalFormatting>
  <conditionalFormatting sqref="E1296:E1297">
    <cfRule type="containsText" dxfId="1215" priority="1276" operator="containsText" text="NUEVO">
      <formula>NOT(ISERROR(SEARCH("NUEVO",E1296)))</formula>
    </cfRule>
  </conditionalFormatting>
  <conditionalFormatting sqref="E1296:E1297">
    <cfRule type="containsText" dxfId="1214" priority="1277" operator="containsText" text="Sin información">
      <formula>NOT(ISERROR(SEARCH("Sin información",E1296)))</formula>
    </cfRule>
  </conditionalFormatting>
  <conditionalFormatting sqref="C1298:D1298">
    <cfRule type="containsText" dxfId="1213" priority="1275" operator="containsText" text="NO+$D$4:$D$10">
      <formula>NOT(ISERROR(SEARCH("NO+$D$4:$D$10",C1298)))</formula>
    </cfRule>
  </conditionalFormatting>
  <conditionalFormatting sqref="C1298:D1298">
    <cfRule type="containsText" dxfId="1212" priority="1273" operator="containsText" text="SI">
      <formula>NOT(ISERROR(SEARCH("SI",C1298)))</formula>
    </cfRule>
    <cfRule type="containsText" dxfId="1211" priority="1274" operator="containsText" text="NO">
      <formula>NOT(ISERROR(SEARCH("NO",C1298)))</formula>
    </cfRule>
  </conditionalFormatting>
  <conditionalFormatting sqref="E1298">
    <cfRule type="containsText" dxfId="1210" priority="1272" operator="containsText" text="Sin información">
      <formula>NOT(ISERROR(SEARCH("Sin información",E1298)))</formula>
    </cfRule>
  </conditionalFormatting>
  <conditionalFormatting sqref="C1298:D1298">
    <cfRule type="containsText" dxfId="1209" priority="1271" operator="containsText" text="NUEVO">
      <formula>NOT(ISERROR(SEARCH("NUEVO",C1298)))</formula>
    </cfRule>
  </conditionalFormatting>
  <conditionalFormatting sqref="E1298">
    <cfRule type="containsText" dxfId="1208" priority="1270" operator="containsText" text="Sin información">
      <formula>NOT(ISERROR(SEARCH("Sin información",E1298)))</formula>
    </cfRule>
  </conditionalFormatting>
  <conditionalFormatting sqref="E1298">
    <cfRule type="containsText" dxfId="1207" priority="1268" operator="containsText" text="NUEVO">
      <formula>NOT(ISERROR(SEARCH("NUEVO",E1298)))</formula>
    </cfRule>
  </conditionalFormatting>
  <conditionalFormatting sqref="E1298">
    <cfRule type="containsText" dxfId="1206" priority="1269" operator="containsText" text="Sin información">
      <formula>NOT(ISERROR(SEARCH("Sin información",E1298)))</formula>
    </cfRule>
  </conditionalFormatting>
  <conditionalFormatting sqref="C1299:D1299">
    <cfRule type="containsText" dxfId="1205" priority="1267" operator="containsText" text="NO+$D$4:$D$10">
      <formula>NOT(ISERROR(SEARCH("NO+$D$4:$D$10",C1299)))</formula>
    </cfRule>
  </conditionalFormatting>
  <conditionalFormatting sqref="C1299:D1299">
    <cfRule type="containsText" dxfId="1204" priority="1265" operator="containsText" text="SI">
      <formula>NOT(ISERROR(SEARCH("SI",C1299)))</formula>
    </cfRule>
    <cfRule type="containsText" dxfId="1203" priority="1266" operator="containsText" text="NO">
      <formula>NOT(ISERROR(SEARCH("NO",C1299)))</formula>
    </cfRule>
  </conditionalFormatting>
  <conditionalFormatting sqref="C1299:D1299">
    <cfRule type="containsText" dxfId="1202" priority="1264" operator="containsText" text="NUEVO">
      <formula>NOT(ISERROR(SEARCH("NUEVO",C1299)))</formula>
    </cfRule>
  </conditionalFormatting>
  <conditionalFormatting sqref="E1299">
    <cfRule type="containsText" dxfId="1201" priority="1263" operator="containsText" text="Sin información">
      <formula>NOT(ISERROR(SEARCH("Sin información",E1299)))</formula>
    </cfRule>
  </conditionalFormatting>
  <conditionalFormatting sqref="E1299">
    <cfRule type="containsText" dxfId="1200" priority="1261" operator="containsText" text="NUEVO">
      <formula>NOT(ISERROR(SEARCH("NUEVO",E1299)))</formula>
    </cfRule>
  </conditionalFormatting>
  <conditionalFormatting sqref="E1299">
    <cfRule type="containsText" dxfId="1199" priority="1262" operator="containsText" text="Sin información">
      <formula>NOT(ISERROR(SEARCH("Sin información",E1299)))</formula>
    </cfRule>
  </conditionalFormatting>
  <conditionalFormatting sqref="C1301:D1302">
    <cfRule type="containsText" dxfId="1198" priority="1260" operator="containsText" text="NO+$D$4:$D$10">
      <formula>NOT(ISERROR(SEARCH("NO+$D$4:$D$10",C1301)))</formula>
    </cfRule>
  </conditionalFormatting>
  <conditionalFormatting sqref="C1301:D1302">
    <cfRule type="containsText" dxfId="1197" priority="1258" operator="containsText" text="SI">
      <formula>NOT(ISERROR(SEARCH("SI",C1301)))</formula>
    </cfRule>
    <cfRule type="containsText" dxfId="1196" priority="1259" operator="containsText" text="NO">
      <formula>NOT(ISERROR(SEARCH("NO",C1301)))</formula>
    </cfRule>
  </conditionalFormatting>
  <conditionalFormatting sqref="C1301:D1302">
    <cfRule type="containsText" dxfId="1195" priority="1257" operator="containsText" text="NUEVO">
      <formula>NOT(ISERROR(SEARCH("NUEVO",C1301)))</formula>
    </cfRule>
  </conditionalFormatting>
  <conditionalFormatting sqref="E1301:E1302">
    <cfRule type="containsText" dxfId="1194" priority="1256" operator="containsText" text="Sin información">
      <formula>NOT(ISERROR(SEARCH("Sin información",E1301)))</formula>
    </cfRule>
  </conditionalFormatting>
  <conditionalFormatting sqref="E1301:E1302">
    <cfRule type="containsText" dxfId="1193" priority="1254" operator="containsText" text="NUEVO">
      <formula>NOT(ISERROR(SEARCH("NUEVO",E1301)))</formula>
    </cfRule>
  </conditionalFormatting>
  <conditionalFormatting sqref="E1301:E1302">
    <cfRule type="containsText" dxfId="1192" priority="1255" operator="containsText" text="Sin información">
      <formula>NOT(ISERROR(SEARCH("Sin información",E1301)))</formula>
    </cfRule>
  </conditionalFormatting>
  <conditionalFormatting sqref="C1303:D1303">
    <cfRule type="containsText" dxfId="1191" priority="1253" operator="containsText" text="NO+$D$4:$D$10">
      <formula>NOT(ISERROR(SEARCH("NO+$D$4:$D$10",C1303)))</formula>
    </cfRule>
  </conditionalFormatting>
  <conditionalFormatting sqref="C1303:D1303">
    <cfRule type="containsText" dxfId="1190" priority="1251" operator="containsText" text="SI">
      <formula>NOT(ISERROR(SEARCH("SI",C1303)))</formula>
    </cfRule>
    <cfRule type="containsText" dxfId="1189" priority="1252" operator="containsText" text="NO">
      <formula>NOT(ISERROR(SEARCH("NO",C1303)))</formula>
    </cfRule>
  </conditionalFormatting>
  <conditionalFormatting sqref="C1303:D1303">
    <cfRule type="containsText" dxfId="1188" priority="1250" operator="containsText" text="NUEVO">
      <formula>NOT(ISERROR(SEARCH("NUEVO",C1303)))</formula>
    </cfRule>
  </conditionalFormatting>
  <conditionalFormatting sqref="E1303">
    <cfRule type="containsText" dxfId="1187" priority="1249" operator="containsText" text="Sin información">
      <formula>NOT(ISERROR(SEARCH("Sin información",E1303)))</formula>
    </cfRule>
  </conditionalFormatting>
  <conditionalFormatting sqref="E1303">
    <cfRule type="containsText" dxfId="1186" priority="1247" operator="containsText" text="NUEVO">
      <formula>NOT(ISERROR(SEARCH("NUEVO",E1303)))</formula>
    </cfRule>
  </conditionalFormatting>
  <conditionalFormatting sqref="E1303">
    <cfRule type="containsText" dxfId="1185" priority="1248" operator="containsText" text="Sin información">
      <formula>NOT(ISERROR(SEARCH("Sin información",E1303)))</formula>
    </cfRule>
  </conditionalFormatting>
  <conditionalFormatting sqref="C1304:D1306">
    <cfRule type="containsText" dxfId="1184" priority="1246" operator="containsText" text="NO+$D$4:$D$10">
      <formula>NOT(ISERROR(SEARCH("NO+$D$4:$D$10",C1304)))</formula>
    </cfRule>
  </conditionalFormatting>
  <conditionalFormatting sqref="C1304:D1306">
    <cfRule type="containsText" dxfId="1183" priority="1244" operator="containsText" text="SI">
      <formula>NOT(ISERROR(SEARCH("SI",C1304)))</formula>
    </cfRule>
    <cfRule type="containsText" dxfId="1182" priority="1245" operator="containsText" text="NO">
      <formula>NOT(ISERROR(SEARCH("NO",C1304)))</formula>
    </cfRule>
  </conditionalFormatting>
  <conditionalFormatting sqref="C1304:D1306">
    <cfRule type="containsText" dxfId="1181" priority="1243" operator="containsText" text="NUEVO">
      <formula>NOT(ISERROR(SEARCH("NUEVO",C1304)))</formula>
    </cfRule>
  </conditionalFormatting>
  <conditionalFormatting sqref="E1306 E1304">
    <cfRule type="containsText" dxfId="1180" priority="1242" operator="containsText" text="Sin información">
      <formula>NOT(ISERROR(SEARCH("Sin información",E1304)))</formula>
    </cfRule>
  </conditionalFormatting>
  <conditionalFormatting sqref="E1306 E1304">
    <cfRule type="containsText" dxfId="1179" priority="1240" operator="containsText" text="NUEVO">
      <formula>NOT(ISERROR(SEARCH("NUEVO",E1304)))</formula>
    </cfRule>
  </conditionalFormatting>
  <conditionalFormatting sqref="E1306 E1304">
    <cfRule type="containsText" dxfId="1178" priority="1241" operator="containsText" text="Sin información">
      <formula>NOT(ISERROR(SEARCH("Sin información",E1304)))</formula>
    </cfRule>
  </conditionalFormatting>
  <conditionalFormatting sqref="E1305">
    <cfRule type="containsText" dxfId="1177" priority="1239" operator="containsText" text="Sin información">
      <formula>NOT(ISERROR(SEARCH("Sin información",E1305)))</formula>
    </cfRule>
  </conditionalFormatting>
  <conditionalFormatting sqref="E1305">
    <cfRule type="containsText" dxfId="1176" priority="1238" operator="containsText" text="NUEVO">
      <formula>NOT(ISERROR(SEARCH("NUEVO",E1305)))</formula>
    </cfRule>
  </conditionalFormatting>
  <conditionalFormatting sqref="C1307:D1308">
    <cfRule type="containsText" dxfId="1175" priority="1237" operator="containsText" text="NO+$D$4:$D$10">
      <formula>NOT(ISERROR(SEARCH("NO+$D$4:$D$10",C1307)))</formula>
    </cfRule>
  </conditionalFormatting>
  <conditionalFormatting sqref="C1307:D1308">
    <cfRule type="containsText" dxfId="1174" priority="1235" operator="containsText" text="SI">
      <formula>NOT(ISERROR(SEARCH("SI",C1307)))</formula>
    </cfRule>
    <cfRule type="containsText" dxfId="1173" priority="1236" operator="containsText" text="NO">
      <formula>NOT(ISERROR(SEARCH("NO",C1307)))</formula>
    </cfRule>
  </conditionalFormatting>
  <conditionalFormatting sqref="C1307:D1308">
    <cfRule type="containsText" dxfId="1172" priority="1234" operator="containsText" text="NUEVO">
      <formula>NOT(ISERROR(SEARCH("NUEVO",C1307)))</formula>
    </cfRule>
  </conditionalFormatting>
  <conditionalFormatting sqref="E1307:E1308">
    <cfRule type="containsText" dxfId="1171" priority="1233" operator="containsText" text="Sin información">
      <formula>NOT(ISERROR(SEARCH("Sin información",E1307)))</formula>
    </cfRule>
  </conditionalFormatting>
  <conditionalFormatting sqref="E1307:E1308">
    <cfRule type="containsText" dxfId="1170" priority="1231" operator="containsText" text="NUEVO">
      <formula>NOT(ISERROR(SEARCH("NUEVO",E1307)))</formula>
    </cfRule>
  </conditionalFormatting>
  <conditionalFormatting sqref="E1307:E1308">
    <cfRule type="containsText" dxfId="1169" priority="1232" operator="containsText" text="Sin información">
      <formula>NOT(ISERROR(SEARCH("Sin información",E1307)))</formula>
    </cfRule>
  </conditionalFormatting>
  <conditionalFormatting sqref="C1309:D1314">
    <cfRule type="containsText" dxfId="1168" priority="1230" operator="containsText" text="NO+$D$4:$D$10">
      <formula>NOT(ISERROR(SEARCH("NO+$D$4:$D$10",C1309)))</formula>
    </cfRule>
  </conditionalFormatting>
  <conditionalFormatting sqref="C1309:D1314">
    <cfRule type="containsText" dxfId="1167" priority="1228" operator="containsText" text="SI">
      <formula>NOT(ISERROR(SEARCH("SI",C1309)))</formula>
    </cfRule>
    <cfRule type="containsText" dxfId="1166" priority="1229" operator="containsText" text="NO">
      <formula>NOT(ISERROR(SEARCH("NO",C1309)))</formula>
    </cfRule>
  </conditionalFormatting>
  <conditionalFormatting sqref="C1309:D1314">
    <cfRule type="containsText" dxfId="1165" priority="1227" operator="containsText" text="NUEVO">
      <formula>NOT(ISERROR(SEARCH("NUEVO",C1309)))</formula>
    </cfRule>
  </conditionalFormatting>
  <conditionalFormatting sqref="E1309">
    <cfRule type="containsText" dxfId="1164" priority="1226" operator="containsText" text="Sin información">
      <formula>NOT(ISERROR(SEARCH("Sin información",E1309)))</formula>
    </cfRule>
  </conditionalFormatting>
  <conditionalFormatting sqref="E1309">
    <cfRule type="containsText" dxfId="1163" priority="1225" operator="containsText" text="NUEVO">
      <formula>NOT(ISERROR(SEARCH("NUEVO",E1309)))</formula>
    </cfRule>
  </conditionalFormatting>
  <conditionalFormatting sqref="E1310:E1313">
    <cfRule type="containsText" dxfId="1162" priority="1222" operator="containsText" text="NUEVO">
      <formula>NOT(ISERROR(SEARCH("NUEVO",E1310)))</formula>
    </cfRule>
  </conditionalFormatting>
  <conditionalFormatting sqref="E1310:E1313">
    <cfRule type="containsText" dxfId="1161" priority="1224" operator="containsText" text="Sin información">
      <formula>NOT(ISERROR(SEARCH("Sin información",E1310)))</formula>
    </cfRule>
  </conditionalFormatting>
  <conditionalFormatting sqref="E1310:E1313">
    <cfRule type="containsText" dxfId="1160" priority="1223" operator="containsText" text="Sin información">
      <formula>NOT(ISERROR(SEARCH("Sin información",E1310)))</formula>
    </cfRule>
  </conditionalFormatting>
  <conditionalFormatting sqref="E1314">
    <cfRule type="containsText" dxfId="1159" priority="1220" operator="containsText" text="NUEVO">
      <formula>NOT(ISERROR(SEARCH("NUEVO",E1314)))</formula>
    </cfRule>
  </conditionalFormatting>
  <conditionalFormatting sqref="E1314">
    <cfRule type="containsText" dxfId="1158" priority="1221" operator="containsText" text="Sin información">
      <formula>NOT(ISERROR(SEARCH("Sin información",E1314)))</formula>
    </cfRule>
  </conditionalFormatting>
  <conditionalFormatting sqref="E1315">
    <cfRule type="containsText" dxfId="1157" priority="1215" operator="containsText" text="Sin información">
      <formula>NOT(ISERROR(SEARCH("Sin información",E1315)))</formula>
    </cfRule>
  </conditionalFormatting>
  <conditionalFormatting sqref="C1315:D1316">
    <cfRule type="containsText" dxfId="1156" priority="1219" operator="containsText" text="NO+$D$4:$D$10">
      <formula>NOT(ISERROR(SEARCH("NO+$D$4:$D$10",C1315)))</formula>
    </cfRule>
  </conditionalFormatting>
  <conditionalFormatting sqref="C1315:D1316">
    <cfRule type="containsText" dxfId="1155" priority="1217" operator="containsText" text="SI">
      <formula>NOT(ISERROR(SEARCH("SI",C1315)))</formula>
    </cfRule>
    <cfRule type="containsText" dxfId="1154" priority="1218" operator="containsText" text="NO">
      <formula>NOT(ISERROR(SEARCH("NO",C1315)))</formula>
    </cfRule>
  </conditionalFormatting>
  <conditionalFormatting sqref="C1315:D1316">
    <cfRule type="containsText" dxfId="1153" priority="1216" operator="containsText" text="NUEVO">
      <formula>NOT(ISERROR(SEARCH("NUEVO",C1315)))</formula>
    </cfRule>
  </conditionalFormatting>
  <conditionalFormatting sqref="E1315">
    <cfRule type="containsText" dxfId="1152" priority="1213" operator="containsText" text="NUEVO">
      <formula>NOT(ISERROR(SEARCH("NUEVO",E1315)))</formula>
    </cfRule>
  </conditionalFormatting>
  <conditionalFormatting sqref="E1315">
    <cfRule type="containsText" dxfId="1151" priority="1214" operator="containsText" text="Sin información">
      <formula>NOT(ISERROR(SEARCH("Sin información",E1315)))</formula>
    </cfRule>
  </conditionalFormatting>
  <conditionalFormatting sqref="E1316">
    <cfRule type="containsText" dxfId="1150" priority="1212" operator="containsText" text="Sin información">
      <formula>NOT(ISERROR(SEARCH("Sin información",E1316)))</formula>
    </cfRule>
  </conditionalFormatting>
  <conditionalFormatting sqref="E1316">
    <cfRule type="containsText" dxfId="1149" priority="1211" operator="containsText" text="NUEVO">
      <formula>NOT(ISERROR(SEARCH("NUEVO",E1316)))</formula>
    </cfRule>
  </conditionalFormatting>
  <conditionalFormatting sqref="C1317:D1318">
    <cfRule type="containsText" dxfId="1148" priority="1210" operator="containsText" text="NO+$D$4:$D$10">
      <formula>NOT(ISERROR(SEARCH("NO+$D$4:$D$10",C1317)))</formula>
    </cfRule>
  </conditionalFormatting>
  <conditionalFormatting sqref="C1317:D1318">
    <cfRule type="containsText" dxfId="1147" priority="1208" operator="containsText" text="SI">
      <formula>NOT(ISERROR(SEARCH("SI",C1317)))</formula>
    </cfRule>
    <cfRule type="containsText" dxfId="1146" priority="1209" operator="containsText" text="NO">
      <formula>NOT(ISERROR(SEARCH("NO",C1317)))</formula>
    </cfRule>
  </conditionalFormatting>
  <conditionalFormatting sqref="C1317:D1318">
    <cfRule type="containsText" dxfId="1145" priority="1207" operator="containsText" text="NUEVO">
      <formula>NOT(ISERROR(SEARCH("NUEVO",C1317)))</formula>
    </cfRule>
  </conditionalFormatting>
  <conditionalFormatting sqref="E1317">
    <cfRule type="containsText" dxfId="1144" priority="1204" operator="containsText" text="NUEVO">
      <formula>NOT(ISERROR(SEARCH("NUEVO",E1317)))</formula>
    </cfRule>
  </conditionalFormatting>
  <conditionalFormatting sqref="E1317">
    <cfRule type="containsText" dxfId="1143" priority="1206" operator="containsText" text="Sin información">
      <formula>NOT(ISERROR(SEARCH("Sin información",E1317)))</formula>
    </cfRule>
  </conditionalFormatting>
  <conditionalFormatting sqref="E1317">
    <cfRule type="containsText" dxfId="1142" priority="1205" operator="containsText" text="Sin información">
      <formula>NOT(ISERROR(SEARCH("Sin información",E1317)))</formula>
    </cfRule>
  </conditionalFormatting>
  <conditionalFormatting sqref="E1318">
    <cfRule type="containsText" dxfId="1141" priority="1203" operator="containsText" text="Sin información">
      <formula>NOT(ISERROR(SEARCH("Sin información",E1318)))</formula>
    </cfRule>
  </conditionalFormatting>
  <conditionalFormatting sqref="E1318">
    <cfRule type="containsText" dxfId="1140" priority="1202" operator="containsText" text="NUEVO">
      <formula>NOT(ISERROR(SEARCH("NUEVO",E1318)))</formula>
    </cfRule>
  </conditionalFormatting>
  <conditionalFormatting sqref="C1319:D1319">
    <cfRule type="containsText" dxfId="1139" priority="1201" operator="containsText" text="NO+$D$4:$D$10">
      <formula>NOT(ISERROR(SEARCH("NO+$D$4:$D$10",C1319)))</formula>
    </cfRule>
  </conditionalFormatting>
  <conditionalFormatting sqref="C1319:D1319">
    <cfRule type="containsText" dxfId="1138" priority="1199" operator="containsText" text="SI">
      <formula>NOT(ISERROR(SEARCH("SI",C1319)))</formula>
    </cfRule>
    <cfRule type="containsText" dxfId="1137" priority="1200" operator="containsText" text="NO">
      <formula>NOT(ISERROR(SEARCH("NO",C1319)))</formula>
    </cfRule>
  </conditionalFormatting>
  <conditionalFormatting sqref="C1319:D1319">
    <cfRule type="containsText" dxfId="1136" priority="1198" operator="containsText" text="NUEVO">
      <formula>NOT(ISERROR(SEARCH("NUEVO",C1319)))</formula>
    </cfRule>
  </conditionalFormatting>
  <conditionalFormatting sqref="E1319">
    <cfRule type="containsText" dxfId="1135" priority="1195" operator="containsText" text="NUEVO">
      <formula>NOT(ISERROR(SEARCH("NUEVO",E1319)))</formula>
    </cfRule>
  </conditionalFormatting>
  <conditionalFormatting sqref="E1319">
    <cfRule type="containsText" dxfId="1134" priority="1196" operator="containsText" text="Sin información">
      <formula>NOT(ISERROR(SEARCH("Sin información",E1319)))</formula>
    </cfRule>
  </conditionalFormatting>
  <conditionalFormatting sqref="E1319">
    <cfRule type="containsText" dxfId="1133" priority="1197" operator="containsText" text="Sin información">
      <formula>NOT(ISERROR(SEARCH("Sin información",E1319)))</formula>
    </cfRule>
  </conditionalFormatting>
  <conditionalFormatting sqref="C1320:D1322">
    <cfRule type="containsText" dxfId="1132" priority="1194" operator="containsText" text="NO+$D$4:$D$10">
      <formula>NOT(ISERROR(SEARCH("NO+$D$4:$D$10",C1320)))</formula>
    </cfRule>
  </conditionalFormatting>
  <conditionalFormatting sqref="C1320:D1322">
    <cfRule type="containsText" dxfId="1131" priority="1192" operator="containsText" text="SI">
      <formula>NOT(ISERROR(SEARCH("SI",C1320)))</formula>
    </cfRule>
    <cfRule type="containsText" dxfId="1130" priority="1193" operator="containsText" text="NO">
      <formula>NOT(ISERROR(SEARCH("NO",C1320)))</formula>
    </cfRule>
  </conditionalFormatting>
  <conditionalFormatting sqref="C1320:D1322">
    <cfRule type="containsText" dxfId="1129" priority="1191" operator="containsText" text="NUEVO">
      <formula>NOT(ISERROR(SEARCH("NUEVO",C1320)))</formula>
    </cfRule>
  </conditionalFormatting>
  <conditionalFormatting sqref="E1320:E1322">
    <cfRule type="containsText" dxfId="1128" priority="1190" operator="containsText" text="Sin información">
      <formula>NOT(ISERROR(SEARCH("Sin información",E1320)))</formula>
    </cfRule>
  </conditionalFormatting>
  <conditionalFormatting sqref="E1320:E1322">
    <cfRule type="containsText" dxfId="1127" priority="1189" operator="containsText" text="Sin información">
      <formula>NOT(ISERROR(SEARCH("Sin información",E1320)))</formula>
    </cfRule>
  </conditionalFormatting>
  <conditionalFormatting sqref="E1320:E1322">
    <cfRule type="containsText" dxfId="1126" priority="1188" operator="containsText" text="NUEVO">
      <formula>NOT(ISERROR(SEARCH("NUEVO",E1320)))</formula>
    </cfRule>
  </conditionalFormatting>
  <conditionalFormatting sqref="C1323:D1323">
    <cfRule type="containsText" dxfId="1125" priority="1187" operator="containsText" text="NO+$D$4:$D$10">
      <formula>NOT(ISERROR(SEARCH("NO+$D$4:$D$10",C1323)))</formula>
    </cfRule>
  </conditionalFormatting>
  <conditionalFormatting sqref="C1323:D1323">
    <cfRule type="containsText" dxfId="1124" priority="1185" operator="containsText" text="SI">
      <formula>NOT(ISERROR(SEARCH("SI",C1323)))</formula>
    </cfRule>
    <cfRule type="containsText" dxfId="1123" priority="1186" operator="containsText" text="NO">
      <formula>NOT(ISERROR(SEARCH("NO",C1323)))</formula>
    </cfRule>
  </conditionalFormatting>
  <conditionalFormatting sqref="C1323:D1323">
    <cfRule type="containsText" dxfId="1122" priority="1184" operator="containsText" text="NUEVO">
      <formula>NOT(ISERROR(SEARCH("NUEVO",C1323)))</formula>
    </cfRule>
  </conditionalFormatting>
  <conditionalFormatting sqref="E1323">
    <cfRule type="containsText" dxfId="1121" priority="1182" operator="containsText" text="Sin información">
      <formula>NOT(ISERROR(SEARCH("Sin información",E1323)))</formula>
    </cfRule>
  </conditionalFormatting>
  <conditionalFormatting sqref="E1323">
    <cfRule type="containsText" dxfId="1120" priority="1181" operator="containsText" text="NUEVO">
      <formula>NOT(ISERROR(SEARCH("NUEVO",E1323)))</formula>
    </cfRule>
  </conditionalFormatting>
  <conditionalFormatting sqref="E1323">
    <cfRule type="containsText" dxfId="1119" priority="1183" operator="containsText" text="Sin información">
      <formula>NOT(ISERROR(SEARCH("Sin información",E1323)))</formula>
    </cfRule>
  </conditionalFormatting>
  <conditionalFormatting sqref="C1093:D1093">
    <cfRule type="containsText" dxfId="1118" priority="1180" operator="containsText" text="NO+$D$4:$D$10">
      <formula>NOT(ISERROR(SEARCH("NO+$D$4:$D$10",C1093)))</formula>
    </cfRule>
  </conditionalFormatting>
  <conditionalFormatting sqref="C1093:D1093">
    <cfRule type="containsText" dxfId="1117" priority="1178" operator="containsText" text="SI">
      <formula>NOT(ISERROR(SEARCH("SI",C1093)))</formula>
    </cfRule>
    <cfRule type="containsText" dxfId="1116" priority="1179" operator="containsText" text="NO">
      <formula>NOT(ISERROR(SEARCH("NO",C1093)))</formula>
    </cfRule>
  </conditionalFormatting>
  <conditionalFormatting sqref="C1093:D1093">
    <cfRule type="containsText" dxfId="1115" priority="1177" operator="containsText" text="NUEVO">
      <formula>NOT(ISERROR(SEARCH("NUEVO",C1093)))</formula>
    </cfRule>
  </conditionalFormatting>
  <conditionalFormatting sqref="E1093">
    <cfRule type="containsText" dxfId="1114" priority="1176" operator="containsText" text="Sin información">
      <formula>NOT(ISERROR(SEARCH("Sin información",E1093)))</formula>
    </cfRule>
  </conditionalFormatting>
  <conditionalFormatting sqref="E1093">
    <cfRule type="containsText" dxfId="1113" priority="1175" operator="containsText" text="NUEVO">
      <formula>NOT(ISERROR(SEARCH("NUEVO",E1093)))</formula>
    </cfRule>
  </conditionalFormatting>
  <conditionalFormatting sqref="C1202:D1202">
    <cfRule type="containsText" dxfId="1112" priority="1167" operator="containsText" text="NO+$D$4:$D$10">
      <formula>NOT(ISERROR(SEARCH("NO+$D$4:$D$10",C1202)))</formula>
    </cfRule>
  </conditionalFormatting>
  <conditionalFormatting sqref="C1202:D1202">
    <cfRule type="containsText" dxfId="1111" priority="1165" operator="containsText" text="SI">
      <formula>NOT(ISERROR(SEARCH("SI",C1202)))</formula>
    </cfRule>
    <cfRule type="containsText" dxfId="1110" priority="1166" operator="containsText" text="NO">
      <formula>NOT(ISERROR(SEARCH("NO",C1202)))</formula>
    </cfRule>
  </conditionalFormatting>
  <conditionalFormatting sqref="C1202:D1202">
    <cfRule type="containsText" dxfId="1109" priority="1164" operator="containsText" text="NUEVO">
      <formula>NOT(ISERROR(SEARCH("NUEVO",C1202)))</formula>
    </cfRule>
  </conditionalFormatting>
  <conditionalFormatting sqref="E1202">
    <cfRule type="containsText" dxfId="1108" priority="1163" operator="containsText" text="Sin información">
      <formula>NOT(ISERROR(SEARCH("Sin información",E1202)))</formula>
    </cfRule>
  </conditionalFormatting>
  <conditionalFormatting sqref="E1202">
    <cfRule type="containsText" dxfId="1107" priority="1162" operator="containsText" text="NUEVO">
      <formula>NOT(ISERROR(SEARCH("NUEVO",E1202)))</formula>
    </cfRule>
  </conditionalFormatting>
  <conditionalFormatting sqref="C1238:D1238">
    <cfRule type="containsText" dxfId="1106" priority="1161" operator="containsText" text="NO+$D$4:$D$10">
      <formula>NOT(ISERROR(SEARCH("NO+$D$4:$D$10",C1238)))</formula>
    </cfRule>
  </conditionalFormatting>
  <conditionalFormatting sqref="C1238:D1238">
    <cfRule type="containsText" dxfId="1105" priority="1159" operator="containsText" text="SI">
      <formula>NOT(ISERROR(SEARCH("SI",C1238)))</formula>
    </cfRule>
    <cfRule type="containsText" dxfId="1104" priority="1160" operator="containsText" text="NO">
      <formula>NOT(ISERROR(SEARCH("NO",C1238)))</formula>
    </cfRule>
  </conditionalFormatting>
  <conditionalFormatting sqref="E1238">
    <cfRule type="containsText" dxfId="1103" priority="1158" operator="containsText" text="Sin información">
      <formula>NOT(ISERROR(SEARCH("Sin información",E1238)))</formula>
    </cfRule>
  </conditionalFormatting>
  <conditionalFormatting sqref="C1238:E1238">
    <cfRule type="containsText" dxfId="1102" priority="1157" operator="containsText" text="NUEVO">
      <formula>NOT(ISERROR(SEARCH("NUEVO",C1238)))</formula>
    </cfRule>
  </conditionalFormatting>
  <conditionalFormatting sqref="E1238">
    <cfRule type="containsText" dxfId="1101" priority="1156" operator="containsText" text="NUEVO">
      <formula>NOT(ISERROR(SEARCH("NUEVO",E1238)))</formula>
    </cfRule>
  </conditionalFormatting>
  <conditionalFormatting sqref="E1238">
    <cfRule type="containsText" dxfId="1100" priority="1155" operator="containsText" text="Sin información">
      <formula>NOT(ISERROR(SEARCH("Sin información",E1238)))</formula>
    </cfRule>
  </conditionalFormatting>
  <conditionalFormatting sqref="C1240:D1240">
    <cfRule type="containsText" dxfId="1099" priority="1154" operator="containsText" text="NO+$D$4:$D$10">
      <formula>NOT(ISERROR(SEARCH("NO+$D$4:$D$10",C1240)))</formula>
    </cfRule>
  </conditionalFormatting>
  <conditionalFormatting sqref="C1240:D1240">
    <cfRule type="containsText" dxfId="1098" priority="1152" operator="containsText" text="SI">
      <formula>NOT(ISERROR(SEARCH("SI",C1240)))</formula>
    </cfRule>
    <cfRule type="containsText" dxfId="1097" priority="1153" operator="containsText" text="NO">
      <formula>NOT(ISERROR(SEARCH("NO",C1240)))</formula>
    </cfRule>
  </conditionalFormatting>
  <conditionalFormatting sqref="C1240:D1240">
    <cfRule type="containsText" dxfId="1096" priority="1151" operator="containsText" text="NUEVO">
      <formula>NOT(ISERROR(SEARCH("NUEVO",C1240)))</formula>
    </cfRule>
  </conditionalFormatting>
  <conditionalFormatting sqref="E1240">
    <cfRule type="containsText" dxfId="1095" priority="1150" operator="containsText" text="Sin información">
      <formula>NOT(ISERROR(SEARCH("Sin información",E1240)))</formula>
    </cfRule>
  </conditionalFormatting>
  <conditionalFormatting sqref="E1240">
    <cfRule type="containsText" dxfId="1094" priority="1148" operator="containsText" text="NUEVO">
      <formula>NOT(ISERROR(SEARCH("NUEVO",E1240)))</formula>
    </cfRule>
  </conditionalFormatting>
  <conditionalFormatting sqref="E1240">
    <cfRule type="containsText" dxfId="1093" priority="1149" operator="containsText" text="Sin información">
      <formula>NOT(ISERROR(SEARCH("Sin información",E1240)))</formula>
    </cfRule>
  </conditionalFormatting>
  <conditionalFormatting sqref="C1244:D1244">
    <cfRule type="containsText" dxfId="1092" priority="1147" operator="containsText" text="NO+$D$4:$D$10">
      <formula>NOT(ISERROR(SEARCH("NO+$D$4:$D$10",C1244)))</formula>
    </cfRule>
  </conditionalFormatting>
  <conditionalFormatting sqref="C1244:D1244">
    <cfRule type="containsText" dxfId="1091" priority="1145" operator="containsText" text="SI">
      <formula>NOT(ISERROR(SEARCH("SI",C1244)))</formula>
    </cfRule>
    <cfRule type="containsText" dxfId="1090" priority="1146" operator="containsText" text="NO">
      <formula>NOT(ISERROR(SEARCH("NO",C1244)))</formula>
    </cfRule>
  </conditionalFormatting>
  <conditionalFormatting sqref="C1244:D1244">
    <cfRule type="containsText" dxfId="1089" priority="1144" operator="containsText" text="NUEVO">
      <formula>NOT(ISERROR(SEARCH("NUEVO",C1244)))</formula>
    </cfRule>
  </conditionalFormatting>
  <conditionalFormatting sqref="E1244">
    <cfRule type="containsText" dxfId="1088" priority="1143" operator="containsText" text="Sin información">
      <formula>NOT(ISERROR(SEARCH("Sin información",E1244)))</formula>
    </cfRule>
  </conditionalFormatting>
  <conditionalFormatting sqref="E1244">
    <cfRule type="containsText" dxfId="1087" priority="1141" operator="containsText" text="NUEVO">
      <formula>NOT(ISERROR(SEARCH("NUEVO",E1244)))</formula>
    </cfRule>
  </conditionalFormatting>
  <conditionalFormatting sqref="E1244">
    <cfRule type="containsText" dxfId="1086" priority="1142" operator="containsText" text="Sin información">
      <formula>NOT(ISERROR(SEARCH("Sin información",E1244)))</formula>
    </cfRule>
  </conditionalFormatting>
  <conditionalFormatting sqref="C1246:D1246">
    <cfRule type="containsText" dxfId="1085" priority="1140" operator="containsText" text="NO+$D$4:$D$10">
      <formula>NOT(ISERROR(SEARCH("NO+$D$4:$D$10",C1246)))</formula>
    </cfRule>
  </conditionalFormatting>
  <conditionalFormatting sqref="C1246:D1246">
    <cfRule type="containsText" dxfId="1084" priority="1138" operator="containsText" text="SI">
      <formula>NOT(ISERROR(SEARCH("SI",C1246)))</formula>
    </cfRule>
    <cfRule type="containsText" dxfId="1083" priority="1139" operator="containsText" text="NO">
      <formula>NOT(ISERROR(SEARCH("NO",C1246)))</formula>
    </cfRule>
  </conditionalFormatting>
  <conditionalFormatting sqref="C1246:D1246">
    <cfRule type="containsText" dxfId="1082" priority="1137" operator="containsText" text="NUEVO">
      <formula>NOT(ISERROR(SEARCH("NUEVO",C1246)))</formula>
    </cfRule>
  </conditionalFormatting>
  <conditionalFormatting sqref="E1246">
    <cfRule type="containsText" dxfId="1081" priority="1134" operator="containsText" text="NUEVO">
      <formula>NOT(ISERROR(SEARCH("NUEVO",E1246)))</formula>
    </cfRule>
  </conditionalFormatting>
  <conditionalFormatting sqref="E1246">
    <cfRule type="containsText" dxfId="1080" priority="1136" operator="containsText" text="Sin información">
      <formula>NOT(ISERROR(SEARCH("Sin información",E1246)))</formula>
    </cfRule>
  </conditionalFormatting>
  <conditionalFormatting sqref="E1246">
    <cfRule type="containsText" dxfId="1079" priority="1135" operator="containsText" text="Sin información">
      <formula>NOT(ISERROR(SEARCH("Sin información",E1246)))</formula>
    </cfRule>
  </conditionalFormatting>
  <conditionalFormatting sqref="C1249:D1249">
    <cfRule type="containsText" dxfId="1078" priority="1133" operator="containsText" text="NO+$D$4:$D$10">
      <formula>NOT(ISERROR(SEARCH("NO+$D$4:$D$10",C1249)))</formula>
    </cfRule>
  </conditionalFormatting>
  <conditionalFormatting sqref="C1249:D1249">
    <cfRule type="containsText" dxfId="1077" priority="1131" operator="containsText" text="SI">
      <formula>NOT(ISERROR(SEARCH("SI",C1249)))</formula>
    </cfRule>
    <cfRule type="containsText" dxfId="1076" priority="1132" operator="containsText" text="NO">
      <formula>NOT(ISERROR(SEARCH("NO",C1249)))</formula>
    </cfRule>
  </conditionalFormatting>
  <conditionalFormatting sqref="C1249:D1249">
    <cfRule type="containsText" dxfId="1075" priority="1130" operator="containsText" text="NUEVO">
      <formula>NOT(ISERROR(SEARCH("NUEVO",C1249)))</formula>
    </cfRule>
  </conditionalFormatting>
  <conditionalFormatting sqref="E1249">
    <cfRule type="containsText" dxfId="1074" priority="1127" operator="containsText" text="NUEVO">
      <formula>NOT(ISERROR(SEARCH("NUEVO",E1249)))</formula>
    </cfRule>
  </conditionalFormatting>
  <conditionalFormatting sqref="E1249">
    <cfRule type="containsText" dxfId="1073" priority="1129" operator="containsText" text="Sin información">
      <formula>NOT(ISERROR(SEARCH("Sin información",E1249)))</formula>
    </cfRule>
  </conditionalFormatting>
  <conditionalFormatting sqref="E1249">
    <cfRule type="containsText" dxfId="1072" priority="1128" operator="containsText" text="Sin información">
      <formula>NOT(ISERROR(SEARCH("Sin información",E1249)))</formula>
    </cfRule>
  </conditionalFormatting>
  <conditionalFormatting sqref="C1252:D1252">
    <cfRule type="containsText" dxfId="1071" priority="1126" operator="containsText" text="NO+$D$4:$D$10">
      <formula>NOT(ISERROR(SEARCH("NO+$D$4:$D$10",C1252)))</formula>
    </cfRule>
  </conditionalFormatting>
  <conditionalFormatting sqref="C1252:D1252">
    <cfRule type="containsText" dxfId="1070" priority="1124" operator="containsText" text="SI">
      <formula>NOT(ISERROR(SEARCH("SI",C1252)))</formula>
    </cfRule>
    <cfRule type="containsText" dxfId="1069" priority="1125" operator="containsText" text="NO">
      <formula>NOT(ISERROR(SEARCH("NO",C1252)))</formula>
    </cfRule>
  </conditionalFormatting>
  <conditionalFormatting sqref="C1252:D1252">
    <cfRule type="containsText" dxfId="1068" priority="1123" operator="containsText" text="NUEVO">
      <formula>NOT(ISERROR(SEARCH("NUEVO",C1252)))</formula>
    </cfRule>
  </conditionalFormatting>
  <conditionalFormatting sqref="E1252">
    <cfRule type="containsText" dxfId="1067" priority="1120" operator="containsText" text="NUEVO">
      <formula>NOT(ISERROR(SEARCH("NUEVO",E1252)))</formula>
    </cfRule>
  </conditionalFormatting>
  <conditionalFormatting sqref="E1252">
    <cfRule type="containsText" dxfId="1066" priority="1122" operator="containsText" text="Sin información">
      <formula>NOT(ISERROR(SEARCH("Sin información",E1252)))</formula>
    </cfRule>
  </conditionalFormatting>
  <conditionalFormatting sqref="E1252">
    <cfRule type="containsText" dxfId="1065" priority="1121" operator="containsText" text="Sin información">
      <formula>NOT(ISERROR(SEARCH("Sin información",E1252)))</formula>
    </cfRule>
  </conditionalFormatting>
  <conditionalFormatting sqref="C1253:D1253">
    <cfRule type="containsText" dxfId="1064" priority="1119" operator="containsText" text="NO+$D$4:$D$10">
      <formula>NOT(ISERROR(SEARCH("NO+$D$4:$D$10",C1253)))</formula>
    </cfRule>
  </conditionalFormatting>
  <conditionalFormatting sqref="C1253:D1253">
    <cfRule type="containsText" dxfId="1063" priority="1117" operator="containsText" text="SI">
      <formula>NOT(ISERROR(SEARCH("SI",C1253)))</formula>
    </cfRule>
    <cfRule type="containsText" dxfId="1062" priority="1118" operator="containsText" text="NO">
      <formula>NOT(ISERROR(SEARCH("NO",C1253)))</formula>
    </cfRule>
  </conditionalFormatting>
  <conditionalFormatting sqref="C1253:D1253">
    <cfRule type="containsText" dxfId="1061" priority="1116" operator="containsText" text="NUEVO">
      <formula>NOT(ISERROR(SEARCH("NUEVO",C1253)))</formula>
    </cfRule>
  </conditionalFormatting>
  <conditionalFormatting sqref="E1253">
    <cfRule type="containsText" dxfId="1060" priority="1115" operator="containsText" text="Sin información">
      <formula>NOT(ISERROR(SEARCH("Sin información",E1253)))</formula>
    </cfRule>
  </conditionalFormatting>
  <conditionalFormatting sqref="E1253">
    <cfRule type="containsText" dxfId="1059" priority="1114" operator="containsText" text="Sin información">
      <formula>NOT(ISERROR(SEARCH("Sin información",E1253)))</formula>
    </cfRule>
  </conditionalFormatting>
  <conditionalFormatting sqref="E1253">
    <cfRule type="containsText" dxfId="1058" priority="1113" operator="containsText" text="NUEVO">
      <formula>NOT(ISERROR(SEARCH("NUEVO",E1253)))</formula>
    </cfRule>
  </conditionalFormatting>
  <conditionalFormatting sqref="C1254:D1254">
    <cfRule type="containsText" dxfId="1057" priority="1112" operator="containsText" text="NO+$D$4:$D$10">
      <formula>NOT(ISERROR(SEARCH("NO+$D$4:$D$10",C1254)))</formula>
    </cfRule>
  </conditionalFormatting>
  <conditionalFormatting sqref="C1254:D1254">
    <cfRule type="containsText" dxfId="1056" priority="1110" operator="containsText" text="SI">
      <formula>NOT(ISERROR(SEARCH("SI",C1254)))</formula>
    </cfRule>
    <cfRule type="containsText" dxfId="1055" priority="1111" operator="containsText" text="NO">
      <formula>NOT(ISERROR(SEARCH("NO",C1254)))</formula>
    </cfRule>
  </conditionalFormatting>
  <conditionalFormatting sqref="C1254:D1254">
    <cfRule type="containsText" dxfId="1054" priority="1109" operator="containsText" text="NUEVO">
      <formula>NOT(ISERROR(SEARCH("NUEVO",C1254)))</formula>
    </cfRule>
  </conditionalFormatting>
  <conditionalFormatting sqref="E1254">
    <cfRule type="containsText" dxfId="1053" priority="1107" operator="containsText" text="Sin información">
      <formula>NOT(ISERROR(SEARCH("Sin información",E1254)))</formula>
    </cfRule>
  </conditionalFormatting>
  <conditionalFormatting sqref="E1254">
    <cfRule type="containsText" dxfId="1052" priority="1106" operator="containsText" text="NUEVO">
      <formula>NOT(ISERROR(SEARCH("NUEVO",E1254)))</formula>
    </cfRule>
  </conditionalFormatting>
  <conditionalFormatting sqref="E1254">
    <cfRule type="containsText" dxfId="1051" priority="1108" operator="containsText" text="Sin información">
      <formula>NOT(ISERROR(SEARCH("Sin información",E1254)))</formula>
    </cfRule>
  </conditionalFormatting>
  <conditionalFormatting sqref="C1324:D1326">
    <cfRule type="containsText" dxfId="1050" priority="1105" operator="containsText" text="NO+$D$4:$D$10">
      <formula>NOT(ISERROR(SEARCH("NO+$D$4:$D$10",C1324)))</formula>
    </cfRule>
  </conditionalFormatting>
  <conditionalFormatting sqref="C1324:D1326">
    <cfRule type="containsText" dxfId="1049" priority="1103" operator="containsText" text="SI">
      <formula>NOT(ISERROR(SEARCH("SI",C1324)))</formula>
    </cfRule>
    <cfRule type="containsText" dxfId="1048" priority="1104" operator="containsText" text="NO">
      <formula>NOT(ISERROR(SEARCH("NO",C1324)))</formula>
    </cfRule>
  </conditionalFormatting>
  <conditionalFormatting sqref="C1324:D1326">
    <cfRule type="containsText" dxfId="1047" priority="1102" operator="containsText" text="NUEVO">
      <formula>NOT(ISERROR(SEARCH("NUEVO",C1324)))</formula>
    </cfRule>
  </conditionalFormatting>
  <conditionalFormatting sqref="E1324">
    <cfRule type="containsText" dxfId="1046" priority="1100" operator="containsText" text="Sin información">
      <formula>NOT(ISERROR(SEARCH("Sin información",E1324)))</formula>
    </cfRule>
  </conditionalFormatting>
  <conditionalFormatting sqref="E1324">
    <cfRule type="containsText" dxfId="1045" priority="1099" operator="containsText" text="NUEVO">
      <formula>NOT(ISERROR(SEARCH("NUEVO",E1324)))</formula>
    </cfRule>
  </conditionalFormatting>
  <conditionalFormatting sqref="E1324">
    <cfRule type="containsText" dxfId="1044" priority="1101" operator="containsText" text="Sin información">
      <formula>NOT(ISERROR(SEARCH("Sin información",E1324)))</formula>
    </cfRule>
  </conditionalFormatting>
  <conditionalFormatting sqref="E1325">
    <cfRule type="containsText" dxfId="1043" priority="1096" operator="containsText" text="NUEVO">
      <formula>NOT(ISERROR(SEARCH("NUEVO",E1325)))</formula>
    </cfRule>
  </conditionalFormatting>
  <conditionalFormatting sqref="E1325">
    <cfRule type="containsText" dxfId="1042" priority="1097" operator="containsText" text="Sin información">
      <formula>NOT(ISERROR(SEARCH("Sin información",E1325)))</formula>
    </cfRule>
  </conditionalFormatting>
  <conditionalFormatting sqref="E1325">
    <cfRule type="containsText" dxfId="1041" priority="1098" operator="containsText" text="Sin información">
      <formula>NOT(ISERROR(SEARCH("Sin información",E1325)))</formula>
    </cfRule>
  </conditionalFormatting>
  <conditionalFormatting sqref="E1326">
    <cfRule type="containsText" dxfId="1040" priority="1094" operator="containsText" text="Sin información">
      <formula>NOT(ISERROR(SEARCH("Sin información",E1326)))</formula>
    </cfRule>
  </conditionalFormatting>
  <conditionalFormatting sqref="E1326">
    <cfRule type="containsText" dxfId="1039" priority="1093" operator="containsText" text="NUEVO">
      <formula>NOT(ISERROR(SEARCH("NUEVO",E1326)))</formula>
    </cfRule>
  </conditionalFormatting>
  <conditionalFormatting sqref="E1326">
    <cfRule type="containsText" dxfId="1038" priority="1095" operator="containsText" text="Sin información">
      <formula>NOT(ISERROR(SEARCH("Sin información",E1326)))</formula>
    </cfRule>
  </conditionalFormatting>
  <conditionalFormatting sqref="C1256:D1257">
    <cfRule type="containsText" dxfId="1037" priority="1092" operator="containsText" text="NO+$D$4:$D$10">
      <formula>NOT(ISERROR(SEARCH("NO+$D$4:$D$10",C1256)))</formula>
    </cfRule>
  </conditionalFormatting>
  <conditionalFormatting sqref="C1256:D1257">
    <cfRule type="containsText" dxfId="1036" priority="1090" operator="containsText" text="SI">
      <formula>NOT(ISERROR(SEARCH("SI",C1256)))</formula>
    </cfRule>
    <cfRule type="containsText" dxfId="1035" priority="1091" operator="containsText" text="NO">
      <formula>NOT(ISERROR(SEARCH("NO",C1256)))</formula>
    </cfRule>
  </conditionalFormatting>
  <conditionalFormatting sqref="C1256:D1257">
    <cfRule type="containsText" dxfId="1034" priority="1089" operator="containsText" text="NUEVO">
      <formula>NOT(ISERROR(SEARCH("NUEVO",C1256)))</formula>
    </cfRule>
  </conditionalFormatting>
  <conditionalFormatting sqref="E1256:E1257">
    <cfRule type="containsText" dxfId="1033" priority="1087" operator="containsText" text="Sin información">
      <formula>NOT(ISERROR(SEARCH("Sin información",E1256)))</formula>
    </cfRule>
  </conditionalFormatting>
  <conditionalFormatting sqref="E1256:E1257">
    <cfRule type="containsText" dxfId="1032" priority="1086" operator="containsText" text="NUEVO">
      <formula>NOT(ISERROR(SEARCH("NUEVO",E1256)))</formula>
    </cfRule>
  </conditionalFormatting>
  <conditionalFormatting sqref="E1256:E1257">
    <cfRule type="containsText" dxfId="1031" priority="1088" operator="containsText" text="Sin información">
      <formula>NOT(ISERROR(SEARCH("Sin información",E1256)))</formula>
    </cfRule>
  </conditionalFormatting>
  <conditionalFormatting sqref="C1327:D1330">
    <cfRule type="containsText" dxfId="1030" priority="1085" operator="containsText" text="NO+$D$4:$D$10">
      <formula>NOT(ISERROR(SEARCH("NO+$D$4:$D$10",C1327)))</formula>
    </cfRule>
  </conditionalFormatting>
  <conditionalFormatting sqref="C1327:D1330">
    <cfRule type="containsText" dxfId="1029" priority="1083" operator="containsText" text="SI">
      <formula>NOT(ISERROR(SEARCH("SI",C1327)))</formula>
    </cfRule>
    <cfRule type="containsText" dxfId="1028" priority="1084" operator="containsText" text="NO">
      <formula>NOT(ISERROR(SEARCH("NO",C1327)))</formula>
    </cfRule>
  </conditionalFormatting>
  <conditionalFormatting sqref="C1327:D1330">
    <cfRule type="containsText" dxfId="1027" priority="1082" operator="containsText" text="NUEVO">
      <formula>NOT(ISERROR(SEARCH("NUEVO",C1327)))</formula>
    </cfRule>
  </conditionalFormatting>
  <conditionalFormatting sqref="E1327:E1330">
    <cfRule type="containsText" dxfId="1026" priority="1080" operator="containsText" text="Sin información">
      <formula>NOT(ISERROR(SEARCH("Sin información",E1327)))</formula>
    </cfRule>
  </conditionalFormatting>
  <conditionalFormatting sqref="E1327:E1330">
    <cfRule type="containsText" dxfId="1025" priority="1079" operator="containsText" text="NUEVO">
      <formula>NOT(ISERROR(SEARCH("NUEVO",E1327)))</formula>
    </cfRule>
  </conditionalFormatting>
  <conditionalFormatting sqref="E1327:E1330">
    <cfRule type="containsText" dxfId="1024" priority="1081" operator="containsText" text="Sin información">
      <formula>NOT(ISERROR(SEARCH("Sin información",E1327)))</formula>
    </cfRule>
  </conditionalFormatting>
  <conditionalFormatting sqref="C1300:D1300">
    <cfRule type="containsText" dxfId="1023" priority="1078" operator="containsText" text="NO+$D$4:$D$10">
      <formula>NOT(ISERROR(SEARCH("NO+$D$4:$D$10",C1300)))</formula>
    </cfRule>
  </conditionalFormatting>
  <conditionalFormatting sqref="C1300:D1300">
    <cfRule type="containsText" dxfId="1022" priority="1076" operator="containsText" text="SI">
      <formula>NOT(ISERROR(SEARCH("SI",C1300)))</formula>
    </cfRule>
    <cfRule type="containsText" dxfId="1021" priority="1077" operator="containsText" text="NO">
      <formula>NOT(ISERROR(SEARCH("NO",C1300)))</formula>
    </cfRule>
  </conditionalFormatting>
  <conditionalFormatting sqref="C1300:D1300">
    <cfRule type="containsText" dxfId="1020" priority="1075" operator="containsText" text="NUEVO">
      <formula>NOT(ISERROR(SEARCH("NUEVO",C1300)))</formula>
    </cfRule>
  </conditionalFormatting>
  <conditionalFormatting sqref="E1300">
    <cfRule type="containsText" dxfId="1019" priority="1073" operator="containsText" text="Sin información">
      <formula>NOT(ISERROR(SEARCH("Sin información",E1300)))</formula>
    </cfRule>
  </conditionalFormatting>
  <conditionalFormatting sqref="E1300">
    <cfRule type="containsText" dxfId="1018" priority="1072" operator="containsText" text="NUEVO">
      <formula>NOT(ISERROR(SEARCH("NUEVO",E1300)))</formula>
    </cfRule>
  </conditionalFormatting>
  <conditionalFormatting sqref="E1300">
    <cfRule type="containsText" dxfId="1017" priority="1074" operator="containsText" text="Sin información">
      <formula>NOT(ISERROR(SEARCH("Sin información",E1300)))</formula>
    </cfRule>
  </conditionalFormatting>
  <conditionalFormatting sqref="C1331:D1331">
    <cfRule type="containsText" dxfId="1016" priority="1071" operator="containsText" text="NO+$D$4:$D$10">
      <formula>NOT(ISERROR(SEARCH("NO+$D$4:$D$10",C1331)))</formula>
    </cfRule>
  </conditionalFormatting>
  <conditionalFormatting sqref="C1331:D1331">
    <cfRule type="containsText" dxfId="1015" priority="1069" operator="containsText" text="SI">
      <formula>NOT(ISERROR(SEARCH("SI",C1331)))</formula>
    </cfRule>
    <cfRule type="containsText" dxfId="1014" priority="1070" operator="containsText" text="NO">
      <formula>NOT(ISERROR(SEARCH("NO",C1331)))</formula>
    </cfRule>
  </conditionalFormatting>
  <conditionalFormatting sqref="C1331:D1331">
    <cfRule type="containsText" dxfId="1013" priority="1068" operator="containsText" text="NUEVO">
      <formula>NOT(ISERROR(SEARCH("NUEVO",C1331)))</formula>
    </cfRule>
  </conditionalFormatting>
  <conditionalFormatting sqref="E1331">
    <cfRule type="containsText" dxfId="1012" priority="1067" operator="containsText" text="Sin información">
      <formula>NOT(ISERROR(SEARCH("Sin información",E1331)))</formula>
    </cfRule>
  </conditionalFormatting>
  <conditionalFormatting sqref="E1331">
    <cfRule type="containsText" dxfId="1011" priority="1066" operator="containsText" text="NUEVO">
      <formula>NOT(ISERROR(SEARCH("NUEVO",E1331)))</formula>
    </cfRule>
  </conditionalFormatting>
  <conditionalFormatting sqref="C1332:D1332">
    <cfRule type="containsText" dxfId="1010" priority="1065" operator="containsText" text="NO+$D$4:$D$10">
      <formula>NOT(ISERROR(SEARCH("NO+$D$4:$D$10",C1332)))</formula>
    </cfRule>
  </conditionalFormatting>
  <conditionalFormatting sqref="C1332:D1332">
    <cfRule type="containsText" dxfId="1009" priority="1063" operator="containsText" text="SI">
      <formula>NOT(ISERROR(SEARCH("SI",C1332)))</formula>
    </cfRule>
    <cfRule type="containsText" dxfId="1008" priority="1064" operator="containsText" text="NO">
      <formula>NOT(ISERROR(SEARCH("NO",C1332)))</formula>
    </cfRule>
  </conditionalFormatting>
  <conditionalFormatting sqref="E1332">
    <cfRule type="containsText" dxfId="1007" priority="1062" operator="containsText" text="Sin información">
      <formula>NOT(ISERROR(SEARCH("Sin información",E1332)))</formula>
    </cfRule>
  </conditionalFormatting>
  <conditionalFormatting sqref="C1332:E1332">
    <cfRule type="containsText" dxfId="1006" priority="1061" operator="containsText" text="NUEVO">
      <formula>NOT(ISERROR(SEARCH("NUEVO",C1332)))</formula>
    </cfRule>
  </conditionalFormatting>
  <conditionalFormatting sqref="E1332">
    <cfRule type="containsText" dxfId="1005" priority="1060" operator="containsText" text="Sin Información">
      <formula>NOT(ISERROR(SEARCH("Sin Información",E1332)))</formula>
    </cfRule>
  </conditionalFormatting>
  <conditionalFormatting sqref="E1332">
    <cfRule type="containsText" dxfId="1004" priority="1058" operator="containsText" text="NUEVO">
      <formula>NOT(ISERROR(SEARCH("NUEVO",E1332)))</formula>
    </cfRule>
  </conditionalFormatting>
  <conditionalFormatting sqref="E1332">
    <cfRule type="containsText" dxfId="1003" priority="1059" operator="containsText" text="Sin información">
      <formula>NOT(ISERROR(SEARCH("Sin información",E1332)))</formula>
    </cfRule>
  </conditionalFormatting>
  <conditionalFormatting sqref="C1333:D1333">
    <cfRule type="containsText" dxfId="1002" priority="1052" operator="containsText" text="NO+$D$4:$D$10">
      <formula>NOT(ISERROR(SEARCH("NO+$D$4:$D$10",C1333)))</formula>
    </cfRule>
  </conditionalFormatting>
  <conditionalFormatting sqref="C1333:D1333">
    <cfRule type="containsText" dxfId="1001" priority="1050" operator="containsText" text="SI">
      <formula>NOT(ISERROR(SEARCH("SI",C1333)))</formula>
    </cfRule>
    <cfRule type="containsText" dxfId="1000" priority="1051" operator="containsText" text="NO">
      <formula>NOT(ISERROR(SEARCH("NO",C1333)))</formula>
    </cfRule>
  </conditionalFormatting>
  <conditionalFormatting sqref="C1333:D1333">
    <cfRule type="containsText" dxfId="999" priority="1049" operator="containsText" text="NUEVO">
      <formula>NOT(ISERROR(SEARCH("NUEVO",C1333)))</formula>
    </cfRule>
  </conditionalFormatting>
  <conditionalFormatting sqref="E1333">
    <cfRule type="containsText" dxfId="998" priority="1047" operator="containsText" text="NUEVO">
      <formula>NOT(ISERROR(SEARCH("NUEVO",E1333)))</formula>
    </cfRule>
  </conditionalFormatting>
  <conditionalFormatting sqref="E1333">
    <cfRule type="containsText" dxfId="997" priority="1048" operator="containsText" text="Sin información">
      <formula>NOT(ISERROR(SEARCH("Sin información",E1333)))</formula>
    </cfRule>
  </conditionalFormatting>
  <conditionalFormatting sqref="C1334:D1334">
    <cfRule type="containsText" dxfId="996" priority="1046" operator="containsText" text="NO+$D$4:$D$10">
      <formula>NOT(ISERROR(SEARCH("NO+$D$4:$D$10",C1334)))</formula>
    </cfRule>
  </conditionalFormatting>
  <conditionalFormatting sqref="C1334:D1334">
    <cfRule type="containsText" dxfId="995" priority="1044" operator="containsText" text="SI">
      <formula>NOT(ISERROR(SEARCH("SI",C1334)))</formula>
    </cfRule>
    <cfRule type="containsText" dxfId="994" priority="1045" operator="containsText" text="NO">
      <formula>NOT(ISERROR(SEARCH("NO",C1334)))</formula>
    </cfRule>
  </conditionalFormatting>
  <conditionalFormatting sqref="E1334">
    <cfRule type="containsText" dxfId="993" priority="1043" operator="containsText" text="Sin información">
      <formula>NOT(ISERROR(SEARCH("Sin información",E1334)))</formula>
    </cfRule>
  </conditionalFormatting>
  <conditionalFormatting sqref="C1334:E1334">
    <cfRule type="containsText" dxfId="992" priority="1042" operator="containsText" text="NUEVO">
      <formula>NOT(ISERROR(SEARCH("NUEVO",C1334)))</formula>
    </cfRule>
  </conditionalFormatting>
  <conditionalFormatting sqref="E1334">
    <cfRule type="containsText" dxfId="991" priority="1041" operator="containsText" text="Sin Información">
      <formula>NOT(ISERROR(SEARCH("Sin Información",E1334)))</formula>
    </cfRule>
  </conditionalFormatting>
  <conditionalFormatting sqref="C1335:D1336">
    <cfRule type="containsText" dxfId="990" priority="1040" operator="containsText" text="NO+$D$4:$D$10">
      <formula>NOT(ISERROR(SEARCH("NO+$D$4:$D$10",C1335)))</formula>
    </cfRule>
  </conditionalFormatting>
  <conditionalFormatting sqref="C1335:D1336">
    <cfRule type="containsText" dxfId="989" priority="1038" operator="containsText" text="SI">
      <formula>NOT(ISERROR(SEARCH("SI",C1335)))</formula>
    </cfRule>
    <cfRule type="containsText" dxfId="988" priority="1039" operator="containsText" text="NO">
      <formula>NOT(ISERROR(SEARCH("NO",C1335)))</formula>
    </cfRule>
  </conditionalFormatting>
  <conditionalFormatting sqref="C1335:D1336">
    <cfRule type="containsText" dxfId="987" priority="1037" operator="containsText" text="NUEVO">
      <formula>NOT(ISERROR(SEARCH("NUEVO",C1335)))</formula>
    </cfRule>
  </conditionalFormatting>
  <conditionalFormatting sqref="E1335:E1336">
    <cfRule type="containsText" dxfId="986" priority="1036" operator="containsText" text="Sin información">
      <formula>NOT(ISERROR(SEARCH("Sin información",E1335)))</formula>
    </cfRule>
  </conditionalFormatting>
  <conditionalFormatting sqref="E1335:E1336">
    <cfRule type="containsText" dxfId="985" priority="1034" operator="containsText" text="NUEVO">
      <formula>NOT(ISERROR(SEARCH("NUEVO",E1335)))</formula>
    </cfRule>
  </conditionalFormatting>
  <conditionalFormatting sqref="E1335:E1336">
    <cfRule type="containsText" dxfId="984" priority="1035" operator="containsText" text="Sin información">
      <formula>NOT(ISERROR(SEARCH("Sin información",E1335)))</formula>
    </cfRule>
  </conditionalFormatting>
  <conditionalFormatting sqref="C1337:D1337">
    <cfRule type="containsText" dxfId="983" priority="1033" operator="containsText" text="NO+$D$4:$D$10">
      <formula>NOT(ISERROR(SEARCH("NO+$D$4:$D$10",C1337)))</formula>
    </cfRule>
  </conditionalFormatting>
  <conditionalFormatting sqref="C1337:D1337">
    <cfRule type="containsText" dxfId="982" priority="1031" operator="containsText" text="SI">
      <formula>NOT(ISERROR(SEARCH("SI",C1337)))</formula>
    </cfRule>
    <cfRule type="containsText" dxfId="981" priority="1032" operator="containsText" text="NO">
      <formula>NOT(ISERROR(SEARCH("NO",C1337)))</formula>
    </cfRule>
  </conditionalFormatting>
  <conditionalFormatting sqref="C1337:D1337">
    <cfRule type="containsText" dxfId="980" priority="1030" operator="containsText" text="NUEVO">
      <formula>NOT(ISERROR(SEARCH("NUEVO",C1337)))</formula>
    </cfRule>
  </conditionalFormatting>
  <conditionalFormatting sqref="E1337">
    <cfRule type="containsText" dxfId="979" priority="1028" operator="containsText" text="Sin información">
      <formula>NOT(ISERROR(SEARCH("Sin información",E1337)))</formula>
    </cfRule>
  </conditionalFormatting>
  <conditionalFormatting sqref="E1337">
    <cfRule type="containsText" dxfId="978" priority="1027" operator="containsText" text="NUEVO">
      <formula>NOT(ISERROR(SEARCH("NUEVO",E1337)))</formula>
    </cfRule>
  </conditionalFormatting>
  <conditionalFormatting sqref="E1337">
    <cfRule type="containsText" dxfId="977" priority="1029" operator="containsText" text="Sin información">
      <formula>NOT(ISERROR(SEARCH("Sin información",E1337)))</formula>
    </cfRule>
  </conditionalFormatting>
  <conditionalFormatting sqref="C1338:D1338">
    <cfRule type="containsText" dxfId="976" priority="1026" operator="containsText" text="NO+$D$4:$D$10">
      <formula>NOT(ISERROR(SEARCH("NO+$D$4:$D$10",C1338)))</formula>
    </cfRule>
  </conditionalFormatting>
  <conditionalFormatting sqref="C1338:D1338">
    <cfRule type="containsText" dxfId="975" priority="1024" operator="containsText" text="SI">
      <formula>NOT(ISERROR(SEARCH("SI",C1338)))</formula>
    </cfRule>
    <cfRule type="containsText" dxfId="974" priority="1025" operator="containsText" text="NO">
      <formula>NOT(ISERROR(SEARCH("NO",C1338)))</formula>
    </cfRule>
  </conditionalFormatting>
  <conditionalFormatting sqref="C1338:D1338">
    <cfRule type="containsText" dxfId="973" priority="1023" operator="containsText" text="NUEVO">
      <formula>NOT(ISERROR(SEARCH("NUEVO",C1338)))</formula>
    </cfRule>
  </conditionalFormatting>
  <conditionalFormatting sqref="E1338">
    <cfRule type="containsText" dxfId="972" priority="1021" operator="containsText" text="Sin información">
      <formula>NOT(ISERROR(SEARCH("Sin información",E1338)))</formula>
    </cfRule>
  </conditionalFormatting>
  <conditionalFormatting sqref="E1338">
    <cfRule type="containsText" dxfId="971" priority="1020" operator="containsText" text="NUEVO">
      <formula>NOT(ISERROR(SEARCH("NUEVO",E1338)))</formula>
    </cfRule>
  </conditionalFormatting>
  <conditionalFormatting sqref="E1338">
    <cfRule type="containsText" dxfId="970" priority="1022" operator="containsText" text="Sin información">
      <formula>NOT(ISERROR(SEARCH("Sin información",E1338)))</formula>
    </cfRule>
  </conditionalFormatting>
  <conditionalFormatting sqref="E1339:E1340">
    <cfRule type="containsText" dxfId="969" priority="1014" operator="containsText" text="Sin información">
      <formula>NOT(ISERROR(SEARCH("Sin información",E1339)))</formula>
    </cfRule>
  </conditionalFormatting>
  <conditionalFormatting sqref="E1339:E1340">
    <cfRule type="containsText" dxfId="968" priority="1013" operator="containsText" text="NUEVO">
      <formula>NOT(ISERROR(SEARCH("NUEVO",E1339)))</formula>
    </cfRule>
  </conditionalFormatting>
  <conditionalFormatting sqref="E1339:E1340">
    <cfRule type="containsText" dxfId="967" priority="1015" operator="containsText" text="Sin información">
      <formula>NOT(ISERROR(SEARCH("Sin información",E1339)))</formula>
    </cfRule>
  </conditionalFormatting>
  <conditionalFormatting sqref="E1341">
    <cfRule type="containsText" dxfId="966" priority="1011" operator="containsText" text="Sin información">
      <formula>NOT(ISERROR(SEARCH("Sin información",E1341)))</formula>
    </cfRule>
  </conditionalFormatting>
  <conditionalFormatting sqref="E1341">
    <cfRule type="containsText" dxfId="965" priority="1010" operator="containsText" text="NUEVO">
      <formula>NOT(ISERROR(SEARCH("NUEVO",E1341)))</formula>
    </cfRule>
  </conditionalFormatting>
  <conditionalFormatting sqref="E1341">
    <cfRule type="containsText" dxfId="964" priority="1012" operator="containsText" text="Sin información">
      <formula>NOT(ISERROR(SEARCH("Sin información",E1341)))</formula>
    </cfRule>
  </conditionalFormatting>
  <conditionalFormatting sqref="C1358:D1360">
    <cfRule type="containsText" dxfId="963" priority="1006" operator="containsText" text="NO+$D$4:$D$10">
      <formula>NOT(ISERROR(SEARCH("NO+$D$4:$D$10",C1358)))</formula>
    </cfRule>
  </conditionalFormatting>
  <conditionalFormatting sqref="C1358:D1360">
    <cfRule type="containsText" dxfId="962" priority="1004" operator="containsText" text="SI">
      <formula>NOT(ISERROR(SEARCH("SI",C1358)))</formula>
    </cfRule>
    <cfRule type="containsText" dxfId="961" priority="1005" operator="containsText" text="NO">
      <formula>NOT(ISERROR(SEARCH("NO",C1358)))</formula>
    </cfRule>
  </conditionalFormatting>
  <conditionalFormatting sqref="C1358:D1360">
    <cfRule type="containsText" dxfId="960" priority="1003" operator="containsText" text="NUEVO">
      <formula>NOT(ISERROR(SEARCH("NUEVO",C1358)))</formula>
    </cfRule>
  </conditionalFormatting>
  <conditionalFormatting sqref="E1358:E1359">
    <cfRule type="containsText" dxfId="959" priority="1002" operator="containsText" text="Sin información">
      <formula>NOT(ISERROR(SEARCH("Sin información",E1358)))</formula>
    </cfRule>
  </conditionalFormatting>
  <conditionalFormatting sqref="E1358:E1359">
    <cfRule type="containsText" dxfId="958" priority="1001" operator="containsText" text="Sin información">
      <formula>NOT(ISERROR(SEARCH("Sin información",E1358)))</formula>
    </cfRule>
  </conditionalFormatting>
  <conditionalFormatting sqref="E1358:E1359">
    <cfRule type="containsText" dxfId="957" priority="1000" operator="containsText" text="NUEVO">
      <formula>NOT(ISERROR(SEARCH("NUEVO",E1358)))</formula>
    </cfRule>
  </conditionalFormatting>
  <conditionalFormatting sqref="E1360">
    <cfRule type="containsText" dxfId="956" priority="999" operator="containsText" text="Sin información">
      <formula>NOT(ISERROR(SEARCH("Sin información",E1360)))</formula>
    </cfRule>
  </conditionalFormatting>
  <conditionalFormatting sqref="E1360">
    <cfRule type="containsText" dxfId="955" priority="997" operator="containsText" text="NUEVO">
      <formula>NOT(ISERROR(SEARCH("NUEVO",E1360)))</formula>
    </cfRule>
  </conditionalFormatting>
  <conditionalFormatting sqref="E1360">
    <cfRule type="containsText" dxfId="954" priority="998" operator="containsText" text="Sin información">
      <formula>NOT(ISERROR(SEARCH("Sin información",E1360)))</formula>
    </cfRule>
  </conditionalFormatting>
  <conditionalFormatting sqref="C1361:D1362">
    <cfRule type="containsText" dxfId="953" priority="996" operator="containsText" text="NO+$D$4:$D$10">
      <formula>NOT(ISERROR(SEARCH("NO+$D$4:$D$10",C1361)))</formula>
    </cfRule>
  </conditionalFormatting>
  <conditionalFormatting sqref="C1361:D1362">
    <cfRule type="containsText" dxfId="952" priority="994" operator="containsText" text="SI">
      <formula>NOT(ISERROR(SEARCH("SI",C1361)))</formula>
    </cfRule>
    <cfRule type="containsText" dxfId="951" priority="995" operator="containsText" text="NO">
      <formula>NOT(ISERROR(SEARCH("NO",C1361)))</formula>
    </cfRule>
  </conditionalFormatting>
  <conditionalFormatting sqref="E1361:E1362">
    <cfRule type="containsText" dxfId="950" priority="993" operator="containsText" text="Sin información">
      <formula>NOT(ISERROR(SEARCH("Sin información",E1361)))</formula>
    </cfRule>
  </conditionalFormatting>
  <conditionalFormatting sqref="C1361:E1362">
    <cfRule type="containsText" dxfId="949" priority="992" operator="containsText" text="NUEVO">
      <formula>NOT(ISERROR(SEARCH("NUEVO",C1361)))</formula>
    </cfRule>
  </conditionalFormatting>
  <conditionalFormatting sqref="C1363:D1363">
    <cfRule type="containsText" dxfId="948" priority="991" operator="containsText" text="NO+$D$4:$D$10">
      <formula>NOT(ISERROR(SEARCH("NO+$D$4:$D$10",C1363)))</formula>
    </cfRule>
  </conditionalFormatting>
  <conditionalFormatting sqref="C1363:D1363">
    <cfRule type="containsText" dxfId="947" priority="989" operator="containsText" text="SI">
      <formula>NOT(ISERROR(SEARCH("SI",C1363)))</formula>
    </cfRule>
    <cfRule type="containsText" dxfId="946" priority="990" operator="containsText" text="NO">
      <formula>NOT(ISERROR(SEARCH("NO",C1363)))</formula>
    </cfRule>
  </conditionalFormatting>
  <conditionalFormatting sqref="C1363:D1363">
    <cfRule type="containsText" dxfId="945" priority="988" operator="containsText" text="NUEVO">
      <formula>NOT(ISERROR(SEARCH("NUEVO",C1363)))</formula>
    </cfRule>
  </conditionalFormatting>
  <conditionalFormatting sqref="E1363">
    <cfRule type="containsText" dxfId="944" priority="987" operator="containsText" text="Sin información">
      <formula>NOT(ISERROR(SEARCH("Sin información",E1363)))</formula>
    </cfRule>
  </conditionalFormatting>
  <conditionalFormatting sqref="E1363">
    <cfRule type="containsText" dxfId="943" priority="986" operator="containsText" text="NUEVO">
      <formula>NOT(ISERROR(SEARCH("NUEVO",E1363)))</formula>
    </cfRule>
  </conditionalFormatting>
  <conditionalFormatting sqref="E1363">
    <cfRule type="containsText" dxfId="942" priority="985" operator="containsText" text="Sin Información">
      <formula>NOT(ISERROR(SEARCH("Sin Información",E1363)))</formula>
    </cfRule>
  </conditionalFormatting>
  <conditionalFormatting sqref="C1364:D1364">
    <cfRule type="containsText" dxfId="941" priority="984" operator="containsText" text="NO+$D$4:$D$10">
      <formula>NOT(ISERROR(SEARCH("NO+$D$4:$D$10",C1364)))</formula>
    </cfRule>
  </conditionalFormatting>
  <conditionalFormatting sqref="C1364:D1364">
    <cfRule type="containsText" dxfId="940" priority="982" operator="containsText" text="SI">
      <formula>NOT(ISERROR(SEARCH("SI",C1364)))</formula>
    </cfRule>
    <cfRule type="containsText" dxfId="939" priority="983" operator="containsText" text="NO">
      <formula>NOT(ISERROR(SEARCH("NO",C1364)))</formula>
    </cfRule>
  </conditionalFormatting>
  <conditionalFormatting sqref="C1364:D1364">
    <cfRule type="containsText" dxfId="938" priority="981" operator="containsText" text="NUEVO">
      <formula>NOT(ISERROR(SEARCH("NUEVO",C1364)))</formula>
    </cfRule>
  </conditionalFormatting>
  <conditionalFormatting sqref="E1364">
    <cfRule type="containsText" dxfId="937" priority="979" operator="containsText" text="NUEVO">
      <formula>NOT(ISERROR(SEARCH("NUEVO",E1364)))</formula>
    </cfRule>
  </conditionalFormatting>
  <conditionalFormatting sqref="E1364">
    <cfRule type="containsText" dxfId="936" priority="980" operator="containsText" text="Sin información">
      <formula>NOT(ISERROR(SEARCH("Sin información",E1364)))</formula>
    </cfRule>
  </conditionalFormatting>
  <conditionalFormatting sqref="C1365:D1365">
    <cfRule type="containsText" dxfId="935" priority="978" operator="containsText" text="NO+$D$4:$D$10">
      <formula>NOT(ISERROR(SEARCH("NO+$D$4:$D$10",C1365)))</formula>
    </cfRule>
  </conditionalFormatting>
  <conditionalFormatting sqref="C1365:D1365">
    <cfRule type="containsText" dxfId="934" priority="976" operator="containsText" text="SI">
      <formula>NOT(ISERROR(SEARCH("SI",C1365)))</formula>
    </cfRule>
    <cfRule type="containsText" dxfId="933" priority="977" operator="containsText" text="NO">
      <formula>NOT(ISERROR(SEARCH("NO",C1365)))</formula>
    </cfRule>
  </conditionalFormatting>
  <conditionalFormatting sqref="C1365:D1365">
    <cfRule type="containsText" dxfId="932" priority="975" operator="containsText" text="NUEVO">
      <formula>NOT(ISERROR(SEARCH("NUEVO",C1365)))</formula>
    </cfRule>
  </conditionalFormatting>
  <conditionalFormatting sqref="E1365">
    <cfRule type="containsText" dxfId="931" priority="973" operator="containsText" text="NUEVO">
      <formula>NOT(ISERROR(SEARCH("NUEVO",E1365)))</formula>
    </cfRule>
  </conditionalFormatting>
  <conditionalFormatting sqref="E1365">
    <cfRule type="containsText" dxfId="930" priority="974" operator="containsText" text="Sin información">
      <formula>NOT(ISERROR(SEARCH("Sin información",E1365)))</formula>
    </cfRule>
  </conditionalFormatting>
  <conditionalFormatting sqref="C1366:D1367">
    <cfRule type="containsText" dxfId="929" priority="972" operator="containsText" text="NO+$D$4:$D$10">
      <formula>NOT(ISERROR(SEARCH("NO+$D$4:$D$10",C1366)))</formula>
    </cfRule>
  </conditionalFormatting>
  <conditionalFormatting sqref="C1366:D1367">
    <cfRule type="containsText" dxfId="928" priority="970" operator="containsText" text="SI">
      <formula>NOT(ISERROR(SEARCH("SI",C1366)))</formula>
    </cfRule>
    <cfRule type="containsText" dxfId="927" priority="971" operator="containsText" text="NO">
      <formula>NOT(ISERROR(SEARCH("NO",C1366)))</formula>
    </cfRule>
  </conditionalFormatting>
  <conditionalFormatting sqref="C1366:D1367">
    <cfRule type="containsText" dxfId="926" priority="969" operator="containsText" text="NUEVO">
      <formula>NOT(ISERROR(SEARCH("NUEVO",C1366)))</formula>
    </cfRule>
  </conditionalFormatting>
  <conditionalFormatting sqref="E1366">
    <cfRule type="containsText" dxfId="925" priority="965" operator="containsText" text="NUEVO">
      <formula>NOT(ISERROR(SEARCH("NUEVO",E1366)))</formula>
    </cfRule>
  </conditionalFormatting>
  <conditionalFormatting sqref="E1367">
    <cfRule type="containsText" dxfId="924" priority="963" operator="containsText" text="NUEVO">
      <formula>NOT(ISERROR(SEARCH("NUEVO",E1367)))</formula>
    </cfRule>
  </conditionalFormatting>
  <conditionalFormatting sqref="E1366">
    <cfRule type="containsText" dxfId="923" priority="966" operator="containsText" text="Sin información">
      <formula>NOT(ISERROR(SEARCH("Sin información",E1366)))</formula>
    </cfRule>
  </conditionalFormatting>
  <conditionalFormatting sqref="E1367">
    <cfRule type="containsText" dxfId="922" priority="964" operator="containsText" text="Sin información">
      <formula>NOT(ISERROR(SEARCH("Sin información",E1367)))</formula>
    </cfRule>
  </conditionalFormatting>
  <conditionalFormatting sqref="C1368:D1368">
    <cfRule type="containsText" dxfId="921" priority="962" operator="containsText" text="NO+$D$4:$D$10">
      <formula>NOT(ISERROR(SEARCH("NO+$D$4:$D$10",C1368)))</formula>
    </cfRule>
  </conditionalFormatting>
  <conditionalFormatting sqref="C1368:D1368">
    <cfRule type="containsText" dxfId="920" priority="960" operator="containsText" text="SI">
      <formula>NOT(ISERROR(SEARCH("SI",C1368)))</formula>
    </cfRule>
    <cfRule type="containsText" dxfId="919" priority="961" operator="containsText" text="NO">
      <formula>NOT(ISERROR(SEARCH("NO",C1368)))</formula>
    </cfRule>
  </conditionalFormatting>
  <conditionalFormatting sqref="C1368:D1368">
    <cfRule type="containsText" dxfId="918" priority="959" operator="containsText" text="NUEVO">
      <formula>NOT(ISERROR(SEARCH("NUEVO",C1368)))</formula>
    </cfRule>
  </conditionalFormatting>
  <conditionalFormatting sqref="E1368">
    <cfRule type="containsText" dxfId="917" priority="957" operator="containsText" text="NUEVO">
      <formula>NOT(ISERROR(SEARCH("NUEVO",E1368)))</formula>
    </cfRule>
  </conditionalFormatting>
  <conditionalFormatting sqref="E1368">
    <cfRule type="containsText" dxfId="916" priority="958" operator="containsText" text="Sin información">
      <formula>NOT(ISERROR(SEARCH("Sin información",E1368)))</formula>
    </cfRule>
  </conditionalFormatting>
  <conditionalFormatting sqref="C1369:D1369">
    <cfRule type="containsText" dxfId="915" priority="956" operator="containsText" text="NO+$D$4:$D$10">
      <formula>NOT(ISERROR(SEARCH("NO+$D$4:$D$10",C1369)))</formula>
    </cfRule>
  </conditionalFormatting>
  <conditionalFormatting sqref="C1369:D1369">
    <cfRule type="containsText" dxfId="914" priority="954" operator="containsText" text="SI">
      <formula>NOT(ISERROR(SEARCH("SI",C1369)))</formula>
    </cfRule>
    <cfRule type="containsText" dxfId="913" priority="955" operator="containsText" text="NO">
      <formula>NOT(ISERROR(SEARCH("NO",C1369)))</formula>
    </cfRule>
  </conditionalFormatting>
  <conditionalFormatting sqref="C1369:D1369">
    <cfRule type="containsText" dxfId="912" priority="953" operator="containsText" text="NUEVO">
      <formula>NOT(ISERROR(SEARCH("NUEVO",C1369)))</formula>
    </cfRule>
  </conditionalFormatting>
  <conditionalFormatting sqref="E1369">
    <cfRule type="containsText" dxfId="911" priority="952" operator="containsText" text="Sin información">
      <formula>NOT(ISERROR(SEARCH("Sin información",E1369)))</formula>
    </cfRule>
  </conditionalFormatting>
  <conditionalFormatting sqref="C1370:D1370">
    <cfRule type="containsText" dxfId="910" priority="951" operator="containsText" text="NO+$D$4:$D$10">
      <formula>NOT(ISERROR(SEARCH("NO+$D$4:$D$10",C1370)))</formula>
    </cfRule>
  </conditionalFormatting>
  <conditionalFormatting sqref="C1370:D1370">
    <cfRule type="containsText" dxfId="909" priority="949" operator="containsText" text="SI">
      <formula>NOT(ISERROR(SEARCH("SI",C1370)))</formula>
    </cfRule>
    <cfRule type="containsText" dxfId="908" priority="950" operator="containsText" text="NO">
      <formula>NOT(ISERROR(SEARCH("NO",C1370)))</formula>
    </cfRule>
  </conditionalFormatting>
  <conditionalFormatting sqref="C1370:D1370">
    <cfRule type="containsText" dxfId="907" priority="948" operator="containsText" text="NUEVO">
      <formula>NOT(ISERROR(SEARCH("NUEVO",C1370)))</formula>
    </cfRule>
  </conditionalFormatting>
  <conditionalFormatting sqref="E1370">
    <cfRule type="containsText" dxfId="906" priority="947" operator="containsText" text="Sin información">
      <formula>NOT(ISERROR(SEARCH("Sin información",E1370)))</formula>
    </cfRule>
  </conditionalFormatting>
  <conditionalFormatting sqref="E1370">
    <cfRule type="containsText" dxfId="905" priority="946" operator="containsText" text="NUEVO">
      <formula>NOT(ISERROR(SEARCH("NUEVO",E1370)))</formula>
    </cfRule>
  </conditionalFormatting>
  <conditionalFormatting sqref="E1370">
    <cfRule type="containsText" dxfId="904" priority="945" operator="containsText" text="Sin Información">
      <formula>NOT(ISERROR(SEARCH("Sin Información",E1370)))</formula>
    </cfRule>
  </conditionalFormatting>
  <conditionalFormatting sqref="E1370">
    <cfRule type="containsText" dxfId="903" priority="944" operator="containsText" text="Sin información">
      <formula>NOT(ISERROR(SEARCH("Sin información",E1370)))</formula>
    </cfRule>
  </conditionalFormatting>
  <conditionalFormatting sqref="C1371:D1371">
    <cfRule type="containsText" dxfId="902" priority="943" operator="containsText" text="NO+$D$4:$D$10">
      <formula>NOT(ISERROR(SEARCH("NO+$D$4:$D$10",C1371)))</formula>
    </cfRule>
  </conditionalFormatting>
  <conditionalFormatting sqref="C1371:D1371">
    <cfRule type="containsText" dxfId="901" priority="941" operator="containsText" text="SI">
      <formula>NOT(ISERROR(SEARCH("SI",C1371)))</formula>
    </cfRule>
    <cfRule type="containsText" dxfId="900" priority="942" operator="containsText" text="NO">
      <formula>NOT(ISERROR(SEARCH("NO",C1371)))</formula>
    </cfRule>
  </conditionalFormatting>
  <conditionalFormatting sqref="E1371">
    <cfRule type="containsText" dxfId="899" priority="940" operator="containsText" text="Sin información">
      <formula>NOT(ISERROR(SEARCH("Sin información",E1371)))</formula>
    </cfRule>
  </conditionalFormatting>
  <conditionalFormatting sqref="C1371:E1371">
    <cfRule type="containsText" dxfId="898" priority="939" operator="containsText" text="NUEVO">
      <formula>NOT(ISERROR(SEARCH("NUEVO",C1371)))</formula>
    </cfRule>
  </conditionalFormatting>
  <conditionalFormatting sqref="C1372:D1372">
    <cfRule type="containsText" dxfId="897" priority="931" operator="containsText" text="NO+$D$4:$D$10">
      <formula>NOT(ISERROR(SEARCH("NO+$D$4:$D$10",C1372)))</formula>
    </cfRule>
  </conditionalFormatting>
  <conditionalFormatting sqref="C1372:D1372">
    <cfRule type="containsText" dxfId="896" priority="929" operator="containsText" text="SI">
      <formula>NOT(ISERROR(SEARCH("SI",C1372)))</formula>
    </cfRule>
    <cfRule type="containsText" dxfId="895" priority="930" operator="containsText" text="NO">
      <formula>NOT(ISERROR(SEARCH("NO",C1372)))</formula>
    </cfRule>
  </conditionalFormatting>
  <conditionalFormatting sqref="E1372">
    <cfRule type="containsText" dxfId="894" priority="928" operator="containsText" text="Sin información">
      <formula>NOT(ISERROR(SEARCH("Sin información",E1372)))</formula>
    </cfRule>
  </conditionalFormatting>
  <conditionalFormatting sqref="C1372:E1372">
    <cfRule type="containsText" dxfId="893" priority="927" operator="containsText" text="NUEVO">
      <formula>NOT(ISERROR(SEARCH("NUEVO",C1372)))</formula>
    </cfRule>
  </conditionalFormatting>
  <conditionalFormatting sqref="E1372">
    <cfRule type="containsText" dxfId="892" priority="926" operator="containsText" text="Sin Información">
      <formula>NOT(ISERROR(SEARCH("Sin Información",E1372)))</formula>
    </cfRule>
  </conditionalFormatting>
  <conditionalFormatting sqref="C1373:D1373">
    <cfRule type="containsText" dxfId="891" priority="925" operator="containsText" text="NO+$D$4:$D$10">
      <formula>NOT(ISERROR(SEARCH("NO+$D$4:$D$10",C1373)))</formula>
    </cfRule>
  </conditionalFormatting>
  <conditionalFormatting sqref="C1373:D1373">
    <cfRule type="containsText" dxfId="890" priority="923" operator="containsText" text="SI">
      <formula>NOT(ISERROR(SEARCH("SI",C1373)))</formula>
    </cfRule>
    <cfRule type="containsText" dxfId="889" priority="924" operator="containsText" text="NO">
      <formula>NOT(ISERROR(SEARCH("NO",C1373)))</formula>
    </cfRule>
  </conditionalFormatting>
  <conditionalFormatting sqref="E1373">
    <cfRule type="containsText" dxfId="888" priority="922" operator="containsText" text="Sin información">
      <formula>NOT(ISERROR(SEARCH("Sin información",E1373)))</formula>
    </cfRule>
  </conditionalFormatting>
  <conditionalFormatting sqref="C1373:E1373">
    <cfRule type="containsText" dxfId="887" priority="921" operator="containsText" text="NUEVO">
      <formula>NOT(ISERROR(SEARCH("NUEVO",C1373)))</formula>
    </cfRule>
  </conditionalFormatting>
  <conditionalFormatting sqref="C1374:D1374">
    <cfRule type="containsText" dxfId="886" priority="920" operator="containsText" text="NO+$D$4:$D$10">
      <formula>NOT(ISERROR(SEARCH("NO+$D$4:$D$10",C1374)))</formula>
    </cfRule>
  </conditionalFormatting>
  <conditionalFormatting sqref="C1374:D1374">
    <cfRule type="containsText" dxfId="885" priority="918" operator="containsText" text="SI">
      <formula>NOT(ISERROR(SEARCH("SI",C1374)))</formula>
    </cfRule>
    <cfRule type="containsText" dxfId="884" priority="919" operator="containsText" text="NO">
      <formula>NOT(ISERROR(SEARCH("NO",C1374)))</formula>
    </cfRule>
  </conditionalFormatting>
  <conditionalFormatting sqref="E1374">
    <cfRule type="containsText" dxfId="883" priority="917" operator="containsText" text="Sin información">
      <formula>NOT(ISERROR(SEARCH("Sin información",E1374)))</formula>
    </cfRule>
  </conditionalFormatting>
  <conditionalFormatting sqref="C1374:E1374">
    <cfRule type="containsText" dxfId="882" priority="916" operator="containsText" text="NUEVO">
      <formula>NOT(ISERROR(SEARCH("NUEVO",C1374)))</formula>
    </cfRule>
  </conditionalFormatting>
  <conditionalFormatting sqref="C1375:D1375">
    <cfRule type="containsText" dxfId="881" priority="915" operator="containsText" text="NO+$D$4:$D$10">
      <formula>NOT(ISERROR(SEARCH("NO+$D$4:$D$10",C1375)))</formula>
    </cfRule>
  </conditionalFormatting>
  <conditionalFormatting sqref="C1375:D1375">
    <cfRule type="containsText" dxfId="880" priority="913" operator="containsText" text="SI">
      <formula>NOT(ISERROR(SEARCH("SI",C1375)))</formula>
    </cfRule>
    <cfRule type="containsText" dxfId="879" priority="914" operator="containsText" text="NO">
      <formula>NOT(ISERROR(SEARCH("NO",C1375)))</formula>
    </cfRule>
  </conditionalFormatting>
  <conditionalFormatting sqref="E1375">
    <cfRule type="containsText" dxfId="878" priority="912" operator="containsText" text="Sin información">
      <formula>NOT(ISERROR(SEARCH("Sin información",E1375)))</formula>
    </cfRule>
  </conditionalFormatting>
  <conditionalFormatting sqref="C1375:E1375">
    <cfRule type="containsText" dxfId="877" priority="911" operator="containsText" text="NUEVO">
      <formula>NOT(ISERROR(SEARCH("NUEVO",C1375)))</formula>
    </cfRule>
  </conditionalFormatting>
  <conditionalFormatting sqref="C1376:D1376">
    <cfRule type="containsText" dxfId="876" priority="910" operator="containsText" text="NO+$D$4:$D$10">
      <formula>NOT(ISERROR(SEARCH("NO+$D$4:$D$10",C1376)))</formula>
    </cfRule>
  </conditionalFormatting>
  <conditionalFormatting sqref="C1376:D1376">
    <cfRule type="containsText" dxfId="875" priority="908" operator="containsText" text="SI">
      <formula>NOT(ISERROR(SEARCH("SI",C1376)))</formula>
    </cfRule>
    <cfRule type="containsText" dxfId="874" priority="909" operator="containsText" text="NO">
      <formula>NOT(ISERROR(SEARCH("NO",C1376)))</formula>
    </cfRule>
  </conditionalFormatting>
  <conditionalFormatting sqref="C1376:D1376">
    <cfRule type="containsText" dxfId="873" priority="907" operator="containsText" text="NUEVO">
      <formula>NOT(ISERROR(SEARCH("NUEVO",C1376)))</formula>
    </cfRule>
  </conditionalFormatting>
  <conditionalFormatting sqref="E1376">
    <cfRule type="containsText" dxfId="872" priority="905" operator="containsText" text="Sin información">
      <formula>NOT(ISERROR(SEARCH("Sin información",E1376)))</formula>
    </cfRule>
  </conditionalFormatting>
  <conditionalFormatting sqref="E1376">
    <cfRule type="containsText" dxfId="871" priority="904" operator="containsText" text="NUEVO">
      <formula>NOT(ISERROR(SEARCH("NUEVO",E1376)))</formula>
    </cfRule>
  </conditionalFormatting>
  <conditionalFormatting sqref="E1376">
    <cfRule type="containsText" dxfId="870" priority="906" operator="containsText" text="Sin información">
      <formula>NOT(ISERROR(SEARCH("Sin información",E1376)))</formula>
    </cfRule>
  </conditionalFormatting>
  <conditionalFormatting sqref="C1377:D1378">
    <cfRule type="containsText" dxfId="869" priority="903" operator="containsText" text="NO+$D$4:$D$10">
      <formula>NOT(ISERROR(SEARCH("NO+$D$4:$D$10",C1377)))</formula>
    </cfRule>
  </conditionalFormatting>
  <conditionalFormatting sqref="C1377:D1378">
    <cfRule type="containsText" dxfId="868" priority="901" operator="containsText" text="SI">
      <formula>NOT(ISERROR(SEARCH("SI",C1377)))</formula>
    </cfRule>
    <cfRule type="containsText" dxfId="867" priority="902" operator="containsText" text="NO">
      <formula>NOT(ISERROR(SEARCH("NO",C1377)))</formula>
    </cfRule>
  </conditionalFormatting>
  <conditionalFormatting sqref="C1377:D1378">
    <cfRule type="containsText" dxfId="866" priority="900" operator="containsText" text="NUEVO">
      <formula>NOT(ISERROR(SEARCH("NUEVO",C1377)))</formula>
    </cfRule>
  </conditionalFormatting>
  <conditionalFormatting sqref="E1377">
    <cfRule type="containsText" dxfId="865" priority="898" operator="containsText" text="Sin información">
      <formula>NOT(ISERROR(SEARCH("Sin información",E1377)))</formula>
    </cfRule>
  </conditionalFormatting>
  <conditionalFormatting sqref="E1377">
    <cfRule type="containsText" dxfId="864" priority="897" operator="containsText" text="NUEVO">
      <formula>NOT(ISERROR(SEARCH("NUEVO",E1377)))</formula>
    </cfRule>
  </conditionalFormatting>
  <conditionalFormatting sqref="E1377">
    <cfRule type="containsText" dxfId="863" priority="899" operator="containsText" text="Sin información">
      <formula>NOT(ISERROR(SEARCH("Sin información",E1377)))</formula>
    </cfRule>
  </conditionalFormatting>
  <conditionalFormatting sqref="E1378">
    <cfRule type="containsText" dxfId="862" priority="895" operator="containsText" text="Sin información">
      <formula>NOT(ISERROR(SEARCH("Sin información",E1378)))</formula>
    </cfRule>
  </conditionalFormatting>
  <conditionalFormatting sqref="E1378">
    <cfRule type="containsText" dxfId="861" priority="894" operator="containsText" text="NUEVO">
      <formula>NOT(ISERROR(SEARCH("NUEVO",E1378)))</formula>
    </cfRule>
  </conditionalFormatting>
  <conditionalFormatting sqref="E1378">
    <cfRule type="containsText" dxfId="860" priority="896" operator="containsText" text="Sin información">
      <formula>NOT(ISERROR(SEARCH("Sin información",E1378)))</formula>
    </cfRule>
  </conditionalFormatting>
  <conditionalFormatting sqref="E1383">
    <cfRule type="containsText" dxfId="859" priority="881" operator="containsText" text="NUEVO">
      <formula>NOT(ISERROR(SEARCH("NUEVO",E1383)))</formula>
    </cfRule>
  </conditionalFormatting>
  <conditionalFormatting sqref="E1383">
    <cfRule type="containsText" dxfId="858" priority="882" operator="containsText" text="Sin información">
      <formula>NOT(ISERROR(SEARCH("Sin información",E1383)))</formula>
    </cfRule>
  </conditionalFormatting>
  <conditionalFormatting sqref="E1383">
    <cfRule type="containsText" dxfId="857" priority="883" operator="containsText" text="Sin información">
      <formula>NOT(ISERROR(SEARCH("Sin información",E1383)))</formula>
    </cfRule>
  </conditionalFormatting>
  <conditionalFormatting sqref="E1384:E1386">
    <cfRule type="containsText" dxfId="856" priority="880" operator="containsText" text="Sin información">
      <formula>NOT(ISERROR(SEARCH("Sin información",E1384)))</formula>
    </cfRule>
  </conditionalFormatting>
  <conditionalFormatting sqref="E1384:E1386">
    <cfRule type="containsText" dxfId="855" priority="878" operator="containsText" text="NUEVO">
      <formula>NOT(ISERROR(SEARCH("NUEVO",E1384)))</formula>
    </cfRule>
  </conditionalFormatting>
  <conditionalFormatting sqref="E1384:E1386">
    <cfRule type="containsText" dxfId="854" priority="879" operator="containsText" text="Sin información">
      <formula>NOT(ISERROR(SEARCH("Sin información",E1384)))</formula>
    </cfRule>
  </conditionalFormatting>
  <conditionalFormatting sqref="C1387:D1387">
    <cfRule type="containsText" dxfId="853" priority="877" operator="containsText" text="NO+$D$4:$D$10">
      <formula>NOT(ISERROR(SEARCH("NO+$D$4:$D$10",C1387)))</formula>
    </cfRule>
  </conditionalFormatting>
  <conditionalFormatting sqref="C1387:D1387">
    <cfRule type="containsText" dxfId="852" priority="875" operator="containsText" text="SI">
      <formula>NOT(ISERROR(SEARCH("SI",C1387)))</formula>
    </cfRule>
    <cfRule type="containsText" dxfId="851" priority="876" operator="containsText" text="NO">
      <formula>NOT(ISERROR(SEARCH("NO",C1387)))</formula>
    </cfRule>
  </conditionalFormatting>
  <conditionalFormatting sqref="C1387:D1387">
    <cfRule type="containsText" dxfId="850" priority="874" operator="containsText" text="NUEVO">
      <formula>NOT(ISERROR(SEARCH("NUEVO",C1387)))</formula>
    </cfRule>
  </conditionalFormatting>
  <conditionalFormatting sqref="E1387">
    <cfRule type="containsText" dxfId="849" priority="873" operator="containsText" text="Sin información">
      <formula>NOT(ISERROR(SEARCH("Sin información",E1387)))</formula>
    </cfRule>
  </conditionalFormatting>
  <conditionalFormatting sqref="E1387">
    <cfRule type="containsText" dxfId="848" priority="872" operator="containsText" text="Sin información">
      <formula>NOT(ISERROR(SEARCH("Sin información",E1387)))</formula>
    </cfRule>
  </conditionalFormatting>
  <conditionalFormatting sqref="E1387">
    <cfRule type="containsText" dxfId="847" priority="871" operator="containsText" text="NUEVO">
      <formula>NOT(ISERROR(SEARCH("NUEVO",E1387)))</formula>
    </cfRule>
  </conditionalFormatting>
  <conditionalFormatting sqref="C1388:D1388">
    <cfRule type="containsText" dxfId="846" priority="870" operator="containsText" text="NO+$D$4:$D$10">
      <formula>NOT(ISERROR(SEARCH("NO+$D$4:$D$10",C1388)))</formula>
    </cfRule>
  </conditionalFormatting>
  <conditionalFormatting sqref="C1388:D1388">
    <cfRule type="containsText" dxfId="845" priority="868" operator="containsText" text="SI">
      <formula>NOT(ISERROR(SEARCH("SI",C1388)))</formula>
    </cfRule>
    <cfRule type="containsText" dxfId="844" priority="869" operator="containsText" text="NO">
      <formula>NOT(ISERROR(SEARCH("NO",C1388)))</formula>
    </cfRule>
  </conditionalFormatting>
  <conditionalFormatting sqref="E1388">
    <cfRule type="containsText" dxfId="843" priority="867" operator="containsText" text="Sin información">
      <formula>NOT(ISERROR(SEARCH("Sin información",E1388)))</formula>
    </cfRule>
  </conditionalFormatting>
  <conditionalFormatting sqref="C1388:E1388">
    <cfRule type="containsText" dxfId="842" priority="866" operator="containsText" text="NUEVO">
      <formula>NOT(ISERROR(SEARCH("NUEVO",C1388)))</formula>
    </cfRule>
  </conditionalFormatting>
  <conditionalFormatting sqref="C1389:D1389">
    <cfRule type="containsText" dxfId="841" priority="865" operator="containsText" text="NO+$D$4:$D$10">
      <formula>NOT(ISERROR(SEARCH("NO+$D$4:$D$10",C1389)))</formula>
    </cfRule>
  </conditionalFormatting>
  <conditionalFormatting sqref="C1389:D1389">
    <cfRule type="containsText" dxfId="840" priority="863" operator="containsText" text="SI">
      <formula>NOT(ISERROR(SEARCH("SI",C1389)))</formula>
    </cfRule>
    <cfRule type="containsText" dxfId="839" priority="864" operator="containsText" text="NO">
      <formula>NOT(ISERROR(SEARCH("NO",C1389)))</formula>
    </cfRule>
  </conditionalFormatting>
  <conditionalFormatting sqref="C1389:D1389">
    <cfRule type="containsText" dxfId="838" priority="862" operator="containsText" text="NUEVO">
      <formula>NOT(ISERROR(SEARCH("NUEVO",C1389)))</formula>
    </cfRule>
  </conditionalFormatting>
  <conditionalFormatting sqref="E1389">
    <cfRule type="containsText" dxfId="837" priority="860" operator="containsText" text="NUEVO">
      <formula>NOT(ISERROR(SEARCH("NUEVO",E1389)))</formula>
    </cfRule>
  </conditionalFormatting>
  <conditionalFormatting sqref="E1389">
    <cfRule type="containsText" dxfId="836" priority="861" operator="containsText" text="Sin información">
      <formula>NOT(ISERROR(SEARCH("Sin información",E1389)))</formula>
    </cfRule>
  </conditionalFormatting>
  <conditionalFormatting sqref="C1390:D1390">
    <cfRule type="containsText" dxfId="835" priority="859" operator="containsText" text="NO+$D$4:$D$10">
      <formula>NOT(ISERROR(SEARCH("NO+$D$4:$D$10",C1390)))</formula>
    </cfRule>
  </conditionalFormatting>
  <conditionalFormatting sqref="C1390:D1390">
    <cfRule type="containsText" dxfId="834" priority="857" operator="containsText" text="SI">
      <formula>NOT(ISERROR(SEARCH("SI",C1390)))</formula>
    </cfRule>
    <cfRule type="containsText" dxfId="833" priority="858" operator="containsText" text="NO">
      <formula>NOT(ISERROR(SEARCH("NO",C1390)))</formula>
    </cfRule>
  </conditionalFormatting>
  <conditionalFormatting sqref="C1390:D1390">
    <cfRule type="containsText" dxfId="832" priority="856" operator="containsText" text="NUEVO">
      <formula>NOT(ISERROR(SEARCH("NUEVO",C1390)))</formula>
    </cfRule>
  </conditionalFormatting>
  <conditionalFormatting sqref="E1390">
    <cfRule type="containsText" dxfId="831" priority="854" operator="containsText" text="NUEVO">
      <formula>NOT(ISERROR(SEARCH("NUEVO",E1390)))</formula>
    </cfRule>
  </conditionalFormatting>
  <conditionalFormatting sqref="E1390">
    <cfRule type="containsText" dxfId="830" priority="855" operator="containsText" text="Sin información">
      <formula>NOT(ISERROR(SEARCH("Sin información",E1390)))</formula>
    </cfRule>
  </conditionalFormatting>
  <conditionalFormatting sqref="C1391:D1391">
    <cfRule type="containsText" dxfId="829" priority="853" operator="containsText" text="NO+$D$4:$D$10">
      <formula>NOT(ISERROR(SEARCH("NO+$D$4:$D$10",C1391)))</formula>
    </cfRule>
  </conditionalFormatting>
  <conditionalFormatting sqref="C1391:D1391">
    <cfRule type="containsText" dxfId="828" priority="851" operator="containsText" text="SI">
      <formula>NOT(ISERROR(SEARCH("SI",C1391)))</formula>
    </cfRule>
    <cfRule type="containsText" dxfId="827" priority="852" operator="containsText" text="NO">
      <formula>NOT(ISERROR(SEARCH("NO",C1391)))</formula>
    </cfRule>
  </conditionalFormatting>
  <conditionalFormatting sqref="C1391:D1391">
    <cfRule type="containsText" dxfId="826" priority="850" operator="containsText" text="NUEVO">
      <formula>NOT(ISERROR(SEARCH("NUEVO",C1391)))</formula>
    </cfRule>
  </conditionalFormatting>
  <conditionalFormatting sqref="E1391">
    <cfRule type="containsText" dxfId="825" priority="849" operator="containsText" text="Sin información">
      <formula>NOT(ISERROR(SEARCH("Sin información",E1391)))</formula>
    </cfRule>
  </conditionalFormatting>
  <conditionalFormatting sqref="E1391">
    <cfRule type="containsText" dxfId="824" priority="848" operator="containsText" text="NUEVO">
      <formula>NOT(ISERROR(SEARCH("NUEVO",E1391)))</formula>
    </cfRule>
  </conditionalFormatting>
  <conditionalFormatting sqref="C1392:D1392">
    <cfRule type="containsText" dxfId="823" priority="847" operator="containsText" text="NO+$D$4:$D$10">
      <formula>NOT(ISERROR(SEARCH("NO+$D$4:$D$10",C1392)))</formula>
    </cfRule>
  </conditionalFormatting>
  <conditionalFormatting sqref="C1392:D1392">
    <cfRule type="containsText" dxfId="822" priority="845" operator="containsText" text="SI">
      <formula>NOT(ISERROR(SEARCH("SI",C1392)))</formula>
    </cfRule>
    <cfRule type="containsText" dxfId="821" priority="846" operator="containsText" text="NO">
      <formula>NOT(ISERROR(SEARCH("NO",C1392)))</formula>
    </cfRule>
  </conditionalFormatting>
  <conditionalFormatting sqref="E1392">
    <cfRule type="containsText" dxfId="820" priority="844" operator="containsText" text="Sin información">
      <formula>NOT(ISERROR(SEARCH("Sin información",E1392)))</formula>
    </cfRule>
  </conditionalFormatting>
  <conditionalFormatting sqref="C1392:E1392">
    <cfRule type="containsText" dxfId="819" priority="843" operator="containsText" text="NUEVO">
      <formula>NOT(ISERROR(SEARCH("NUEVO",C1392)))</formula>
    </cfRule>
  </conditionalFormatting>
  <conditionalFormatting sqref="C1393:D1393">
    <cfRule type="containsText" dxfId="818" priority="842" operator="containsText" text="NO+$D$4:$D$10">
      <formula>NOT(ISERROR(SEARCH("NO+$D$4:$D$10",C1393)))</formula>
    </cfRule>
  </conditionalFormatting>
  <conditionalFormatting sqref="C1393:D1393">
    <cfRule type="containsText" dxfId="817" priority="840" operator="containsText" text="SI">
      <formula>NOT(ISERROR(SEARCH("SI",C1393)))</formula>
    </cfRule>
    <cfRule type="containsText" dxfId="816" priority="841" operator="containsText" text="NO">
      <formula>NOT(ISERROR(SEARCH("NO",C1393)))</formula>
    </cfRule>
  </conditionalFormatting>
  <conditionalFormatting sqref="E1393">
    <cfRule type="containsText" dxfId="815" priority="839" operator="containsText" text="Sin información">
      <formula>NOT(ISERROR(SEARCH("Sin información",E1393)))</formula>
    </cfRule>
  </conditionalFormatting>
  <conditionalFormatting sqref="C1393:E1393">
    <cfRule type="containsText" dxfId="814" priority="838" operator="containsText" text="NUEVO">
      <formula>NOT(ISERROR(SEARCH("NUEVO",C1393)))</formula>
    </cfRule>
  </conditionalFormatting>
  <conditionalFormatting sqref="E1393">
    <cfRule type="containsText" dxfId="813" priority="837" operator="containsText" text="Sin Información">
      <formula>NOT(ISERROR(SEARCH("Sin Información",E1393)))</formula>
    </cfRule>
  </conditionalFormatting>
  <conditionalFormatting sqref="C1394:D1394">
    <cfRule type="containsText" dxfId="812" priority="836" operator="containsText" text="NO+$D$4:$D$10">
      <formula>NOT(ISERROR(SEARCH("NO+$D$4:$D$10",C1394)))</formula>
    </cfRule>
  </conditionalFormatting>
  <conditionalFormatting sqref="C1394:D1394">
    <cfRule type="containsText" dxfId="811" priority="834" operator="containsText" text="SI">
      <formula>NOT(ISERROR(SEARCH("SI",C1394)))</formula>
    </cfRule>
    <cfRule type="containsText" dxfId="810" priority="835" operator="containsText" text="NO">
      <formula>NOT(ISERROR(SEARCH("NO",C1394)))</formula>
    </cfRule>
  </conditionalFormatting>
  <conditionalFormatting sqref="E1394">
    <cfRule type="containsText" dxfId="809" priority="833" operator="containsText" text="Sin información">
      <formula>NOT(ISERROR(SEARCH("Sin información",E1394)))</formula>
    </cfRule>
  </conditionalFormatting>
  <conditionalFormatting sqref="C1394:E1394">
    <cfRule type="containsText" dxfId="808" priority="832" operator="containsText" text="NUEVO">
      <formula>NOT(ISERROR(SEARCH("NUEVO",C1394)))</formula>
    </cfRule>
  </conditionalFormatting>
  <conditionalFormatting sqref="C1395:D1396">
    <cfRule type="containsText" dxfId="807" priority="831" operator="containsText" text="NO+$D$4:$D$10">
      <formula>NOT(ISERROR(SEARCH("NO+$D$4:$D$10",C1395)))</formula>
    </cfRule>
  </conditionalFormatting>
  <conditionalFormatting sqref="C1395:D1396">
    <cfRule type="containsText" dxfId="806" priority="829" operator="containsText" text="SI">
      <formula>NOT(ISERROR(SEARCH("SI",C1395)))</formula>
    </cfRule>
    <cfRule type="containsText" dxfId="805" priority="830" operator="containsText" text="NO">
      <formula>NOT(ISERROR(SEARCH("NO",C1395)))</formula>
    </cfRule>
  </conditionalFormatting>
  <conditionalFormatting sqref="C1395:D1396">
    <cfRule type="containsText" dxfId="804" priority="828" operator="containsText" text="NUEVO">
      <formula>NOT(ISERROR(SEARCH("NUEVO",C1395)))</formula>
    </cfRule>
  </conditionalFormatting>
  <conditionalFormatting sqref="E1395">
    <cfRule type="containsText" dxfId="803" priority="827" operator="containsText" text="Sin información">
      <formula>NOT(ISERROR(SEARCH("Sin información",E1395)))</formula>
    </cfRule>
  </conditionalFormatting>
  <conditionalFormatting sqref="E1395">
    <cfRule type="containsText" dxfId="802" priority="826" operator="containsText" text="NUEVO">
      <formula>NOT(ISERROR(SEARCH("NUEVO",E1395)))</formula>
    </cfRule>
  </conditionalFormatting>
  <conditionalFormatting sqref="E1396">
    <cfRule type="containsText" dxfId="801" priority="825" operator="containsText" text="Sin información">
      <formula>NOT(ISERROR(SEARCH("Sin información",E1396)))</formula>
    </cfRule>
  </conditionalFormatting>
  <conditionalFormatting sqref="E1396">
    <cfRule type="containsText" dxfId="800" priority="823" operator="containsText" text="NUEVO">
      <formula>NOT(ISERROR(SEARCH("NUEVO",E1396)))</formula>
    </cfRule>
  </conditionalFormatting>
  <conditionalFormatting sqref="E1396">
    <cfRule type="containsText" dxfId="799" priority="824" operator="containsText" text="Sin información">
      <formula>NOT(ISERROR(SEARCH("Sin información",E1396)))</formula>
    </cfRule>
  </conditionalFormatting>
  <conditionalFormatting sqref="C1397:D1398">
    <cfRule type="containsText" dxfId="798" priority="822" operator="containsText" text="NO+$D$4:$D$10">
      <formula>NOT(ISERROR(SEARCH("NO+$D$4:$D$10",C1397)))</formula>
    </cfRule>
  </conditionalFormatting>
  <conditionalFormatting sqref="C1397:D1398">
    <cfRule type="containsText" dxfId="797" priority="820" operator="containsText" text="SI">
      <formula>NOT(ISERROR(SEARCH("SI",C1397)))</formula>
    </cfRule>
    <cfRule type="containsText" dxfId="796" priority="821" operator="containsText" text="NO">
      <formula>NOT(ISERROR(SEARCH("NO",C1397)))</formula>
    </cfRule>
  </conditionalFormatting>
  <conditionalFormatting sqref="C1397:D1398">
    <cfRule type="containsText" dxfId="795" priority="819" operator="containsText" text="NUEVO">
      <formula>NOT(ISERROR(SEARCH("NUEVO",C1397)))</formula>
    </cfRule>
  </conditionalFormatting>
  <conditionalFormatting sqref="E1397">
    <cfRule type="containsText" dxfId="794" priority="817" operator="containsText" text="NUEVO">
      <formula>NOT(ISERROR(SEARCH("NUEVO",E1397)))</formula>
    </cfRule>
  </conditionalFormatting>
  <conditionalFormatting sqref="E1397">
    <cfRule type="containsText" dxfId="793" priority="818" operator="containsText" text="Sin información">
      <formula>NOT(ISERROR(SEARCH("Sin información",E1397)))</formula>
    </cfRule>
  </conditionalFormatting>
  <conditionalFormatting sqref="E1398">
    <cfRule type="containsText" dxfId="792" priority="816" operator="containsText" text="Sin información">
      <formula>NOT(ISERROR(SEARCH("Sin información",E1398)))</formula>
    </cfRule>
  </conditionalFormatting>
  <conditionalFormatting sqref="E1398">
    <cfRule type="containsText" dxfId="791" priority="815" operator="containsText" text="NUEVO">
      <formula>NOT(ISERROR(SEARCH("NUEVO",E1398)))</formula>
    </cfRule>
  </conditionalFormatting>
  <conditionalFormatting sqref="C1399:D1399">
    <cfRule type="containsText" dxfId="790" priority="814" operator="containsText" text="NO+$D$4:$D$10">
      <formula>NOT(ISERROR(SEARCH("NO+$D$4:$D$10",C1399)))</formula>
    </cfRule>
  </conditionalFormatting>
  <conditionalFormatting sqref="C1399:D1399">
    <cfRule type="containsText" dxfId="789" priority="812" operator="containsText" text="SI">
      <formula>NOT(ISERROR(SEARCH("SI",C1399)))</formula>
    </cfRule>
    <cfRule type="containsText" dxfId="788" priority="813" operator="containsText" text="NO">
      <formula>NOT(ISERROR(SEARCH("NO",C1399)))</formula>
    </cfRule>
  </conditionalFormatting>
  <conditionalFormatting sqref="C1399:D1399">
    <cfRule type="containsText" dxfId="787" priority="811" operator="containsText" text="NUEVO">
      <formula>NOT(ISERROR(SEARCH("NUEVO",C1399)))</formula>
    </cfRule>
  </conditionalFormatting>
  <conditionalFormatting sqref="E1399">
    <cfRule type="containsText" dxfId="786" priority="808" operator="containsText" text="NUEVO">
      <formula>NOT(ISERROR(SEARCH("NUEVO",E1399)))</formula>
    </cfRule>
  </conditionalFormatting>
  <conditionalFormatting sqref="E1399">
    <cfRule type="containsText" dxfId="785" priority="810" operator="containsText" text="Sin información">
      <formula>NOT(ISERROR(SEARCH("Sin información",E1399)))</formula>
    </cfRule>
  </conditionalFormatting>
  <conditionalFormatting sqref="E1399">
    <cfRule type="containsText" dxfId="784" priority="809" operator="containsText" text="Sin información">
      <formula>NOT(ISERROR(SEARCH("Sin información",E1399)))</formula>
    </cfRule>
  </conditionalFormatting>
  <conditionalFormatting sqref="C1400:D1400">
    <cfRule type="containsText" dxfId="783" priority="807" operator="containsText" text="NO+$D$4:$D$10">
      <formula>NOT(ISERROR(SEARCH("NO+$D$4:$D$10",C1400)))</formula>
    </cfRule>
  </conditionalFormatting>
  <conditionalFormatting sqref="C1400:D1400">
    <cfRule type="containsText" dxfId="782" priority="805" operator="containsText" text="SI">
      <formula>NOT(ISERROR(SEARCH("SI",C1400)))</formula>
    </cfRule>
    <cfRule type="containsText" dxfId="781" priority="806" operator="containsText" text="NO">
      <formula>NOT(ISERROR(SEARCH("NO",C1400)))</formula>
    </cfRule>
  </conditionalFormatting>
  <conditionalFormatting sqref="C1400:E1400">
    <cfRule type="containsText" dxfId="780" priority="804" operator="containsText" text="NUEVO">
      <formula>NOT(ISERROR(SEARCH("NUEVO",C1400)))</formula>
    </cfRule>
  </conditionalFormatting>
  <conditionalFormatting sqref="E1400">
    <cfRule type="containsText" dxfId="779" priority="803" operator="containsText" text="Sin Información">
      <formula>NOT(ISERROR(SEARCH("Sin Información",E1400)))</formula>
    </cfRule>
  </conditionalFormatting>
  <conditionalFormatting sqref="E1400">
    <cfRule type="containsText" dxfId="778" priority="802" operator="containsText" text="Sin información">
      <formula>NOT(ISERROR(SEARCH("Sin información",E1400)))</formula>
    </cfRule>
  </conditionalFormatting>
  <conditionalFormatting sqref="E1400">
    <cfRule type="containsText" dxfId="777" priority="801" operator="containsText" text="Sin información">
      <formula>NOT(ISERROR(SEARCH("Sin información",E1400)))</formula>
    </cfRule>
  </conditionalFormatting>
  <conditionalFormatting sqref="E1400">
    <cfRule type="containsText" dxfId="776" priority="800" operator="containsText" text="NUEVO">
      <formula>NOT(ISERROR(SEARCH("NUEVO",E1400)))</formula>
    </cfRule>
  </conditionalFormatting>
  <conditionalFormatting sqref="C1401:D1401">
    <cfRule type="containsText" dxfId="775" priority="799" operator="containsText" text="NO+$D$4:$D$10">
      <formula>NOT(ISERROR(SEARCH("NO+$D$4:$D$10",C1401)))</formula>
    </cfRule>
  </conditionalFormatting>
  <conditionalFormatting sqref="C1401:D1401">
    <cfRule type="containsText" dxfId="774" priority="797" operator="containsText" text="SI">
      <formula>NOT(ISERROR(SEARCH("SI",C1401)))</formula>
    </cfRule>
    <cfRule type="containsText" dxfId="773" priority="798" operator="containsText" text="NO">
      <formula>NOT(ISERROR(SEARCH("NO",C1401)))</formula>
    </cfRule>
  </conditionalFormatting>
  <conditionalFormatting sqref="C1401:D1401">
    <cfRule type="containsText" dxfId="772" priority="796" operator="containsText" text="NUEVO">
      <formula>NOT(ISERROR(SEARCH("NUEVO",C1401)))</formula>
    </cfRule>
  </conditionalFormatting>
  <conditionalFormatting sqref="E1401">
    <cfRule type="containsText" dxfId="771" priority="794" operator="containsText" text="Sin información">
      <formula>NOT(ISERROR(SEARCH("Sin información",E1401)))</formula>
    </cfRule>
  </conditionalFormatting>
  <conditionalFormatting sqref="E1401">
    <cfRule type="containsText" dxfId="770" priority="793" operator="containsText" text="NUEVO">
      <formula>NOT(ISERROR(SEARCH("NUEVO",E1401)))</formula>
    </cfRule>
  </conditionalFormatting>
  <conditionalFormatting sqref="E1401">
    <cfRule type="containsText" dxfId="769" priority="795" operator="containsText" text="Sin información">
      <formula>NOT(ISERROR(SEARCH("Sin información",E1401)))</formula>
    </cfRule>
  </conditionalFormatting>
  <conditionalFormatting sqref="C1402:D1402">
    <cfRule type="containsText" dxfId="768" priority="792" operator="containsText" text="NO+$D$4:$D$10">
      <formula>NOT(ISERROR(SEARCH("NO+$D$4:$D$10",C1402)))</formula>
    </cfRule>
  </conditionalFormatting>
  <conditionalFormatting sqref="C1402:D1402">
    <cfRule type="containsText" dxfId="767" priority="790" operator="containsText" text="SI">
      <formula>NOT(ISERROR(SEARCH("SI",C1402)))</formula>
    </cfRule>
    <cfRule type="containsText" dxfId="766" priority="791" operator="containsText" text="NO">
      <formula>NOT(ISERROR(SEARCH("NO",C1402)))</formula>
    </cfRule>
  </conditionalFormatting>
  <conditionalFormatting sqref="C1402:D1402">
    <cfRule type="containsText" dxfId="765" priority="789" operator="containsText" text="NUEVO">
      <formula>NOT(ISERROR(SEARCH("NUEVO",C1402)))</formula>
    </cfRule>
  </conditionalFormatting>
  <conditionalFormatting sqref="E1402">
    <cfRule type="containsText" dxfId="764" priority="788" operator="containsText" text="Sin información">
      <formula>NOT(ISERROR(SEARCH("Sin información",E1402)))</formula>
    </cfRule>
  </conditionalFormatting>
  <conditionalFormatting sqref="E1402">
    <cfRule type="containsText" dxfId="763" priority="787" operator="containsText" text="Sin información">
      <formula>NOT(ISERROR(SEARCH("Sin información",E1402)))</formula>
    </cfRule>
  </conditionalFormatting>
  <conditionalFormatting sqref="E1402">
    <cfRule type="containsText" dxfId="762" priority="786" operator="containsText" text="NUEVO">
      <formula>NOT(ISERROR(SEARCH("NUEVO",E1402)))</formula>
    </cfRule>
  </conditionalFormatting>
  <conditionalFormatting sqref="C1403:D1409">
    <cfRule type="containsText" dxfId="761" priority="785" operator="containsText" text="NO+$D$4:$D$10">
      <formula>NOT(ISERROR(SEARCH("NO+$D$4:$D$10",C1403)))</formula>
    </cfRule>
  </conditionalFormatting>
  <conditionalFormatting sqref="C1403:D1409">
    <cfRule type="containsText" dxfId="760" priority="783" operator="containsText" text="SI">
      <formula>NOT(ISERROR(SEARCH("SI",C1403)))</formula>
    </cfRule>
    <cfRule type="containsText" dxfId="759" priority="784" operator="containsText" text="NO">
      <formula>NOT(ISERROR(SEARCH("NO",C1403)))</formula>
    </cfRule>
  </conditionalFormatting>
  <conditionalFormatting sqref="C1403:D1409">
    <cfRule type="containsText" dxfId="758" priority="782" operator="containsText" text="NUEVO">
      <formula>NOT(ISERROR(SEARCH("NUEVO",C1403)))</formula>
    </cfRule>
  </conditionalFormatting>
  <conditionalFormatting sqref="E1403:E1404">
    <cfRule type="containsText" dxfId="757" priority="779" operator="containsText" text="NUEVO">
      <formula>NOT(ISERROR(SEARCH("NUEVO",E1403)))</formula>
    </cfRule>
  </conditionalFormatting>
  <conditionalFormatting sqref="E1403:E1404">
    <cfRule type="containsText" dxfId="756" priority="780" operator="containsText" text="Sin información">
      <formula>NOT(ISERROR(SEARCH("Sin información",E1403)))</formula>
    </cfRule>
  </conditionalFormatting>
  <conditionalFormatting sqref="E1403:E1404">
    <cfRule type="containsText" dxfId="755" priority="781" operator="containsText" text="Sin información">
      <formula>NOT(ISERROR(SEARCH("Sin información",E1403)))</formula>
    </cfRule>
  </conditionalFormatting>
  <conditionalFormatting sqref="E1405:E1408">
    <cfRule type="containsText" dxfId="754" priority="776" operator="containsText" text="NUEVO">
      <formula>NOT(ISERROR(SEARCH("NUEVO",E1405)))</formula>
    </cfRule>
  </conditionalFormatting>
  <conditionalFormatting sqref="E1405:E1408">
    <cfRule type="containsText" dxfId="753" priority="777" operator="containsText" text="Sin información">
      <formula>NOT(ISERROR(SEARCH("Sin información",E1405)))</formula>
    </cfRule>
  </conditionalFormatting>
  <conditionalFormatting sqref="E1405:E1408">
    <cfRule type="containsText" dxfId="752" priority="778" operator="containsText" text="Sin información">
      <formula>NOT(ISERROR(SEARCH("Sin información",E1405)))</formula>
    </cfRule>
  </conditionalFormatting>
  <conditionalFormatting sqref="E1409">
    <cfRule type="containsText" dxfId="751" priority="774" operator="containsText" text="Sin información">
      <formula>NOT(ISERROR(SEARCH("Sin información",E1409)))</formula>
    </cfRule>
  </conditionalFormatting>
  <conditionalFormatting sqref="E1409">
    <cfRule type="containsText" dxfId="750" priority="773" operator="containsText" text="NUEVO">
      <formula>NOT(ISERROR(SEARCH("NUEVO",E1409)))</formula>
    </cfRule>
  </conditionalFormatting>
  <conditionalFormatting sqref="E1409">
    <cfRule type="containsText" dxfId="749" priority="775" operator="containsText" text="Sin información">
      <formula>NOT(ISERROR(SEARCH("Sin información",E1409)))</formula>
    </cfRule>
  </conditionalFormatting>
  <conditionalFormatting sqref="E179">
    <cfRule type="containsText" dxfId="748" priority="23370" operator="containsText" text="Sin Información">
      <formula>NOT(ISERROR(SEARCH("Sin Información",E1240)))</formula>
    </cfRule>
  </conditionalFormatting>
  <conditionalFormatting sqref="E179">
    <cfRule type="containsText" dxfId="747" priority="23372" operator="containsText" text="NUEVO">
      <formula>NOT(ISERROR(SEARCH("NUEVO",E1240)))</formula>
    </cfRule>
  </conditionalFormatting>
  <conditionalFormatting sqref="E206">
    <cfRule type="containsText" dxfId="746" priority="23374" operator="containsText" text="NUEVO">
      <formula>NOT(ISERROR(SEARCH("NUEVO",E1262)))</formula>
    </cfRule>
  </conditionalFormatting>
  <conditionalFormatting sqref="E206">
    <cfRule type="containsText" dxfId="745" priority="23376" operator="containsText" text="Sin Información">
      <formula>NOT(ISERROR(SEARCH("Sin Información",E1262)))</formula>
    </cfRule>
  </conditionalFormatting>
  <conditionalFormatting sqref="E202">
    <cfRule type="containsText" dxfId="744" priority="23378" operator="containsText" text="Sin Información">
      <formula>NOT(ISERROR(SEARCH("Sin Información",E1259)))</formula>
    </cfRule>
  </conditionalFormatting>
  <conditionalFormatting sqref="E202">
    <cfRule type="containsText" dxfId="743" priority="23380" operator="containsText" text="NUEVO">
      <formula>NOT(ISERROR(SEARCH("NUEVO",E1259)))</formula>
    </cfRule>
  </conditionalFormatting>
  <conditionalFormatting sqref="E215">
    <cfRule type="containsText" dxfId="742" priority="24005" operator="containsText" text="Sin Información">
      <formula>NOT(ISERROR(SEARCH("Sin Información",E1273)))</formula>
    </cfRule>
  </conditionalFormatting>
  <conditionalFormatting sqref="E215">
    <cfRule type="containsText" dxfId="741" priority="24006" operator="containsText" text="NUEVO">
      <formula>NOT(ISERROR(SEARCH("NUEVO",E1273)))</formula>
    </cfRule>
  </conditionalFormatting>
  <conditionalFormatting sqref="E201">
    <cfRule type="containsText" dxfId="740" priority="24102" operator="containsText" text="Sin Información">
      <formula>NOT(ISERROR(SEARCH("Sin Información",E1268)))</formula>
    </cfRule>
  </conditionalFormatting>
  <conditionalFormatting sqref="E201">
    <cfRule type="containsText" dxfId="739" priority="24103" operator="containsText" text="NUEVO">
      <formula>NOT(ISERROR(SEARCH("NUEVO",E1268)))</formula>
    </cfRule>
  </conditionalFormatting>
  <conditionalFormatting sqref="C1413:D1413">
    <cfRule type="containsText" dxfId="738" priority="772" operator="containsText" text="NO+$D$4:$D$10">
      <formula>NOT(ISERROR(SEARCH("NO+$D$4:$D$10",C1413)))</formula>
    </cfRule>
  </conditionalFormatting>
  <conditionalFormatting sqref="C1413:D1413">
    <cfRule type="containsText" dxfId="737" priority="770" operator="containsText" text="SI">
      <formula>NOT(ISERROR(SEARCH("SI",C1413)))</formula>
    </cfRule>
    <cfRule type="containsText" dxfId="736" priority="771" operator="containsText" text="NO">
      <formula>NOT(ISERROR(SEARCH("NO",C1413)))</formula>
    </cfRule>
  </conditionalFormatting>
  <conditionalFormatting sqref="C1413:D1413">
    <cfRule type="containsText" dxfId="735" priority="769" operator="containsText" text="NUEVO">
      <formula>NOT(ISERROR(SEARCH("NUEVO",C1413)))</formula>
    </cfRule>
  </conditionalFormatting>
  <conditionalFormatting sqref="E1413">
    <cfRule type="containsText" dxfId="734" priority="768" operator="containsText" text="NUEVO">
      <formula>NOT(ISERROR(SEARCH("NUEVO",E1413)))</formula>
    </cfRule>
  </conditionalFormatting>
  <conditionalFormatting sqref="E1413">
    <cfRule type="containsText" dxfId="733" priority="767" operator="containsText" text="Sin Información">
      <formula>NOT(ISERROR(SEARCH("Sin Información",E1413)))</formula>
    </cfRule>
  </conditionalFormatting>
  <conditionalFormatting sqref="C1414:D1414">
    <cfRule type="containsText" dxfId="732" priority="766" operator="containsText" text="NO+$D$4:$D$10">
      <formula>NOT(ISERROR(SEARCH("NO+$D$4:$D$10",C1414)))</formula>
    </cfRule>
  </conditionalFormatting>
  <conditionalFormatting sqref="C1414:D1414">
    <cfRule type="containsText" dxfId="731" priority="764" operator="containsText" text="SI">
      <formula>NOT(ISERROR(SEARCH("SI",C1414)))</formula>
    </cfRule>
    <cfRule type="containsText" dxfId="730" priority="765" operator="containsText" text="NO">
      <formula>NOT(ISERROR(SEARCH("NO",C1414)))</formula>
    </cfRule>
  </conditionalFormatting>
  <conditionalFormatting sqref="C1414:D1414">
    <cfRule type="containsText" dxfId="729" priority="763" operator="containsText" text="NUEVO">
      <formula>NOT(ISERROR(SEARCH("NUEVO",C1414)))</formula>
    </cfRule>
  </conditionalFormatting>
  <conditionalFormatting sqref="E1414">
    <cfRule type="containsText" dxfId="728" priority="762" operator="containsText" text="Sin información">
      <formula>NOT(ISERROR(SEARCH("Sin información",E1414)))</formula>
    </cfRule>
  </conditionalFormatting>
  <conditionalFormatting sqref="E1414">
    <cfRule type="containsText" dxfId="727" priority="761" operator="containsText" text="NUEVO">
      <formula>NOT(ISERROR(SEARCH("NUEVO",E1414)))</formula>
    </cfRule>
  </conditionalFormatting>
  <conditionalFormatting sqref="C1415:D1415">
    <cfRule type="containsText" dxfId="726" priority="760" operator="containsText" text="NO+$D$4:$D$10">
      <formula>NOT(ISERROR(SEARCH("NO+$D$4:$D$10",C1415)))</formula>
    </cfRule>
  </conditionalFormatting>
  <conditionalFormatting sqref="C1415:D1415">
    <cfRule type="containsText" dxfId="725" priority="758" operator="containsText" text="SI">
      <formula>NOT(ISERROR(SEARCH("SI",C1415)))</formula>
    </cfRule>
    <cfRule type="containsText" dxfId="724" priority="759" operator="containsText" text="NO">
      <formula>NOT(ISERROR(SEARCH("NO",C1415)))</formula>
    </cfRule>
  </conditionalFormatting>
  <conditionalFormatting sqref="C1415:D1415">
    <cfRule type="containsText" dxfId="723" priority="757" operator="containsText" text="NUEVO">
      <formula>NOT(ISERROR(SEARCH("NUEVO",C1415)))</formula>
    </cfRule>
  </conditionalFormatting>
  <conditionalFormatting sqref="E1415">
    <cfRule type="containsText" dxfId="722" priority="756" operator="containsText" text="NUEVO">
      <formula>NOT(ISERROR(SEARCH("NUEVO",E1415)))</formula>
    </cfRule>
  </conditionalFormatting>
  <conditionalFormatting sqref="E1415">
    <cfRule type="containsText" dxfId="721" priority="755" operator="containsText" text="Sin Información">
      <formula>NOT(ISERROR(SEARCH("Sin Información",E1415)))</formula>
    </cfRule>
  </conditionalFormatting>
  <conditionalFormatting sqref="C1416:D1416">
    <cfRule type="containsText" dxfId="720" priority="747" operator="containsText" text="NO+$D$4:$D$10">
      <formula>NOT(ISERROR(SEARCH("NO+$D$4:$D$10",C1416)))</formula>
    </cfRule>
  </conditionalFormatting>
  <conditionalFormatting sqref="C1416:D1416">
    <cfRule type="containsText" dxfId="719" priority="745" operator="containsText" text="SI">
      <formula>NOT(ISERROR(SEARCH("SI",C1416)))</formula>
    </cfRule>
    <cfRule type="containsText" dxfId="718" priority="746" operator="containsText" text="NO">
      <formula>NOT(ISERROR(SEARCH("NO",C1416)))</formula>
    </cfRule>
  </conditionalFormatting>
  <conditionalFormatting sqref="C1416:D1416">
    <cfRule type="containsText" dxfId="717" priority="744" operator="containsText" text="NUEVO">
      <formula>NOT(ISERROR(SEARCH("NUEVO",C1416)))</formula>
    </cfRule>
  </conditionalFormatting>
  <conditionalFormatting sqref="E1416">
    <cfRule type="containsText" dxfId="716" priority="748" operator="containsText" text="NUEVO">
      <formula>NOT(ISERROR(SEARCH("NUEVO",E1897)))</formula>
    </cfRule>
  </conditionalFormatting>
  <conditionalFormatting sqref="E1416">
    <cfRule type="containsText" dxfId="715" priority="749" operator="containsText" text="Sin información">
      <formula>NOT(ISERROR(SEARCH("Sin información",E1897)))</formula>
    </cfRule>
  </conditionalFormatting>
  <conditionalFormatting sqref="C1417:D1417">
    <cfRule type="containsText" dxfId="714" priority="743" operator="containsText" text="NO+$D$4:$D$10">
      <formula>NOT(ISERROR(SEARCH("NO+$D$4:$D$10",C1417)))</formula>
    </cfRule>
  </conditionalFormatting>
  <conditionalFormatting sqref="C1417:D1417">
    <cfRule type="containsText" dxfId="713" priority="741" operator="containsText" text="SI">
      <formula>NOT(ISERROR(SEARCH("SI",C1417)))</formula>
    </cfRule>
    <cfRule type="containsText" dxfId="712" priority="742" operator="containsText" text="NO">
      <formula>NOT(ISERROR(SEARCH("NO",C1417)))</formula>
    </cfRule>
  </conditionalFormatting>
  <conditionalFormatting sqref="C1417:D1417">
    <cfRule type="containsText" dxfId="711" priority="740" operator="containsText" text="NUEVO">
      <formula>NOT(ISERROR(SEARCH("NUEVO",C1417)))</formula>
    </cfRule>
  </conditionalFormatting>
  <conditionalFormatting sqref="E1417">
    <cfRule type="containsText" dxfId="710" priority="739" operator="containsText" text="NUEVO">
      <formula>NOT(ISERROR(SEARCH("NUEVO",E1417)))</formula>
    </cfRule>
  </conditionalFormatting>
  <conditionalFormatting sqref="E1417">
    <cfRule type="containsText" dxfId="709" priority="738" operator="containsText" text="Sin Información">
      <formula>NOT(ISERROR(SEARCH("Sin Información",E1417)))</formula>
    </cfRule>
  </conditionalFormatting>
  <conditionalFormatting sqref="C1418:D1418">
    <cfRule type="containsText" dxfId="708" priority="737" operator="containsText" text="NO+$D$4:$D$10">
      <formula>NOT(ISERROR(SEARCH("NO+$D$4:$D$10",C1418)))</formula>
    </cfRule>
  </conditionalFormatting>
  <conditionalFormatting sqref="C1418:D1418">
    <cfRule type="containsText" dxfId="707" priority="735" operator="containsText" text="SI">
      <formula>NOT(ISERROR(SEARCH("SI",C1418)))</formula>
    </cfRule>
    <cfRule type="containsText" dxfId="706" priority="736" operator="containsText" text="NO">
      <formula>NOT(ISERROR(SEARCH("NO",C1418)))</formula>
    </cfRule>
  </conditionalFormatting>
  <conditionalFormatting sqref="E1418">
    <cfRule type="containsText" dxfId="705" priority="734" operator="containsText" text="Sin información">
      <formula>NOT(ISERROR(SEARCH("Sin información",E1418)))</formula>
    </cfRule>
  </conditionalFormatting>
  <conditionalFormatting sqref="C1418:E1418">
    <cfRule type="containsText" dxfId="704" priority="733" operator="containsText" text="NUEVO">
      <formula>NOT(ISERROR(SEARCH("NUEVO",C1418)))</formula>
    </cfRule>
  </conditionalFormatting>
  <conditionalFormatting sqref="E1418">
    <cfRule type="containsText" dxfId="703" priority="732" operator="containsText" text="Sin información">
      <formula>NOT(ISERROR(SEARCH("Sin información",E1418)))</formula>
    </cfRule>
  </conditionalFormatting>
  <conditionalFormatting sqref="E1418">
    <cfRule type="containsText" dxfId="702" priority="731" operator="containsText" text="NUEVO">
      <formula>NOT(ISERROR(SEARCH("NUEVO",E1418)))</formula>
    </cfRule>
  </conditionalFormatting>
  <conditionalFormatting sqref="C1419:D1420">
    <cfRule type="containsText" dxfId="701" priority="730" operator="containsText" text="NO+$D$4:$D$10">
      <formula>NOT(ISERROR(SEARCH("NO+$D$4:$D$10",C1419)))</formula>
    </cfRule>
  </conditionalFormatting>
  <conditionalFormatting sqref="C1419:D1420">
    <cfRule type="containsText" dxfId="700" priority="728" operator="containsText" text="SI">
      <formula>NOT(ISERROR(SEARCH("SI",C1419)))</formula>
    </cfRule>
    <cfRule type="containsText" dxfId="699" priority="729" operator="containsText" text="NO">
      <formula>NOT(ISERROR(SEARCH("NO",C1419)))</formula>
    </cfRule>
  </conditionalFormatting>
  <conditionalFormatting sqref="E1419">
    <cfRule type="containsText" dxfId="698" priority="727" operator="containsText" text="Sin información">
      <formula>NOT(ISERROR(SEARCH("Sin información",E1419)))</formula>
    </cfRule>
  </conditionalFormatting>
  <conditionalFormatting sqref="E1419 C1419:D1420">
    <cfRule type="containsText" dxfId="697" priority="726" operator="containsText" text="NUEVO">
      <formula>NOT(ISERROR(SEARCH("NUEVO",C1419)))</formula>
    </cfRule>
  </conditionalFormatting>
  <conditionalFormatting sqref="E1420">
    <cfRule type="containsText" dxfId="696" priority="724" operator="containsText" text="NUEVO">
      <formula>NOT(ISERROR(SEARCH("NUEVO",E1420)))</formula>
    </cfRule>
  </conditionalFormatting>
  <conditionalFormatting sqref="E1420">
    <cfRule type="containsText" dxfId="695" priority="725" operator="containsText" text="Sin información">
      <formula>NOT(ISERROR(SEARCH("Sin información",E1420)))</formula>
    </cfRule>
  </conditionalFormatting>
  <conditionalFormatting sqref="C1421:D1421">
    <cfRule type="containsText" dxfId="694" priority="723" operator="containsText" text="NO+$D$4:$D$10">
      <formula>NOT(ISERROR(SEARCH("NO+$D$4:$D$10",C1421)))</formula>
    </cfRule>
  </conditionalFormatting>
  <conditionalFormatting sqref="C1421:D1421">
    <cfRule type="containsText" dxfId="693" priority="721" operator="containsText" text="SI">
      <formula>NOT(ISERROR(SEARCH("SI",C1421)))</formula>
    </cfRule>
    <cfRule type="containsText" dxfId="692" priority="722" operator="containsText" text="NO">
      <formula>NOT(ISERROR(SEARCH("NO",C1421)))</formula>
    </cfRule>
  </conditionalFormatting>
  <conditionalFormatting sqref="C1421:D1421">
    <cfRule type="containsText" dxfId="691" priority="720" operator="containsText" text="NUEVO">
      <formula>NOT(ISERROR(SEARCH("NUEVO",C1421)))</formula>
    </cfRule>
  </conditionalFormatting>
  <conditionalFormatting sqref="E1421">
    <cfRule type="containsText" dxfId="690" priority="719" operator="containsText" text="Sin información">
      <formula>NOT(ISERROR(SEARCH("Sin información",E1421)))</formula>
    </cfRule>
  </conditionalFormatting>
  <conditionalFormatting sqref="E1421">
    <cfRule type="containsText" dxfId="689" priority="718" operator="containsText" text="NUEVO">
      <formula>NOT(ISERROR(SEARCH("NUEVO",E1421)))</formula>
    </cfRule>
  </conditionalFormatting>
  <conditionalFormatting sqref="C1422:D1422">
    <cfRule type="containsText" dxfId="688" priority="717" operator="containsText" text="NO+$D$4:$D$10">
      <formula>NOT(ISERROR(SEARCH("NO+$D$4:$D$10",C1422)))</formula>
    </cfRule>
  </conditionalFormatting>
  <conditionalFormatting sqref="C1422:D1422">
    <cfRule type="containsText" dxfId="687" priority="715" operator="containsText" text="SI">
      <formula>NOT(ISERROR(SEARCH("SI",C1422)))</formula>
    </cfRule>
    <cfRule type="containsText" dxfId="686" priority="716" operator="containsText" text="NO">
      <formula>NOT(ISERROR(SEARCH("NO",C1422)))</formula>
    </cfRule>
  </conditionalFormatting>
  <conditionalFormatting sqref="E1422">
    <cfRule type="containsText" dxfId="685" priority="714" operator="containsText" text="Sin información">
      <formula>NOT(ISERROR(SEARCH("Sin información",E1422)))</formula>
    </cfRule>
  </conditionalFormatting>
  <conditionalFormatting sqref="C1422:E1422">
    <cfRule type="containsText" dxfId="684" priority="713" operator="containsText" text="NUEVO">
      <formula>NOT(ISERROR(SEARCH("NUEVO",C1422)))</formula>
    </cfRule>
  </conditionalFormatting>
  <conditionalFormatting sqref="E1422">
    <cfRule type="containsText" dxfId="683" priority="711" operator="containsText" text="NUEVO">
      <formula>NOT(ISERROR(SEARCH("NUEVO",E1422)))</formula>
    </cfRule>
  </conditionalFormatting>
  <conditionalFormatting sqref="E1422">
    <cfRule type="containsText" dxfId="682" priority="712" operator="containsText" text="Sin información">
      <formula>NOT(ISERROR(SEARCH("Sin información",E1422)))</formula>
    </cfRule>
  </conditionalFormatting>
  <conditionalFormatting sqref="C1424:D1424">
    <cfRule type="containsText" dxfId="681" priority="710" operator="containsText" text="NO+$D$4:$D$10">
      <formula>NOT(ISERROR(SEARCH("NO+$D$4:$D$10",C1424)))</formula>
    </cfRule>
  </conditionalFormatting>
  <conditionalFormatting sqref="C1424:D1424">
    <cfRule type="containsText" dxfId="680" priority="708" operator="containsText" text="SI">
      <formula>NOT(ISERROR(SEARCH("SI",C1424)))</formula>
    </cfRule>
    <cfRule type="containsText" dxfId="679" priority="709" operator="containsText" text="NO">
      <formula>NOT(ISERROR(SEARCH("NO",C1424)))</formula>
    </cfRule>
  </conditionalFormatting>
  <conditionalFormatting sqref="C1424:D1424">
    <cfRule type="containsText" dxfId="678" priority="707" operator="containsText" text="NUEVO">
      <formula>NOT(ISERROR(SEARCH("NUEVO",C1424)))</formula>
    </cfRule>
  </conditionalFormatting>
  <conditionalFormatting sqref="E1424">
    <cfRule type="containsText" dxfId="677" priority="705" operator="containsText" text="NUEVO">
      <formula>NOT(ISERROR(SEARCH("NUEVO",E1424)))</formula>
    </cfRule>
  </conditionalFormatting>
  <conditionalFormatting sqref="E1424">
    <cfRule type="containsText" dxfId="676" priority="706" operator="containsText" text="Sin información">
      <formula>NOT(ISERROR(SEARCH("Sin información",E1424)))</formula>
    </cfRule>
  </conditionalFormatting>
  <conditionalFormatting sqref="C1425:D1426">
    <cfRule type="containsText" dxfId="675" priority="704" operator="containsText" text="NO+$D$4:$D$10">
      <formula>NOT(ISERROR(SEARCH("NO+$D$4:$D$10",C1425)))</formula>
    </cfRule>
  </conditionalFormatting>
  <conditionalFormatting sqref="C1425:D1426">
    <cfRule type="containsText" dxfId="674" priority="702" operator="containsText" text="SI">
      <formula>NOT(ISERROR(SEARCH("SI",C1425)))</formula>
    </cfRule>
    <cfRule type="containsText" dxfId="673" priority="703" operator="containsText" text="NO">
      <formula>NOT(ISERROR(SEARCH("NO",C1425)))</formula>
    </cfRule>
  </conditionalFormatting>
  <conditionalFormatting sqref="C1425:D1425 C1426:E1426">
    <cfRule type="containsText" dxfId="672" priority="701" operator="containsText" text="NUEVO">
      <formula>NOT(ISERROR(SEARCH("NUEVO",C1425)))</formula>
    </cfRule>
  </conditionalFormatting>
  <conditionalFormatting sqref="E1426">
    <cfRule type="containsText" dxfId="671" priority="700" operator="containsText" text="Sin Información">
      <formula>NOT(ISERROR(SEARCH("Sin Información",E1426)))</formula>
    </cfRule>
  </conditionalFormatting>
  <conditionalFormatting sqref="E1425">
    <cfRule type="containsText" dxfId="670" priority="698" operator="containsText" text="NUEVO">
      <formula>NOT(ISERROR(SEARCH("NUEVO",E1425)))</formula>
    </cfRule>
  </conditionalFormatting>
  <conditionalFormatting sqref="E1425">
    <cfRule type="containsText" dxfId="669" priority="699" operator="containsText" text="Sin información">
      <formula>NOT(ISERROR(SEARCH("Sin información",E1425)))</formula>
    </cfRule>
  </conditionalFormatting>
  <conditionalFormatting sqref="E1426">
    <cfRule type="containsText" dxfId="668" priority="696" operator="containsText" text="NUEVO">
      <formula>NOT(ISERROR(SEARCH("NUEVO",E1426)))</formula>
    </cfRule>
  </conditionalFormatting>
  <conditionalFormatting sqref="E1426">
    <cfRule type="containsText" dxfId="667" priority="697" operator="containsText" text="Sin información">
      <formula>NOT(ISERROR(SEARCH("Sin información",E1426)))</formula>
    </cfRule>
  </conditionalFormatting>
  <conditionalFormatting sqref="C1427:D1427">
    <cfRule type="containsText" dxfId="666" priority="695" operator="containsText" text="NO+$D$4:$D$10">
      <formula>NOT(ISERROR(SEARCH("NO+$D$4:$D$10",C1427)))</formula>
    </cfRule>
  </conditionalFormatting>
  <conditionalFormatting sqref="C1427:D1427">
    <cfRule type="containsText" dxfId="665" priority="693" operator="containsText" text="SI">
      <formula>NOT(ISERROR(SEARCH("SI",C1427)))</formula>
    </cfRule>
    <cfRule type="containsText" dxfId="664" priority="694" operator="containsText" text="NO">
      <formula>NOT(ISERROR(SEARCH("NO",C1427)))</formula>
    </cfRule>
  </conditionalFormatting>
  <conditionalFormatting sqref="C1427:D1427">
    <cfRule type="containsText" dxfId="663" priority="692" operator="containsText" text="NUEVO">
      <formula>NOT(ISERROR(SEARCH("NUEVO",C1427)))</formula>
    </cfRule>
  </conditionalFormatting>
  <conditionalFormatting sqref="E1427">
    <cfRule type="containsText" dxfId="662" priority="690" operator="containsText" text="NUEVO">
      <formula>NOT(ISERROR(SEARCH("NUEVO",E1427)))</formula>
    </cfRule>
  </conditionalFormatting>
  <conditionalFormatting sqref="E1427">
    <cfRule type="containsText" dxfId="661" priority="691" operator="containsText" text="Sin información">
      <formula>NOT(ISERROR(SEARCH("Sin información",E1427)))</formula>
    </cfRule>
  </conditionalFormatting>
  <conditionalFormatting sqref="C1428:D1429">
    <cfRule type="containsText" dxfId="660" priority="689" operator="containsText" text="NO+$D$4:$D$10">
      <formula>NOT(ISERROR(SEARCH("NO+$D$4:$D$10",C1428)))</formula>
    </cfRule>
  </conditionalFormatting>
  <conditionalFormatting sqref="C1428:D1429">
    <cfRule type="containsText" dxfId="659" priority="687" operator="containsText" text="SI">
      <formula>NOT(ISERROR(SEARCH("SI",C1428)))</formula>
    </cfRule>
    <cfRule type="containsText" dxfId="658" priority="688" operator="containsText" text="NO">
      <formula>NOT(ISERROR(SEARCH("NO",C1428)))</formula>
    </cfRule>
  </conditionalFormatting>
  <conditionalFormatting sqref="E1428:E1429">
    <cfRule type="containsText" dxfId="657" priority="686" operator="containsText" text="Sin información">
      <formula>NOT(ISERROR(SEARCH("Sin información",E1428)))</formula>
    </cfRule>
  </conditionalFormatting>
  <conditionalFormatting sqref="C1428:E1429">
    <cfRule type="containsText" dxfId="656" priority="685" operator="containsText" text="NUEVO">
      <formula>NOT(ISERROR(SEARCH("NUEVO",C1428)))</formula>
    </cfRule>
  </conditionalFormatting>
  <conditionalFormatting sqref="C1430:D1430">
    <cfRule type="containsText" dxfId="655" priority="684" operator="containsText" text="NO+$D$4:$D$10">
      <formula>NOT(ISERROR(SEARCH("NO+$D$4:$D$10",C1430)))</formula>
    </cfRule>
  </conditionalFormatting>
  <conditionalFormatting sqref="C1430:D1430">
    <cfRule type="containsText" dxfId="654" priority="682" operator="containsText" text="SI">
      <formula>NOT(ISERROR(SEARCH("SI",C1430)))</formula>
    </cfRule>
    <cfRule type="containsText" dxfId="653" priority="683" operator="containsText" text="NO">
      <formula>NOT(ISERROR(SEARCH("NO",C1430)))</formula>
    </cfRule>
  </conditionalFormatting>
  <conditionalFormatting sqref="C1430:D1430">
    <cfRule type="containsText" dxfId="652" priority="681" operator="containsText" text="NUEVO">
      <formula>NOT(ISERROR(SEARCH("NUEVO",C1430)))</formula>
    </cfRule>
  </conditionalFormatting>
  <conditionalFormatting sqref="E1430">
    <cfRule type="containsText" dxfId="651" priority="680" operator="containsText" text="Sin información">
      <formula>NOT(ISERROR(SEARCH("Sin información",E1430)))</formula>
    </cfRule>
  </conditionalFormatting>
  <conditionalFormatting sqref="E1430">
    <cfRule type="containsText" dxfId="650" priority="679" operator="containsText" text="NUEVO">
      <formula>NOT(ISERROR(SEARCH("NUEVO",E1430)))</formula>
    </cfRule>
  </conditionalFormatting>
  <conditionalFormatting sqref="C1431:D1431">
    <cfRule type="containsText" dxfId="649" priority="678" operator="containsText" text="NO+$D$4:$D$10">
      <formula>NOT(ISERROR(SEARCH("NO+$D$4:$D$10",C1431)))</formula>
    </cfRule>
  </conditionalFormatting>
  <conditionalFormatting sqref="C1431:D1431">
    <cfRule type="containsText" dxfId="648" priority="676" operator="containsText" text="SI">
      <formula>NOT(ISERROR(SEARCH("SI",C1431)))</formula>
    </cfRule>
    <cfRule type="containsText" dxfId="647" priority="677" operator="containsText" text="NO">
      <formula>NOT(ISERROR(SEARCH("NO",C1431)))</formula>
    </cfRule>
  </conditionalFormatting>
  <conditionalFormatting sqref="C1431:D1431">
    <cfRule type="containsText" dxfId="646" priority="675" operator="containsText" text="NUEVO">
      <formula>NOT(ISERROR(SEARCH("NUEVO",C1431)))</formula>
    </cfRule>
  </conditionalFormatting>
  <conditionalFormatting sqref="E1431">
    <cfRule type="containsText" dxfId="645" priority="674" operator="containsText" text="Sin información">
      <formula>NOT(ISERROR(SEARCH("Sin información",E1431)))</formula>
    </cfRule>
  </conditionalFormatting>
  <conditionalFormatting sqref="E1431">
    <cfRule type="containsText" dxfId="644" priority="673" operator="containsText" text="NUEVO">
      <formula>NOT(ISERROR(SEARCH("NUEVO",E1431)))</formula>
    </cfRule>
  </conditionalFormatting>
  <conditionalFormatting sqref="C1432:D1432">
    <cfRule type="containsText" dxfId="643" priority="672" operator="containsText" text="NO+$D$4:$D$10">
      <formula>NOT(ISERROR(SEARCH("NO+$D$4:$D$10",C1432)))</formula>
    </cfRule>
  </conditionalFormatting>
  <conditionalFormatting sqref="C1432:D1432">
    <cfRule type="containsText" dxfId="642" priority="670" operator="containsText" text="SI">
      <formula>NOT(ISERROR(SEARCH("SI",C1432)))</formula>
    </cfRule>
    <cfRule type="containsText" dxfId="641" priority="671" operator="containsText" text="NO">
      <formula>NOT(ISERROR(SEARCH("NO",C1432)))</formula>
    </cfRule>
  </conditionalFormatting>
  <conditionalFormatting sqref="C1432:D1432">
    <cfRule type="containsText" dxfId="640" priority="669" operator="containsText" text="NUEVO">
      <formula>NOT(ISERROR(SEARCH("NUEVO",C1432)))</formula>
    </cfRule>
  </conditionalFormatting>
  <conditionalFormatting sqref="E1432">
    <cfRule type="containsText" dxfId="639" priority="667" operator="containsText" text="NUEVO">
      <formula>NOT(ISERROR(SEARCH("NUEVO",E1432)))</formula>
    </cfRule>
  </conditionalFormatting>
  <conditionalFormatting sqref="E1432">
    <cfRule type="containsText" dxfId="638" priority="668" operator="containsText" text="Sin información">
      <formula>NOT(ISERROR(SEARCH("Sin información",E1432)))</formula>
    </cfRule>
  </conditionalFormatting>
  <conditionalFormatting sqref="C1433:D1435">
    <cfRule type="containsText" dxfId="637" priority="666" operator="containsText" text="NO+$D$4:$D$10">
      <formula>NOT(ISERROR(SEARCH("NO+$D$4:$D$10",C1433)))</formula>
    </cfRule>
  </conditionalFormatting>
  <conditionalFormatting sqref="C1433:D1435">
    <cfRule type="containsText" dxfId="636" priority="664" operator="containsText" text="SI">
      <formula>NOT(ISERROR(SEARCH("SI",C1433)))</formula>
    </cfRule>
    <cfRule type="containsText" dxfId="635" priority="665" operator="containsText" text="NO">
      <formula>NOT(ISERROR(SEARCH("NO",C1433)))</formula>
    </cfRule>
  </conditionalFormatting>
  <conditionalFormatting sqref="C1433:D1435">
    <cfRule type="containsText" dxfId="634" priority="663" operator="containsText" text="NUEVO">
      <formula>NOT(ISERROR(SEARCH("NUEVO",C1433)))</formula>
    </cfRule>
  </conditionalFormatting>
  <conditionalFormatting sqref="E1433:E1435">
    <cfRule type="containsText" dxfId="633" priority="662" operator="containsText" text="Sin información">
      <formula>NOT(ISERROR(SEARCH("Sin información",E1433)))</formula>
    </cfRule>
  </conditionalFormatting>
  <conditionalFormatting sqref="E1433:E1435">
    <cfRule type="containsText" dxfId="632" priority="661" operator="containsText" text="NUEVO">
      <formula>NOT(ISERROR(SEARCH("NUEVO",E1433)))</formula>
    </cfRule>
  </conditionalFormatting>
  <conditionalFormatting sqref="C1436:D1438">
    <cfRule type="containsText" dxfId="631" priority="660" operator="containsText" text="NO+$D$4:$D$10">
      <formula>NOT(ISERROR(SEARCH("NO+$D$4:$D$10",C1436)))</formula>
    </cfRule>
  </conditionalFormatting>
  <conditionalFormatting sqref="C1436:D1438">
    <cfRule type="containsText" dxfId="630" priority="658" operator="containsText" text="SI">
      <formula>NOT(ISERROR(SEARCH("SI",C1436)))</formula>
    </cfRule>
    <cfRule type="containsText" dxfId="629" priority="659" operator="containsText" text="NO">
      <formula>NOT(ISERROR(SEARCH("NO",C1436)))</formula>
    </cfRule>
  </conditionalFormatting>
  <conditionalFormatting sqref="C1436:D1438">
    <cfRule type="containsText" dxfId="628" priority="657" operator="containsText" text="NUEVO">
      <formula>NOT(ISERROR(SEARCH("NUEVO",C1436)))</formula>
    </cfRule>
  </conditionalFormatting>
  <conditionalFormatting sqref="E1436:E1437">
    <cfRule type="containsText" dxfId="627" priority="656" operator="containsText" text="Sin información">
      <formula>NOT(ISERROR(SEARCH("Sin información",E1436)))</formula>
    </cfRule>
  </conditionalFormatting>
  <conditionalFormatting sqref="E1436:E1437">
    <cfRule type="containsText" dxfId="626" priority="655" operator="containsText" text="NUEVO">
      <formula>NOT(ISERROR(SEARCH("NUEVO",E1436)))</formula>
    </cfRule>
  </conditionalFormatting>
  <conditionalFormatting sqref="E1438">
    <cfRule type="containsText" dxfId="625" priority="654" operator="containsText" text="Sin información">
      <formula>NOT(ISERROR(SEARCH("Sin información",E1438)))</formula>
    </cfRule>
  </conditionalFormatting>
  <conditionalFormatting sqref="E1438">
    <cfRule type="containsText" dxfId="624" priority="653" operator="containsText" text="NUEVO">
      <formula>NOT(ISERROR(SEARCH("NUEVO",E1438)))</formula>
    </cfRule>
  </conditionalFormatting>
  <conditionalFormatting sqref="C1423:D1423">
    <cfRule type="containsText" dxfId="623" priority="652" operator="containsText" text="NO+$D$4:$D$10">
      <formula>NOT(ISERROR(SEARCH("NO+$D$4:$D$10",C1423)))</formula>
    </cfRule>
  </conditionalFormatting>
  <conditionalFormatting sqref="C1423:D1423">
    <cfRule type="containsText" dxfId="622" priority="650" operator="containsText" text="SI">
      <formula>NOT(ISERROR(SEARCH("SI",C1423)))</formula>
    </cfRule>
    <cfRule type="containsText" dxfId="621" priority="651" operator="containsText" text="NO">
      <formula>NOT(ISERROR(SEARCH("NO",C1423)))</formula>
    </cfRule>
  </conditionalFormatting>
  <conditionalFormatting sqref="C1423:D1423">
    <cfRule type="containsText" dxfId="620" priority="649" operator="containsText" text="NUEVO">
      <formula>NOT(ISERROR(SEARCH("NUEVO",C1423)))</formula>
    </cfRule>
  </conditionalFormatting>
  <conditionalFormatting sqref="E1423">
    <cfRule type="containsText" dxfId="619" priority="648" operator="containsText" text="Sin información">
      <formula>NOT(ISERROR(SEARCH("Sin información",E1423)))</formula>
    </cfRule>
  </conditionalFormatting>
  <conditionalFormatting sqref="E1423">
    <cfRule type="containsText" dxfId="618" priority="647" operator="containsText" text="NUEVO">
      <formula>NOT(ISERROR(SEARCH("NUEVO",E1423)))</formula>
    </cfRule>
  </conditionalFormatting>
  <conditionalFormatting sqref="C1439:D1439">
    <cfRule type="containsText" dxfId="617" priority="646" operator="containsText" text="NO+$D$4:$D$10">
      <formula>NOT(ISERROR(SEARCH("NO+$D$4:$D$10",C1439)))</formula>
    </cfRule>
  </conditionalFormatting>
  <conditionalFormatting sqref="C1439:D1439">
    <cfRule type="containsText" dxfId="616" priority="644" operator="containsText" text="SI">
      <formula>NOT(ISERROR(SEARCH("SI",C1439)))</formula>
    </cfRule>
    <cfRule type="containsText" dxfId="615" priority="645" operator="containsText" text="NO">
      <formula>NOT(ISERROR(SEARCH("NO",C1439)))</formula>
    </cfRule>
  </conditionalFormatting>
  <conditionalFormatting sqref="C1439:D1439">
    <cfRule type="containsText" dxfId="614" priority="643" operator="containsText" text="NUEVO">
      <formula>NOT(ISERROR(SEARCH("NUEVO",C1439)))</formula>
    </cfRule>
  </conditionalFormatting>
  <conditionalFormatting sqref="E1439">
    <cfRule type="containsText" dxfId="613" priority="641" operator="containsText" text="NUEVO">
      <formula>NOT(ISERROR(SEARCH("NUEVO",E1439)))</formula>
    </cfRule>
  </conditionalFormatting>
  <conditionalFormatting sqref="E1439">
    <cfRule type="containsText" dxfId="612" priority="642" operator="containsText" text="Sin información">
      <formula>NOT(ISERROR(SEARCH("Sin información",E1439)))</formula>
    </cfRule>
  </conditionalFormatting>
  <conditionalFormatting sqref="C1440:D1440">
    <cfRule type="containsText" dxfId="611" priority="638" operator="containsText" text="NO+$D$4:$D$10">
      <formula>NOT(ISERROR(SEARCH("NO+$D$4:$D$10",C1440)))</formula>
    </cfRule>
  </conditionalFormatting>
  <conditionalFormatting sqref="C1440:D1440">
    <cfRule type="containsText" dxfId="610" priority="636" operator="containsText" text="SI">
      <formula>NOT(ISERROR(SEARCH("SI",C1440)))</formula>
    </cfRule>
    <cfRule type="containsText" dxfId="609" priority="637" operator="containsText" text="NO">
      <formula>NOT(ISERROR(SEARCH("NO",C1440)))</formula>
    </cfRule>
  </conditionalFormatting>
  <conditionalFormatting sqref="C1440:D1440">
    <cfRule type="containsText" dxfId="608" priority="635" operator="containsText" text="NUEVO">
      <formula>NOT(ISERROR(SEARCH("NUEVO",C1440)))</formula>
    </cfRule>
  </conditionalFormatting>
  <conditionalFormatting sqref="E1440">
    <cfRule type="containsText" dxfId="607" priority="633" operator="containsText" text="NUEVO">
      <formula>NOT(ISERROR(SEARCH("NUEVO",E1440)))</formula>
    </cfRule>
  </conditionalFormatting>
  <conditionalFormatting sqref="E1440">
    <cfRule type="containsText" dxfId="606" priority="634" operator="containsText" text="Sin información">
      <formula>NOT(ISERROR(SEARCH("Sin información",E1440)))</formula>
    </cfRule>
  </conditionalFormatting>
  <conditionalFormatting sqref="C1441:D1441">
    <cfRule type="containsText" dxfId="605" priority="626" operator="containsText" text="NO+$D$4:$D$10">
      <formula>NOT(ISERROR(SEARCH("NO+$D$4:$D$10",C1441)))</formula>
    </cfRule>
  </conditionalFormatting>
  <conditionalFormatting sqref="C1441:D1441">
    <cfRule type="containsText" dxfId="604" priority="624" operator="containsText" text="SI">
      <formula>NOT(ISERROR(SEARCH("SI",C1441)))</formula>
    </cfRule>
    <cfRule type="containsText" dxfId="603" priority="625" operator="containsText" text="NO">
      <formula>NOT(ISERROR(SEARCH("NO",C1441)))</formula>
    </cfRule>
  </conditionalFormatting>
  <conditionalFormatting sqref="E1441">
    <cfRule type="containsText" dxfId="602" priority="623" operator="containsText" text="Sin información">
      <formula>NOT(ISERROR(SEARCH("Sin información",E1441)))</formula>
    </cfRule>
  </conditionalFormatting>
  <conditionalFormatting sqref="C1441:E1441">
    <cfRule type="containsText" dxfId="601" priority="622" operator="containsText" text="NUEVO">
      <formula>NOT(ISERROR(SEARCH("NUEVO",C1441)))</formula>
    </cfRule>
  </conditionalFormatting>
  <conditionalFormatting sqref="C1442:D1442">
    <cfRule type="containsText" dxfId="600" priority="621" operator="containsText" text="NO+$D$4:$D$10">
      <formula>NOT(ISERROR(SEARCH("NO+$D$4:$D$10",C1442)))</formula>
    </cfRule>
  </conditionalFormatting>
  <conditionalFormatting sqref="C1442:D1442">
    <cfRule type="containsText" dxfId="599" priority="619" operator="containsText" text="SI">
      <formula>NOT(ISERROR(SEARCH("SI",C1442)))</formula>
    </cfRule>
    <cfRule type="containsText" dxfId="598" priority="620" operator="containsText" text="NO">
      <formula>NOT(ISERROR(SEARCH("NO",C1442)))</formula>
    </cfRule>
  </conditionalFormatting>
  <conditionalFormatting sqref="C1442:D1442">
    <cfRule type="containsText" dxfId="597" priority="618" operator="containsText" text="NUEVO">
      <formula>NOT(ISERROR(SEARCH("NUEVO",C1442)))</formula>
    </cfRule>
  </conditionalFormatting>
  <conditionalFormatting sqref="E1442">
    <cfRule type="containsText" dxfId="596" priority="617" operator="containsText" text="Sin información">
      <formula>NOT(ISERROR(SEARCH("Sin información",E1442)))</formula>
    </cfRule>
  </conditionalFormatting>
  <conditionalFormatting sqref="E1442">
    <cfRule type="containsText" dxfId="595" priority="616" operator="containsText" text="NUEVO">
      <formula>NOT(ISERROR(SEARCH("NUEVO",E1442)))</formula>
    </cfRule>
  </conditionalFormatting>
  <conditionalFormatting sqref="C1443:D1445">
    <cfRule type="containsText" dxfId="594" priority="615" operator="containsText" text="NO+$D$4:$D$10">
      <formula>NOT(ISERROR(SEARCH("NO+$D$4:$D$10",C1443)))</formula>
    </cfRule>
  </conditionalFormatting>
  <conditionalFormatting sqref="C1443:D1445">
    <cfRule type="containsText" dxfId="593" priority="613" operator="containsText" text="SI">
      <formula>NOT(ISERROR(SEARCH("SI",C1443)))</formula>
    </cfRule>
    <cfRule type="containsText" dxfId="592" priority="614" operator="containsText" text="NO">
      <formula>NOT(ISERROR(SEARCH("NO",C1443)))</formula>
    </cfRule>
  </conditionalFormatting>
  <conditionalFormatting sqref="C1443:D1445">
    <cfRule type="containsText" dxfId="591" priority="612" operator="containsText" text="NUEVO">
      <formula>NOT(ISERROR(SEARCH("NUEVO",C1443)))</formula>
    </cfRule>
  </conditionalFormatting>
  <conditionalFormatting sqref="E1443:E1445">
    <cfRule type="containsText" dxfId="590" priority="611" operator="containsText" text="Sin información">
      <formula>NOT(ISERROR(SEARCH("Sin información",E1443)))</formula>
    </cfRule>
  </conditionalFormatting>
  <conditionalFormatting sqref="E1443:E1445">
    <cfRule type="containsText" dxfId="589" priority="610" operator="containsText" text="NUEVO">
      <formula>NOT(ISERROR(SEARCH("NUEVO",E1443)))</formula>
    </cfRule>
  </conditionalFormatting>
  <conditionalFormatting sqref="C1446:D1446">
    <cfRule type="containsText" dxfId="588" priority="609" operator="containsText" text="NO+$D$4:$D$10">
      <formula>NOT(ISERROR(SEARCH("NO+$D$4:$D$10",C1446)))</formula>
    </cfRule>
  </conditionalFormatting>
  <conditionalFormatting sqref="C1446:D1446">
    <cfRule type="containsText" dxfId="587" priority="607" operator="containsText" text="SI">
      <formula>NOT(ISERROR(SEARCH("SI",C1446)))</formula>
    </cfRule>
    <cfRule type="containsText" dxfId="586" priority="608" operator="containsText" text="NO">
      <formula>NOT(ISERROR(SEARCH("NO",C1446)))</formula>
    </cfRule>
  </conditionalFormatting>
  <conditionalFormatting sqref="C1446:D1446">
    <cfRule type="containsText" dxfId="585" priority="606" operator="containsText" text="NUEVO">
      <formula>NOT(ISERROR(SEARCH("NUEVO",C1446)))</formula>
    </cfRule>
  </conditionalFormatting>
  <conditionalFormatting sqref="E1446">
    <cfRule type="containsText" dxfId="584" priority="605" operator="containsText" text="Sin información">
      <formula>NOT(ISERROR(SEARCH("Sin información",E1446)))</formula>
    </cfRule>
  </conditionalFormatting>
  <conditionalFormatting sqref="E1446">
    <cfRule type="containsText" dxfId="583" priority="604" operator="containsText" text="NUEVO">
      <formula>NOT(ISERROR(SEARCH("NUEVO",E1446)))</formula>
    </cfRule>
  </conditionalFormatting>
  <conditionalFormatting sqref="C1447:D1448">
    <cfRule type="containsText" dxfId="582" priority="603" operator="containsText" text="NO+$D$4:$D$10">
      <formula>NOT(ISERROR(SEARCH("NO+$D$4:$D$10",C1447)))</formula>
    </cfRule>
  </conditionalFormatting>
  <conditionalFormatting sqref="C1447:D1448">
    <cfRule type="containsText" dxfId="581" priority="601" operator="containsText" text="SI">
      <formula>NOT(ISERROR(SEARCH("SI",C1447)))</formula>
    </cfRule>
    <cfRule type="containsText" dxfId="580" priority="602" operator="containsText" text="NO">
      <formula>NOT(ISERROR(SEARCH("NO",C1447)))</formula>
    </cfRule>
  </conditionalFormatting>
  <conditionalFormatting sqref="C1447:D1448">
    <cfRule type="containsText" dxfId="579" priority="600" operator="containsText" text="NUEVO">
      <formula>NOT(ISERROR(SEARCH("NUEVO",C1447)))</formula>
    </cfRule>
  </conditionalFormatting>
  <conditionalFormatting sqref="E1447:E1448">
    <cfRule type="containsText" dxfId="578" priority="599" operator="containsText" text="Sin información">
      <formula>NOT(ISERROR(SEARCH("Sin información",E1447)))</formula>
    </cfRule>
  </conditionalFormatting>
  <conditionalFormatting sqref="E1447:E1448">
    <cfRule type="containsText" dxfId="577" priority="598" operator="containsText" text="NUEVO">
      <formula>NOT(ISERROR(SEARCH("NUEVO",E1447)))</formula>
    </cfRule>
  </conditionalFormatting>
  <conditionalFormatting sqref="C1449:D1449">
    <cfRule type="containsText" dxfId="576" priority="597" operator="containsText" text="NO+$D$4:$D$10">
      <formula>NOT(ISERROR(SEARCH("NO+$D$4:$D$10",C1449)))</formula>
    </cfRule>
  </conditionalFormatting>
  <conditionalFormatting sqref="C1449:D1449">
    <cfRule type="containsText" dxfId="575" priority="595" operator="containsText" text="SI">
      <formula>NOT(ISERROR(SEARCH("SI",C1449)))</formula>
    </cfRule>
    <cfRule type="containsText" dxfId="574" priority="596" operator="containsText" text="NO">
      <formula>NOT(ISERROR(SEARCH("NO",C1449)))</formula>
    </cfRule>
  </conditionalFormatting>
  <conditionalFormatting sqref="C1449:D1449">
    <cfRule type="containsText" dxfId="573" priority="594" operator="containsText" text="NUEVO">
      <formula>NOT(ISERROR(SEARCH("NUEVO",C1449)))</formula>
    </cfRule>
  </conditionalFormatting>
  <conditionalFormatting sqref="E1449">
    <cfRule type="containsText" dxfId="572" priority="593" operator="containsText" text="Sin información">
      <formula>NOT(ISERROR(SEARCH("Sin información",E1449)))</formula>
    </cfRule>
  </conditionalFormatting>
  <conditionalFormatting sqref="E1449">
    <cfRule type="containsText" dxfId="571" priority="592" operator="containsText" text="NUEVO">
      <formula>NOT(ISERROR(SEARCH("NUEVO",E1449)))</formula>
    </cfRule>
  </conditionalFormatting>
  <conditionalFormatting sqref="C1450:D1450">
    <cfRule type="containsText" dxfId="570" priority="591" operator="containsText" text="NO+$D$4:$D$10">
      <formula>NOT(ISERROR(SEARCH("NO+$D$4:$D$10",C1450)))</formula>
    </cfRule>
  </conditionalFormatting>
  <conditionalFormatting sqref="C1450:D1450">
    <cfRule type="containsText" dxfId="569" priority="589" operator="containsText" text="SI">
      <formula>NOT(ISERROR(SEARCH("SI",C1450)))</formula>
    </cfRule>
    <cfRule type="containsText" dxfId="568" priority="590" operator="containsText" text="NO">
      <formula>NOT(ISERROR(SEARCH("NO",C1450)))</formula>
    </cfRule>
  </conditionalFormatting>
  <conditionalFormatting sqref="C1450:D1450">
    <cfRule type="containsText" dxfId="567" priority="588" operator="containsText" text="NUEVO">
      <formula>NOT(ISERROR(SEARCH("NUEVO",C1450)))</formula>
    </cfRule>
  </conditionalFormatting>
  <conditionalFormatting sqref="E1450">
    <cfRule type="containsText" dxfId="566" priority="587" operator="containsText" text="Sin información">
      <formula>NOT(ISERROR(SEARCH("Sin información",E1450)))</formula>
    </cfRule>
  </conditionalFormatting>
  <conditionalFormatting sqref="E1450">
    <cfRule type="containsText" dxfId="565" priority="586" operator="containsText" text="NUEVO">
      <formula>NOT(ISERROR(SEARCH("NUEVO",E1450)))</formula>
    </cfRule>
  </conditionalFormatting>
  <conditionalFormatting sqref="C1451:D1451">
    <cfRule type="containsText" dxfId="564" priority="585" operator="containsText" text="NO+$D$4:$D$10">
      <formula>NOT(ISERROR(SEARCH("NO+$D$4:$D$10",C1451)))</formula>
    </cfRule>
  </conditionalFormatting>
  <conditionalFormatting sqref="C1451:D1451">
    <cfRule type="containsText" dxfId="563" priority="583" operator="containsText" text="SI">
      <formula>NOT(ISERROR(SEARCH("SI",C1451)))</formula>
    </cfRule>
    <cfRule type="containsText" dxfId="562" priority="584" operator="containsText" text="NO">
      <formula>NOT(ISERROR(SEARCH("NO",C1451)))</formula>
    </cfRule>
  </conditionalFormatting>
  <conditionalFormatting sqref="C1451:D1451">
    <cfRule type="containsText" dxfId="561" priority="582" operator="containsText" text="NUEVO">
      <formula>NOT(ISERROR(SEARCH("NUEVO",C1451)))</formula>
    </cfRule>
  </conditionalFormatting>
  <conditionalFormatting sqref="E1451">
    <cfRule type="containsText" dxfId="560" priority="581" operator="containsText" text="Sin información">
      <formula>NOT(ISERROR(SEARCH("Sin información",E1451)))</formula>
    </cfRule>
  </conditionalFormatting>
  <conditionalFormatting sqref="E1451">
    <cfRule type="containsText" dxfId="559" priority="580" operator="containsText" text="NUEVO">
      <formula>NOT(ISERROR(SEARCH("NUEVO",E1451)))</formula>
    </cfRule>
  </conditionalFormatting>
  <conditionalFormatting sqref="C1452:D1452">
    <cfRule type="containsText" dxfId="558" priority="579" operator="containsText" text="NO+$D$4:$D$10">
      <formula>NOT(ISERROR(SEARCH("NO+$D$4:$D$10",C1452)))</formula>
    </cfRule>
  </conditionalFormatting>
  <conditionalFormatting sqref="C1452:D1452">
    <cfRule type="containsText" dxfId="557" priority="577" operator="containsText" text="SI">
      <formula>NOT(ISERROR(SEARCH("SI",C1452)))</formula>
    </cfRule>
    <cfRule type="containsText" dxfId="556" priority="578" operator="containsText" text="NO">
      <formula>NOT(ISERROR(SEARCH("NO",C1452)))</formula>
    </cfRule>
  </conditionalFormatting>
  <conditionalFormatting sqref="C1452:D1452">
    <cfRule type="containsText" dxfId="555" priority="576" operator="containsText" text="NUEVO">
      <formula>NOT(ISERROR(SEARCH("NUEVO",C1452)))</formula>
    </cfRule>
  </conditionalFormatting>
  <conditionalFormatting sqref="E1452">
    <cfRule type="containsText" dxfId="554" priority="570" operator="containsText" text="NUEVO">
      <formula>NOT(ISERROR(SEARCH("NUEVO",E1452)))</formula>
    </cfRule>
  </conditionalFormatting>
  <conditionalFormatting sqref="E1452">
    <cfRule type="containsText" dxfId="553" priority="573" operator="containsText" text="Sin información">
      <formula>NOT(ISERROR(SEARCH("Sin información",E1452)))</formula>
    </cfRule>
  </conditionalFormatting>
  <conditionalFormatting sqref="E1452">
    <cfRule type="containsText" dxfId="552" priority="572" operator="containsText" text="NUEVO">
      <formula>NOT(ISERROR(SEARCH("NUEVO",E1452)))</formula>
    </cfRule>
  </conditionalFormatting>
  <conditionalFormatting sqref="E1452">
    <cfRule type="containsText" dxfId="551" priority="571" operator="containsText" text="Sin información">
      <formula>NOT(ISERROR(SEARCH("Sin información",E1452)))</formula>
    </cfRule>
  </conditionalFormatting>
  <conditionalFormatting sqref="C1453:D1454">
    <cfRule type="containsText" dxfId="550" priority="569" operator="containsText" text="NO+$D$4:$D$10">
      <formula>NOT(ISERROR(SEARCH("NO+$D$4:$D$10",C1453)))</formula>
    </cfRule>
  </conditionalFormatting>
  <conditionalFormatting sqref="C1453:D1454">
    <cfRule type="containsText" dxfId="549" priority="567" operator="containsText" text="SI">
      <formula>NOT(ISERROR(SEARCH("SI",C1453)))</formula>
    </cfRule>
    <cfRule type="containsText" dxfId="548" priority="568" operator="containsText" text="NO">
      <formula>NOT(ISERROR(SEARCH("NO",C1453)))</formula>
    </cfRule>
  </conditionalFormatting>
  <conditionalFormatting sqref="E1453">
    <cfRule type="containsText" dxfId="547" priority="566" operator="containsText" text="Sin información">
      <formula>NOT(ISERROR(SEARCH("Sin información",E1453)))</formula>
    </cfRule>
  </conditionalFormatting>
  <conditionalFormatting sqref="E1453 C1453:D1454">
    <cfRule type="containsText" dxfId="546" priority="565" operator="containsText" text="NUEVO">
      <formula>NOT(ISERROR(SEARCH("NUEVO",C1453)))</formula>
    </cfRule>
  </conditionalFormatting>
  <conditionalFormatting sqref="E1454">
    <cfRule type="containsText" dxfId="545" priority="563" operator="containsText" text="NUEVO">
      <formula>NOT(ISERROR(SEARCH("NUEVO",E1454)))</formula>
    </cfRule>
  </conditionalFormatting>
  <conditionalFormatting sqref="E1454">
    <cfRule type="containsText" dxfId="544" priority="564" operator="containsText" text="Sin información">
      <formula>NOT(ISERROR(SEARCH("Sin información",E1454)))</formula>
    </cfRule>
  </conditionalFormatting>
  <conditionalFormatting sqref="C1455:D1455">
    <cfRule type="containsText" dxfId="543" priority="562" operator="containsText" text="NO+$D$4:$D$10">
      <formula>NOT(ISERROR(SEARCH("NO+$D$4:$D$10",C1455)))</formula>
    </cfRule>
  </conditionalFormatting>
  <conditionalFormatting sqref="C1455:D1455">
    <cfRule type="containsText" dxfId="542" priority="560" operator="containsText" text="SI">
      <formula>NOT(ISERROR(SEARCH("SI",C1455)))</formula>
    </cfRule>
    <cfRule type="containsText" dxfId="541" priority="561" operator="containsText" text="NO">
      <formula>NOT(ISERROR(SEARCH("NO",C1455)))</formula>
    </cfRule>
  </conditionalFormatting>
  <conditionalFormatting sqref="C1455:D1455">
    <cfRule type="containsText" dxfId="540" priority="559" operator="containsText" text="NUEVO">
      <formula>NOT(ISERROR(SEARCH("NUEVO",C1455)))</formula>
    </cfRule>
  </conditionalFormatting>
  <conditionalFormatting sqref="E1455">
    <cfRule type="containsText" dxfId="539" priority="557" operator="containsText" text="NUEVO">
      <formula>NOT(ISERROR(SEARCH("NUEVO",E1455)))</formula>
    </cfRule>
  </conditionalFormatting>
  <conditionalFormatting sqref="E1455">
    <cfRule type="containsText" dxfId="538" priority="558" operator="containsText" text="Sin información">
      <formula>NOT(ISERROR(SEARCH("Sin información",E1455)))</formula>
    </cfRule>
  </conditionalFormatting>
  <conditionalFormatting sqref="C1456:D1457">
    <cfRule type="containsText" dxfId="537" priority="556" operator="containsText" text="NO+$D$4:$D$10">
      <formula>NOT(ISERROR(SEARCH("NO+$D$4:$D$10",C1456)))</formula>
    </cfRule>
  </conditionalFormatting>
  <conditionalFormatting sqref="C1456:D1457">
    <cfRule type="containsText" dxfId="536" priority="554" operator="containsText" text="SI">
      <formula>NOT(ISERROR(SEARCH("SI",C1456)))</formula>
    </cfRule>
    <cfRule type="containsText" dxfId="535" priority="555" operator="containsText" text="NO">
      <formula>NOT(ISERROR(SEARCH("NO",C1456)))</formula>
    </cfRule>
  </conditionalFormatting>
  <conditionalFormatting sqref="C1456:D1457">
    <cfRule type="containsText" dxfId="534" priority="553" operator="containsText" text="NUEVO">
      <formula>NOT(ISERROR(SEARCH("NUEVO",C1456)))</formula>
    </cfRule>
  </conditionalFormatting>
  <conditionalFormatting sqref="E1456">
    <cfRule type="containsText" dxfId="533" priority="551" operator="containsText" text="NUEVO">
      <formula>NOT(ISERROR(SEARCH("NUEVO",E1456)))</formula>
    </cfRule>
  </conditionalFormatting>
  <conditionalFormatting sqref="E1456">
    <cfRule type="containsText" dxfId="532" priority="552" operator="containsText" text="Sin información">
      <formula>NOT(ISERROR(SEARCH("Sin información",E1456)))</formula>
    </cfRule>
  </conditionalFormatting>
  <conditionalFormatting sqref="E1457">
    <cfRule type="containsText" dxfId="531" priority="549" operator="containsText" text="NUEVO">
      <formula>NOT(ISERROR(SEARCH("NUEVO",E1457)))</formula>
    </cfRule>
  </conditionalFormatting>
  <conditionalFormatting sqref="E1457">
    <cfRule type="containsText" dxfId="530" priority="550" operator="containsText" text="Sin información">
      <formula>NOT(ISERROR(SEARCH("Sin información",E1457)))</formula>
    </cfRule>
  </conditionalFormatting>
  <conditionalFormatting sqref="C1458:D1458">
    <cfRule type="containsText" dxfId="529" priority="548" operator="containsText" text="NO+$D$4:$D$10">
      <formula>NOT(ISERROR(SEARCH("NO+$D$4:$D$10",C1458)))</formula>
    </cfRule>
  </conditionalFormatting>
  <conditionalFormatting sqref="C1458:D1458">
    <cfRule type="containsText" dxfId="528" priority="546" operator="containsText" text="SI">
      <formula>NOT(ISERROR(SEARCH("SI",C1458)))</formula>
    </cfRule>
    <cfRule type="containsText" dxfId="527" priority="547" operator="containsText" text="NO">
      <formula>NOT(ISERROR(SEARCH("NO",C1458)))</formula>
    </cfRule>
  </conditionalFormatting>
  <conditionalFormatting sqref="C1458:D1458">
    <cfRule type="containsText" dxfId="526" priority="545" operator="containsText" text="NUEVO">
      <formula>NOT(ISERROR(SEARCH("NUEVO",C1458)))</formula>
    </cfRule>
  </conditionalFormatting>
  <conditionalFormatting sqref="E1458">
    <cfRule type="containsText" dxfId="525" priority="544" operator="containsText" text="Sin información">
      <formula>NOT(ISERROR(SEARCH("Sin información",E1458)))</formula>
    </cfRule>
  </conditionalFormatting>
  <conditionalFormatting sqref="E1458">
    <cfRule type="containsText" dxfId="524" priority="543" operator="containsText" text="NUEVO">
      <formula>NOT(ISERROR(SEARCH("NUEVO",E1458)))</formula>
    </cfRule>
  </conditionalFormatting>
  <conditionalFormatting sqref="C1459:D1461">
    <cfRule type="containsText" dxfId="523" priority="542" operator="containsText" text="NO+$D$4:$D$10">
      <formula>NOT(ISERROR(SEARCH("NO+$D$4:$D$10",C1459)))</formula>
    </cfRule>
  </conditionalFormatting>
  <conditionalFormatting sqref="C1459:D1461">
    <cfRule type="containsText" dxfId="522" priority="540" operator="containsText" text="SI">
      <formula>NOT(ISERROR(SEARCH("SI",C1459)))</formula>
    </cfRule>
    <cfRule type="containsText" dxfId="521" priority="541" operator="containsText" text="NO">
      <formula>NOT(ISERROR(SEARCH("NO",C1459)))</formula>
    </cfRule>
  </conditionalFormatting>
  <conditionalFormatting sqref="C1459:D1461">
    <cfRule type="containsText" dxfId="520" priority="539" operator="containsText" text="NUEVO">
      <formula>NOT(ISERROR(SEARCH("NUEVO",C1459)))</formula>
    </cfRule>
  </conditionalFormatting>
  <conditionalFormatting sqref="E1459">
    <cfRule type="containsText" dxfId="519" priority="537" operator="containsText" text="NUEVO">
      <formula>NOT(ISERROR(SEARCH("NUEVO",E1459)))</formula>
    </cfRule>
  </conditionalFormatting>
  <conditionalFormatting sqref="E1459">
    <cfRule type="containsText" dxfId="518" priority="538" operator="containsText" text="Sin información">
      <formula>NOT(ISERROR(SEARCH("Sin información",E1459)))</formula>
    </cfRule>
  </conditionalFormatting>
  <conditionalFormatting sqref="E1460">
    <cfRule type="containsText" dxfId="517" priority="535" operator="containsText" text="NUEVO">
      <formula>NOT(ISERROR(SEARCH("NUEVO",E1460)))</formula>
    </cfRule>
  </conditionalFormatting>
  <conditionalFormatting sqref="E1460">
    <cfRule type="containsText" dxfId="516" priority="536" operator="containsText" text="Sin información">
      <formula>NOT(ISERROR(SEARCH("Sin información",E1460)))</formula>
    </cfRule>
  </conditionalFormatting>
  <conditionalFormatting sqref="E1461">
    <cfRule type="containsText" dxfId="515" priority="533" operator="containsText" text="NUEVO">
      <formula>NOT(ISERROR(SEARCH("NUEVO",E1461)))</formula>
    </cfRule>
  </conditionalFormatting>
  <conditionalFormatting sqref="E1461">
    <cfRule type="containsText" dxfId="514" priority="534" operator="containsText" text="Sin información">
      <formula>NOT(ISERROR(SEARCH("Sin información",E1461)))</formula>
    </cfRule>
  </conditionalFormatting>
  <conditionalFormatting sqref="E208">
    <cfRule type="containsText" dxfId="513" priority="25120" operator="containsText" text="NUEVO">
      <formula>NOT(ISERROR(SEARCH("NUEVO",E172)))</formula>
    </cfRule>
  </conditionalFormatting>
  <conditionalFormatting sqref="E208">
    <cfRule type="containsText" dxfId="512" priority="25121" operator="containsText" text="Sin información">
      <formula>NOT(ISERROR(SEARCH("Sin información",E172)))</formula>
    </cfRule>
  </conditionalFormatting>
  <conditionalFormatting sqref="E183 E180">
    <cfRule type="containsText" dxfId="511" priority="25289" operator="containsText" text="NUEVO">
      <formula>NOT(ISERROR(SEARCH("NUEVO",E1231)))</formula>
    </cfRule>
  </conditionalFormatting>
  <conditionalFormatting sqref="E183 E180">
    <cfRule type="containsText" dxfId="510" priority="25291" operator="containsText" text="Sin Información">
      <formula>NOT(ISERROR(SEARCH("Sin Información",E1231)))</formula>
    </cfRule>
  </conditionalFormatting>
  <conditionalFormatting sqref="E192">
    <cfRule type="containsText" dxfId="509" priority="25608" operator="containsText" text="NUEVO">
      <formula>NOT(ISERROR(SEARCH("NUEVO",E1246)))</formula>
    </cfRule>
  </conditionalFormatting>
  <conditionalFormatting sqref="E192">
    <cfRule type="containsText" dxfId="508" priority="25609" operator="containsText" text="Sin Información">
      <formula>NOT(ISERROR(SEARCH("Sin Información",E1246)))</formula>
    </cfRule>
  </conditionalFormatting>
  <conditionalFormatting sqref="C165:D165">
    <cfRule type="containsText" dxfId="507" priority="532" operator="containsText" text="NO+$D$4:$D$10">
      <formula>NOT(ISERROR(SEARCH("NO+$D$4:$D$10",C165)))</formula>
    </cfRule>
  </conditionalFormatting>
  <conditionalFormatting sqref="C165:D165">
    <cfRule type="containsText" dxfId="506" priority="530" operator="containsText" text="SI">
      <formula>NOT(ISERROR(SEARCH("SI",C165)))</formula>
    </cfRule>
    <cfRule type="containsText" dxfId="505" priority="531" operator="containsText" text="NO">
      <formula>NOT(ISERROR(SEARCH("NO",C165)))</formula>
    </cfRule>
  </conditionalFormatting>
  <conditionalFormatting sqref="C165:D165">
    <cfRule type="containsText" dxfId="504" priority="529" operator="containsText" text="NUEVO">
      <formula>NOT(ISERROR(SEARCH("NUEVO",C165)))</formula>
    </cfRule>
  </conditionalFormatting>
  <conditionalFormatting sqref="E165">
    <cfRule type="containsText" dxfId="503" priority="528" operator="containsText" text="Sin información">
      <formula>NOT(ISERROR(SEARCH("Sin información",E165)))</formula>
    </cfRule>
  </conditionalFormatting>
  <conditionalFormatting sqref="E165">
    <cfRule type="containsText" dxfId="502" priority="527" operator="containsText" text="NUEVO">
      <formula>NOT(ISERROR(SEARCH("NUEVO",E165)))</formula>
    </cfRule>
  </conditionalFormatting>
  <conditionalFormatting sqref="E165">
    <cfRule type="containsText" dxfId="501" priority="526" operator="containsText" text="Sin Información">
      <formula>NOT(ISERROR(SEARCH("Sin Información",E165)))</formula>
    </cfRule>
  </conditionalFormatting>
  <conditionalFormatting sqref="C166:D166">
    <cfRule type="containsText" dxfId="500" priority="525" operator="containsText" text="NO+$D$4:$D$10">
      <formula>NOT(ISERROR(SEARCH("NO+$D$4:$D$10",C166)))</formula>
    </cfRule>
  </conditionalFormatting>
  <conditionalFormatting sqref="C166:D166">
    <cfRule type="containsText" dxfId="499" priority="523" operator="containsText" text="SI">
      <formula>NOT(ISERROR(SEARCH("SI",C166)))</formula>
    </cfRule>
    <cfRule type="containsText" dxfId="498" priority="524" operator="containsText" text="NO">
      <formula>NOT(ISERROR(SEARCH("NO",C166)))</formula>
    </cfRule>
  </conditionalFormatting>
  <conditionalFormatting sqref="C166:D166">
    <cfRule type="containsText" dxfId="497" priority="522" operator="containsText" text="NUEVO">
      <formula>NOT(ISERROR(SEARCH("NUEVO",C166)))</formula>
    </cfRule>
  </conditionalFormatting>
  <conditionalFormatting sqref="E166">
    <cfRule type="containsText" dxfId="496" priority="520" operator="containsText" text="NUEVO">
      <formula>NOT(ISERROR(SEARCH("NUEVO",E166)))</formula>
    </cfRule>
  </conditionalFormatting>
  <conditionalFormatting sqref="E166">
    <cfRule type="containsText" dxfId="495" priority="521" operator="containsText" text="Sin información">
      <formula>NOT(ISERROR(SEARCH("Sin información",E166)))</formula>
    </cfRule>
  </conditionalFormatting>
  <conditionalFormatting sqref="E166">
    <cfRule type="containsText" dxfId="494" priority="519" operator="containsText" text="Sin Información">
      <formula>NOT(ISERROR(SEARCH("Sin Información",E166)))</formula>
    </cfRule>
  </conditionalFormatting>
  <conditionalFormatting sqref="C167:D167">
    <cfRule type="containsText" dxfId="493" priority="518" operator="containsText" text="NO+$D$4:$D$10">
      <formula>NOT(ISERROR(SEARCH("NO+$D$4:$D$10",C167)))</formula>
    </cfRule>
  </conditionalFormatting>
  <conditionalFormatting sqref="C167:D167">
    <cfRule type="containsText" dxfId="492" priority="516" operator="containsText" text="SI">
      <formula>NOT(ISERROR(SEARCH("SI",C167)))</formula>
    </cfRule>
    <cfRule type="containsText" dxfId="491" priority="517" operator="containsText" text="NO">
      <formula>NOT(ISERROR(SEARCH("NO",C167)))</formula>
    </cfRule>
  </conditionalFormatting>
  <conditionalFormatting sqref="C167:D167">
    <cfRule type="containsText" dxfId="490" priority="515" operator="containsText" text="NUEVO">
      <formula>NOT(ISERROR(SEARCH("NUEVO",C167)))</formula>
    </cfRule>
  </conditionalFormatting>
  <conditionalFormatting sqref="E167">
    <cfRule type="containsText" dxfId="489" priority="513" operator="containsText" text="NUEVO">
      <formula>NOT(ISERROR(SEARCH("NUEVO",E167)))</formula>
    </cfRule>
  </conditionalFormatting>
  <conditionalFormatting sqref="E167">
    <cfRule type="containsText" dxfId="488" priority="514" operator="containsText" text="Sin información">
      <formula>NOT(ISERROR(SEARCH("Sin información",E167)))</formula>
    </cfRule>
  </conditionalFormatting>
  <conditionalFormatting sqref="E167">
    <cfRule type="containsText" dxfId="487" priority="512" operator="containsText" text="Sin Información">
      <formula>NOT(ISERROR(SEARCH("Sin Información",E167)))</formula>
    </cfRule>
  </conditionalFormatting>
  <conditionalFormatting sqref="C168:D168">
    <cfRule type="containsText" dxfId="486" priority="511" operator="containsText" text="NO+$D$4:$D$10">
      <formula>NOT(ISERROR(SEARCH("NO+$D$4:$D$10",C168)))</formula>
    </cfRule>
  </conditionalFormatting>
  <conditionalFormatting sqref="C168:D168">
    <cfRule type="containsText" dxfId="485" priority="509" operator="containsText" text="SI">
      <formula>NOT(ISERROR(SEARCH("SI",C168)))</formula>
    </cfRule>
    <cfRule type="containsText" dxfId="484" priority="510" operator="containsText" text="NO">
      <formula>NOT(ISERROR(SEARCH("NO",C168)))</formula>
    </cfRule>
  </conditionalFormatting>
  <conditionalFormatting sqref="C168:D168">
    <cfRule type="containsText" dxfId="483" priority="508" operator="containsText" text="NUEVO">
      <formula>NOT(ISERROR(SEARCH("NUEVO",C168)))</formula>
    </cfRule>
  </conditionalFormatting>
  <conditionalFormatting sqref="E168">
    <cfRule type="containsText" dxfId="482" priority="506" operator="containsText" text="NUEVO">
      <formula>NOT(ISERROR(SEARCH("NUEVO",E168)))</formula>
    </cfRule>
  </conditionalFormatting>
  <conditionalFormatting sqref="E168">
    <cfRule type="containsText" dxfId="481" priority="507" operator="containsText" text="Sin información">
      <formula>NOT(ISERROR(SEARCH("Sin información",E168)))</formula>
    </cfRule>
  </conditionalFormatting>
  <conditionalFormatting sqref="E168">
    <cfRule type="containsText" dxfId="480" priority="505" operator="containsText" text="Sin Información">
      <formula>NOT(ISERROR(SEARCH("Sin Información",E168)))</formula>
    </cfRule>
  </conditionalFormatting>
  <conditionalFormatting sqref="C631:D631">
    <cfRule type="containsText" dxfId="479" priority="504" operator="containsText" text="NO+$D$4:$D$10">
      <formula>NOT(ISERROR(SEARCH("NO+$D$4:$D$10",C631)))</formula>
    </cfRule>
  </conditionalFormatting>
  <conditionalFormatting sqref="C631:D631">
    <cfRule type="containsText" dxfId="478" priority="502" operator="containsText" text="SI">
      <formula>NOT(ISERROR(SEARCH("SI",C631)))</formula>
    </cfRule>
    <cfRule type="containsText" dxfId="477" priority="503" operator="containsText" text="NO">
      <formula>NOT(ISERROR(SEARCH("NO",C631)))</formula>
    </cfRule>
  </conditionalFormatting>
  <conditionalFormatting sqref="C631:D631">
    <cfRule type="containsText" dxfId="476" priority="501" operator="containsText" text="NUEVO">
      <formula>NOT(ISERROR(SEARCH("NUEVO",C631)))</formula>
    </cfRule>
  </conditionalFormatting>
  <conditionalFormatting sqref="E631">
    <cfRule type="containsText" dxfId="475" priority="500" operator="containsText" text="NUEVO">
      <formula>NOT(ISERROR(SEARCH("NUEVO",E631)))</formula>
    </cfRule>
  </conditionalFormatting>
  <conditionalFormatting sqref="E631">
    <cfRule type="containsText" dxfId="474" priority="499" operator="containsText" text="Sin Información">
      <formula>NOT(ISERROR(SEARCH("Sin Información",E631)))</formula>
    </cfRule>
  </conditionalFormatting>
  <conditionalFormatting sqref="C632:D632">
    <cfRule type="containsText" dxfId="473" priority="498" operator="containsText" text="NO+$D$4:$D$10">
      <formula>NOT(ISERROR(SEARCH("NO+$D$4:$D$10",C632)))</formula>
    </cfRule>
  </conditionalFormatting>
  <conditionalFormatting sqref="C632:D632">
    <cfRule type="containsText" dxfId="472" priority="496" operator="containsText" text="SI">
      <formula>NOT(ISERROR(SEARCH("SI",C632)))</formula>
    </cfRule>
    <cfRule type="containsText" dxfId="471" priority="497" operator="containsText" text="NO">
      <formula>NOT(ISERROR(SEARCH("NO",C632)))</formula>
    </cfRule>
  </conditionalFormatting>
  <conditionalFormatting sqref="C632:D632">
    <cfRule type="containsText" dxfId="470" priority="495" operator="containsText" text="NUEVO">
      <formula>NOT(ISERROR(SEARCH("NUEVO",C632)))</formula>
    </cfRule>
  </conditionalFormatting>
  <conditionalFormatting sqref="E632">
    <cfRule type="containsText" dxfId="469" priority="493" operator="containsText" text="Sin Información">
      <formula>NOT(ISERROR(SEARCH("Sin Información",E632)))</formula>
    </cfRule>
  </conditionalFormatting>
  <conditionalFormatting sqref="E632">
    <cfRule type="containsText" dxfId="468" priority="494" operator="containsText" text="NUEVO">
      <formula>NOT(ISERROR(SEARCH("NUEVO",E632)))</formula>
    </cfRule>
  </conditionalFormatting>
  <conditionalFormatting sqref="C633:D633">
    <cfRule type="containsText" dxfId="467" priority="490" operator="containsText" text="NO+$D$4:$D$10">
      <formula>NOT(ISERROR(SEARCH("NO+$D$4:$D$10",C633)))</formula>
    </cfRule>
  </conditionalFormatting>
  <conditionalFormatting sqref="C633:D633">
    <cfRule type="containsText" dxfId="466" priority="488" operator="containsText" text="SI">
      <formula>NOT(ISERROR(SEARCH("SI",C633)))</formula>
    </cfRule>
    <cfRule type="containsText" dxfId="465" priority="489" operator="containsText" text="NO">
      <formula>NOT(ISERROR(SEARCH("NO",C633)))</formula>
    </cfRule>
  </conditionalFormatting>
  <conditionalFormatting sqref="C633:D633">
    <cfRule type="containsText" dxfId="464" priority="487" operator="containsText" text="NUEVO">
      <formula>NOT(ISERROR(SEARCH("NUEVO",C633)))</formula>
    </cfRule>
  </conditionalFormatting>
  <conditionalFormatting sqref="E633">
    <cfRule type="containsText" dxfId="463" priority="491" operator="containsText" text="Sin Información">
      <formula>NOT(ISERROR(SEARCH("Sin Información",E1711)))</formula>
    </cfRule>
  </conditionalFormatting>
  <conditionalFormatting sqref="E633">
    <cfRule type="containsText" dxfId="462" priority="492" operator="containsText" text="NUEVO">
      <formula>NOT(ISERROR(SEARCH("NUEVO",E1711)))</formula>
    </cfRule>
  </conditionalFormatting>
  <conditionalFormatting sqref="C634:D634">
    <cfRule type="containsText" dxfId="461" priority="484" operator="containsText" text="NO+$D$4:$D$10">
      <formula>NOT(ISERROR(SEARCH("NO+$D$4:$D$10",C634)))</formula>
    </cfRule>
  </conditionalFormatting>
  <conditionalFormatting sqref="C634:D634">
    <cfRule type="containsText" dxfId="460" priority="482" operator="containsText" text="SI">
      <formula>NOT(ISERROR(SEARCH("SI",C634)))</formula>
    </cfRule>
    <cfRule type="containsText" dxfId="459" priority="483" operator="containsText" text="NO">
      <formula>NOT(ISERROR(SEARCH("NO",C634)))</formula>
    </cfRule>
  </conditionalFormatting>
  <conditionalFormatting sqref="C634:D634">
    <cfRule type="containsText" dxfId="458" priority="481" operator="containsText" text="NUEVO">
      <formula>NOT(ISERROR(SEARCH("NUEVO",C634)))</formula>
    </cfRule>
  </conditionalFormatting>
  <conditionalFormatting sqref="E634">
    <cfRule type="containsText" dxfId="457" priority="485" operator="containsText" text="Sin Información">
      <formula>NOT(ISERROR(SEARCH("Sin Información",E1711)))</formula>
    </cfRule>
  </conditionalFormatting>
  <conditionalFormatting sqref="E634">
    <cfRule type="containsText" dxfId="456" priority="486" operator="containsText" text="NUEVO">
      <formula>NOT(ISERROR(SEARCH("NUEVO",E1711)))</formula>
    </cfRule>
  </conditionalFormatting>
  <conditionalFormatting sqref="C635:D635">
    <cfRule type="containsText" dxfId="455" priority="480" operator="containsText" text="NO+$D$4:$D$10">
      <formula>NOT(ISERROR(SEARCH("NO+$D$4:$D$10",C635)))</formula>
    </cfRule>
  </conditionalFormatting>
  <conditionalFormatting sqref="C635:D635">
    <cfRule type="containsText" dxfId="454" priority="478" operator="containsText" text="SI">
      <formula>NOT(ISERROR(SEARCH("SI",C635)))</formula>
    </cfRule>
    <cfRule type="containsText" dxfId="453" priority="479" operator="containsText" text="NO">
      <formula>NOT(ISERROR(SEARCH("NO",C635)))</formula>
    </cfRule>
  </conditionalFormatting>
  <conditionalFormatting sqref="C635:D635">
    <cfRule type="containsText" dxfId="452" priority="477" operator="containsText" text="NUEVO">
      <formula>NOT(ISERROR(SEARCH("NUEVO",C635)))</formula>
    </cfRule>
  </conditionalFormatting>
  <conditionalFormatting sqref="E635">
    <cfRule type="containsText" dxfId="451" priority="476" operator="containsText" text="NUEVO">
      <formula>NOT(ISERROR(SEARCH("NUEVO",E635)))</formula>
    </cfRule>
  </conditionalFormatting>
  <conditionalFormatting sqref="E635">
    <cfRule type="containsText" dxfId="450" priority="475" operator="containsText" text="Sin Información">
      <formula>NOT(ISERROR(SEARCH("Sin Información",E635)))</formula>
    </cfRule>
  </conditionalFormatting>
  <conditionalFormatting sqref="C636:D636">
    <cfRule type="containsText" dxfId="449" priority="474" operator="containsText" text="NO+$D$4:$D$10">
      <formula>NOT(ISERROR(SEARCH("NO+$D$4:$D$10",C636)))</formula>
    </cfRule>
  </conditionalFormatting>
  <conditionalFormatting sqref="C636:D636">
    <cfRule type="containsText" dxfId="448" priority="472" operator="containsText" text="SI">
      <formula>NOT(ISERROR(SEARCH("SI",C636)))</formula>
    </cfRule>
    <cfRule type="containsText" dxfId="447" priority="473" operator="containsText" text="NO">
      <formula>NOT(ISERROR(SEARCH("NO",C636)))</formula>
    </cfRule>
  </conditionalFormatting>
  <conditionalFormatting sqref="C636:D636">
    <cfRule type="containsText" dxfId="446" priority="471" operator="containsText" text="NUEVO">
      <formula>NOT(ISERROR(SEARCH("NUEVO",C636)))</formula>
    </cfRule>
  </conditionalFormatting>
  <conditionalFormatting sqref="E636">
    <cfRule type="containsText" dxfId="445" priority="470" operator="containsText" text="NUEVO">
      <formula>NOT(ISERROR(SEARCH("NUEVO",E636)))</formula>
    </cfRule>
  </conditionalFormatting>
  <conditionalFormatting sqref="E636">
    <cfRule type="containsText" dxfId="444" priority="469" operator="containsText" text="Sin Información">
      <formula>NOT(ISERROR(SEARCH("Sin Información",E636)))</formula>
    </cfRule>
  </conditionalFormatting>
  <conditionalFormatting sqref="C637:D637">
    <cfRule type="containsText" dxfId="443" priority="468" operator="containsText" text="NO+$D$4:$D$10">
      <formula>NOT(ISERROR(SEARCH("NO+$D$4:$D$10",C637)))</formula>
    </cfRule>
  </conditionalFormatting>
  <conditionalFormatting sqref="C637:D637">
    <cfRule type="containsText" dxfId="442" priority="466" operator="containsText" text="SI">
      <formula>NOT(ISERROR(SEARCH("SI",C637)))</formula>
    </cfRule>
    <cfRule type="containsText" dxfId="441" priority="467" operator="containsText" text="NO">
      <formula>NOT(ISERROR(SEARCH("NO",C637)))</formula>
    </cfRule>
  </conditionalFormatting>
  <conditionalFormatting sqref="C637:D637">
    <cfRule type="containsText" dxfId="440" priority="465" operator="containsText" text="NUEVO">
      <formula>NOT(ISERROR(SEARCH("NUEVO",C637)))</formula>
    </cfRule>
  </conditionalFormatting>
  <conditionalFormatting sqref="E637">
    <cfRule type="containsText" dxfId="439" priority="464" operator="containsText" text="NUEVO">
      <formula>NOT(ISERROR(SEARCH("NUEVO",E637)))</formula>
    </cfRule>
  </conditionalFormatting>
  <conditionalFormatting sqref="E637">
    <cfRule type="containsText" dxfId="438" priority="463" operator="containsText" text="Sin Información">
      <formula>NOT(ISERROR(SEARCH("Sin Información",E637)))</formula>
    </cfRule>
  </conditionalFormatting>
  <conditionalFormatting sqref="C638:D638">
    <cfRule type="containsText" dxfId="437" priority="462" operator="containsText" text="NO+$D$4:$D$10">
      <formula>NOT(ISERROR(SEARCH("NO+$D$4:$D$10",C638)))</formula>
    </cfRule>
  </conditionalFormatting>
  <conditionalFormatting sqref="C638:D638">
    <cfRule type="containsText" dxfId="436" priority="460" operator="containsText" text="SI">
      <formula>NOT(ISERROR(SEARCH("SI",C638)))</formula>
    </cfRule>
    <cfRule type="containsText" dxfId="435" priority="461" operator="containsText" text="NO">
      <formula>NOT(ISERROR(SEARCH("NO",C638)))</formula>
    </cfRule>
  </conditionalFormatting>
  <conditionalFormatting sqref="C638:D638">
    <cfRule type="containsText" dxfId="434" priority="459" operator="containsText" text="NUEVO">
      <formula>NOT(ISERROR(SEARCH("NUEVO",C638)))</formula>
    </cfRule>
  </conditionalFormatting>
  <conditionalFormatting sqref="E638">
    <cfRule type="containsText" dxfId="433" priority="457" operator="containsText" text="NUEVO">
      <formula>NOT(ISERROR(SEARCH("NUEVO",E638)))</formula>
    </cfRule>
  </conditionalFormatting>
  <conditionalFormatting sqref="E638">
    <cfRule type="containsText" dxfId="432" priority="458" operator="containsText" text="Sin información">
      <formula>NOT(ISERROR(SEARCH("Sin información",E638)))</formula>
    </cfRule>
  </conditionalFormatting>
  <conditionalFormatting sqref="E638">
    <cfRule type="containsText" dxfId="431" priority="456" operator="containsText" text="Sin Información">
      <formula>NOT(ISERROR(SEARCH("Sin Información",E638)))</formula>
    </cfRule>
  </conditionalFormatting>
  <conditionalFormatting sqref="C639:D639">
    <cfRule type="containsText" dxfId="430" priority="455" operator="containsText" text="NO+$D$4:$D$10">
      <formula>NOT(ISERROR(SEARCH("NO+$D$4:$D$10",C639)))</formula>
    </cfRule>
  </conditionalFormatting>
  <conditionalFormatting sqref="C639:D639">
    <cfRule type="containsText" dxfId="429" priority="453" operator="containsText" text="SI">
      <formula>NOT(ISERROR(SEARCH("SI",C639)))</formula>
    </cfRule>
    <cfRule type="containsText" dxfId="428" priority="454" operator="containsText" text="NO">
      <formula>NOT(ISERROR(SEARCH("NO",C639)))</formula>
    </cfRule>
  </conditionalFormatting>
  <conditionalFormatting sqref="C639:D639">
    <cfRule type="containsText" dxfId="427" priority="452" operator="containsText" text="NUEVO">
      <formula>NOT(ISERROR(SEARCH("NUEVO",C639)))</formula>
    </cfRule>
  </conditionalFormatting>
  <conditionalFormatting sqref="E639">
    <cfRule type="containsText" dxfId="426" priority="450" operator="containsText" text="Sin Información">
      <formula>NOT(ISERROR(SEARCH("Sin Información",E639)))</formula>
    </cfRule>
  </conditionalFormatting>
  <conditionalFormatting sqref="E639">
    <cfRule type="containsText" dxfId="425" priority="451" operator="containsText" text="NUEVO">
      <formula>NOT(ISERROR(SEARCH("NUEVO",E639)))</formula>
    </cfRule>
  </conditionalFormatting>
  <conditionalFormatting sqref="C640:D640">
    <cfRule type="containsText" dxfId="424" priority="447" operator="containsText" text="NO+$D$4:$D$10">
      <formula>NOT(ISERROR(SEARCH("NO+$D$4:$D$10",C640)))</formula>
    </cfRule>
  </conditionalFormatting>
  <conditionalFormatting sqref="C640:D640">
    <cfRule type="containsText" dxfId="423" priority="445" operator="containsText" text="SI">
      <formula>NOT(ISERROR(SEARCH("SI",C640)))</formula>
    </cfRule>
    <cfRule type="containsText" dxfId="422" priority="446" operator="containsText" text="NO">
      <formula>NOT(ISERROR(SEARCH("NO",C640)))</formula>
    </cfRule>
  </conditionalFormatting>
  <conditionalFormatting sqref="C640:D640">
    <cfRule type="containsText" dxfId="421" priority="444" operator="containsText" text="NUEVO">
      <formula>NOT(ISERROR(SEARCH("NUEVO",C640)))</formula>
    </cfRule>
  </conditionalFormatting>
  <conditionalFormatting sqref="E640">
    <cfRule type="containsText" dxfId="420" priority="448" operator="containsText" text="NUEVO">
      <formula>NOT(ISERROR(SEARCH("NUEVO",E1721)))</formula>
    </cfRule>
  </conditionalFormatting>
  <conditionalFormatting sqref="E640">
    <cfRule type="containsText" dxfId="419" priority="449" operator="containsText" text="Sin Información">
      <formula>NOT(ISERROR(SEARCH("Sin Información",E1721)))</formula>
    </cfRule>
  </conditionalFormatting>
  <conditionalFormatting sqref="C641:D641">
    <cfRule type="containsText" dxfId="418" priority="443" operator="containsText" text="NO+$D$4:$D$10">
      <formula>NOT(ISERROR(SEARCH("NO+$D$4:$D$10",C641)))</formula>
    </cfRule>
  </conditionalFormatting>
  <conditionalFormatting sqref="C641:D641">
    <cfRule type="containsText" dxfId="417" priority="441" operator="containsText" text="SI">
      <formula>NOT(ISERROR(SEARCH("SI",C641)))</formula>
    </cfRule>
    <cfRule type="containsText" dxfId="416" priority="442" operator="containsText" text="NO">
      <formula>NOT(ISERROR(SEARCH("NO",C641)))</formula>
    </cfRule>
  </conditionalFormatting>
  <conditionalFormatting sqref="C641:D641">
    <cfRule type="containsText" dxfId="415" priority="440" operator="containsText" text="NUEVO">
      <formula>NOT(ISERROR(SEARCH("NUEVO",C641)))</formula>
    </cfRule>
  </conditionalFormatting>
  <conditionalFormatting sqref="E641">
    <cfRule type="containsText" dxfId="414" priority="439" operator="containsText" text="NUEVO">
      <formula>NOT(ISERROR(SEARCH("NUEVO",E641)))</formula>
    </cfRule>
  </conditionalFormatting>
  <conditionalFormatting sqref="E641">
    <cfRule type="containsText" dxfId="413" priority="438" operator="containsText" text="Sin Información">
      <formula>NOT(ISERROR(SEARCH("Sin Información",E641)))</formula>
    </cfRule>
  </conditionalFormatting>
  <conditionalFormatting sqref="C642:D642">
    <cfRule type="containsText" dxfId="412" priority="435" operator="containsText" text="NO+$D$4:$D$10">
      <formula>NOT(ISERROR(SEARCH("NO+$D$4:$D$10",C642)))</formula>
    </cfRule>
  </conditionalFormatting>
  <conditionalFormatting sqref="C642:D642">
    <cfRule type="containsText" dxfId="411" priority="433" operator="containsText" text="SI">
      <formula>NOT(ISERROR(SEARCH("SI",C642)))</formula>
    </cfRule>
    <cfRule type="containsText" dxfId="410" priority="434" operator="containsText" text="NO">
      <formula>NOT(ISERROR(SEARCH("NO",C642)))</formula>
    </cfRule>
  </conditionalFormatting>
  <conditionalFormatting sqref="C642:D642">
    <cfRule type="containsText" dxfId="409" priority="432" operator="containsText" text="NUEVO">
      <formula>NOT(ISERROR(SEARCH("NUEVO",C642)))</formula>
    </cfRule>
  </conditionalFormatting>
  <conditionalFormatting sqref="E642">
    <cfRule type="containsText" dxfId="408" priority="436" operator="containsText" text="Sin Información">
      <formula>NOT(ISERROR(SEARCH("Sin Información",E1750)))</formula>
    </cfRule>
  </conditionalFormatting>
  <conditionalFormatting sqref="E642">
    <cfRule type="containsText" dxfId="407" priority="437" operator="containsText" text="NUEVO">
      <formula>NOT(ISERROR(SEARCH("NUEVO",E1750)))</formula>
    </cfRule>
  </conditionalFormatting>
  <conditionalFormatting sqref="C643:D643">
    <cfRule type="containsText" dxfId="406" priority="418" operator="containsText" text="NO+$D$4:$D$10">
      <formula>NOT(ISERROR(SEARCH("NO+$D$4:$D$10",C643)))</formula>
    </cfRule>
  </conditionalFormatting>
  <conditionalFormatting sqref="C643:D643">
    <cfRule type="containsText" dxfId="405" priority="416" operator="containsText" text="SI">
      <formula>NOT(ISERROR(SEARCH("SI",C643)))</formula>
    </cfRule>
    <cfRule type="containsText" dxfId="404" priority="417" operator="containsText" text="NO">
      <formula>NOT(ISERROR(SEARCH("NO",C643)))</formula>
    </cfRule>
  </conditionalFormatting>
  <conditionalFormatting sqref="C643:D643">
    <cfRule type="containsText" dxfId="403" priority="415" operator="containsText" text="NUEVO">
      <formula>NOT(ISERROR(SEARCH("NUEVO",C643)))</formula>
    </cfRule>
  </conditionalFormatting>
  <conditionalFormatting sqref="E643">
    <cfRule type="containsText" dxfId="402" priority="419" operator="containsText" text="Sin Información">
      <formula>NOT(ISERROR(SEARCH("Sin Información",E1722)))</formula>
    </cfRule>
  </conditionalFormatting>
  <conditionalFormatting sqref="E643">
    <cfRule type="containsText" dxfId="401" priority="420" operator="containsText" text="NUEVO">
      <formula>NOT(ISERROR(SEARCH("NUEVO",E1722)))</formula>
    </cfRule>
  </conditionalFormatting>
  <conditionalFormatting sqref="C644:D644">
    <cfRule type="containsText" dxfId="400" priority="414" operator="containsText" text="NO+$D$4:$D$10">
      <formula>NOT(ISERROR(SEARCH("NO+$D$4:$D$10",C644)))</formula>
    </cfRule>
  </conditionalFormatting>
  <conditionalFormatting sqref="C644:D644">
    <cfRule type="containsText" dxfId="399" priority="412" operator="containsText" text="SI">
      <formula>NOT(ISERROR(SEARCH("SI",C644)))</formula>
    </cfRule>
    <cfRule type="containsText" dxfId="398" priority="413" operator="containsText" text="NO">
      <formula>NOT(ISERROR(SEARCH("NO",C644)))</formula>
    </cfRule>
  </conditionalFormatting>
  <conditionalFormatting sqref="C644:E644">
    <cfRule type="containsText" dxfId="397" priority="411" operator="containsText" text="NUEVO">
      <formula>NOT(ISERROR(SEARCH("NUEVO",C644)))</formula>
    </cfRule>
  </conditionalFormatting>
  <conditionalFormatting sqref="E644">
    <cfRule type="containsText" dxfId="396" priority="410" operator="containsText" text="Sin Información">
      <formula>NOT(ISERROR(SEARCH("Sin Información",E644)))</formula>
    </cfRule>
  </conditionalFormatting>
  <conditionalFormatting sqref="C645:D645">
    <cfRule type="containsText" dxfId="395" priority="409" operator="containsText" text="NO+$D$4:$D$10">
      <formula>NOT(ISERROR(SEARCH("NO+$D$4:$D$10",C645)))</formula>
    </cfRule>
  </conditionalFormatting>
  <conditionalFormatting sqref="C645:D645">
    <cfRule type="containsText" dxfId="394" priority="407" operator="containsText" text="SI">
      <formula>NOT(ISERROR(SEARCH("SI",C645)))</formula>
    </cfRule>
    <cfRule type="containsText" dxfId="393" priority="408" operator="containsText" text="NO">
      <formula>NOT(ISERROR(SEARCH("NO",C645)))</formula>
    </cfRule>
  </conditionalFormatting>
  <conditionalFormatting sqref="C645:D645">
    <cfRule type="containsText" dxfId="392" priority="406" operator="containsText" text="NUEVO">
      <formula>NOT(ISERROR(SEARCH("NUEVO",C645)))</formula>
    </cfRule>
  </conditionalFormatting>
  <conditionalFormatting sqref="E645">
    <cfRule type="containsText" dxfId="391" priority="405" operator="containsText" text="NUEVO">
      <formula>NOT(ISERROR(SEARCH("NUEVO",E645)))</formula>
    </cfRule>
  </conditionalFormatting>
  <conditionalFormatting sqref="E645">
    <cfRule type="containsText" dxfId="390" priority="404" operator="containsText" text="Sin Información">
      <formula>NOT(ISERROR(SEARCH("Sin Información",E645)))</formula>
    </cfRule>
  </conditionalFormatting>
  <conditionalFormatting sqref="C646:D646">
    <cfRule type="containsText" dxfId="389" priority="398" operator="containsText" text="NO+$D$4:$D$10">
      <formula>NOT(ISERROR(SEARCH("NO+$D$4:$D$10",C646)))</formula>
    </cfRule>
  </conditionalFormatting>
  <conditionalFormatting sqref="C646:D646">
    <cfRule type="containsText" dxfId="388" priority="396" operator="containsText" text="SI">
      <formula>NOT(ISERROR(SEARCH("SI",C646)))</formula>
    </cfRule>
    <cfRule type="containsText" dxfId="387" priority="397" operator="containsText" text="NO">
      <formula>NOT(ISERROR(SEARCH("NO",C646)))</formula>
    </cfRule>
  </conditionalFormatting>
  <conditionalFormatting sqref="C646:E646">
    <cfRule type="containsText" dxfId="386" priority="395" operator="containsText" text="NUEVO">
      <formula>NOT(ISERROR(SEARCH("NUEVO",C646)))</formula>
    </cfRule>
  </conditionalFormatting>
  <conditionalFormatting sqref="E646">
    <cfRule type="containsText" dxfId="385" priority="394" operator="containsText" text="Sin Información">
      <formula>NOT(ISERROR(SEARCH("Sin Información",E646)))</formula>
    </cfRule>
  </conditionalFormatting>
  <conditionalFormatting sqref="C647:D647">
    <cfRule type="containsText" dxfId="384" priority="393" operator="containsText" text="NO+$D$4:$D$10">
      <formula>NOT(ISERROR(SEARCH("NO+$D$4:$D$10",C647)))</formula>
    </cfRule>
  </conditionalFormatting>
  <conditionalFormatting sqref="C647:D647">
    <cfRule type="containsText" dxfId="383" priority="391" operator="containsText" text="SI">
      <formula>NOT(ISERROR(SEARCH("SI",C647)))</formula>
    </cfRule>
    <cfRule type="containsText" dxfId="382" priority="392" operator="containsText" text="NO">
      <formula>NOT(ISERROR(SEARCH("NO",C647)))</formula>
    </cfRule>
  </conditionalFormatting>
  <conditionalFormatting sqref="C647:D647">
    <cfRule type="containsText" dxfId="381" priority="390" operator="containsText" text="NUEVO">
      <formula>NOT(ISERROR(SEARCH("NUEVO",C647)))</formula>
    </cfRule>
  </conditionalFormatting>
  <conditionalFormatting sqref="E647">
    <cfRule type="containsText" dxfId="380" priority="389" operator="containsText" text="NUEVO">
      <formula>NOT(ISERROR(SEARCH("NUEVO",E647)))</formula>
    </cfRule>
  </conditionalFormatting>
  <conditionalFormatting sqref="E647">
    <cfRule type="containsText" dxfId="379" priority="388" operator="containsText" text="Sin Información">
      <formula>NOT(ISERROR(SEARCH("Sin Información",E647)))</formula>
    </cfRule>
  </conditionalFormatting>
  <conditionalFormatting sqref="C648:D648">
    <cfRule type="containsText" dxfId="378" priority="387" operator="containsText" text="NO+$D$4:$D$10">
      <formula>NOT(ISERROR(SEARCH("NO+$D$4:$D$10",C648)))</formula>
    </cfRule>
  </conditionalFormatting>
  <conditionalFormatting sqref="C648:D648">
    <cfRule type="containsText" dxfId="377" priority="385" operator="containsText" text="SI">
      <formula>NOT(ISERROR(SEARCH("SI",C648)))</formula>
    </cfRule>
    <cfRule type="containsText" dxfId="376" priority="386" operator="containsText" text="NO">
      <formula>NOT(ISERROR(SEARCH("NO",C648)))</formula>
    </cfRule>
  </conditionalFormatting>
  <conditionalFormatting sqref="C648:E648">
    <cfRule type="containsText" dxfId="375" priority="384" operator="containsText" text="NUEVO">
      <formula>NOT(ISERROR(SEARCH("NUEVO",C648)))</formula>
    </cfRule>
  </conditionalFormatting>
  <conditionalFormatting sqref="E648">
    <cfRule type="containsText" dxfId="374" priority="383" operator="containsText" text="Sin Información">
      <formula>NOT(ISERROR(SEARCH("Sin Información",E648)))</formula>
    </cfRule>
  </conditionalFormatting>
  <conditionalFormatting sqref="C649:D649">
    <cfRule type="containsText" dxfId="373" priority="382" operator="containsText" text="NO+$D$4:$D$10">
      <formula>NOT(ISERROR(SEARCH("NO+$D$4:$D$10",C649)))</formula>
    </cfRule>
  </conditionalFormatting>
  <conditionalFormatting sqref="C649:D649">
    <cfRule type="containsText" dxfId="372" priority="380" operator="containsText" text="SI">
      <formula>NOT(ISERROR(SEARCH("SI",C649)))</formula>
    </cfRule>
    <cfRule type="containsText" dxfId="371" priority="381" operator="containsText" text="NO">
      <formula>NOT(ISERROR(SEARCH("NO",C649)))</formula>
    </cfRule>
  </conditionalFormatting>
  <conditionalFormatting sqref="C649:D649">
    <cfRule type="containsText" dxfId="370" priority="379" operator="containsText" text="NUEVO">
      <formula>NOT(ISERROR(SEARCH("NUEVO",C649)))</formula>
    </cfRule>
  </conditionalFormatting>
  <conditionalFormatting sqref="E649">
    <cfRule type="containsText" dxfId="369" priority="378" operator="containsText" text="NUEVO">
      <formula>NOT(ISERROR(SEARCH("NUEVO",E649)))</formula>
    </cfRule>
  </conditionalFormatting>
  <conditionalFormatting sqref="E649">
    <cfRule type="containsText" dxfId="368" priority="377" operator="containsText" text="Sin Información">
      <formula>NOT(ISERROR(SEARCH("Sin Información",E649)))</formula>
    </cfRule>
  </conditionalFormatting>
  <conditionalFormatting sqref="C650:D650">
    <cfRule type="containsText" dxfId="367" priority="375" operator="containsText" text="NO+$D$4:$D$10">
      <formula>NOT(ISERROR(SEARCH("NO+$D$4:$D$10",C650)))</formula>
    </cfRule>
  </conditionalFormatting>
  <conditionalFormatting sqref="C650:D650">
    <cfRule type="containsText" dxfId="366" priority="373" operator="containsText" text="SI">
      <formula>NOT(ISERROR(SEARCH("SI",C650)))</formula>
    </cfRule>
    <cfRule type="containsText" dxfId="365" priority="374" operator="containsText" text="NO">
      <formula>NOT(ISERROR(SEARCH("NO",C650)))</formula>
    </cfRule>
  </conditionalFormatting>
  <conditionalFormatting sqref="C650:D650">
    <cfRule type="containsText" dxfId="364" priority="372" operator="containsText" text="NUEVO">
      <formula>NOT(ISERROR(SEARCH("NUEVO",C650)))</formula>
    </cfRule>
  </conditionalFormatting>
  <conditionalFormatting sqref="E650">
    <cfRule type="containsText" dxfId="363" priority="376" operator="containsText" text="Sin información">
      <formula>NOT(ISERROR(SEARCH("Sin información",E1718)))</formula>
    </cfRule>
  </conditionalFormatting>
  <conditionalFormatting sqref="C651:D651">
    <cfRule type="containsText" dxfId="362" priority="371" operator="containsText" text="NO+$D$4:$D$10">
      <formula>NOT(ISERROR(SEARCH("NO+$D$4:$D$10",C651)))</formula>
    </cfRule>
  </conditionalFormatting>
  <conditionalFormatting sqref="C651:D651">
    <cfRule type="containsText" dxfId="361" priority="369" operator="containsText" text="SI">
      <formula>NOT(ISERROR(SEARCH("SI",C651)))</formula>
    </cfRule>
    <cfRule type="containsText" dxfId="360" priority="370" operator="containsText" text="NO">
      <formula>NOT(ISERROR(SEARCH("NO",C651)))</formula>
    </cfRule>
  </conditionalFormatting>
  <conditionalFormatting sqref="C651:E651">
    <cfRule type="containsText" dxfId="359" priority="368" operator="containsText" text="NUEVO">
      <formula>NOT(ISERROR(SEARCH("NUEVO",C651)))</formula>
    </cfRule>
  </conditionalFormatting>
  <conditionalFormatting sqref="E651">
    <cfRule type="containsText" dxfId="358" priority="367" operator="containsText" text="Sin Información">
      <formula>NOT(ISERROR(SEARCH("Sin Información",E651)))</formula>
    </cfRule>
  </conditionalFormatting>
  <conditionalFormatting sqref="C652:D652">
    <cfRule type="containsText" dxfId="357" priority="364" operator="containsText" text="NO+$D$4:$D$10">
      <formula>NOT(ISERROR(SEARCH("NO+$D$4:$D$10",C652)))</formula>
    </cfRule>
  </conditionalFormatting>
  <conditionalFormatting sqref="C652:D652">
    <cfRule type="containsText" dxfId="356" priority="362" operator="containsText" text="SI">
      <formula>NOT(ISERROR(SEARCH("SI",C652)))</formula>
    </cfRule>
    <cfRule type="containsText" dxfId="355" priority="363" operator="containsText" text="NO">
      <formula>NOT(ISERROR(SEARCH("NO",C652)))</formula>
    </cfRule>
  </conditionalFormatting>
  <conditionalFormatting sqref="C652:D652">
    <cfRule type="containsText" dxfId="354" priority="361" operator="containsText" text="NUEVO">
      <formula>NOT(ISERROR(SEARCH("NUEVO",C652)))</formula>
    </cfRule>
  </conditionalFormatting>
  <conditionalFormatting sqref="E652">
    <cfRule type="containsText" dxfId="353" priority="365" operator="containsText" text="Sin Información">
      <formula>NOT(ISERROR(SEARCH("Sin Información",E1721)))</formula>
    </cfRule>
  </conditionalFormatting>
  <conditionalFormatting sqref="E652">
    <cfRule type="containsText" dxfId="352" priority="366" operator="containsText" text="NUEVO">
      <formula>NOT(ISERROR(SEARCH("NUEVO",E1721)))</formula>
    </cfRule>
  </conditionalFormatting>
  <conditionalFormatting sqref="C653:D653">
    <cfRule type="containsText" dxfId="351" priority="358" operator="containsText" text="NO+$D$4:$D$10">
      <formula>NOT(ISERROR(SEARCH("NO+$D$4:$D$10",C653)))</formula>
    </cfRule>
  </conditionalFormatting>
  <conditionalFormatting sqref="C653:D653">
    <cfRule type="containsText" dxfId="350" priority="356" operator="containsText" text="SI">
      <formula>NOT(ISERROR(SEARCH("SI",C653)))</formula>
    </cfRule>
    <cfRule type="containsText" dxfId="349" priority="357" operator="containsText" text="NO">
      <formula>NOT(ISERROR(SEARCH("NO",C653)))</formula>
    </cfRule>
  </conditionalFormatting>
  <conditionalFormatting sqref="C653:D653">
    <cfRule type="containsText" dxfId="348" priority="355" operator="containsText" text="NUEVO">
      <formula>NOT(ISERROR(SEARCH("NUEVO",C653)))</formula>
    </cfRule>
  </conditionalFormatting>
  <conditionalFormatting sqref="E653">
    <cfRule type="containsText" dxfId="347" priority="359" operator="containsText" text="Sin información">
      <formula>NOT(ISERROR(SEARCH("Sin información",E1730)))</formula>
    </cfRule>
  </conditionalFormatting>
  <conditionalFormatting sqref="E653">
    <cfRule type="containsText" dxfId="346" priority="360" operator="containsText" text="NUEVO">
      <formula>NOT(ISERROR(SEARCH("NUEVO",E1730)))</formula>
    </cfRule>
  </conditionalFormatting>
  <conditionalFormatting sqref="C654:D654">
    <cfRule type="containsText" dxfId="345" priority="354" operator="containsText" text="NO+$D$4:$D$10">
      <formula>NOT(ISERROR(SEARCH("NO+$D$4:$D$10",C654)))</formula>
    </cfRule>
  </conditionalFormatting>
  <conditionalFormatting sqref="C654:D654">
    <cfRule type="containsText" dxfId="344" priority="352" operator="containsText" text="SI">
      <formula>NOT(ISERROR(SEARCH("SI",C654)))</formula>
    </cfRule>
    <cfRule type="containsText" dxfId="343" priority="353" operator="containsText" text="NO">
      <formula>NOT(ISERROR(SEARCH("NO",C654)))</formula>
    </cfRule>
  </conditionalFormatting>
  <conditionalFormatting sqref="C654:D654">
    <cfRule type="containsText" dxfId="342" priority="351" operator="containsText" text="NUEVO">
      <formula>NOT(ISERROR(SEARCH("NUEVO",C654)))</formula>
    </cfRule>
  </conditionalFormatting>
  <conditionalFormatting sqref="E654">
    <cfRule type="containsText" dxfId="341" priority="349" operator="containsText" text="Sin Información">
      <formula>NOT(ISERROR(SEARCH("Sin Información",E654)))</formula>
    </cfRule>
  </conditionalFormatting>
  <conditionalFormatting sqref="E654">
    <cfRule type="containsText" dxfId="340" priority="350" operator="containsText" text="NUEVO">
      <formula>NOT(ISERROR(SEARCH("NUEVO",E654)))</formula>
    </cfRule>
  </conditionalFormatting>
  <conditionalFormatting sqref="C655:D655">
    <cfRule type="containsText" dxfId="339" priority="348" operator="containsText" text="NO+$D$4:$D$10">
      <formula>NOT(ISERROR(SEARCH("NO+$D$4:$D$10",C655)))</formula>
    </cfRule>
  </conditionalFormatting>
  <conditionalFormatting sqref="C655:D655">
    <cfRule type="containsText" dxfId="338" priority="346" operator="containsText" text="SI">
      <formula>NOT(ISERROR(SEARCH("SI",C655)))</formula>
    </cfRule>
    <cfRule type="containsText" dxfId="337" priority="347" operator="containsText" text="NO">
      <formula>NOT(ISERROR(SEARCH("NO",C655)))</formula>
    </cfRule>
  </conditionalFormatting>
  <conditionalFormatting sqref="C655:D655">
    <cfRule type="containsText" dxfId="336" priority="345" operator="containsText" text="NUEVO">
      <formula>NOT(ISERROR(SEARCH("NUEVO",C655)))</formula>
    </cfRule>
  </conditionalFormatting>
  <conditionalFormatting sqref="E655">
    <cfRule type="containsText" dxfId="335" priority="343" operator="containsText" text="Sin Información">
      <formula>NOT(ISERROR(SEARCH("Sin Información",E655)))</formula>
    </cfRule>
  </conditionalFormatting>
  <conditionalFormatting sqref="E655">
    <cfRule type="containsText" dxfId="334" priority="344" operator="containsText" text="NUEVO">
      <formula>NOT(ISERROR(SEARCH("NUEVO",E655)))</formula>
    </cfRule>
  </conditionalFormatting>
  <conditionalFormatting sqref="C656:D656">
    <cfRule type="containsText" dxfId="333" priority="342" operator="containsText" text="NO+$D$4:$D$10">
      <formula>NOT(ISERROR(SEARCH("NO+$D$4:$D$10",C656)))</formula>
    </cfRule>
  </conditionalFormatting>
  <conditionalFormatting sqref="C656:D656">
    <cfRule type="containsText" dxfId="332" priority="340" operator="containsText" text="SI">
      <formula>NOT(ISERROR(SEARCH("SI",C656)))</formula>
    </cfRule>
    <cfRule type="containsText" dxfId="331" priority="341" operator="containsText" text="NO">
      <formula>NOT(ISERROR(SEARCH("NO",C656)))</formula>
    </cfRule>
  </conditionalFormatting>
  <conditionalFormatting sqref="C656:E656">
    <cfRule type="containsText" dxfId="330" priority="339" operator="containsText" text="NUEVO">
      <formula>NOT(ISERROR(SEARCH("NUEVO",C656)))</formula>
    </cfRule>
  </conditionalFormatting>
  <conditionalFormatting sqref="E656">
    <cfRule type="containsText" dxfId="329" priority="338" operator="containsText" text="Sin Información">
      <formula>NOT(ISERROR(SEARCH("Sin Información",E656)))</formula>
    </cfRule>
  </conditionalFormatting>
  <conditionalFormatting sqref="C657:D657">
    <cfRule type="containsText" dxfId="328" priority="337" operator="containsText" text="NO+$D$4:$D$10">
      <formula>NOT(ISERROR(SEARCH("NO+$D$4:$D$10",C657)))</formula>
    </cfRule>
  </conditionalFormatting>
  <conditionalFormatting sqref="C657:D657">
    <cfRule type="containsText" dxfId="327" priority="335" operator="containsText" text="SI">
      <formula>NOT(ISERROR(SEARCH("SI",C657)))</formula>
    </cfRule>
    <cfRule type="containsText" dxfId="326" priority="336" operator="containsText" text="NO">
      <formula>NOT(ISERROR(SEARCH("NO",C657)))</formula>
    </cfRule>
  </conditionalFormatting>
  <conditionalFormatting sqref="C657:D657">
    <cfRule type="containsText" dxfId="325" priority="334" operator="containsText" text="NUEVO">
      <formula>NOT(ISERROR(SEARCH("NUEVO",C657)))</formula>
    </cfRule>
  </conditionalFormatting>
  <conditionalFormatting sqref="E657">
    <cfRule type="containsText" dxfId="324" priority="333" operator="containsText" text="NUEVO">
      <formula>NOT(ISERROR(SEARCH("NUEVO",E657)))</formula>
    </cfRule>
  </conditionalFormatting>
  <conditionalFormatting sqref="E657">
    <cfRule type="containsText" dxfId="323" priority="332" operator="containsText" text="Sin Información">
      <formula>NOT(ISERROR(SEARCH("Sin Información",E657)))</formula>
    </cfRule>
  </conditionalFormatting>
  <conditionalFormatting sqref="C658:D658">
    <cfRule type="containsText" dxfId="322" priority="331" operator="containsText" text="NO+$D$4:$D$10">
      <formula>NOT(ISERROR(SEARCH("NO+$D$4:$D$10",C658)))</formula>
    </cfRule>
  </conditionalFormatting>
  <conditionalFormatting sqref="C658:D658">
    <cfRule type="containsText" dxfId="321" priority="329" operator="containsText" text="SI">
      <formula>NOT(ISERROR(SEARCH("SI",C658)))</formula>
    </cfRule>
    <cfRule type="containsText" dxfId="320" priority="330" operator="containsText" text="NO">
      <formula>NOT(ISERROR(SEARCH("NO",C658)))</formula>
    </cfRule>
  </conditionalFormatting>
  <conditionalFormatting sqref="C658:D658">
    <cfRule type="containsText" dxfId="319" priority="328" operator="containsText" text="NUEVO">
      <formula>NOT(ISERROR(SEARCH("NUEVO",C658)))</formula>
    </cfRule>
  </conditionalFormatting>
  <conditionalFormatting sqref="E658">
    <cfRule type="containsText" dxfId="318" priority="327" operator="containsText" text="Sin información">
      <formula>NOT(ISERROR(SEARCH("Sin información",E658)))</formula>
    </cfRule>
  </conditionalFormatting>
  <conditionalFormatting sqref="E658">
    <cfRule type="containsText" dxfId="317" priority="326" operator="containsText" text="NUEVO">
      <formula>NOT(ISERROR(SEARCH("NUEVO",E658)))</formula>
    </cfRule>
  </conditionalFormatting>
  <conditionalFormatting sqref="E658">
    <cfRule type="containsText" dxfId="316" priority="325" operator="containsText" text="Sin Información">
      <formula>NOT(ISERROR(SEARCH("Sin Información",E658)))</formula>
    </cfRule>
  </conditionalFormatting>
  <conditionalFormatting sqref="E658">
    <cfRule type="containsText" dxfId="315" priority="324" operator="containsText" text="Sin información">
      <formula>NOT(ISERROR(SEARCH("Sin información",E658)))</formula>
    </cfRule>
  </conditionalFormatting>
  <conditionalFormatting sqref="E658">
    <cfRule type="containsText" dxfId="314" priority="323" operator="containsText" text="NUEVO">
      <formula>NOT(ISERROR(SEARCH("NUEVO",E658)))</formula>
    </cfRule>
  </conditionalFormatting>
  <conditionalFormatting sqref="C659:D659">
    <cfRule type="containsText" dxfId="313" priority="320" operator="containsText" text="NO+$D$4:$D$10">
      <formula>NOT(ISERROR(SEARCH("NO+$D$4:$D$10",C659)))</formula>
    </cfRule>
  </conditionalFormatting>
  <conditionalFormatting sqref="C659:D659">
    <cfRule type="containsText" dxfId="312" priority="318" operator="containsText" text="SI">
      <formula>NOT(ISERROR(SEARCH("SI",C659)))</formula>
    </cfRule>
    <cfRule type="containsText" dxfId="311" priority="319" operator="containsText" text="NO">
      <formula>NOT(ISERROR(SEARCH("NO",C659)))</formula>
    </cfRule>
  </conditionalFormatting>
  <conditionalFormatting sqref="C659:D659">
    <cfRule type="containsText" dxfId="310" priority="317" operator="containsText" text="NUEVO">
      <formula>NOT(ISERROR(SEARCH("NUEVO",C659)))</formula>
    </cfRule>
  </conditionalFormatting>
  <conditionalFormatting sqref="E659">
    <cfRule type="containsText" dxfId="309" priority="321" operator="containsText" text="Sin Información">
      <formula>NOT(ISERROR(SEARCH("Sin Información",E1733)))</formula>
    </cfRule>
  </conditionalFormatting>
  <conditionalFormatting sqref="E659">
    <cfRule type="containsText" dxfId="308" priority="322" operator="containsText" text="NUEVO">
      <formula>NOT(ISERROR(SEARCH("NUEVO",E1733)))</formula>
    </cfRule>
  </conditionalFormatting>
  <conditionalFormatting sqref="C660:D660">
    <cfRule type="containsText" dxfId="307" priority="316" operator="containsText" text="NO+$D$4:$D$10">
      <formula>NOT(ISERROR(SEARCH("NO+$D$4:$D$10",C660)))</formula>
    </cfRule>
  </conditionalFormatting>
  <conditionalFormatting sqref="C660:D660">
    <cfRule type="containsText" dxfId="306" priority="314" operator="containsText" text="SI">
      <formula>NOT(ISERROR(SEARCH("SI",C660)))</formula>
    </cfRule>
    <cfRule type="containsText" dxfId="305" priority="315" operator="containsText" text="NO">
      <formula>NOT(ISERROR(SEARCH("NO",C660)))</formula>
    </cfRule>
  </conditionalFormatting>
  <conditionalFormatting sqref="C660:E660">
    <cfRule type="containsText" dxfId="304" priority="313" operator="containsText" text="NUEVO">
      <formula>NOT(ISERROR(SEARCH("NUEVO",C660)))</formula>
    </cfRule>
  </conditionalFormatting>
  <conditionalFormatting sqref="E660">
    <cfRule type="containsText" dxfId="303" priority="312" operator="containsText" text="Sin Información">
      <formula>NOT(ISERROR(SEARCH("Sin Información",E660)))</formula>
    </cfRule>
  </conditionalFormatting>
  <conditionalFormatting sqref="C661:D661">
    <cfRule type="containsText" dxfId="302" priority="311" operator="containsText" text="NO+$D$4:$D$10">
      <formula>NOT(ISERROR(SEARCH("NO+$D$4:$D$10",C661)))</formula>
    </cfRule>
  </conditionalFormatting>
  <conditionalFormatting sqref="C661:D661">
    <cfRule type="containsText" dxfId="301" priority="309" operator="containsText" text="SI">
      <formula>NOT(ISERROR(SEARCH("SI",C661)))</formula>
    </cfRule>
    <cfRule type="containsText" dxfId="300" priority="310" operator="containsText" text="NO">
      <formula>NOT(ISERROR(SEARCH("NO",C661)))</formula>
    </cfRule>
  </conditionalFormatting>
  <conditionalFormatting sqref="C661:E661">
    <cfRule type="containsText" dxfId="299" priority="308" operator="containsText" text="NUEVO">
      <formula>NOT(ISERROR(SEARCH("NUEVO",C661)))</formula>
    </cfRule>
  </conditionalFormatting>
  <conditionalFormatting sqref="E661">
    <cfRule type="containsText" dxfId="298" priority="307" operator="containsText" text="Sin Información">
      <formula>NOT(ISERROR(SEARCH("Sin Información",E661)))</formula>
    </cfRule>
  </conditionalFormatting>
  <conditionalFormatting sqref="C662:D662">
    <cfRule type="containsText" dxfId="297" priority="306" operator="containsText" text="NO+$D$4:$D$10">
      <formula>NOT(ISERROR(SEARCH("NO+$D$4:$D$10",C662)))</formula>
    </cfRule>
  </conditionalFormatting>
  <conditionalFormatting sqref="C662:D662">
    <cfRule type="containsText" dxfId="296" priority="304" operator="containsText" text="SI">
      <formula>NOT(ISERROR(SEARCH("SI",C662)))</formula>
    </cfRule>
    <cfRule type="containsText" dxfId="295" priority="305" operator="containsText" text="NO">
      <formula>NOT(ISERROR(SEARCH("NO",C662)))</formula>
    </cfRule>
  </conditionalFormatting>
  <conditionalFormatting sqref="C662:D662">
    <cfRule type="containsText" dxfId="294" priority="303" operator="containsText" text="NUEVO">
      <formula>NOT(ISERROR(SEARCH("NUEVO",C662)))</formula>
    </cfRule>
  </conditionalFormatting>
  <conditionalFormatting sqref="E662">
    <cfRule type="containsText" dxfId="293" priority="301" operator="containsText" text="Sin Información">
      <formula>NOT(ISERROR(SEARCH("Sin Información",E662)))</formula>
    </cfRule>
  </conditionalFormatting>
  <conditionalFormatting sqref="E662">
    <cfRule type="containsText" dxfId="292" priority="302" operator="containsText" text="NUEVO">
      <formula>NOT(ISERROR(SEARCH("NUEVO",E662)))</formula>
    </cfRule>
  </conditionalFormatting>
  <conditionalFormatting sqref="C663:D663">
    <cfRule type="containsText" dxfId="291" priority="300" operator="containsText" text="NO+$D$4:$D$10">
      <formula>NOT(ISERROR(SEARCH("NO+$D$4:$D$10",C663)))</formula>
    </cfRule>
  </conditionalFormatting>
  <conditionalFormatting sqref="C663:D663">
    <cfRule type="containsText" dxfId="290" priority="298" operator="containsText" text="SI">
      <formula>NOT(ISERROR(SEARCH("SI",C663)))</formula>
    </cfRule>
    <cfRule type="containsText" dxfId="289" priority="299" operator="containsText" text="NO">
      <formula>NOT(ISERROR(SEARCH("NO",C663)))</formula>
    </cfRule>
  </conditionalFormatting>
  <conditionalFormatting sqref="C663:D663">
    <cfRule type="containsText" dxfId="288" priority="297" operator="containsText" text="NUEVO">
      <formula>NOT(ISERROR(SEARCH("NUEVO",C663)))</formula>
    </cfRule>
  </conditionalFormatting>
  <conditionalFormatting sqref="E663">
    <cfRule type="containsText" dxfId="287" priority="295" operator="containsText" text="Sin Información">
      <formula>NOT(ISERROR(SEARCH("Sin Información",E663)))</formula>
    </cfRule>
  </conditionalFormatting>
  <conditionalFormatting sqref="E663">
    <cfRule type="containsText" dxfId="286" priority="296" operator="containsText" text="NUEVO">
      <formula>NOT(ISERROR(SEARCH("NUEVO",E663)))</formula>
    </cfRule>
  </conditionalFormatting>
  <conditionalFormatting sqref="C664:D664">
    <cfRule type="containsText" dxfId="285" priority="294" operator="containsText" text="NO+$D$4:$D$10">
      <formula>NOT(ISERROR(SEARCH("NO+$D$4:$D$10",C664)))</formula>
    </cfRule>
  </conditionalFormatting>
  <conditionalFormatting sqref="C664:D664">
    <cfRule type="containsText" dxfId="284" priority="292" operator="containsText" text="SI">
      <formula>NOT(ISERROR(SEARCH("SI",C664)))</formula>
    </cfRule>
    <cfRule type="containsText" dxfId="283" priority="293" operator="containsText" text="NO">
      <formula>NOT(ISERROR(SEARCH("NO",C664)))</formula>
    </cfRule>
  </conditionalFormatting>
  <conditionalFormatting sqref="C664:D664">
    <cfRule type="containsText" dxfId="282" priority="291" operator="containsText" text="NUEVO">
      <formula>NOT(ISERROR(SEARCH("NUEVO",C664)))</formula>
    </cfRule>
  </conditionalFormatting>
  <conditionalFormatting sqref="E664">
    <cfRule type="containsText" dxfId="281" priority="289" operator="containsText" text="Sin Información">
      <formula>NOT(ISERROR(SEARCH("Sin Información",E664)))</formula>
    </cfRule>
  </conditionalFormatting>
  <conditionalFormatting sqref="E664">
    <cfRule type="containsText" dxfId="280" priority="290" operator="containsText" text="NUEVO">
      <formula>NOT(ISERROR(SEARCH("NUEVO",E664)))</formula>
    </cfRule>
  </conditionalFormatting>
  <conditionalFormatting sqref="C716:D716">
    <cfRule type="containsText" dxfId="279" priority="288" operator="containsText" text="NO+$D$4:$D$10">
      <formula>NOT(ISERROR(SEARCH("NO+$D$4:$D$10",C716)))</formula>
    </cfRule>
  </conditionalFormatting>
  <conditionalFormatting sqref="C716:D716">
    <cfRule type="containsText" dxfId="278" priority="286" operator="containsText" text="SI">
      <formula>NOT(ISERROR(SEARCH("SI",C716)))</formula>
    </cfRule>
    <cfRule type="containsText" dxfId="277" priority="287" operator="containsText" text="NO">
      <formula>NOT(ISERROR(SEARCH("NO",C716)))</formula>
    </cfRule>
  </conditionalFormatting>
  <conditionalFormatting sqref="C716:D716">
    <cfRule type="containsText" dxfId="276" priority="285" operator="containsText" text="NUEVO">
      <formula>NOT(ISERROR(SEARCH("NUEVO",C716)))</formula>
    </cfRule>
  </conditionalFormatting>
  <conditionalFormatting sqref="E716">
    <cfRule type="containsText" dxfId="275" priority="284" operator="containsText" text="Sin información">
      <formula>NOT(ISERROR(SEARCH("Sin información",E716)))</formula>
    </cfRule>
  </conditionalFormatting>
  <conditionalFormatting sqref="E716">
    <cfRule type="containsText" dxfId="274" priority="283" operator="containsText" text="NUEVO">
      <formula>NOT(ISERROR(SEARCH("NUEVO",E716)))</formula>
    </cfRule>
  </conditionalFormatting>
  <conditionalFormatting sqref="C717:D717">
    <cfRule type="containsText" dxfId="273" priority="282" operator="containsText" text="NO+$D$4:$D$10">
      <formula>NOT(ISERROR(SEARCH("NO+$D$4:$D$10",C717)))</formula>
    </cfRule>
  </conditionalFormatting>
  <conditionalFormatting sqref="C717:D717">
    <cfRule type="containsText" dxfId="272" priority="280" operator="containsText" text="SI">
      <formula>NOT(ISERROR(SEARCH("SI",C717)))</formula>
    </cfRule>
    <cfRule type="containsText" dxfId="271" priority="281" operator="containsText" text="NO">
      <formula>NOT(ISERROR(SEARCH("NO",C717)))</formula>
    </cfRule>
  </conditionalFormatting>
  <conditionalFormatting sqref="C717:D717">
    <cfRule type="containsText" dxfId="270" priority="279" operator="containsText" text="NUEVO">
      <formula>NOT(ISERROR(SEARCH("NUEVO",C717)))</formula>
    </cfRule>
  </conditionalFormatting>
  <conditionalFormatting sqref="E717">
    <cfRule type="containsText" dxfId="269" priority="278" operator="containsText" text="NUEVO">
      <formula>NOT(ISERROR(SEARCH("NUEVO",E717)))</formula>
    </cfRule>
  </conditionalFormatting>
  <conditionalFormatting sqref="E717">
    <cfRule type="containsText" dxfId="268" priority="277" operator="containsText" text="Sin Información">
      <formula>NOT(ISERROR(SEARCH("Sin Información",E717)))</formula>
    </cfRule>
  </conditionalFormatting>
  <conditionalFormatting sqref="C718:D718">
    <cfRule type="containsText" dxfId="267" priority="276" operator="containsText" text="NO+$D$4:$D$10">
      <formula>NOT(ISERROR(SEARCH("NO+$D$4:$D$10",C718)))</formula>
    </cfRule>
  </conditionalFormatting>
  <conditionalFormatting sqref="C718:D718">
    <cfRule type="containsText" dxfId="266" priority="274" operator="containsText" text="SI">
      <formula>NOT(ISERROR(SEARCH("SI",C718)))</formula>
    </cfRule>
    <cfRule type="containsText" dxfId="265" priority="275" operator="containsText" text="NO">
      <formula>NOT(ISERROR(SEARCH("NO",C718)))</formula>
    </cfRule>
  </conditionalFormatting>
  <conditionalFormatting sqref="C718:E718">
    <cfRule type="containsText" dxfId="264" priority="273" operator="containsText" text="NUEVO">
      <formula>NOT(ISERROR(SEARCH("NUEVO",C718)))</formula>
    </cfRule>
  </conditionalFormatting>
  <conditionalFormatting sqref="E718">
    <cfRule type="containsText" dxfId="263" priority="272" operator="containsText" text="Sin Información">
      <formula>NOT(ISERROR(SEARCH("Sin Información",E718)))</formula>
    </cfRule>
  </conditionalFormatting>
  <conditionalFormatting sqref="F718">
    <cfRule type="containsText" dxfId="262" priority="271" operator="containsText" text="NO+$D$4:$D$10">
      <formula>NOT(ISERROR(SEARCH("NO+$D$4:$D$10",F718)))</formula>
    </cfRule>
  </conditionalFormatting>
  <conditionalFormatting sqref="F718">
    <cfRule type="containsText" dxfId="261" priority="269" operator="containsText" text="SI">
      <formula>NOT(ISERROR(SEARCH("SI",F718)))</formula>
    </cfRule>
    <cfRule type="containsText" dxfId="260" priority="270" operator="containsText" text="NO">
      <formula>NOT(ISERROR(SEARCH("NO",F718)))</formula>
    </cfRule>
  </conditionalFormatting>
  <conditionalFormatting sqref="F718">
    <cfRule type="containsText" dxfId="259" priority="268" operator="containsText" text="NUEVO">
      <formula>NOT(ISERROR(SEARCH("NUEVO",F718)))</formula>
    </cfRule>
  </conditionalFormatting>
  <conditionalFormatting sqref="C719:D719">
    <cfRule type="containsText" dxfId="258" priority="265" operator="containsText" text="NO+$D$4:$D$10">
      <formula>NOT(ISERROR(SEARCH("NO+$D$4:$D$10",C719)))</formula>
    </cfRule>
  </conditionalFormatting>
  <conditionalFormatting sqref="C719:D719">
    <cfRule type="containsText" dxfId="257" priority="263" operator="containsText" text="SI">
      <formula>NOT(ISERROR(SEARCH("SI",C719)))</formula>
    </cfRule>
    <cfRule type="containsText" dxfId="256" priority="264" operator="containsText" text="NO">
      <formula>NOT(ISERROR(SEARCH("NO",C719)))</formula>
    </cfRule>
  </conditionalFormatting>
  <conditionalFormatting sqref="C719:D719">
    <cfRule type="containsText" dxfId="255" priority="262" operator="containsText" text="NUEVO">
      <formula>NOT(ISERROR(SEARCH("NUEVO",C719)))</formula>
    </cfRule>
  </conditionalFormatting>
  <conditionalFormatting sqref="F719">
    <cfRule type="containsText" dxfId="254" priority="261" operator="containsText" text="NO+$D$4:$D$10">
      <formula>NOT(ISERROR(SEARCH("NO+$D$4:$D$10",F719)))</formula>
    </cfRule>
  </conditionalFormatting>
  <conditionalFormatting sqref="F719">
    <cfRule type="containsText" dxfId="253" priority="259" operator="containsText" text="SI">
      <formula>NOT(ISERROR(SEARCH("SI",F719)))</formula>
    </cfRule>
    <cfRule type="containsText" dxfId="252" priority="260" operator="containsText" text="NO">
      <formula>NOT(ISERROR(SEARCH("NO",F719)))</formula>
    </cfRule>
  </conditionalFormatting>
  <conditionalFormatting sqref="F719">
    <cfRule type="containsText" dxfId="251" priority="258" operator="containsText" text="NUEVO">
      <formula>NOT(ISERROR(SEARCH("NUEVO",F719)))</formula>
    </cfRule>
  </conditionalFormatting>
  <conditionalFormatting sqref="E719">
    <cfRule type="containsText" dxfId="250" priority="266" operator="containsText" text="NUEVO">
      <formula>NOT(ISERROR(SEARCH("NUEVO",E1811)))</formula>
    </cfRule>
  </conditionalFormatting>
  <conditionalFormatting sqref="E719">
    <cfRule type="containsText" dxfId="249" priority="267" operator="containsText" text="Sin información">
      <formula>NOT(ISERROR(SEARCH("Sin información",E1811)))</formula>
    </cfRule>
  </conditionalFormatting>
  <conditionalFormatting sqref="C720:D720">
    <cfRule type="containsText" dxfId="248" priority="255" operator="containsText" text="NO+$D$4:$D$10">
      <formula>NOT(ISERROR(SEARCH("NO+$D$4:$D$10",C720)))</formula>
    </cfRule>
  </conditionalFormatting>
  <conditionalFormatting sqref="C720:D720">
    <cfRule type="containsText" dxfId="247" priority="253" operator="containsText" text="SI">
      <formula>NOT(ISERROR(SEARCH("SI",C720)))</formula>
    </cfRule>
    <cfRule type="containsText" dxfId="246" priority="254" operator="containsText" text="NO">
      <formula>NOT(ISERROR(SEARCH("NO",C720)))</formula>
    </cfRule>
  </conditionalFormatting>
  <conditionalFormatting sqref="C720:D720">
    <cfRule type="containsText" dxfId="245" priority="252" operator="containsText" text="NUEVO">
      <formula>NOT(ISERROR(SEARCH("NUEVO",C720)))</formula>
    </cfRule>
  </conditionalFormatting>
  <conditionalFormatting sqref="F720">
    <cfRule type="containsText" dxfId="244" priority="251" operator="containsText" text="NO+$D$4:$D$10">
      <formula>NOT(ISERROR(SEARCH("NO+$D$4:$D$10",F720)))</formula>
    </cfRule>
  </conditionalFormatting>
  <conditionalFormatting sqref="F720">
    <cfRule type="containsText" dxfId="243" priority="249" operator="containsText" text="SI">
      <formula>NOT(ISERROR(SEARCH("SI",F720)))</formula>
    </cfRule>
    <cfRule type="containsText" dxfId="242" priority="250" operator="containsText" text="NO">
      <formula>NOT(ISERROR(SEARCH("NO",F720)))</formula>
    </cfRule>
  </conditionalFormatting>
  <conditionalFormatting sqref="F720">
    <cfRule type="containsText" dxfId="241" priority="248" operator="containsText" text="NUEVO">
      <formula>NOT(ISERROR(SEARCH("NUEVO",F720)))</formula>
    </cfRule>
  </conditionalFormatting>
  <conditionalFormatting sqref="E720">
    <cfRule type="containsText" dxfId="240" priority="256" operator="containsText" text="NUEVO">
      <formula>NOT(ISERROR(SEARCH("NUEVO",E1812)))</formula>
    </cfRule>
  </conditionalFormatting>
  <conditionalFormatting sqref="E720">
    <cfRule type="containsText" dxfId="239" priority="257" operator="containsText" text="Sin información">
      <formula>NOT(ISERROR(SEARCH("Sin información",E1812)))</formula>
    </cfRule>
  </conditionalFormatting>
  <conditionalFormatting sqref="C721:D721">
    <cfRule type="containsText" dxfId="238" priority="247" operator="containsText" text="NO+$D$4:$D$10">
      <formula>NOT(ISERROR(SEARCH("NO+$D$4:$D$10",C721)))</formula>
    </cfRule>
  </conditionalFormatting>
  <conditionalFormatting sqref="C721:D721">
    <cfRule type="containsText" dxfId="237" priority="245" operator="containsText" text="SI">
      <formula>NOT(ISERROR(SEARCH("SI",C721)))</formula>
    </cfRule>
    <cfRule type="containsText" dxfId="236" priority="246" operator="containsText" text="NO">
      <formula>NOT(ISERROR(SEARCH("NO",C721)))</formula>
    </cfRule>
  </conditionalFormatting>
  <conditionalFormatting sqref="C721:D721">
    <cfRule type="containsText" dxfId="235" priority="244" operator="containsText" text="NUEVO">
      <formula>NOT(ISERROR(SEARCH("NUEVO",C721)))</formula>
    </cfRule>
  </conditionalFormatting>
  <conditionalFormatting sqref="E721">
    <cfRule type="containsText" dxfId="234" priority="243" operator="containsText" text="NUEVO">
      <formula>NOT(ISERROR(SEARCH("NUEVO",E721)))</formula>
    </cfRule>
  </conditionalFormatting>
  <conditionalFormatting sqref="E721">
    <cfRule type="containsText" dxfId="233" priority="242" operator="containsText" text="Sin Información">
      <formula>NOT(ISERROR(SEARCH("Sin Información",E721)))</formula>
    </cfRule>
  </conditionalFormatting>
  <conditionalFormatting sqref="F721">
    <cfRule type="containsText" dxfId="232" priority="241" operator="containsText" text="NO+$D$4:$D$10">
      <formula>NOT(ISERROR(SEARCH("NO+$D$4:$D$10",F721)))</formula>
    </cfRule>
  </conditionalFormatting>
  <conditionalFormatting sqref="F721">
    <cfRule type="containsText" dxfId="231" priority="239" operator="containsText" text="SI">
      <formula>NOT(ISERROR(SEARCH("SI",F721)))</formula>
    </cfRule>
    <cfRule type="containsText" dxfId="230" priority="240" operator="containsText" text="NO">
      <formula>NOT(ISERROR(SEARCH("NO",F721)))</formula>
    </cfRule>
  </conditionalFormatting>
  <conditionalFormatting sqref="F721">
    <cfRule type="containsText" dxfId="229" priority="238" operator="containsText" text="NUEVO">
      <formula>NOT(ISERROR(SEARCH("NUEVO",F721)))</formula>
    </cfRule>
  </conditionalFormatting>
  <conditionalFormatting sqref="C1275:D1275">
    <cfRule type="containsText" dxfId="228" priority="235" operator="containsText" text="NO+$D$4:$D$10">
      <formula>NOT(ISERROR(SEARCH("NO+$D$4:$D$10",C1275)))</formula>
    </cfRule>
  </conditionalFormatting>
  <conditionalFormatting sqref="C1275:D1275">
    <cfRule type="containsText" dxfId="227" priority="233" operator="containsText" text="SI">
      <formula>NOT(ISERROR(SEARCH("SI",C1275)))</formula>
    </cfRule>
    <cfRule type="containsText" dxfId="226" priority="234" operator="containsText" text="NO">
      <formula>NOT(ISERROR(SEARCH("NO",C1275)))</formula>
    </cfRule>
  </conditionalFormatting>
  <conditionalFormatting sqref="C1275:D1275">
    <cfRule type="containsText" dxfId="225" priority="232" operator="containsText" text="NUEVO">
      <formula>NOT(ISERROR(SEARCH("NUEVO",C1275)))</formula>
    </cfRule>
  </conditionalFormatting>
  <conditionalFormatting sqref="E1275">
    <cfRule type="containsText" dxfId="224" priority="236" operator="containsText" text="NUEVO">
      <formula>NOT(ISERROR(SEARCH("NUEVO",E1911)))</formula>
    </cfRule>
  </conditionalFormatting>
  <conditionalFormatting sqref="E1275">
    <cfRule type="containsText" dxfId="223" priority="237" operator="containsText" text="Sin información">
      <formula>NOT(ISERROR(SEARCH("Sin información",E1911)))</formula>
    </cfRule>
  </conditionalFormatting>
  <conditionalFormatting sqref="C1276:D1276">
    <cfRule type="containsText" dxfId="222" priority="226" operator="containsText" text="NO+$D$4:$D$10">
      <formula>NOT(ISERROR(SEARCH("NO+$D$4:$D$10",C1276)))</formula>
    </cfRule>
  </conditionalFormatting>
  <conditionalFormatting sqref="C1276:D1276">
    <cfRule type="containsText" dxfId="221" priority="224" operator="containsText" text="SI">
      <formula>NOT(ISERROR(SEARCH("SI",C1276)))</formula>
    </cfRule>
    <cfRule type="containsText" dxfId="220" priority="225" operator="containsText" text="NO">
      <formula>NOT(ISERROR(SEARCH("NO",C1276)))</formula>
    </cfRule>
  </conditionalFormatting>
  <conditionalFormatting sqref="C1276:D1276">
    <cfRule type="containsText" dxfId="219" priority="223" operator="containsText" text="NUEVO">
      <formula>NOT(ISERROR(SEARCH("NUEVO",C1276)))</formula>
    </cfRule>
  </conditionalFormatting>
  <conditionalFormatting sqref="E1276">
    <cfRule type="containsText" dxfId="218" priority="221" operator="containsText" text="Sin información">
      <formula>NOT(ISERROR(SEARCH("Sin información",E1276)))</formula>
    </cfRule>
  </conditionalFormatting>
  <conditionalFormatting sqref="E1276">
    <cfRule type="containsText" dxfId="217" priority="220" operator="containsText" text="NUEVO">
      <formula>NOT(ISERROR(SEARCH("NUEVO",E1276)))</formula>
    </cfRule>
  </conditionalFormatting>
  <conditionalFormatting sqref="E1276">
    <cfRule type="containsText" dxfId="216" priority="222" operator="containsText" text="Sin información">
      <formula>NOT(ISERROR(SEARCH("Sin información",E1276)))</formula>
    </cfRule>
  </conditionalFormatting>
  <conditionalFormatting sqref="C1277:D1277">
    <cfRule type="containsText" dxfId="215" priority="219" operator="containsText" text="NO+$D$4:$D$10">
      <formula>NOT(ISERROR(SEARCH("NO+$D$4:$D$10",C1277)))</formula>
    </cfRule>
  </conditionalFormatting>
  <conditionalFormatting sqref="C1277:D1277">
    <cfRule type="containsText" dxfId="214" priority="217" operator="containsText" text="SI">
      <formula>NOT(ISERROR(SEARCH("SI",C1277)))</formula>
    </cfRule>
    <cfRule type="containsText" dxfId="213" priority="218" operator="containsText" text="NO">
      <formula>NOT(ISERROR(SEARCH("NO",C1277)))</formula>
    </cfRule>
  </conditionalFormatting>
  <conditionalFormatting sqref="E1277">
    <cfRule type="containsText" dxfId="212" priority="216" operator="containsText" text="Sin información">
      <formula>NOT(ISERROR(SEARCH("Sin información",E1277)))</formula>
    </cfRule>
  </conditionalFormatting>
  <conditionalFormatting sqref="C1277:E1277">
    <cfRule type="containsText" dxfId="211" priority="215" operator="containsText" text="NUEVO">
      <formula>NOT(ISERROR(SEARCH("NUEVO",C1277)))</formula>
    </cfRule>
  </conditionalFormatting>
  <conditionalFormatting sqref="C1278:D1278">
    <cfRule type="containsText" dxfId="210" priority="214" operator="containsText" text="NO+$D$4:$D$10">
      <formula>NOT(ISERROR(SEARCH("NO+$D$4:$D$10",C1278)))</formula>
    </cfRule>
  </conditionalFormatting>
  <conditionalFormatting sqref="C1278:D1278">
    <cfRule type="containsText" dxfId="209" priority="212" operator="containsText" text="SI">
      <formula>NOT(ISERROR(SEARCH("SI",C1278)))</formula>
    </cfRule>
    <cfRule type="containsText" dxfId="208" priority="213" operator="containsText" text="NO">
      <formula>NOT(ISERROR(SEARCH("NO",C1278)))</formula>
    </cfRule>
  </conditionalFormatting>
  <conditionalFormatting sqref="E1278">
    <cfRule type="containsText" dxfId="207" priority="211" operator="containsText" text="Sin información">
      <formula>NOT(ISERROR(SEARCH("Sin información",E1278)))</formula>
    </cfRule>
  </conditionalFormatting>
  <conditionalFormatting sqref="C1278:E1278">
    <cfRule type="containsText" dxfId="206" priority="210" operator="containsText" text="NUEVO">
      <formula>NOT(ISERROR(SEARCH("NUEVO",C1278)))</formula>
    </cfRule>
  </conditionalFormatting>
  <conditionalFormatting sqref="C1279:D1279">
    <cfRule type="containsText" dxfId="205" priority="209" operator="containsText" text="NO+$D$4:$D$10">
      <formula>NOT(ISERROR(SEARCH("NO+$D$4:$D$10",C1279)))</formula>
    </cfRule>
  </conditionalFormatting>
  <conditionalFormatting sqref="C1279:D1279">
    <cfRule type="containsText" dxfId="204" priority="207" operator="containsText" text="SI">
      <formula>NOT(ISERROR(SEARCH("SI",C1279)))</formula>
    </cfRule>
    <cfRule type="containsText" dxfId="203" priority="208" operator="containsText" text="NO">
      <formula>NOT(ISERROR(SEARCH("NO",C1279)))</formula>
    </cfRule>
  </conditionalFormatting>
  <conditionalFormatting sqref="C1279:D1279">
    <cfRule type="containsText" dxfId="202" priority="206" operator="containsText" text="NUEVO">
      <formula>NOT(ISERROR(SEARCH("NUEVO",C1279)))</formula>
    </cfRule>
  </conditionalFormatting>
  <conditionalFormatting sqref="E1279">
    <cfRule type="containsText" dxfId="201" priority="204" operator="containsText" text="NUEVO">
      <formula>NOT(ISERROR(SEARCH("NUEVO",E1279)))</formula>
    </cfRule>
  </conditionalFormatting>
  <conditionalFormatting sqref="E1279">
    <cfRule type="containsText" dxfId="200" priority="205" operator="containsText" text="Sin información">
      <formula>NOT(ISERROR(SEARCH("Sin información",E1279)))</formula>
    </cfRule>
  </conditionalFormatting>
  <conditionalFormatting sqref="C1280:D1280">
    <cfRule type="containsText" dxfId="199" priority="203" operator="containsText" text="NO+$D$4:$D$10">
      <formula>NOT(ISERROR(SEARCH("NO+$D$4:$D$10",C1280)))</formula>
    </cfRule>
  </conditionalFormatting>
  <conditionalFormatting sqref="C1280:D1280">
    <cfRule type="containsText" dxfId="198" priority="201" operator="containsText" text="SI">
      <formula>NOT(ISERROR(SEARCH("SI",C1280)))</formula>
    </cfRule>
    <cfRule type="containsText" dxfId="197" priority="202" operator="containsText" text="NO">
      <formula>NOT(ISERROR(SEARCH("NO",C1280)))</formula>
    </cfRule>
  </conditionalFormatting>
  <conditionalFormatting sqref="C1280:D1280">
    <cfRule type="containsText" dxfId="196" priority="200" operator="containsText" text="NUEVO">
      <formula>NOT(ISERROR(SEARCH("NUEVO",C1280)))</formula>
    </cfRule>
  </conditionalFormatting>
  <conditionalFormatting sqref="E1280">
    <cfRule type="containsText" dxfId="195" priority="199" operator="containsText" text="Sin información">
      <formula>NOT(ISERROR(SEARCH("Sin información",E1280)))</formula>
    </cfRule>
  </conditionalFormatting>
  <conditionalFormatting sqref="E1280">
    <cfRule type="containsText" dxfId="194" priority="198" operator="containsText" text="NUEVO">
      <formula>NOT(ISERROR(SEARCH("NUEVO",E1280)))</formula>
    </cfRule>
  </conditionalFormatting>
  <conditionalFormatting sqref="E1280">
    <cfRule type="containsText" dxfId="193" priority="197" operator="containsText" text="Sin Información">
      <formula>NOT(ISERROR(SEARCH("Sin Información",E1280)))</formula>
    </cfRule>
  </conditionalFormatting>
  <conditionalFormatting sqref="C1281:D1281">
    <cfRule type="containsText" dxfId="192" priority="196" operator="containsText" text="NO+$D$4:$D$10">
      <formula>NOT(ISERROR(SEARCH("NO+$D$4:$D$10",C1281)))</formula>
    </cfRule>
  </conditionalFormatting>
  <conditionalFormatting sqref="C1281:D1281">
    <cfRule type="containsText" dxfId="191" priority="194" operator="containsText" text="SI">
      <formula>NOT(ISERROR(SEARCH("SI",C1281)))</formula>
    </cfRule>
    <cfRule type="containsText" dxfId="190" priority="195" operator="containsText" text="NO">
      <formula>NOT(ISERROR(SEARCH("NO",C1281)))</formula>
    </cfRule>
  </conditionalFormatting>
  <conditionalFormatting sqref="E1281">
    <cfRule type="containsText" dxfId="189" priority="193" operator="containsText" text="Sin información">
      <formula>NOT(ISERROR(SEARCH("Sin información",E1281)))</formula>
    </cfRule>
  </conditionalFormatting>
  <conditionalFormatting sqref="C1281:E1281">
    <cfRule type="containsText" dxfId="188" priority="192" operator="containsText" text="NUEVO">
      <formula>NOT(ISERROR(SEARCH("NUEVO",C1281)))</formula>
    </cfRule>
  </conditionalFormatting>
  <conditionalFormatting sqref="E1281">
    <cfRule type="containsText" dxfId="187" priority="191" operator="containsText" text="Sin Información">
      <formula>NOT(ISERROR(SEARCH("Sin Información",E1281)))</formula>
    </cfRule>
  </conditionalFormatting>
  <conditionalFormatting sqref="C1282:D1282">
    <cfRule type="containsText" dxfId="186" priority="185" operator="containsText" text="NO+$D$4:$D$10">
      <formula>NOT(ISERROR(SEARCH("NO+$D$4:$D$10",C1282)))</formula>
    </cfRule>
  </conditionalFormatting>
  <conditionalFormatting sqref="C1282:D1282">
    <cfRule type="containsText" dxfId="185" priority="183" operator="containsText" text="SI">
      <formula>NOT(ISERROR(SEARCH("SI",C1282)))</formula>
    </cfRule>
    <cfRule type="containsText" dxfId="184" priority="184" operator="containsText" text="NO">
      <formula>NOT(ISERROR(SEARCH("NO",C1282)))</formula>
    </cfRule>
  </conditionalFormatting>
  <conditionalFormatting sqref="E1282">
    <cfRule type="containsText" dxfId="183" priority="182" operator="containsText" text="Sin información">
      <formula>NOT(ISERROR(SEARCH("Sin información",E1282)))</formula>
    </cfRule>
  </conditionalFormatting>
  <conditionalFormatting sqref="C1282:E1282">
    <cfRule type="containsText" dxfId="182" priority="181" operator="containsText" text="NUEVO">
      <formula>NOT(ISERROR(SEARCH("NUEVO",C1282)))</formula>
    </cfRule>
  </conditionalFormatting>
  <conditionalFormatting sqref="C1283:D1283">
    <cfRule type="containsText" dxfId="181" priority="178" operator="containsText" text="NO+$D$4:$D$10">
      <formula>NOT(ISERROR(SEARCH("NO+$D$4:$D$10",C1283)))</formula>
    </cfRule>
  </conditionalFormatting>
  <conditionalFormatting sqref="C1283:D1283">
    <cfRule type="containsText" dxfId="180" priority="176" operator="containsText" text="SI">
      <formula>NOT(ISERROR(SEARCH("SI",C1283)))</formula>
    </cfRule>
    <cfRule type="containsText" dxfId="179" priority="177" operator="containsText" text="NO">
      <formula>NOT(ISERROR(SEARCH("NO",C1283)))</formula>
    </cfRule>
  </conditionalFormatting>
  <conditionalFormatting sqref="C1283:D1283">
    <cfRule type="containsText" dxfId="178" priority="175" operator="containsText" text="NUEVO">
      <formula>NOT(ISERROR(SEARCH("NUEVO",C1283)))</formula>
    </cfRule>
  </conditionalFormatting>
  <conditionalFormatting sqref="E1283">
    <cfRule type="containsText" dxfId="177" priority="179" operator="containsText" text="Sin Información">
      <formula>NOT(ISERROR(SEARCH("Sin Información",E1837)))</formula>
    </cfRule>
  </conditionalFormatting>
  <conditionalFormatting sqref="E1283">
    <cfRule type="containsText" dxfId="176" priority="180" operator="containsText" text="NUEVO">
      <formula>NOT(ISERROR(SEARCH("NUEVO",E1837)))</formula>
    </cfRule>
  </conditionalFormatting>
  <conditionalFormatting sqref="C1284:D1284">
    <cfRule type="containsText" dxfId="175" priority="174" operator="containsText" text="NO+$D$4:$D$10">
      <formula>NOT(ISERROR(SEARCH("NO+$D$4:$D$10",C1284)))</formula>
    </cfRule>
  </conditionalFormatting>
  <conditionalFormatting sqref="C1284:D1284">
    <cfRule type="containsText" dxfId="174" priority="172" operator="containsText" text="SI">
      <formula>NOT(ISERROR(SEARCH("SI",C1284)))</formula>
    </cfRule>
    <cfRule type="containsText" dxfId="173" priority="173" operator="containsText" text="NO">
      <formula>NOT(ISERROR(SEARCH("NO",C1284)))</formula>
    </cfRule>
  </conditionalFormatting>
  <conditionalFormatting sqref="C1284:D1284">
    <cfRule type="containsText" dxfId="172" priority="171" operator="containsText" text="NUEVO">
      <formula>NOT(ISERROR(SEARCH("NUEVO",C1284)))</formula>
    </cfRule>
  </conditionalFormatting>
  <conditionalFormatting sqref="E1284">
    <cfRule type="containsText" dxfId="171" priority="169" operator="containsText" text="NUEVO">
      <formula>NOT(ISERROR(SEARCH("NUEVO",E1284)))</formula>
    </cfRule>
  </conditionalFormatting>
  <conditionalFormatting sqref="E1284">
    <cfRule type="containsText" dxfId="170" priority="170" operator="containsText" text="Sin información">
      <formula>NOT(ISERROR(SEARCH("Sin información",E1284)))</formula>
    </cfRule>
  </conditionalFormatting>
  <conditionalFormatting sqref="C1285:D1285">
    <cfRule type="containsText" dxfId="169" priority="168" operator="containsText" text="NO+$D$4:$D$10">
      <formula>NOT(ISERROR(SEARCH("NO+$D$4:$D$10",C1285)))</formula>
    </cfRule>
  </conditionalFormatting>
  <conditionalFormatting sqref="C1285:D1285">
    <cfRule type="containsText" dxfId="168" priority="166" operator="containsText" text="SI">
      <formula>NOT(ISERROR(SEARCH("SI",C1285)))</formula>
    </cfRule>
    <cfRule type="containsText" dxfId="167" priority="167" operator="containsText" text="NO">
      <formula>NOT(ISERROR(SEARCH("NO",C1285)))</formula>
    </cfRule>
  </conditionalFormatting>
  <conditionalFormatting sqref="C1285:D1285">
    <cfRule type="containsText" dxfId="166" priority="165" operator="containsText" text="NUEVO">
      <formula>NOT(ISERROR(SEARCH("NUEVO",C1285)))</formula>
    </cfRule>
  </conditionalFormatting>
  <conditionalFormatting sqref="E1285">
    <cfRule type="containsText" dxfId="165" priority="163" operator="containsText" text="Sin información">
      <formula>NOT(ISERROR(SEARCH("Sin información",E1285)))</formula>
    </cfRule>
  </conditionalFormatting>
  <conditionalFormatting sqref="E1285">
    <cfRule type="containsText" dxfId="164" priority="162" operator="containsText" text="NUEVO">
      <formula>NOT(ISERROR(SEARCH("NUEVO",E1285)))</formula>
    </cfRule>
  </conditionalFormatting>
  <conditionalFormatting sqref="E1285">
    <cfRule type="containsText" dxfId="163" priority="164" operator="containsText" text="Sin información">
      <formula>NOT(ISERROR(SEARCH("Sin información",E1285)))</formula>
    </cfRule>
  </conditionalFormatting>
  <conditionalFormatting sqref="C1286:D1286">
    <cfRule type="containsText" dxfId="162" priority="161" operator="containsText" text="NO+$D$4:$D$10">
      <formula>NOT(ISERROR(SEARCH("NO+$D$4:$D$10",C1286)))</formula>
    </cfRule>
  </conditionalFormatting>
  <conditionalFormatting sqref="C1286:D1286">
    <cfRule type="containsText" dxfId="161" priority="159" operator="containsText" text="SI">
      <formula>NOT(ISERROR(SEARCH("SI",C1286)))</formula>
    </cfRule>
    <cfRule type="containsText" dxfId="160" priority="160" operator="containsText" text="NO">
      <formula>NOT(ISERROR(SEARCH("NO",C1286)))</formula>
    </cfRule>
  </conditionalFormatting>
  <conditionalFormatting sqref="C1286:D1286">
    <cfRule type="containsText" dxfId="159" priority="158" operator="containsText" text="NUEVO">
      <formula>NOT(ISERROR(SEARCH("NUEVO",C1286)))</formula>
    </cfRule>
  </conditionalFormatting>
  <conditionalFormatting sqref="E1286">
    <cfRule type="containsText" dxfId="158" priority="156" operator="containsText" text="Sin información">
      <formula>NOT(ISERROR(SEARCH("Sin información",E1286)))</formula>
    </cfRule>
  </conditionalFormatting>
  <conditionalFormatting sqref="E1286">
    <cfRule type="containsText" dxfId="157" priority="155" operator="containsText" text="NUEVO">
      <formula>NOT(ISERROR(SEARCH("NUEVO",E1286)))</formula>
    </cfRule>
  </conditionalFormatting>
  <conditionalFormatting sqref="E1286">
    <cfRule type="containsText" dxfId="156" priority="157" operator="containsText" text="Sin información">
      <formula>NOT(ISERROR(SEARCH("Sin información",E1286)))</formula>
    </cfRule>
  </conditionalFormatting>
  <conditionalFormatting sqref="C1287:D1287">
    <cfRule type="containsText" dxfId="155" priority="154" operator="containsText" text="NO+$D$4:$D$10">
      <formula>NOT(ISERROR(SEARCH("NO+$D$4:$D$10",C1287)))</formula>
    </cfRule>
  </conditionalFormatting>
  <conditionalFormatting sqref="C1287:D1287">
    <cfRule type="containsText" dxfId="154" priority="152" operator="containsText" text="SI">
      <formula>NOT(ISERROR(SEARCH("SI",C1287)))</formula>
    </cfRule>
    <cfRule type="containsText" dxfId="153" priority="153" operator="containsText" text="NO">
      <formula>NOT(ISERROR(SEARCH("NO",C1287)))</formula>
    </cfRule>
  </conditionalFormatting>
  <conditionalFormatting sqref="E1287">
    <cfRule type="containsText" dxfId="152" priority="151" operator="containsText" text="Sin información">
      <formula>NOT(ISERROR(SEARCH("Sin información",E1287)))</formula>
    </cfRule>
  </conditionalFormatting>
  <conditionalFormatting sqref="C1287:E1287">
    <cfRule type="containsText" dxfId="151" priority="150" operator="containsText" text="NUEVO">
      <formula>NOT(ISERROR(SEARCH("NUEVO",C1287)))</formula>
    </cfRule>
  </conditionalFormatting>
  <conditionalFormatting sqref="C1288:D1288">
    <cfRule type="containsText" dxfId="150" priority="149" operator="containsText" text="NO+$D$4:$D$10">
      <formula>NOT(ISERROR(SEARCH("NO+$D$4:$D$10",C1288)))</formula>
    </cfRule>
  </conditionalFormatting>
  <conditionalFormatting sqref="C1288:D1288">
    <cfRule type="containsText" dxfId="149" priority="147" operator="containsText" text="SI">
      <formula>NOT(ISERROR(SEARCH("SI",C1288)))</formula>
    </cfRule>
    <cfRule type="containsText" dxfId="148" priority="148" operator="containsText" text="NO">
      <formula>NOT(ISERROR(SEARCH("NO",C1288)))</formula>
    </cfRule>
  </conditionalFormatting>
  <conditionalFormatting sqref="E1288">
    <cfRule type="containsText" dxfId="147" priority="146" operator="containsText" text="Sin información">
      <formula>NOT(ISERROR(SEARCH("Sin información",E1288)))</formula>
    </cfRule>
  </conditionalFormatting>
  <conditionalFormatting sqref="C1288:E1288">
    <cfRule type="containsText" dxfId="146" priority="145" operator="containsText" text="NUEVO">
      <formula>NOT(ISERROR(SEARCH("NUEVO",C1288)))</formula>
    </cfRule>
  </conditionalFormatting>
  <conditionalFormatting sqref="C1289:D1289">
    <cfRule type="containsText" dxfId="145" priority="144" operator="containsText" text="NO+$D$4:$D$10">
      <formula>NOT(ISERROR(SEARCH("NO+$D$4:$D$10",C1289)))</formula>
    </cfRule>
  </conditionalFormatting>
  <conditionalFormatting sqref="C1289:D1289">
    <cfRule type="containsText" dxfId="144" priority="142" operator="containsText" text="SI">
      <formula>NOT(ISERROR(SEARCH("SI",C1289)))</formula>
    </cfRule>
    <cfRule type="containsText" dxfId="143" priority="143" operator="containsText" text="NO">
      <formula>NOT(ISERROR(SEARCH("NO",C1289)))</formula>
    </cfRule>
  </conditionalFormatting>
  <conditionalFormatting sqref="C1289:D1289">
    <cfRule type="containsText" dxfId="142" priority="141" operator="containsText" text="NUEVO">
      <formula>NOT(ISERROR(SEARCH("NUEVO",C1289)))</formula>
    </cfRule>
  </conditionalFormatting>
  <conditionalFormatting sqref="E1289">
    <cfRule type="containsText" dxfId="141" priority="140" operator="containsText" text="NUEVO">
      <formula>NOT(ISERROR(SEARCH("NUEVO",E1289)))</formula>
    </cfRule>
  </conditionalFormatting>
  <conditionalFormatting sqref="E1289">
    <cfRule type="containsText" dxfId="140" priority="139" operator="containsText" text="Sin Información">
      <formula>NOT(ISERROR(SEARCH("Sin Información",E1289)))</formula>
    </cfRule>
  </conditionalFormatting>
  <conditionalFormatting sqref="C1290:D1290">
    <cfRule type="containsText" dxfId="139" priority="138" operator="containsText" text="NO+$D$4:$D$10">
      <formula>NOT(ISERROR(SEARCH("NO+$D$4:$D$10",C1290)))</formula>
    </cfRule>
  </conditionalFormatting>
  <conditionalFormatting sqref="C1290:D1290">
    <cfRule type="containsText" dxfId="138" priority="136" operator="containsText" text="SI">
      <formula>NOT(ISERROR(SEARCH("SI",C1290)))</formula>
    </cfRule>
    <cfRule type="containsText" dxfId="137" priority="137" operator="containsText" text="NO">
      <formula>NOT(ISERROR(SEARCH("NO",C1290)))</formula>
    </cfRule>
  </conditionalFormatting>
  <conditionalFormatting sqref="C1290:D1290">
    <cfRule type="containsText" dxfId="136" priority="135" operator="containsText" text="NUEVO">
      <formula>NOT(ISERROR(SEARCH("NUEVO",C1290)))</formula>
    </cfRule>
  </conditionalFormatting>
  <conditionalFormatting sqref="E1290">
    <cfRule type="containsText" dxfId="135" priority="134" operator="containsText" text="NUEVO">
      <formula>NOT(ISERROR(SEARCH("NUEVO",E1290)))</formula>
    </cfRule>
  </conditionalFormatting>
  <conditionalFormatting sqref="E1290">
    <cfRule type="containsText" dxfId="134" priority="133" operator="containsText" text="Sin Información">
      <formula>NOT(ISERROR(SEARCH("Sin Información",E1290)))</formula>
    </cfRule>
  </conditionalFormatting>
  <conditionalFormatting sqref="C1291:D1291">
    <cfRule type="containsText" dxfId="133" priority="132" operator="containsText" text="NO+$D$4:$D$10">
      <formula>NOT(ISERROR(SEARCH("NO+$D$4:$D$10",C1291)))</formula>
    </cfRule>
  </conditionalFormatting>
  <conditionalFormatting sqref="C1291:D1291">
    <cfRule type="containsText" dxfId="132" priority="130" operator="containsText" text="SI">
      <formula>NOT(ISERROR(SEARCH("SI",C1291)))</formula>
    </cfRule>
    <cfRule type="containsText" dxfId="131" priority="131" operator="containsText" text="NO">
      <formula>NOT(ISERROR(SEARCH("NO",C1291)))</formula>
    </cfRule>
  </conditionalFormatting>
  <conditionalFormatting sqref="C1291:D1291">
    <cfRule type="containsText" dxfId="130" priority="129" operator="containsText" text="NUEVO">
      <formula>NOT(ISERROR(SEARCH("NUEVO",C1291)))</formula>
    </cfRule>
  </conditionalFormatting>
  <conditionalFormatting sqref="E1291">
    <cfRule type="containsText" dxfId="129" priority="128" operator="containsText" text="NUEVO">
      <formula>NOT(ISERROR(SEARCH("NUEVO",E1291)))</formula>
    </cfRule>
  </conditionalFormatting>
  <conditionalFormatting sqref="E1291">
    <cfRule type="containsText" dxfId="128" priority="127" operator="containsText" text="Sin Información">
      <formula>NOT(ISERROR(SEARCH("Sin Información",E1291)))</formula>
    </cfRule>
  </conditionalFormatting>
  <conditionalFormatting sqref="C1462:D1462">
    <cfRule type="containsText" dxfId="127" priority="126" operator="containsText" text="NO+$D$4:$D$10">
      <formula>NOT(ISERROR(SEARCH("NO+$D$4:$D$10",C1462)))</formula>
    </cfRule>
  </conditionalFormatting>
  <conditionalFormatting sqref="C1462:D1462">
    <cfRule type="containsText" dxfId="126" priority="124" operator="containsText" text="SI">
      <formula>NOT(ISERROR(SEARCH("SI",C1462)))</formula>
    </cfRule>
    <cfRule type="containsText" dxfId="125" priority="125" operator="containsText" text="NO">
      <formula>NOT(ISERROR(SEARCH("NO",C1462)))</formula>
    </cfRule>
  </conditionalFormatting>
  <conditionalFormatting sqref="E1462">
    <cfRule type="containsText" dxfId="124" priority="123" operator="containsText" text="Sin información">
      <formula>NOT(ISERROR(SEARCH("Sin información",E1462)))</formula>
    </cfRule>
  </conditionalFormatting>
  <conditionalFormatting sqref="C1462:E1462">
    <cfRule type="containsText" dxfId="123" priority="122" operator="containsText" text="NUEVO">
      <formula>NOT(ISERROR(SEARCH("NUEVO",C1462)))</formula>
    </cfRule>
  </conditionalFormatting>
  <conditionalFormatting sqref="C1463:D1463">
    <cfRule type="containsText" dxfId="122" priority="121" operator="containsText" text="NO+$D$4:$D$10">
      <formula>NOT(ISERROR(SEARCH("NO+$D$4:$D$10",C1463)))</formula>
    </cfRule>
  </conditionalFormatting>
  <conditionalFormatting sqref="C1463:D1463">
    <cfRule type="containsText" dxfId="121" priority="119" operator="containsText" text="SI">
      <formula>NOT(ISERROR(SEARCH("SI",C1463)))</formula>
    </cfRule>
    <cfRule type="containsText" dxfId="120" priority="120" operator="containsText" text="NO">
      <formula>NOT(ISERROR(SEARCH("NO",C1463)))</formula>
    </cfRule>
  </conditionalFormatting>
  <conditionalFormatting sqref="E1463">
    <cfRule type="containsText" dxfId="119" priority="118" operator="containsText" text="Sin información">
      <formula>NOT(ISERROR(SEARCH("Sin información",E1463)))</formula>
    </cfRule>
  </conditionalFormatting>
  <conditionalFormatting sqref="C1463:E1463">
    <cfRule type="containsText" dxfId="118" priority="117" operator="containsText" text="NUEVO">
      <formula>NOT(ISERROR(SEARCH("NUEVO",C1463)))</formula>
    </cfRule>
  </conditionalFormatting>
  <conditionalFormatting sqref="C1464:D1464">
    <cfRule type="containsText" dxfId="117" priority="116" operator="containsText" text="NO+$D$4:$D$10">
      <formula>NOT(ISERROR(SEARCH("NO+$D$4:$D$10",C1464)))</formula>
    </cfRule>
  </conditionalFormatting>
  <conditionalFormatting sqref="C1464:D1464">
    <cfRule type="containsText" dxfId="116" priority="114" operator="containsText" text="SI">
      <formula>NOT(ISERROR(SEARCH("SI",C1464)))</formula>
    </cfRule>
    <cfRule type="containsText" dxfId="115" priority="115" operator="containsText" text="NO">
      <formula>NOT(ISERROR(SEARCH("NO",C1464)))</formula>
    </cfRule>
  </conditionalFormatting>
  <conditionalFormatting sqref="C1464:D1464">
    <cfRule type="containsText" dxfId="114" priority="113" operator="containsText" text="NUEVO">
      <formula>NOT(ISERROR(SEARCH("NUEVO",C1464)))</formula>
    </cfRule>
  </conditionalFormatting>
  <conditionalFormatting sqref="E1464">
    <cfRule type="containsText" dxfId="113" priority="111" operator="containsText" text="NUEVO">
      <formula>NOT(ISERROR(SEARCH("NUEVO",E1464)))</formula>
    </cfRule>
  </conditionalFormatting>
  <conditionalFormatting sqref="E1464">
    <cfRule type="containsText" dxfId="112" priority="112" operator="containsText" text="Sin información">
      <formula>NOT(ISERROR(SEARCH("Sin información",E1464)))</formula>
    </cfRule>
  </conditionalFormatting>
  <conditionalFormatting sqref="C1465:D1465">
    <cfRule type="containsText" dxfId="111" priority="110" operator="containsText" text="NO+$D$4:$D$10">
      <formula>NOT(ISERROR(SEARCH("NO+$D$4:$D$10",C1465)))</formula>
    </cfRule>
  </conditionalFormatting>
  <conditionalFormatting sqref="C1465:D1465">
    <cfRule type="containsText" dxfId="110" priority="108" operator="containsText" text="SI">
      <formula>NOT(ISERROR(SEARCH("SI",C1465)))</formula>
    </cfRule>
    <cfRule type="containsText" dxfId="109" priority="109" operator="containsText" text="NO">
      <formula>NOT(ISERROR(SEARCH("NO",C1465)))</formula>
    </cfRule>
  </conditionalFormatting>
  <conditionalFormatting sqref="C1465:D1465">
    <cfRule type="containsText" dxfId="108" priority="107" operator="containsText" text="NUEVO">
      <formula>NOT(ISERROR(SEARCH("NUEVO",C1465)))</formula>
    </cfRule>
  </conditionalFormatting>
  <conditionalFormatting sqref="E1465">
    <cfRule type="containsText" dxfId="107" priority="106" operator="containsText" text="Sin información">
      <formula>NOT(ISERROR(SEARCH("Sin información",E1465)))</formula>
    </cfRule>
  </conditionalFormatting>
  <conditionalFormatting sqref="E1465">
    <cfRule type="containsText" dxfId="106" priority="105" operator="containsText" text="NUEVO">
      <formula>NOT(ISERROR(SEARCH("NUEVO",E1465)))</formula>
    </cfRule>
  </conditionalFormatting>
  <conditionalFormatting sqref="C1466:D1466">
    <cfRule type="containsText" dxfId="105" priority="104" operator="containsText" text="NO+$D$4:$D$10">
      <formula>NOT(ISERROR(SEARCH("NO+$D$4:$D$10",C1466)))</formula>
    </cfRule>
  </conditionalFormatting>
  <conditionalFormatting sqref="C1466:D1466">
    <cfRule type="containsText" dxfId="104" priority="102" operator="containsText" text="SI">
      <formula>NOT(ISERROR(SEARCH("SI",C1466)))</formula>
    </cfRule>
    <cfRule type="containsText" dxfId="103" priority="103" operator="containsText" text="NO">
      <formula>NOT(ISERROR(SEARCH("NO",C1466)))</formula>
    </cfRule>
  </conditionalFormatting>
  <conditionalFormatting sqref="C1466:D1466">
    <cfRule type="containsText" dxfId="102" priority="101" operator="containsText" text="NUEVO">
      <formula>NOT(ISERROR(SEARCH("NUEVO",C1466)))</formula>
    </cfRule>
  </conditionalFormatting>
  <conditionalFormatting sqref="E1466">
    <cfRule type="containsText" dxfId="101" priority="99" operator="containsText" text="NUEVO">
      <formula>NOT(ISERROR(SEARCH("NUEVO",E1466)))</formula>
    </cfRule>
  </conditionalFormatting>
  <conditionalFormatting sqref="E1466">
    <cfRule type="containsText" dxfId="100" priority="100" operator="containsText" text="Sin información">
      <formula>NOT(ISERROR(SEARCH("Sin información",E1466)))</formula>
    </cfRule>
  </conditionalFormatting>
  <conditionalFormatting sqref="C1467:D1467">
    <cfRule type="containsText" dxfId="99" priority="98" operator="containsText" text="NO+$D$4:$D$10">
      <formula>NOT(ISERROR(SEARCH("NO+$D$4:$D$10",C1467)))</formula>
    </cfRule>
  </conditionalFormatting>
  <conditionalFormatting sqref="C1467:D1467">
    <cfRule type="containsText" dxfId="98" priority="96" operator="containsText" text="SI">
      <formula>NOT(ISERROR(SEARCH("SI",C1467)))</formula>
    </cfRule>
    <cfRule type="containsText" dxfId="97" priority="97" operator="containsText" text="NO">
      <formula>NOT(ISERROR(SEARCH("NO",C1467)))</formula>
    </cfRule>
  </conditionalFormatting>
  <conditionalFormatting sqref="C1467:D1467">
    <cfRule type="containsText" dxfId="96" priority="95" operator="containsText" text="NUEVO">
      <formula>NOT(ISERROR(SEARCH("NUEVO",C1467)))</formula>
    </cfRule>
  </conditionalFormatting>
  <conditionalFormatting sqref="E1467">
    <cfRule type="containsText" dxfId="95" priority="94" operator="containsText" text="Sin información">
      <formula>NOT(ISERROR(SEARCH("Sin información",E1467)))</formula>
    </cfRule>
  </conditionalFormatting>
  <conditionalFormatting sqref="E1467">
    <cfRule type="containsText" dxfId="94" priority="93" operator="containsText" text="NUEVO">
      <formula>NOT(ISERROR(SEARCH("NUEVO",E1467)))</formula>
    </cfRule>
  </conditionalFormatting>
  <conditionalFormatting sqref="C1468:D1468">
    <cfRule type="containsText" dxfId="93" priority="92" operator="containsText" text="NO+$D$4:$D$10">
      <formula>NOT(ISERROR(SEARCH("NO+$D$4:$D$10",C1468)))</formula>
    </cfRule>
  </conditionalFormatting>
  <conditionalFormatting sqref="C1468:D1468">
    <cfRule type="containsText" dxfId="92" priority="90" operator="containsText" text="SI">
      <formula>NOT(ISERROR(SEARCH("SI",C1468)))</formula>
    </cfRule>
    <cfRule type="containsText" dxfId="91" priority="91" operator="containsText" text="NO">
      <formula>NOT(ISERROR(SEARCH("NO",C1468)))</formula>
    </cfRule>
  </conditionalFormatting>
  <conditionalFormatting sqref="C1468:D1468">
    <cfRule type="containsText" dxfId="90" priority="89" operator="containsText" text="NUEVO">
      <formula>NOT(ISERROR(SEARCH("NUEVO",C1468)))</formula>
    </cfRule>
  </conditionalFormatting>
  <conditionalFormatting sqref="E1468">
    <cfRule type="containsText" dxfId="89" priority="88" operator="containsText" text="NUEVO">
      <formula>NOT(ISERROR(SEARCH("NUEVO",E1468)))</formula>
    </cfRule>
  </conditionalFormatting>
  <conditionalFormatting sqref="E1468">
    <cfRule type="containsText" dxfId="88" priority="87" operator="containsText" text="Sin Información">
      <formula>NOT(ISERROR(SEARCH("Sin Información",E1468)))</formula>
    </cfRule>
  </conditionalFormatting>
  <conditionalFormatting sqref="C1469:D1469">
    <cfRule type="containsText" dxfId="87" priority="86" operator="containsText" text="NO+$D$4:$D$10">
      <formula>NOT(ISERROR(SEARCH("NO+$D$4:$D$10",C1469)))</formula>
    </cfRule>
  </conditionalFormatting>
  <conditionalFormatting sqref="C1469:D1469">
    <cfRule type="containsText" dxfId="86" priority="84" operator="containsText" text="SI">
      <formula>NOT(ISERROR(SEARCH("SI",C1469)))</formula>
    </cfRule>
    <cfRule type="containsText" dxfId="85" priority="85" operator="containsText" text="NO">
      <formula>NOT(ISERROR(SEARCH("NO",C1469)))</formula>
    </cfRule>
  </conditionalFormatting>
  <conditionalFormatting sqref="E1469">
    <cfRule type="containsText" dxfId="84" priority="83" operator="containsText" text="Sin información">
      <formula>NOT(ISERROR(SEARCH("Sin información",E1469)))</formula>
    </cfRule>
  </conditionalFormatting>
  <conditionalFormatting sqref="C1469:E1469">
    <cfRule type="containsText" dxfId="83" priority="82" operator="containsText" text="NUEVO">
      <formula>NOT(ISERROR(SEARCH("NUEVO",C1469)))</formula>
    </cfRule>
  </conditionalFormatting>
  <conditionalFormatting sqref="C1470:D1470">
    <cfRule type="containsText" dxfId="82" priority="81" operator="containsText" text="NO+$D$4:$D$10">
      <formula>NOT(ISERROR(SEARCH("NO+$D$4:$D$10",C1470)))</formula>
    </cfRule>
  </conditionalFormatting>
  <conditionalFormatting sqref="C1470:D1470">
    <cfRule type="containsText" dxfId="81" priority="79" operator="containsText" text="SI">
      <formula>NOT(ISERROR(SEARCH("SI",C1470)))</formula>
    </cfRule>
    <cfRule type="containsText" dxfId="80" priority="80" operator="containsText" text="NO">
      <formula>NOT(ISERROR(SEARCH("NO",C1470)))</formula>
    </cfRule>
  </conditionalFormatting>
  <conditionalFormatting sqref="E1470">
    <cfRule type="containsText" dxfId="79" priority="78" operator="containsText" text="Sin información">
      <formula>NOT(ISERROR(SEARCH("Sin información",E1470)))</formula>
    </cfRule>
  </conditionalFormatting>
  <conditionalFormatting sqref="C1470:E1470">
    <cfRule type="containsText" dxfId="78" priority="77" operator="containsText" text="NUEVO">
      <formula>NOT(ISERROR(SEARCH("NUEVO",C1470)))</formula>
    </cfRule>
  </conditionalFormatting>
  <conditionalFormatting sqref="C1471:D1471">
    <cfRule type="containsText" dxfId="77" priority="76" operator="containsText" text="NO+$D$4:$D$10">
      <formula>NOT(ISERROR(SEARCH("NO+$D$4:$D$10",C1471)))</formula>
    </cfRule>
  </conditionalFormatting>
  <conditionalFormatting sqref="C1471:D1471">
    <cfRule type="containsText" dxfId="76" priority="74" operator="containsText" text="SI">
      <formula>NOT(ISERROR(SEARCH("SI",C1471)))</formula>
    </cfRule>
    <cfRule type="containsText" dxfId="75" priority="75" operator="containsText" text="NO">
      <formula>NOT(ISERROR(SEARCH("NO",C1471)))</formula>
    </cfRule>
  </conditionalFormatting>
  <conditionalFormatting sqref="E1471">
    <cfRule type="containsText" dxfId="74" priority="73" operator="containsText" text="Sin información">
      <formula>NOT(ISERROR(SEARCH("Sin información",E1471)))</formula>
    </cfRule>
  </conditionalFormatting>
  <conditionalFormatting sqref="C1471:E1471">
    <cfRule type="containsText" dxfId="73" priority="72" operator="containsText" text="NUEVO">
      <formula>NOT(ISERROR(SEARCH("NUEVO",C1471)))</formula>
    </cfRule>
  </conditionalFormatting>
  <conditionalFormatting sqref="E1471">
    <cfRule type="containsText" dxfId="72" priority="71" operator="containsText" text="Sin información">
      <formula>NOT(ISERROR(SEARCH("Sin información",E1471)))</formula>
    </cfRule>
  </conditionalFormatting>
  <conditionalFormatting sqref="E1471">
    <cfRule type="containsText" dxfId="71" priority="70" operator="containsText" text="NUEVO">
      <formula>NOT(ISERROR(SEARCH("NUEVO",E1471)))</formula>
    </cfRule>
  </conditionalFormatting>
  <conditionalFormatting sqref="C1472:D1472">
    <cfRule type="containsText" dxfId="70" priority="69" operator="containsText" text="NO+$D$4:$D$10">
      <formula>NOT(ISERROR(SEARCH("NO+$D$4:$D$10",C1472)))</formula>
    </cfRule>
  </conditionalFormatting>
  <conditionalFormatting sqref="C1472:D1472">
    <cfRule type="containsText" dxfId="69" priority="67" operator="containsText" text="SI">
      <formula>NOT(ISERROR(SEARCH("SI",C1472)))</formula>
    </cfRule>
    <cfRule type="containsText" dxfId="68" priority="68" operator="containsText" text="NO">
      <formula>NOT(ISERROR(SEARCH("NO",C1472)))</formula>
    </cfRule>
  </conditionalFormatting>
  <conditionalFormatting sqref="C1472:E1472">
    <cfRule type="containsText" dxfId="67" priority="66" operator="containsText" text="NUEVO">
      <formula>NOT(ISERROR(SEARCH("NUEVO",C1472)))</formula>
    </cfRule>
  </conditionalFormatting>
  <conditionalFormatting sqref="E1472">
    <cfRule type="containsText" dxfId="66" priority="65" operator="containsText" text="Sin Información">
      <formula>NOT(ISERROR(SEARCH("Sin Información",E1472)))</formula>
    </cfRule>
  </conditionalFormatting>
  <conditionalFormatting sqref="C1473:D1473">
    <cfRule type="containsText" dxfId="65" priority="64" operator="containsText" text="NO+$D$4:$D$10">
      <formula>NOT(ISERROR(SEARCH("NO+$D$4:$D$10",C1473)))</formula>
    </cfRule>
  </conditionalFormatting>
  <conditionalFormatting sqref="C1473:D1473">
    <cfRule type="containsText" dxfId="64" priority="62" operator="containsText" text="SI">
      <formula>NOT(ISERROR(SEARCH("SI",C1473)))</formula>
    </cfRule>
    <cfRule type="containsText" dxfId="63" priority="63" operator="containsText" text="NO">
      <formula>NOT(ISERROR(SEARCH("NO",C1473)))</formula>
    </cfRule>
  </conditionalFormatting>
  <conditionalFormatting sqref="C1473:E1473">
    <cfRule type="containsText" dxfId="62" priority="61" operator="containsText" text="NUEVO">
      <formula>NOT(ISERROR(SEARCH("NUEVO",C1473)))</formula>
    </cfRule>
  </conditionalFormatting>
  <conditionalFormatting sqref="E1473">
    <cfRule type="containsText" dxfId="61" priority="60" operator="containsText" text="Sin Información">
      <formula>NOT(ISERROR(SEARCH("Sin Información",E1473)))</formula>
    </cfRule>
  </conditionalFormatting>
  <conditionalFormatting sqref="C1474:D1474">
    <cfRule type="containsText" dxfId="60" priority="59" operator="containsText" text="NO+$D$4:$D$10">
      <formula>NOT(ISERROR(SEARCH("NO+$D$4:$D$10",C1474)))</formula>
    </cfRule>
  </conditionalFormatting>
  <conditionalFormatting sqref="C1474:D1474">
    <cfRule type="containsText" dxfId="59" priority="57" operator="containsText" text="SI">
      <formula>NOT(ISERROR(SEARCH("SI",C1474)))</formula>
    </cfRule>
    <cfRule type="containsText" dxfId="58" priority="58" operator="containsText" text="NO">
      <formula>NOT(ISERROR(SEARCH("NO",C1474)))</formula>
    </cfRule>
  </conditionalFormatting>
  <conditionalFormatting sqref="C1474:E1474">
    <cfRule type="containsText" dxfId="57" priority="56" operator="containsText" text="NUEVO">
      <formula>NOT(ISERROR(SEARCH("NUEVO",C1474)))</formula>
    </cfRule>
  </conditionalFormatting>
  <conditionalFormatting sqref="E1474">
    <cfRule type="containsText" dxfId="56" priority="55" operator="containsText" text="Sin Información">
      <formula>NOT(ISERROR(SEARCH("Sin Información",E1474)))</formula>
    </cfRule>
  </conditionalFormatting>
  <conditionalFormatting sqref="C1475:D1475">
    <cfRule type="containsText" dxfId="55" priority="54" operator="containsText" text="NO+$D$4:$D$10">
      <formula>NOT(ISERROR(SEARCH("NO+$D$4:$D$10",C1475)))</formula>
    </cfRule>
  </conditionalFormatting>
  <conditionalFormatting sqref="C1475:D1475">
    <cfRule type="containsText" dxfId="54" priority="52" operator="containsText" text="SI">
      <formula>NOT(ISERROR(SEARCH("SI",C1475)))</formula>
    </cfRule>
    <cfRule type="containsText" dxfId="53" priority="53" operator="containsText" text="NO">
      <formula>NOT(ISERROR(SEARCH("NO",C1475)))</formula>
    </cfRule>
  </conditionalFormatting>
  <conditionalFormatting sqref="C1475:D1475">
    <cfRule type="containsText" dxfId="52" priority="51" operator="containsText" text="NUEVO">
      <formula>NOT(ISERROR(SEARCH("NUEVO",C1475)))</formula>
    </cfRule>
  </conditionalFormatting>
  <conditionalFormatting sqref="E1475">
    <cfRule type="containsText" dxfId="51" priority="50" operator="containsText" text="NUEVO">
      <formula>NOT(ISERROR(SEARCH("NUEVO",E1475)))</formula>
    </cfRule>
  </conditionalFormatting>
  <conditionalFormatting sqref="E1475">
    <cfRule type="containsText" dxfId="50" priority="49" operator="containsText" text="Sin Información">
      <formula>NOT(ISERROR(SEARCH("Sin Información",E1475)))</formula>
    </cfRule>
  </conditionalFormatting>
  <conditionalFormatting sqref="C1476:D1476">
    <cfRule type="containsText" dxfId="49" priority="46" operator="containsText" text="NO+$D$4:$D$10">
      <formula>NOT(ISERROR(SEARCH("NO+$D$4:$D$10",C1476)))</formula>
    </cfRule>
  </conditionalFormatting>
  <conditionalFormatting sqref="C1476:D1476">
    <cfRule type="containsText" dxfId="48" priority="44" operator="containsText" text="SI">
      <formula>NOT(ISERROR(SEARCH("SI",C1476)))</formula>
    </cfRule>
    <cfRule type="containsText" dxfId="47" priority="45" operator="containsText" text="NO">
      <formula>NOT(ISERROR(SEARCH("NO",C1476)))</formula>
    </cfRule>
  </conditionalFormatting>
  <conditionalFormatting sqref="C1476:D1476">
    <cfRule type="containsText" dxfId="46" priority="43" operator="containsText" text="NUEVO">
      <formula>NOT(ISERROR(SEARCH("NUEVO",C1476)))</formula>
    </cfRule>
  </conditionalFormatting>
  <conditionalFormatting sqref="E1476">
    <cfRule type="containsText" dxfId="45" priority="47" operator="containsText" text="Sin información">
      <formula>NOT(ISERROR(SEARCH("Sin información",E1823)))</formula>
    </cfRule>
  </conditionalFormatting>
  <conditionalFormatting sqref="E1476">
    <cfRule type="containsText" dxfId="44" priority="48" operator="containsText" text="NUEVO">
      <formula>NOT(ISERROR(SEARCH("NUEVO",E1823)))</formula>
    </cfRule>
  </conditionalFormatting>
  <conditionalFormatting sqref="C1477:D1477">
    <cfRule type="containsText" dxfId="43" priority="42" operator="containsText" text="NO+$D$4:$D$10">
      <formula>NOT(ISERROR(SEARCH("NO+$D$4:$D$10",C1477)))</formula>
    </cfRule>
  </conditionalFormatting>
  <conditionalFormatting sqref="C1477:D1477">
    <cfRule type="containsText" dxfId="42" priority="40" operator="containsText" text="SI">
      <formula>NOT(ISERROR(SEARCH("SI",C1477)))</formula>
    </cfRule>
    <cfRule type="containsText" dxfId="41" priority="41" operator="containsText" text="NO">
      <formula>NOT(ISERROR(SEARCH("NO",C1477)))</formula>
    </cfRule>
  </conditionalFormatting>
  <conditionalFormatting sqref="C1477:E1477">
    <cfRule type="containsText" dxfId="40" priority="39" operator="containsText" text="NUEVO">
      <formula>NOT(ISERROR(SEARCH("NUEVO",C1477)))</formula>
    </cfRule>
  </conditionalFormatting>
  <conditionalFormatting sqref="E1477">
    <cfRule type="containsText" dxfId="39" priority="38" operator="containsText" text="Sin Información">
      <formula>NOT(ISERROR(SEARCH("Sin Información",E1477)))</formula>
    </cfRule>
  </conditionalFormatting>
  <conditionalFormatting sqref="C1478:D1478">
    <cfRule type="containsText" dxfId="38" priority="37" operator="containsText" text="NO+$D$4:$D$10">
      <formula>NOT(ISERROR(SEARCH("NO+$D$4:$D$10",C1478)))</formula>
    </cfRule>
  </conditionalFormatting>
  <conditionalFormatting sqref="C1478:D1478">
    <cfRule type="containsText" dxfId="37" priority="35" operator="containsText" text="SI">
      <formula>NOT(ISERROR(SEARCH("SI",C1478)))</formula>
    </cfRule>
    <cfRule type="containsText" dxfId="36" priority="36" operator="containsText" text="NO">
      <formula>NOT(ISERROR(SEARCH("NO",C1478)))</formula>
    </cfRule>
  </conditionalFormatting>
  <conditionalFormatting sqref="C1478:D1478">
    <cfRule type="containsText" dxfId="35" priority="34" operator="containsText" text="NUEVO">
      <formula>NOT(ISERROR(SEARCH("NUEVO",C1478)))</formula>
    </cfRule>
  </conditionalFormatting>
  <conditionalFormatting sqref="E1478">
    <cfRule type="containsText" dxfId="34" priority="33" operator="containsText" text="NUEVO">
      <formula>NOT(ISERROR(SEARCH("NUEVO",E1478)))</formula>
    </cfRule>
  </conditionalFormatting>
  <conditionalFormatting sqref="E1478">
    <cfRule type="containsText" dxfId="33" priority="32" operator="containsText" text="Sin Información">
      <formula>NOT(ISERROR(SEARCH("Sin Información",E1478)))</formula>
    </cfRule>
  </conditionalFormatting>
  <conditionalFormatting sqref="C1479:D1479">
    <cfRule type="containsText" dxfId="32" priority="31" operator="containsText" text="NO+$D$4:$D$10">
      <formula>NOT(ISERROR(SEARCH("NO+$D$4:$D$10",C1479)))</formula>
    </cfRule>
  </conditionalFormatting>
  <conditionalFormatting sqref="C1479:D1479">
    <cfRule type="containsText" dxfId="31" priority="29" operator="containsText" text="SI">
      <formula>NOT(ISERROR(SEARCH("SI",C1479)))</formula>
    </cfRule>
    <cfRule type="containsText" dxfId="30" priority="30" operator="containsText" text="NO">
      <formula>NOT(ISERROR(SEARCH("NO",C1479)))</formula>
    </cfRule>
  </conditionalFormatting>
  <conditionalFormatting sqref="C1479:D1479">
    <cfRule type="containsText" dxfId="29" priority="28" operator="containsText" text="NUEVO">
      <formula>NOT(ISERROR(SEARCH("NUEVO",C1479)))</formula>
    </cfRule>
  </conditionalFormatting>
  <conditionalFormatting sqref="E1479">
    <cfRule type="containsText" dxfId="28" priority="27" operator="containsText" text="NUEVO">
      <formula>NOT(ISERROR(SEARCH("NUEVO",E1479)))</formula>
    </cfRule>
  </conditionalFormatting>
  <conditionalFormatting sqref="E1479">
    <cfRule type="containsText" dxfId="27" priority="26" operator="containsText" text="Sin Información">
      <formula>NOT(ISERROR(SEARCH("Sin Información",E1479)))</formula>
    </cfRule>
  </conditionalFormatting>
  <conditionalFormatting sqref="C1410:D1410">
    <cfRule type="containsText" dxfId="26" priority="25" operator="containsText" text="NO+$D$4:$D$10">
      <formula>NOT(ISERROR(SEARCH("NO+$D$4:$D$10",C1410)))</formula>
    </cfRule>
  </conditionalFormatting>
  <conditionalFormatting sqref="C1410:D1410">
    <cfRule type="containsText" dxfId="25" priority="23" operator="containsText" text="SI">
      <formula>NOT(ISERROR(SEARCH("SI",C1410)))</formula>
    </cfRule>
    <cfRule type="containsText" dxfId="24" priority="24" operator="containsText" text="NO">
      <formula>NOT(ISERROR(SEARCH("NO",C1410)))</formula>
    </cfRule>
  </conditionalFormatting>
  <conditionalFormatting sqref="E1410">
    <cfRule type="containsText" dxfId="23" priority="22" operator="containsText" text="Sin información">
      <formula>NOT(ISERROR(SEARCH("Sin información",E1410)))</formula>
    </cfRule>
  </conditionalFormatting>
  <conditionalFormatting sqref="C1410:E1410">
    <cfRule type="containsText" dxfId="22" priority="21" operator="containsText" text="NUEVO">
      <formula>NOT(ISERROR(SEARCH("NUEVO",C1410)))</formula>
    </cfRule>
  </conditionalFormatting>
  <conditionalFormatting sqref="C169:D169">
    <cfRule type="containsText" dxfId="21" priority="18" operator="containsText" text="NO+$D$4:$D$10">
      <formula>NOT(ISERROR(SEARCH("NO+$D$4:$D$10",C169)))</formula>
    </cfRule>
  </conditionalFormatting>
  <conditionalFormatting sqref="C169:D169">
    <cfRule type="containsText" dxfId="20" priority="16" operator="containsText" text="SI">
      <formula>NOT(ISERROR(SEARCH("SI",C169)))</formula>
    </cfRule>
    <cfRule type="containsText" dxfId="19" priority="17" operator="containsText" text="NO">
      <formula>NOT(ISERROR(SEARCH("NO",C169)))</formula>
    </cfRule>
  </conditionalFormatting>
  <conditionalFormatting sqref="C169:D169">
    <cfRule type="containsText" dxfId="18" priority="15" operator="containsText" text="NUEVO">
      <formula>NOT(ISERROR(SEARCH("NUEVO",C169)))</formula>
    </cfRule>
  </conditionalFormatting>
  <conditionalFormatting sqref="E169">
    <cfRule type="containsText" dxfId="17" priority="19" operator="containsText" text="Sin información">
      <formula>NOT(ISERROR(SEARCH("Sin información",E1234)))</formula>
    </cfRule>
  </conditionalFormatting>
  <conditionalFormatting sqref="E169">
    <cfRule type="containsText" dxfId="16" priority="20" operator="containsText" text="NUEVO">
      <formula>NOT(ISERROR(SEARCH("NUEVO",E1234)))</formula>
    </cfRule>
  </conditionalFormatting>
  <conditionalFormatting sqref="C170:D170">
    <cfRule type="containsText" dxfId="15" priority="11" operator="containsText" text="NO+$D$4:$D$10">
      <formula>NOT(ISERROR(SEARCH("NO+$D$4:$D$10",C170)))</formula>
    </cfRule>
  </conditionalFormatting>
  <conditionalFormatting sqref="C170:D170">
    <cfRule type="containsText" dxfId="14" priority="9" operator="containsText" text="SI">
      <formula>NOT(ISERROR(SEARCH("SI",C170)))</formula>
    </cfRule>
    <cfRule type="containsText" dxfId="13" priority="10" operator="containsText" text="NO">
      <formula>NOT(ISERROR(SEARCH("NO",C170)))</formula>
    </cfRule>
  </conditionalFormatting>
  <conditionalFormatting sqref="C170:D170">
    <cfRule type="containsText" dxfId="12" priority="8" operator="containsText" text="NUEVO">
      <formula>NOT(ISERROR(SEARCH("NUEVO",C170)))</formula>
    </cfRule>
  </conditionalFormatting>
  <conditionalFormatting sqref="E170">
    <cfRule type="containsText" dxfId="11" priority="12" operator="containsText" text="Sin Información">
      <formula>NOT(ISERROR(SEARCH("Sin Información",E1235)))</formula>
    </cfRule>
  </conditionalFormatting>
  <conditionalFormatting sqref="E170">
    <cfRule type="containsText" dxfId="10" priority="13" operator="containsText" text="Sin información">
      <formula>NOT(ISERROR(SEARCH("Sin información",E1235)))</formula>
    </cfRule>
  </conditionalFormatting>
  <conditionalFormatting sqref="E170">
    <cfRule type="containsText" dxfId="9" priority="14" operator="containsText" text="NUEVO">
      <formula>NOT(ISERROR(SEARCH("NUEVO",E1235)))</formula>
    </cfRule>
  </conditionalFormatting>
  <conditionalFormatting sqref="C171:D171">
    <cfRule type="containsText" dxfId="8" priority="7" operator="containsText" text="NO+$D$4:$D$10">
      <formula>NOT(ISERROR(SEARCH("NO+$D$4:$D$10",C171)))</formula>
    </cfRule>
  </conditionalFormatting>
  <conditionalFormatting sqref="C171:D171">
    <cfRule type="containsText" dxfId="7" priority="5" operator="containsText" text="SI">
      <formula>NOT(ISERROR(SEARCH("SI",C171)))</formula>
    </cfRule>
    <cfRule type="containsText" dxfId="6" priority="6" operator="containsText" text="NO">
      <formula>NOT(ISERROR(SEARCH("NO",C171)))</formula>
    </cfRule>
  </conditionalFormatting>
  <conditionalFormatting sqref="C171:D171">
    <cfRule type="containsText" dxfId="5" priority="4" operator="containsText" text="NUEVO">
      <formula>NOT(ISERROR(SEARCH("NUEVO",C171)))</formula>
    </cfRule>
  </conditionalFormatting>
  <conditionalFormatting sqref="E171">
    <cfRule type="containsText" dxfId="4" priority="2" operator="containsText" text="NUEVO">
      <formula>NOT(ISERROR(SEARCH("NUEVO",E171)))</formula>
    </cfRule>
  </conditionalFormatting>
  <conditionalFormatting sqref="E171">
    <cfRule type="containsText" dxfId="3" priority="3" operator="containsText" text="Sin información">
      <formula>NOT(ISERROR(SEARCH("Sin información",E171)))</formula>
    </cfRule>
  </conditionalFormatting>
  <conditionalFormatting sqref="E171">
    <cfRule type="containsText" dxfId="2" priority="1" operator="containsText" text="Sin Información">
      <formula>NOT(ISERROR(SEARCH("Sin Información",E171)))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454" operator="containsText" text="NUEVO" id="{00000000-000E-0000-0400-0000B1580000}">
            <xm:f>NOT(ISERROR(SEARCH("NUEVO",'22-06-2026 A 28-06-2026'!E196)))</xm:f>
            <x14:dxf>
              <fill>
                <patternFill>
                  <bgColor rgb="FFFFFF00"/>
                </patternFill>
              </fill>
            </x14:dxf>
          </x14:cfRule>
          <xm:sqref>E714</xm:sqref>
        </x14:conditionalFormatting>
        <x14:conditionalFormatting xmlns:xm="http://schemas.microsoft.com/office/excel/2006/main">
          <x14:cfRule type="containsText" priority="25455" operator="containsText" text="Sin información" id="{00000000-000E-0000-0400-0000B6580000}">
            <xm:f>NOT(ISERROR(SEARCH("Sin información",'22-06-2026 A 28-06-2026'!E196)))</xm:f>
            <x14:dxf>
              <fill>
                <patternFill>
                  <bgColor rgb="FFFFC000"/>
                </patternFill>
              </fill>
            </x14:dxf>
          </x14:cfRule>
          <xm:sqref>E714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C1413:D1479 C1058:D1410 C713:D1055 C174:D710 C2:D171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22-06-2026 A 28-06-2026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2026-06-30T20:00:54Z</dcterms:modified>
</cp:coreProperties>
</file>