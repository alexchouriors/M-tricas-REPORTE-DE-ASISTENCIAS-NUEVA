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F2BDFC79-6541-4CB2-BDD0-6F7E5338F39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19-07-2026'!$A$22:$G$96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4" i="1" l="1"/>
  <c r="F5" i="1"/>
  <c r="A1447" i="8"/>
  <c r="I312" i="1"/>
  <c r="F314" i="1"/>
  <c r="F313" i="1"/>
  <c r="I571" i="1"/>
  <c r="F501" i="1"/>
  <c r="F518" i="1"/>
  <c r="F520" i="1"/>
  <c r="F312" i="1"/>
  <c r="F311" i="1"/>
  <c r="F123" i="1"/>
  <c r="I95" i="1"/>
  <c r="I442" i="1"/>
  <c r="F383" i="1"/>
  <c r="F446" i="1"/>
  <c r="F445" i="1"/>
  <c r="F444" i="1"/>
  <c r="C104" i="1"/>
  <c r="J35" i="1" s="1"/>
  <c r="I23" i="1" a="1"/>
  <c r="I23" i="1" s="1"/>
  <c r="I622" i="1"/>
  <c r="I311" i="1"/>
  <c r="F315" i="1"/>
  <c r="F310" i="1"/>
  <c r="F309" i="1"/>
  <c r="I570" i="1"/>
  <c r="F571" i="1"/>
  <c r="F559" i="1"/>
  <c r="F508" i="1"/>
  <c r="F316" i="1"/>
  <c r="F308" i="1"/>
  <c r="F307" i="1"/>
  <c r="F306" i="1"/>
  <c r="I94" i="1"/>
  <c r="F95" i="1"/>
  <c r="I441" i="1"/>
  <c r="C106" i="1"/>
  <c r="E106" i="1" s="1"/>
  <c r="C102" i="1"/>
  <c r="E102" i="1" s="1"/>
  <c r="C99" i="1"/>
  <c r="E99" i="1" s="1"/>
  <c r="Q2" i="1" a="1"/>
  <c r="Q2" i="1" s="1"/>
  <c r="C19" i="1"/>
  <c r="C101" i="1"/>
  <c r="C574" i="1"/>
  <c r="C582" i="1"/>
  <c r="E582" i="1" s="1"/>
  <c r="C578" i="1"/>
  <c r="C575" i="1"/>
  <c r="C577" i="1"/>
  <c r="I593" i="1" a="1"/>
  <c r="I593" i="1" s="1"/>
  <c r="I467" i="1" a="1"/>
  <c r="I467" i="1" s="1"/>
  <c r="I334" i="1" a="1"/>
  <c r="I334" i="1" s="1"/>
  <c r="I112" i="1" a="1"/>
  <c r="I112" i="1" s="1"/>
  <c r="I590" i="1"/>
  <c r="I589" i="1"/>
  <c r="I587" i="1"/>
  <c r="I585" i="1"/>
  <c r="I582" i="1"/>
  <c r="I579" i="1"/>
  <c r="C633" i="1"/>
  <c r="E633" i="1" s="1"/>
  <c r="C631" i="1"/>
  <c r="E631" i="1" s="1"/>
  <c r="C580" i="1"/>
  <c r="E580" i="1" s="1"/>
  <c r="C455" i="1"/>
  <c r="E455" i="1" s="1"/>
  <c r="C326" i="1"/>
  <c r="C457" i="1" s="1"/>
  <c r="E457" i="1" s="1"/>
  <c r="C324" i="1"/>
  <c r="E324" i="1" s="1"/>
  <c r="C11" i="1" l="1"/>
  <c r="E11" i="1" s="1"/>
  <c r="J355" i="1"/>
  <c r="J599" i="1"/>
  <c r="C13" i="1"/>
  <c r="E13" i="1" s="1"/>
  <c r="J481" i="1"/>
  <c r="J145" i="1"/>
  <c r="I588" i="1"/>
  <c r="I586" i="1"/>
  <c r="E326" i="1"/>
  <c r="C452" i="1"/>
  <c r="C319" i="1" l="1"/>
  <c r="C322" i="1"/>
  <c r="C449" i="1"/>
  <c r="E449" i="1" s="1"/>
  <c r="C453" i="1"/>
  <c r="E453" i="1" s="1"/>
  <c r="C629" i="1"/>
  <c r="E629" i="1" s="1"/>
  <c r="C628" i="1"/>
  <c r="E628" i="1" s="1"/>
  <c r="C626" i="1"/>
  <c r="E626" i="1" s="1"/>
  <c r="C625" i="1"/>
  <c r="E625" i="1" s="1"/>
  <c r="C450" i="1"/>
  <c r="E450" i="1" s="1"/>
  <c r="C321" i="1"/>
  <c r="I584" i="1" l="1"/>
  <c r="E101" i="1"/>
  <c r="C8" i="1" l="1"/>
  <c r="F8" i="1" s="1"/>
  <c r="I583" i="1"/>
  <c r="C9" i="1"/>
  <c r="F9" i="1" s="1"/>
  <c r="E578" i="1" l="1"/>
  <c r="E322" i="1"/>
  <c r="E452" i="1"/>
  <c r="C318" i="1" l="1"/>
  <c r="I580" i="1"/>
  <c r="E577" i="1"/>
  <c r="E575" i="1" l="1"/>
  <c r="I581" i="1"/>
  <c r="E574" i="1"/>
  <c r="E319" i="1"/>
  <c r="E321" i="1"/>
  <c r="E318" i="1"/>
  <c r="L2" i="1"/>
  <c r="C98" i="1"/>
  <c r="C5" i="1" l="1"/>
  <c r="C17" i="1"/>
  <c r="F17" i="1" s="1"/>
  <c r="E104" i="1"/>
  <c r="E98" i="1"/>
  <c r="C6" i="1"/>
  <c r="F6" i="1" s="1"/>
  <c r="C16" i="1" l="1"/>
  <c r="F16" i="1" s="1"/>
  <c r="F465" i="1"/>
  <c r="F466" i="1"/>
  <c r="F469" i="1"/>
  <c r="F484" i="1"/>
  <c r="F490" i="1"/>
  <c r="F497" i="1"/>
  <c r="F499" i="1"/>
  <c r="F505" i="1"/>
  <c r="F572" i="1"/>
  <c r="F526" i="1"/>
  <c r="F527" i="1"/>
  <c r="F353" i="1"/>
  <c r="F366" i="1"/>
  <c r="F373" i="1"/>
  <c r="F374" i="1"/>
  <c r="F420" i="1"/>
  <c r="F447" i="1"/>
  <c r="F407" i="1"/>
  <c r="F355" i="1"/>
  <c r="F356" i="1"/>
  <c r="F357" i="1"/>
  <c r="F359" i="1"/>
  <c r="F371" i="1"/>
  <c r="F377" i="1"/>
  <c r="F388" i="1"/>
  <c r="F393" i="1"/>
  <c r="F418" i="1"/>
  <c r="F439" i="1"/>
  <c r="F430" i="1"/>
  <c r="F332" i="1"/>
  <c r="F333" i="1"/>
  <c r="F334" i="1"/>
  <c r="F335" i="1"/>
  <c r="F336" i="1"/>
  <c r="F339" i="1"/>
  <c r="F337" i="1"/>
  <c r="F390" i="1"/>
  <c r="F352" i="1"/>
  <c r="F341" i="1"/>
  <c r="F342" i="1"/>
  <c r="F344" i="1"/>
  <c r="F372" i="1"/>
  <c r="F381" i="1"/>
  <c r="F394" i="1"/>
  <c r="F156" i="1"/>
  <c r="F349" i="1"/>
  <c r="F351" i="1"/>
  <c r="F364" i="1"/>
  <c r="F375" i="1"/>
  <c r="F391" i="1"/>
  <c r="F413" i="1"/>
  <c r="F345" i="1"/>
  <c r="F409" i="1"/>
  <c r="F369" i="1"/>
  <c r="F415" i="1"/>
  <c r="F591" i="1"/>
  <c r="F592" i="1"/>
  <c r="F596" i="1"/>
  <c r="F610" i="1"/>
  <c r="F611" i="1"/>
  <c r="F612" i="1"/>
  <c r="F607" i="1"/>
  <c r="F27" i="1"/>
  <c r="F29" i="1"/>
  <c r="F28" i="1"/>
  <c r="F96" i="1"/>
  <c r="F35" i="1"/>
  <c r="F38" i="1"/>
  <c r="F40" i="1"/>
  <c r="F44" i="1"/>
  <c r="F43" i="1"/>
  <c r="F26" i="1"/>
  <c r="F61" i="1"/>
  <c r="F50" i="1"/>
  <c r="F63" i="1"/>
  <c r="F62" i="1"/>
  <c r="F46" i="1"/>
  <c r="F51" i="1"/>
  <c r="F70" i="1"/>
  <c r="F75" i="1"/>
  <c r="F45" i="1"/>
  <c r="F71" i="1"/>
  <c r="F72" i="1"/>
  <c r="F144" i="1"/>
  <c r="F146" i="1"/>
  <c r="F150" i="1"/>
  <c r="F194" i="1"/>
  <c r="F196" i="1"/>
  <c r="F219" i="1"/>
  <c r="F225" i="1"/>
  <c r="F129" i="1"/>
  <c r="F117" i="1"/>
  <c r="F159" i="1"/>
  <c r="F171" i="1"/>
  <c r="F124" i="1"/>
  <c r="F125" i="1"/>
  <c r="F183" i="1"/>
  <c r="F200" i="1"/>
  <c r="F121" i="1"/>
  <c r="F169" i="1"/>
  <c r="F254" i="1"/>
  <c r="F257" i="1"/>
  <c r="F538" i="1"/>
  <c r="F541" i="1"/>
  <c r="F280" i="1"/>
  <c r="F130" i="1"/>
  <c r="F131" i="1"/>
  <c r="F132" i="1"/>
  <c r="F208" i="1"/>
  <c r="F237" i="1"/>
  <c r="F218" i="1"/>
  <c r="F220" i="1"/>
  <c r="F246" i="1"/>
  <c r="F250" i="1"/>
  <c r="F266" i="1"/>
  <c r="F244" i="1"/>
  <c r="F245" i="1"/>
  <c r="F145" i="1"/>
  <c r="F186" i="1"/>
  <c r="F230" i="1"/>
  <c r="F232" i="1"/>
  <c r="F247" i="1"/>
  <c r="F222" i="1"/>
  <c r="F173" i="1"/>
  <c r="F174" i="1"/>
  <c r="F175" i="1"/>
  <c r="F176" i="1"/>
  <c r="F177" i="1"/>
  <c r="F178" i="1"/>
  <c r="F185" i="1"/>
  <c r="F211" i="1"/>
  <c r="F179" i="1"/>
  <c r="F180" i="1"/>
  <c r="F136" i="1"/>
  <c r="F182" i="1"/>
  <c r="F203" i="1"/>
  <c r="F273" i="1"/>
  <c r="F289" i="1"/>
  <c r="F488" i="1"/>
  <c r="F489" i="1"/>
  <c r="F498" i="1"/>
  <c r="F514" i="1"/>
  <c r="F532" i="1"/>
  <c r="F495" i="1"/>
  <c r="F506" i="1"/>
  <c r="F512" i="1"/>
  <c r="F558" i="1"/>
  <c r="F547" i="1"/>
  <c r="F509" i="1"/>
  <c r="F115" i="1"/>
  <c r="F116" i="1"/>
  <c r="F120" i="1"/>
  <c r="F126" i="1"/>
  <c r="F197" i="1"/>
  <c r="F198" i="1"/>
  <c r="F261" i="1"/>
  <c r="F267" i="1"/>
  <c r="F303" i="1"/>
  <c r="F193" i="1"/>
  <c r="F119" i="1"/>
  <c r="F262" i="1"/>
  <c r="F209" i="1"/>
  <c r="F189" i="1"/>
  <c r="F214" i="1"/>
  <c r="F252" i="1"/>
  <c r="F587" i="1"/>
  <c r="F588" i="1"/>
  <c r="F589" i="1"/>
  <c r="F593" i="1"/>
  <c r="F600" i="1"/>
  <c r="F605" i="1"/>
  <c r="F606" i="1"/>
  <c r="F614" i="1"/>
  <c r="F619" i="1"/>
  <c r="F621" i="1"/>
  <c r="F597" i="1"/>
  <c r="F23" i="1"/>
  <c r="F24" i="1"/>
  <c r="F30" i="1"/>
  <c r="F49" i="1"/>
  <c r="F56" i="1"/>
  <c r="F58" i="1"/>
  <c r="F59" i="1"/>
  <c r="F48" i="1"/>
  <c r="F66" i="1"/>
  <c r="F67" i="1"/>
  <c r="F36" i="1"/>
  <c r="F37" i="1"/>
  <c r="F93" i="1"/>
  <c r="F53" i="1"/>
  <c r="F64" i="1"/>
  <c r="F367" i="1"/>
  <c r="F389" i="1"/>
  <c r="F370" i="1"/>
  <c r="F354" i="1"/>
  <c r="F442" i="1"/>
  <c r="F397" i="1"/>
  <c r="F398" i="1"/>
  <c r="F399" i="1"/>
  <c r="F400" i="1"/>
  <c r="F331" i="1"/>
  <c r="F338" i="1"/>
  <c r="F428" i="1"/>
  <c r="F552" i="1"/>
  <c r="F401" i="1"/>
  <c r="F139" i="1"/>
  <c r="F238" i="1"/>
  <c r="F274" i="1"/>
  <c r="F112" i="1"/>
  <c r="F114" i="1"/>
  <c r="F276" i="1"/>
  <c r="F137" i="1"/>
  <c r="F191" i="1"/>
  <c r="F224" i="1"/>
  <c r="F226" i="1"/>
  <c r="F248" i="1"/>
  <c r="F113" i="1"/>
  <c r="F249" i="1"/>
  <c r="F223" i="1"/>
  <c r="F172" i="1"/>
  <c r="F166" i="1"/>
  <c r="F283" i="1"/>
  <c r="F284" i="1"/>
  <c r="F227" i="1"/>
  <c r="F221" i="1"/>
  <c r="F239" i="1"/>
  <c r="F240" i="1"/>
  <c r="F479" i="1"/>
  <c r="F517" i="1"/>
  <c r="F470" i="1"/>
  <c r="F473" i="1"/>
  <c r="F492" i="1"/>
  <c r="F565" i="1"/>
  <c r="F162" i="1"/>
  <c r="F493" i="1"/>
  <c r="F491" i="1"/>
  <c r="F233" i="1"/>
  <c r="F467" i="1"/>
  <c r="F468" i="1"/>
  <c r="F481" i="1"/>
  <c r="F486" i="1"/>
  <c r="F513" i="1"/>
  <c r="F519" i="1"/>
  <c r="F535" i="1"/>
  <c r="F543" i="1"/>
  <c r="F544" i="1"/>
  <c r="F480" i="1"/>
  <c r="F524" i="1"/>
  <c r="F529" i="1"/>
  <c r="F542" i="1"/>
  <c r="F545" i="1"/>
  <c r="F548" i="1"/>
  <c r="F550" i="1"/>
  <c r="F555" i="1"/>
  <c r="F528" i="1"/>
  <c r="F25" i="1"/>
  <c r="F31" i="1"/>
  <c r="F32" i="1"/>
  <c r="F33" i="1"/>
  <c r="F34" i="1"/>
  <c r="F39" i="1"/>
  <c r="F41" i="1"/>
  <c r="F42" i="1"/>
  <c r="F47" i="1"/>
  <c r="F52" i="1"/>
  <c r="F54" i="1"/>
  <c r="F55" i="1"/>
  <c r="F57" i="1"/>
  <c r="F60" i="1"/>
  <c r="F65" i="1"/>
  <c r="F68" i="1"/>
  <c r="F69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4" i="1"/>
  <c r="F118" i="1"/>
  <c r="F122" i="1"/>
  <c r="F127" i="1"/>
  <c r="F128" i="1"/>
  <c r="F133" i="1"/>
  <c r="F134" i="1"/>
  <c r="F135" i="1"/>
  <c r="F138" i="1"/>
  <c r="F140" i="1"/>
  <c r="F141" i="1"/>
  <c r="F142" i="1"/>
  <c r="F143" i="1"/>
  <c r="F147" i="1"/>
  <c r="F148" i="1"/>
  <c r="F149" i="1"/>
  <c r="F151" i="1"/>
  <c r="F152" i="1"/>
  <c r="F153" i="1"/>
  <c r="F154" i="1"/>
  <c r="F155" i="1"/>
  <c r="F157" i="1"/>
  <c r="F158" i="1"/>
  <c r="F160" i="1"/>
  <c r="F161" i="1"/>
  <c r="F163" i="1"/>
  <c r="F164" i="1"/>
  <c r="F165" i="1"/>
  <c r="F167" i="1"/>
  <c r="F168" i="1"/>
  <c r="F170" i="1"/>
  <c r="F181" i="1"/>
  <c r="F184" i="1"/>
  <c r="F187" i="1"/>
  <c r="F188" i="1"/>
  <c r="F190" i="1"/>
  <c r="F192" i="1"/>
  <c r="F195" i="1"/>
  <c r="F199" i="1"/>
  <c r="F201" i="1"/>
  <c r="F202" i="1"/>
  <c r="F204" i="1"/>
  <c r="F205" i="1"/>
  <c r="F206" i="1"/>
  <c r="F207" i="1"/>
  <c r="F210" i="1"/>
  <c r="F212" i="1"/>
  <c r="F213" i="1"/>
  <c r="F215" i="1"/>
  <c r="F216" i="1"/>
  <c r="F217" i="1"/>
  <c r="F228" i="1"/>
  <c r="F229" i="1"/>
  <c r="F231" i="1"/>
  <c r="F234" i="1"/>
  <c r="F235" i="1"/>
  <c r="F236" i="1"/>
  <c r="F241" i="1"/>
  <c r="F242" i="1"/>
  <c r="F243" i="1"/>
  <c r="F251" i="1"/>
  <c r="F253" i="1"/>
  <c r="F255" i="1"/>
  <c r="F256" i="1"/>
  <c r="F258" i="1"/>
  <c r="F259" i="1"/>
  <c r="F260" i="1"/>
  <c r="F263" i="1"/>
  <c r="F264" i="1"/>
  <c r="F265" i="1"/>
  <c r="F268" i="1"/>
  <c r="F269" i="1"/>
  <c r="F270" i="1"/>
  <c r="F271" i="1"/>
  <c r="F272" i="1"/>
  <c r="F275" i="1"/>
  <c r="F277" i="1"/>
  <c r="F278" i="1"/>
  <c r="F279" i="1"/>
  <c r="F281" i="1"/>
  <c r="F282" i="1"/>
  <c r="F285" i="1"/>
  <c r="F286" i="1"/>
  <c r="F287" i="1"/>
  <c r="F288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4" i="1"/>
  <c r="F305" i="1"/>
  <c r="F340" i="1"/>
  <c r="F343" i="1"/>
  <c r="F346" i="1"/>
  <c r="F347" i="1"/>
  <c r="F348" i="1"/>
  <c r="F350" i="1"/>
  <c r="F358" i="1"/>
  <c r="F360" i="1"/>
  <c r="F361" i="1"/>
  <c r="F362" i="1"/>
  <c r="F363" i="1"/>
  <c r="F365" i="1"/>
  <c r="F368" i="1"/>
  <c r="F376" i="1"/>
  <c r="F378" i="1"/>
  <c r="F379" i="1"/>
  <c r="F380" i="1"/>
  <c r="F382" i="1"/>
  <c r="F384" i="1"/>
  <c r="F385" i="1"/>
  <c r="F386" i="1"/>
  <c r="F387" i="1"/>
  <c r="F392" i="1"/>
  <c r="F395" i="1"/>
  <c r="F396" i="1"/>
  <c r="F402" i="1"/>
  <c r="F403" i="1"/>
  <c r="F404" i="1"/>
  <c r="F405" i="1"/>
  <c r="F406" i="1"/>
  <c r="F408" i="1"/>
  <c r="F410" i="1"/>
  <c r="F411" i="1"/>
  <c r="F412" i="1"/>
  <c r="F414" i="1"/>
  <c r="F416" i="1"/>
  <c r="F417" i="1"/>
  <c r="F419" i="1"/>
  <c r="F421" i="1"/>
  <c r="F422" i="1"/>
  <c r="F423" i="1"/>
  <c r="F424" i="1"/>
  <c r="F425" i="1"/>
  <c r="F426" i="1"/>
  <c r="F427" i="1"/>
  <c r="F429" i="1"/>
  <c r="F431" i="1"/>
  <c r="F432" i="1"/>
  <c r="F433" i="1"/>
  <c r="F434" i="1"/>
  <c r="F435" i="1"/>
  <c r="F436" i="1"/>
  <c r="F437" i="1"/>
  <c r="F438" i="1"/>
  <c r="F440" i="1"/>
  <c r="F441" i="1"/>
  <c r="F462" i="1"/>
  <c r="F463" i="1"/>
  <c r="F464" i="1"/>
  <c r="F471" i="1"/>
  <c r="F472" i="1"/>
  <c r="F474" i="1"/>
  <c r="F475" i="1"/>
  <c r="F476" i="1"/>
  <c r="F477" i="1"/>
  <c r="F478" i="1"/>
  <c r="F482" i="1"/>
  <c r="F483" i="1"/>
  <c r="F485" i="1"/>
  <c r="F487" i="1"/>
  <c r="F494" i="1"/>
  <c r="F496" i="1"/>
  <c r="F500" i="1"/>
  <c r="F503" i="1"/>
  <c r="F504" i="1"/>
  <c r="F507" i="1"/>
  <c r="F510" i="1"/>
  <c r="F511" i="1"/>
  <c r="F515" i="1"/>
  <c r="F516" i="1"/>
  <c r="F521" i="1"/>
  <c r="F522" i="1"/>
  <c r="F523" i="1"/>
  <c r="F525" i="1"/>
  <c r="F530" i="1"/>
  <c r="F531" i="1"/>
  <c r="F533" i="1"/>
  <c r="F534" i="1"/>
  <c r="F536" i="1"/>
  <c r="F537" i="1"/>
  <c r="F539" i="1"/>
  <c r="F540" i="1"/>
  <c r="F546" i="1"/>
  <c r="F549" i="1"/>
  <c r="F551" i="1"/>
  <c r="F553" i="1"/>
  <c r="F554" i="1"/>
  <c r="F556" i="1"/>
  <c r="F557" i="1"/>
  <c r="F560" i="1"/>
  <c r="F561" i="1"/>
  <c r="F562" i="1"/>
  <c r="F563" i="1"/>
  <c r="F564" i="1"/>
  <c r="F566" i="1"/>
  <c r="F567" i="1"/>
  <c r="F568" i="1"/>
  <c r="F569" i="1"/>
  <c r="F570" i="1"/>
  <c r="F590" i="1"/>
  <c r="F594" i="1"/>
  <c r="F595" i="1"/>
  <c r="F598" i="1"/>
  <c r="F599" i="1"/>
  <c r="F601" i="1"/>
  <c r="F602" i="1"/>
  <c r="F603" i="1"/>
  <c r="F604" i="1"/>
  <c r="F608" i="1"/>
  <c r="F609" i="1"/>
  <c r="F613" i="1"/>
  <c r="F615" i="1"/>
  <c r="F616" i="1"/>
  <c r="F617" i="1"/>
  <c r="F618" i="1"/>
  <c r="F620" i="1"/>
  <c r="F622" i="1"/>
  <c r="F62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2" i="8"/>
  <c r="F1333" i="8"/>
  <c r="F1334" i="8"/>
  <c r="F1335" i="8"/>
  <c r="F1336" i="8"/>
  <c r="F1337" i="8"/>
  <c r="F1373" i="8"/>
  <c r="F1374" i="8"/>
  <c r="F1375" i="8"/>
  <c r="F1376" i="8"/>
  <c r="F137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<sst xmlns="http://schemas.openxmlformats.org/spreadsheetml/2006/main" count="8137" uniqueCount="2013">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</sst>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706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328</xdr:row>
      <xdr:rowOff>119062</xdr:rowOff>
    </xdr:from>
    <xdr:to>
      <xdr:col>8</xdr:col>
      <xdr:colOff>1524000</xdr:colOff>
      <xdr:row>330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328</xdr:row>
      <xdr:rowOff>119062</xdr:rowOff>
    </xdr:from>
    <xdr:to>
      <xdr:col>11</xdr:col>
      <xdr:colOff>23812</xdr:colOff>
      <xdr:row>330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461</xdr:row>
      <xdr:rowOff>83344</xdr:rowOff>
    </xdr:from>
    <xdr:to>
      <xdr:col>8</xdr:col>
      <xdr:colOff>1512094</xdr:colOff>
      <xdr:row>463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461</xdr:row>
      <xdr:rowOff>83344</xdr:rowOff>
    </xdr:from>
    <xdr:to>
      <xdr:col>11</xdr:col>
      <xdr:colOff>11906</xdr:colOff>
      <xdr:row>463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587</xdr:row>
      <xdr:rowOff>107157</xdr:rowOff>
    </xdr:from>
    <xdr:to>
      <xdr:col>8</xdr:col>
      <xdr:colOff>1512094</xdr:colOff>
      <xdr:row>589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587</xdr:row>
      <xdr:rowOff>107157</xdr:rowOff>
    </xdr:from>
    <xdr:to>
      <xdr:col>11</xdr:col>
      <xdr:colOff>11906</xdr:colOff>
      <xdr:row>589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325</xdr:row>
      <xdr:rowOff>190500</xdr:rowOff>
    </xdr:from>
    <xdr:to>
      <xdr:col>9</xdr:col>
      <xdr:colOff>619125</xdr:colOff>
      <xdr:row>328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458</xdr:row>
      <xdr:rowOff>95250</xdr:rowOff>
    </xdr:from>
    <xdr:to>
      <xdr:col>9</xdr:col>
      <xdr:colOff>595313</xdr:colOff>
      <xdr:row>460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584</xdr:row>
      <xdr:rowOff>130969</xdr:rowOff>
    </xdr:from>
    <xdr:to>
      <xdr:col>9</xdr:col>
      <xdr:colOff>619126</xdr:colOff>
      <xdr:row>587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i.whatsapp.com/send/?phone=%2B584246792685&amp;text&amp;type=phone_number&amp;app_absent=0" TargetMode="External"/><Relationship Id="rId1" Type="http://schemas.openxmlformats.org/officeDocument/2006/relationships/hyperlink" Target="https://api.whatsapp.com/send/?phone=%2B584246228061&amp;text&amp;type=phone_number&amp;app_absent=0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6"/>
  <sheetViews>
    <sheetView tabSelected="1" zoomScale="80" zoomScaleNormal="80" workbookViewId="0">
      <selection activeCell="G24" sqref="G2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3.5703125" customWidth="1"/>
    <col min="9" max="9" width="23.28515625" customWidth="1"/>
    <col min="13" max="13" width="11.42578125" customWidth="1"/>
  </cols>
  <sheetData>
    <row r="1" spans="1:17" x14ac:dyDescent="0.25">
      <c r="A1" s="177" t="s">
        <v>47</v>
      </c>
      <c r="B1" s="178"/>
      <c r="C1" s="178"/>
      <c r="D1" s="178"/>
      <c r="E1" s="178"/>
      <c r="F1" s="178"/>
      <c r="G1" s="179"/>
      <c r="L1" t="s">
        <v>1775</v>
      </c>
      <c r="Q1" t="s">
        <v>1979</v>
      </c>
    </row>
    <row r="2" spans="1:17" ht="15.75" x14ac:dyDescent="0.25">
      <c r="A2" s="180" t="s">
        <v>1985</v>
      </c>
      <c r="B2" s="181"/>
      <c r="C2" s="181"/>
      <c r="D2" s="181"/>
      <c r="E2" s="181"/>
      <c r="F2" s="181"/>
      <c r="G2" s="182"/>
      <c r="H2" s="37"/>
      <c r="L2" s="38" t="str">
        <f ca="1">IF(AND(I2="NO",J2="NO"),IF(L2="",TODAY(),L2),"")</f>
        <v/>
      </c>
      <c r="Q2" s="136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>Lillibeth Sosa</v>
      </c>
    </row>
    <row r="3" spans="1:17" x14ac:dyDescent="0.25">
      <c r="A3" s="191" t="s">
        <v>48</v>
      </c>
      <c r="B3" s="192"/>
      <c r="C3" s="195" t="s">
        <v>1986</v>
      </c>
      <c r="D3" s="196"/>
      <c r="E3" s="196"/>
      <c r="F3" s="196"/>
      <c r="G3" s="197"/>
    </row>
    <row r="4" spans="1:17" x14ac:dyDescent="0.25">
      <c r="A4" s="193"/>
      <c r="B4" s="194"/>
      <c r="C4" s="198"/>
      <c r="D4" s="199"/>
      <c r="E4" s="199"/>
      <c r="F4" s="199"/>
      <c r="G4" s="200"/>
    </row>
    <row r="5" spans="1:17" ht="44.25" customHeight="1" x14ac:dyDescent="0.25">
      <c r="A5" s="173" t="s">
        <v>49</v>
      </c>
      <c r="B5" s="174"/>
      <c r="C5" s="171">
        <f>C98+C318+C449+C574+C625</f>
        <v>179</v>
      </c>
      <c r="D5" s="172"/>
      <c r="E5" s="20" t="s">
        <v>51</v>
      </c>
      <c r="F5" s="33">
        <f>C5/C19*100</f>
        <v>32.904411764705884</v>
      </c>
      <c r="G5" s="11" t="s">
        <v>1881</v>
      </c>
      <c r="H5" s="50"/>
      <c r="J5" s="145" t="s">
        <v>1841</v>
      </c>
      <c r="K5" s="145"/>
    </row>
    <row r="6" spans="1:17" ht="45.75" customHeight="1" x14ac:dyDescent="0.25">
      <c r="A6" s="173" t="s">
        <v>50</v>
      </c>
      <c r="B6" s="174"/>
      <c r="C6" s="183">
        <f>C99+C319+C450+C575+C626</f>
        <v>356</v>
      </c>
      <c r="D6" s="184"/>
      <c r="E6" s="7" t="s">
        <v>51</v>
      </c>
      <c r="F6" s="33">
        <f>C6/C19*100</f>
        <v>65.441176470588232</v>
      </c>
      <c r="G6" s="11" t="s">
        <v>1882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3" t="s">
        <v>52</v>
      </c>
      <c r="B8" s="174"/>
      <c r="C8" s="171">
        <f>C101+C321+C452+C577+C628</f>
        <v>188</v>
      </c>
      <c r="D8" s="172"/>
      <c r="E8" s="7" t="s">
        <v>51</v>
      </c>
      <c r="F8" s="33">
        <f>C8/C19*100</f>
        <v>34.558823529411761</v>
      </c>
      <c r="G8" s="11" t="s">
        <v>277</v>
      </c>
      <c r="J8" s="145" t="s">
        <v>1842</v>
      </c>
      <c r="K8" s="145"/>
    </row>
    <row r="9" spans="1:17" ht="58.5" customHeight="1" x14ac:dyDescent="0.25">
      <c r="A9" s="173" t="s">
        <v>53</v>
      </c>
      <c r="B9" s="174"/>
      <c r="C9" s="183">
        <f>C102+C322+C453+C578+C629</f>
        <v>356</v>
      </c>
      <c r="D9" s="184"/>
      <c r="E9" s="7" t="s">
        <v>51</v>
      </c>
      <c r="F9" s="34">
        <f>C9/C19*100</f>
        <v>65.441176470588232</v>
      </c>
      <c r="G9" s="11" t="s">
        <v>278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62" t="s">
        <v>1049</v>
      </c>
      <c r="B11" s="163"/>
      <c r="C11" s="166">
        <f>C104+C324+C455+C580+C631</f>
        <v>89</v>
      </c>
      <c r="D11" s="150" t="s">
        <v>51</v>
      </c>
      <c r="E11" s="152">
        <f>C11/C19*100</f>
        <v>16.360294117647058</v>
      </c>
      <c r="F11" s="187" t="s">
        <v>1041</v>
      </c>
      <c r="G11" s="188"/>
      <c r="H11" s="41"/>
    </row>
    <row r="12" spans="1:17" x14ac:dyDescent="0.25">
      <c r="A12" s="164"/>
      <c r="B12" s="165"/>
      <c r="C12" s="167"/>
      <c r="D12" s="151"/>
      <c r="E12" s="153"/>
      <c r="F12" s="189"/>
      <c r="G12" s="190"/>
      <c r="H12" s="41"/>
      <c r="L12" s="140"/>
    </row>
    <row r="13" spans="1:17" ht="15" customHeight="1" x14ac:dyDescent="0.25">
      <c r="A13" s="162" t="s">
        <v>1050</v>
      </c>
      <c r="B13" s="163"/>
      <c r="C13" s="166">
        <f>C106+C326+C457+C582+C633</f>
        <v>264</v>
      </c>
      <c r="D13" s="150" t="s">
        <v>51</v>
      </c>
      <c r="E13" s="152">
        <f>C13/C19*100</f>
        <v>48.529411764705884</v>
      </c>
      <c r="F13" s="187" t="s">
        <v>1042</v>
      </c>
      <c r="G13" s="188"/>
      <c r="H13" s="41"/>
    </row>
    <row r="14" spans="1:17" ht="15" customHeight="1" x14ac:dyDescent="0.25">
      <c r="A14" s="164"/>
      <c r="B14" s="165"/>
      <c r="C14" s="167"/>
      <c r="D14" s="151"/>
      <c r="E14" s="153"/>
      <c r="F14" s="189"/>
      <c r="G14" s="190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3" t="s">
        <v>362</v>
      </c>
      <c r="B16" s="174"/>
      <c r="C16" s="185">
        <f>COUNTIF(E25:E623,"NUEVO")</f>
        <v>12</v>
      </c>
      <c r="D16" s="186"/>
      <c r="E16" s="7" t="s">
        <v>51</v>
      </c>
      <c r="F16" s="12">
        <f>C16/C19*100</f>
        <v>2.2058823529411766</v>
      </c>
      <c r="G16" s="32" t="s">
        <v>361</v>
      </c>
    </row>
    <row r="17" spans="1:10" ht="45" x14ac:dyDescent="0.25">
      <c r="A17" s="173" t="s">
        <v>363</v>
      </c>
      <c r="B17" s="174"/>
      <c r="C17" s="185">
        <f>COUNTIF(C25:C623,"NUEVO")</f>
        <v>7</v>
      </c>
      <c r="D17" s="186"/>
      <c r="E17" s="7" t="s">
        <v>51</v>
      </c>
      <c r="F17" s="12">
        <f>C17/C19*100</f>
        <v>1.2867647058823528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276</v>
      </c>
      <c r="B19" s="174"/>
      <c r="C19" s="185">
        <f>A96+A316+A447+A572+A623</f>
        <v>544</v>
      </c>
      <c r="D19" s="186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6" t="s">
        <v>1926</v>
      </c>
      <c r="B21" s="147"/>
      <c r="C21" s="147"/>
      <c r="D21" s="147"/>
      <c r="E21" s="148"/>
      <c r="I21" s="175" t="s">
        <v>1926</v>
      </c>
      <c r="J21" s="175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1982</v>
      </c>
      <c r="G22" s="13" t="s">
        <v>1983</v>
      </c>
      <c r="I22" s="176"/>
      <c r="J22" s="176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1285</v>
      </c>
      <c r="F23" s="38" t="str">
        <f ca="1">IF(AND(C23="NO",D23="NO"),IF(F23="",TODAY(),F23),"")</f>
        <v/>
      </c>
      <c r="G23" s="141">
        <v>584246228061</v>
      </c>
      <c r="I23" s="4" t="str" cm="1">
        <f t="array" ref="I23:I34">_xlfn._xlws.FILTER(B23:B96,(C23:C96="SI")*(D23:D96="SI"),"")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1285</v>
      </c>
      <c r="F24" s="38" t="str">
        <f ca="1">IF(AND(C24="NO",D24="NO"),IF(F24="",TODAY(),F24),"")</f>
        <v/>
      </c>
      <c r="G24" s="141">
        <f>584246792685</f>
        <v>584246792685</v>
      </c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46222</v>
      </c>
      <c r="G25" s="139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265</v>
      </c>
      <c r="F26" s="38" t="str">
        <f t="shared" ca="1" si="0"/>
        <v/>
      </c>
      <c r="G26" s="139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307</v>
      </c>
      <c r="F27" s="38" t="str">
        <f t="shared" ca="1" si="0"/>
        <v/>
      </c>
      <c r="G27" s="139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307</v>
      </c>
      <c r="F28" s="38" t="str">
        <f t="shared" ca="1" si="0"/>
        <v/>
      </c>
      <c r="G28" s="139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39"/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46</v>
      </c>
      <c r="F30" s="38" t="str">
        <f t="shared" ca="1" si="0"/>
        <v/>
      </c>
      <c r="G30" s="139"/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G31" s="139"/>
      <c r="I31" s="4" t="str">
        <v>Norelia Villasmil</v>
      </c>
      <c r="J31" s="4"/>
    </row>
    <row r="32" spans="1:10" ht="15.75" x14ac:dyDescent="0.25">
      <c r="A32" s="9">
        <v>10</v>
      </c>
      <c r="B32" s="8" t="s">
        <v>1951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G32" s="139"/>
      <c r="I32" s="4" t="str">
        <v>Isaura Lopez</v>
      </c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G33" s="139"/>
      <c r="I33" s="4" t="str">
        <v>Lorena Acosta</v>
      </c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G34" s="139"/>
      <c r="I34" s="4" t="str">
        <v>Nuris Rincón</v>
      </c>
      <c r="J34" s="4"/>
    </row>
    <row r="35" spans="1:10" ht="15" customHeight="1" x14ac:dyDescent="0.25">
      <c r="A35" s="9">
        <v>13</v>
      </c>
      <c r="B35" s="8" t="s">
        <v>19</v>
      </c>
      <c r="C35" s="18" t="s">
        <v>5</v>
      </c>
      <c r="D35" s="18" t="s">
        <v>5</v>
      </c>
      <c r="E35" s="31" t="s">
        <v>265</v>
      </c>
      <c r="F35" s="38" t="str">
        <f t="shared" ca="1" si="0"/>
        <v/>
      </c>
      <c r="G35" s="139"/>
      <c r="I35" s="4"/>
      <c r="J35" s="125">
        <f>C104</f>
        <v>12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5</v>
      </c>
      <c r="E36" s="31" t="s">
        <v>46</v>
      </c>
      <c r="F36" s="38" t="str">
        <f t="shared" ca="1" si="0"/>
        <v/>
      </c>
      <c r="G36" s="139"/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5</v>
      </c>
      <c r="E37" s="31" t="s">
        <v>46</v>
      </c>
      <c r="F37" s="38" t="str">
        <f t="shared" ca="1" si="0"/>
        <v/>
      </c>
      <c r="G37" s="139"/>
    </row>
    <row r="38" spans="1:10" ht="15.75" customHeight="1" x14ac:dyDescent="0.25">
      <c r="A38" s="9">
        <v>16</v>
      </c>
      <c r="B38" s="8" t="s">
        <v>20</v>
      </c>
      <c r="C38" s="18" t="s">
        <v>5</v>
      </c>
      <c r="D38" s="18" t="s">
        <v>5</v>
      </c>
      <c r="E38" s="31" t="s">
        <v>46</v>
      </c>
      <c r="F38" s="38" t="str">
        <f t="shared" ca="1" si="0"/>
        <v/>
      </c>
      <c r="G38" s="139"/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G39" s="139"/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5</v>
      </c>
      <c r="D40" s="18" t="s">
        <v>6</v>
      </c>
      <c r="E40" s="31" t="s">
        <v>46</v>
      </c>
      <c r="F40" s="38" t="str">
        <f t="shared" ca="1" si="0"/>
        <v/>
      </c>
      <c r="G40" s="139"/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G41" s="139"/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  <c r="G42" s="139"/>
    </row>
    <row r="43" spans="1:10" ht="15" customHeight="1" x14ac:dyDescent="0.25">
      <c r="A43" s="9">
        <v>21</v>
      </c>
      <c r="B43" s="8" t="s">
        <v>22</v>
      </c>
      <c r="C43" s="18" t="s">
        <v>5</v>
      </c>
      <c r="D43" s="18" t="s">
        <v>6</v>
      </c>
      <c r="E43" s="31" t="s">
        <v>46</v>
      </c>
      <c r="F43" s="38" t="str">
        <f t="shared" ca="1" si="0"/>
        <v/>
      </c>
      <c r="G43" s="139"/>
    </row>
    <row r="44" spans="1:10" ht="15.75" x14ac:dyDescent="0.25">
      <c r="A44" s="9">
        <v>22</v>
      </c>
      <c r="B44" s="8" t="s">
        <v>27</v>
      </c>
      <c r="C44" s="18" t="s">
        <v>5</v>
      </c>
      <c r="D44" s="18" t="s">
        <v>5</v>
      </c>
      <c r="E44" s="31" t="s">
        <v>265</v>
      </c>
      <c r="F44" s="38" t="str">
        <f t="shared" ca="1" si="0"/>
        <v/>
      </c>
      <c r="G44" s="139"/>
    </row>
    <row r="45" spans="1:10" ht="15.75" x14ac:dyDescent="0.25">
      <c r="A45" s="9">
        <v>23</v>
      </c>
      <c r="B45" s="8" t="s">
        <v>32</v>
      </c>
      <c r="C45" s="18" t="s">
        <v>5</v>
      </c>
      <c r="D45" s="18" t="s">
        <v>5</v>
      </c>
      <c r="E45" s="31" t="s">
        <v>307</v>
      </c>
      <c r="F45" s="38" t="str">
        <f t="shared" ca="1" si="0"/>
        <v/>
      </c>
      <c r="G45" s="139"/>
    </row>
    <row r="46" spans="1:10" ht="15.75" x14ac:dyDescent="0.25">
      <c r="A46" s="9">
        <v>24</v>
      </c>
      <c r="B46" s="8" t="s">
        <v>1304</v>
      </c>
      <c r="C46" s="18" t="s">
        <v>5</v>
      </c>
      <c r="D46" s="18" t="s">
        <v>6</v>
      </c>
      <c r="E46" s="31" t="s">
        <v>307</v>
      </c>
      <c r="F46" s="38" t="str">
        <f t="shared" ca="1" si="0"/>
        <v/>
      </c>
      <c r="G46" s="139"/>
    </row>
    <row r="47" spans="1:10" ht="15.75" x14ac:dyDescent="0.25">
      <c r="A47" s="9">
        <v>25</v>
      </c>
      <c r="B47" s="8" t="s">
        <v>1640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  <c r="G47" s="139"/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39"/>
    </row>
    <row r="49" spans="1:7" ht="15.75" x14ac:dyDescent="0.25">
      <c r="A49" s="9">
        <v>27</v>
      </c>
      <c r="B49" s="8" t="s">
        <v>260</v>
      </c>
      <c r="C49" s="18" t="s">
        <v>6</v>
      </c>
      <c r="D49" s="18" t="s">
        <v>5</v>
      </c>
      <c r="E49" s="31" t="s">
        <v>46</v>
      </c>
      <c r="F49" s="38" t="str">
        <f t="shared" ca="1" si="0"/>
        <v/>
      </c>
      <c r="G49" s="139"/>
    </row>
    <row r="50" spans="1:7" ht="15.75" x14ac:dyDescent="0.25">
      <c r="A50" s="9">
        <v>28</v>
      </c>
      <c r="B50" s="49" t="s">
        <v>1616</v>
      </c>
      <c r="C50" s="18" t="s">
        <v>5</v>
      </c>
      <c r="D50" s="18" t="s">
        <v>6</v>
      </c>
      <c r="E50" s="31" t="s">
        <v>46</v>
      </c>
      <c r="F50" s="38" t="str">
        <f t="shared" ca="1" si="0"/>
        <v/>
      </c>
      <c r="G50" s="139"/>
    </row>
    <row r="51" spans="1:7" ht="15" customHeight="1" x14ac:dyDescent="0.25">
      <c r="A51" s="9">
        <v>29</v>
      </c>
      <c r="B51" s="8" t="s">
        <v>403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39"/>
    </row>
    <row r="52" spans="1:7" ht="15" customHeight="1" x14ac:dyDescent="0.25">
      <c r="A52" s="9">
        <v>30</v>
      </c>
      <c r="B52" s="8" t="s">
        <v>1830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  <c r="G52" s="139"/>
    </row>
    <row r="53" spans="1:7" ht="15.75" x14ac:dyDescent="0.25">
      <c r="A53" s="9">
        <v>31</v>
      </c>
      <c r="B53" s="49" t="s">
        <v>1843</v>
      </c>
      <c r="C53" s="18" t="s">
        <v>6</v>
      </c>
      <c r="D53" s="18" t="s">
        <v>5</v>
      </c>
      <c r="E53" s="31" t="s">
        <v>46</v>
      </c>
      <c r="F53" s="38" t="str">
        <f t="shared" ca="1" si="0"/>
        <v/>
      </c>
      <c r="G53" s="139"/>
    </row>
    <row r="54" spans="1:7" ht="15.75" x14ac:dyDescent="0.25">
      <c r="A54" s="9">
        <v>32</v>
      </c>
      <c r="B54" s="49" t="s">
        <v>1572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  <c r="G54" s="139"/>
    </row>
    <row r="55" spans="1:7" ht="15.75" x14ac:dyDescent="0.25">
      <c r="A55" s="9">
        <v>33</v>
      </c>
      <c r="B55" s="49" t="s">
        <v>1576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  <c r="G55" s="139"/>
    </row>
    <row r="56" spans="1:7" ht="15.75" x14ac:dyDescent="0.25">
      <c r="A56" s="9">
        <v>34</v>
      </c>
      <c r="B56" s="8" t="s">
        <v>811</v>
      </c>
      <c r="C56" s="18" t="s">
        <v>6</v>
      </c>
      <c r="D56" s="18" t="s">
        <v>5</v>
      </c>
      <c r="E56" s="31" t="s">
        <v>346</v>
      </c>
      <c r="F56" s="38" t="str">
        <f t="shared" ref="F56:F86" ca="1" si="2">IF(AND(C56="NO",D56="NO"),IF(F56="",TODAY(),F56),"")</f>
        <v/>
      </c>
      <c r="G56" s="139"/>
    </row>
    <row r="57" spans="1:7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  <c r="G57" s="139"/>
    </row>
    <row r="58" spans="1:7" ht="15.75" x14ac:dyDescent="0.25">
      <c r="A58" s="9">
        <v>36</v>
      </c>
      <c r="B58" s="8" t="s">
        <v>258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39"/>
    </row>
    <row r="59" spans="1:7" ht="15.75" x14ac:dyDescent="0.25">
      <c r="A59" s="9">
        <v>37</v>
      </c>
      <c r="B59" s="49" t="s">
        <v>917</v>
      </c>
      <c r="C59" s="18" t="s">
        <v>6</v>
      </c>
      <c r="D59" s="18" t="s">
        <v>5</v>
      </c>
      <c r="E59" s="31" t="s">
        <v>46</v>
      </c>
      <c r="F59" s="38" t="str">
        <f t="shared" ca="1" si="2"/>
        <v/>
      </c>
      <c r="G59" s="139"/>
    </row>
    <row r="60" spans="1:7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  <c r="G60" s="139"/>
    </row>
    <row r="61" spans="1:7" ht="15.75" x14ac:dyDescent="0.25">
      <c r="A61" s="9">
        <v>39</v>
      </c>
      <c r="B61" s="49" t="s">
        <v>1574</v>
      </c>
      <c r="C61" s="18" t="s">
        <v>5</v>
      </c>
      <c r="D61" s="18" t="s">
        <v>5</v>
      </c>
      <c r="E61" s="31" t="s">
        <v>46</v>
      </c>
      <c r="F61" s="38" t="str">
        <f t="shared" ca="1" si="2"/>
        <v/>
      </c>
      <c r="G61" s="139"/>
    </row>
    <row r="62" spans="1:7" ht="15.75" x14ac:dyDescent="0.25">
      <c r="A62" s="9">
        <v>40</v>
      </c>
      <c r="B62" s="49" t="s">
        <v>1567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39"/>
    </row>
    <row r="63" spans="1:7" ht="15.75" x14ac:dyDescent="0.25">
      <c r="A63" s="9">
        <v>41</v>
      </c>
      <c r="B63" s="49" t="s">
        <v>1817</v>
      </c>
      <c r="C63" s="18" t="s">
        <v>5</v>
      </c>
      <c r="D63" s="18" t="s">
        <v>6</v>
      </c>
      <c r="E63" s="31" t="s">
        <v>46</v>
      </c>
      <c r="F63" s="38" t="str">
        <f t="shared" ca="1" si="2"/>
        <v/>
      </c>
      <c r="G63" s="139"/>
    </row>
    <row r="64" spans="1:7" ht="15.75" x14ac:dyDescent="0.25">
      <c r="A64" s="9">
        <v>42</v>
      </c>
      <c r="B64" s="49" t="s">
        <v>1755</v>
      </c>
      <c r="C64" s="18" t="s">
        <v>6</v>
      </c>
      <c r="D64" s="18" t="s">
        <v>5</v>
      </c>
      <c r="E64" s="31" t="s">
        <v>46</v>
      </c>
      <c r="F64" s="38" t="str">
        <f t="shared" ca="1" si="2"/>
        <v/>
      </c>
      <c r="G64" s="139"/>
    </row>
    <row r="65" spans="1:9" ht="15.75" x14ac:dyDescent="0.25">
      <c r="A65" s="9">
        <v>43</v>
      </c>
      <c r="B65" s="49" t="s">
        <v>1819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139"/>
    </row>
    <row r="66" spans="1:9" ht="15.75" x14ac:dyDescent="0.25">
      <c r="A66" s="9">
        <v>44</v>
      </c>
      <c r="B66" s="49" t="s">
        <v>1831</v>
      </c>
      <c r="C66" s="18" t="s">
        <v>6</v>
      </c>
      <c r="D66" s="18" t="s">
        <v>5</v>
      </c>
      <c r="E66" s="31" t="s">
        <v>346</v>
      </c>
      <c r="F66" s="38" t="str">
        <f t="shared" ca="1" si="2"/>
        <v/>
      </c>
      <c r="G66" s="139"/>
    </row>
    <row r="67" spans="1:9" ht="15.75" x14ac:dyDescent="0.25">
      <c r="A67" s="9">
        <v>45</v>
      </c>
      <c r="B67" s="49" t="s">
        <v>1857</v>
      </c>
      <c r="C67" s="18" t="s">
        <v>6</v>
      </c>
      <c r="D67" s="18" t="s">
        <v>5</v>
      </c>
      <c r="E67" s="31" t="s">
        <v>346</v>
      </c>
      <c r="F67" s="38" t="str">
        <f t="shared" ca="1" si="2"/>
        <v/>
      </c>
      <c r="G67" s="139"/>
    </row>
    <row r="68" spans="1:9" ht="15.75" x14ac:dyDescent="0.25">
      <c r="A68" s="9">
        <v>46</v>
      </c>
      <c r="B68" s="49" t="s">
        <v>1848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139"/>
    </row>
    <row r="69" spans="1:9" ht="15.75" x14ac:dyDescent="0.25">
      <c r="A69" s="9">
        <v>47</v>
      </c>
      <c r="B69" s="49" t="s">
        <v>1849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139"/>
    </row>
    <row r="70" spans="1:9" ht="15.75" x14ac:dyDescent="0.25">
      <c r="A70" s="9">
        <v>48</v>
      </c>
      <c r="B70" s="49" t="s">
        <v>1850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39"/>
    </row>
    <row r="71" spans="1:9" ht="15.75" x14ac:dyDescent="0.25">
      <c r="A71" s="9">
        <v>49</v>
      </c>
      <c r="B71" s="49" t="s">
        <v>1851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39"/>
    </row>
    <row r="72" spans="1:9" ht="15.75" x14ac:dyDescent="0.25">
      <c r="A72" s="9">
        <v>50</v>
      </c>
      <c r="B72" s="49" t="s">
        <v>1853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39"/>
    </row>
    <row r="73" spans="1:9" ht="15.75" x14ac:dyDescent="0.25">
      <c r="A73" s="9">
        <v>51</v>
      </c>
      <c r="B73" s="49" t="s">
        <v>1854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39"/>
    </row>
    <row r="74" spans="1:9" ht="15.75" x14ac:dyDescent="0.25">
      <c r="A74" s="9">
        <v>52</v>
      </c>
      <c r="B74" s="49" t="s">
        <v>1855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139"/>
    </row>
    <row r="75" spans="1:9" ht="15.75" x14ac:dyDescent="0.25">
      <c r="A75" s="9">
        <v>53</v>
      </c>
      <c r="B75" s="49" t="s">
        <v>1852</v>
      </c>
      <c r="C75" s="18" t="s">
        <v>5</v>
      </c>
      <c r="D75" s="18" t="s">
        <v>6</v>
      </c>
      <c r="E75" s="31" t="s">
        <v>46</v>
      </c>
      <c r="F75" s="38" t="str">
        <f t="shared" ca="1" si="2"/>
        <v/>
      </c>
      <c r="G75" s="139"/>
    </row>
    <row r="76" spans="1:9" ht="15.75" x14ac:dyDescent="0.25">
      <c r="A76" s="9">
        <v>54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139"/>
    </row>
    <row r="77" spans="1:9" ht="15.75" x14ac:dyDescent="0.25">
      <c r="A77" s="9">
        <v>55</v>
      </c>
      <c r="B77" s="49" t="s">
        <v>1862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139"/>
    </row>
    <row r="78" spans="1:9" ht="15.75" x14ac:dyDescent="0.25">
      <c r="A78" s="9">
        <v>56</v>
      </c>
      <c r="B78" s="49" t="s">
        <v>1863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139"/>
      <c r="I78" s="115"/>
    </row>
    <row r="79" spans="1:9" ht="15.75" x14ac:dyDescent="0.25">
      <c r="A79" s="9">
        <v>57</v>
      </c>
      <c r="B79" s="49" t="s">
        <v>1864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139"/>
      <c r="I79" s="116"/>
    </row>
    <row r="80" spans="1:9" ht="15.75" x14ac:dyDescent="0.25">
      <c r="A80" s="9">
        <v>58</v>
      </c>
      <c r="B80" s="49" t="s">
        <v>1870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139"/>
    </row>
    <row r="81" spans="1:9" ht="15.75" x14ac:dyDescent="0.25">
      <c r="A81" s="9">
        <v>59</v>
      </c>
      <c r="B81" s="49" t="s">
        <v>1901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139"/>
    </row>
    <row r="82" spans="1:9" ht="15.75" x14ac:dyDescent="0.25">
      <c r="A82" s="9">
        <v>60</v>
      </c>
      <c r="B82" s="49" t="s">
        <v>1912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139"/>
    </row>
    <row r="83" spans="1:9" ht="15.75" x14ac:dyDescent="0.25">
      <c r="A83" s="9">
        <v>61</v>
      </c>
      <c r="B83" s="49" t="s">
        <v>1913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139"/>
    </row>
    <row r="84" spans="1:9" ht="15.75" x14ac:dyDescent="0.25">
      <c r="A84" s="9">
        <v>62</v>
      </c>
      <c r="B84" s="49" t="s">
        <v>1914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139"/>
    </row>
    <row r="85" spans="1:9" ht="15.75" x14ac:dyDescent="0.25">
      <c r="A85" s="9">
        <v>63</v>
      </c>
      <c r="B85" s="49" t="s">
        <v>1915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139"/>
    </row>
    <row r="86" spans="1:9" ht="15.75" x14ac:dyDescent="0.25">
      <c r="A86" s="9">
        <v>64</v>
      </c>
      <c r="B86" s="49" t="s">
        <v>1916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139"/>
    </row>
    <row r="87" spans="1:9" ht="15.75" x14ac:dyDescent="0.25">
      <c r="A87" s="9">
        <v>65</v>
      </c>
      <c r="B87" s="49" t="s">
        <v>1917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139"/>
    </row>
    <row r="88" spans="1:9" ht="14.25" customHeight="1" x14ac:dyDescent="0.25">
      <c r="A88" s="9">
        <v>66</v>
      </c>
      <c r="B88" s="49" t="s">
        <v>1937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139"/>
    </row>
    <row r="89" spans="1:9" ht="15.75" x14ac:dyDescent="0.25">
      <c r="A89" s="9">
        <v>67</v>
      </c>
      <c r="B89" s="49" t="s">
        <v>1938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139"/>
    </row>
    <row r="90" spans="1:9" ht="15.75" x14ac:dyDescent="0.25">
      <c r="A90" s="9">
        <v>68</v>
      </c>
      <c r="B90" s="49" t="s">
        <v>1939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139"/>
    </row>
    <row r="91" spans="1:9" ht="15.75" x14ac:dyDescent="0.25">
      <c r="A91" s="9">
        <v>69</v>
      </c>
      <c r="B91" s="49" t="s">
        <v>1952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139"/>
    </row>
    <row r="92" spans="1:9" ht="15.75" x14ac:dyDescent="0.25">
      <c r="A92" s="9">
        <v>70</v>
      </c>
      <c r="B92" s="49" t="s">
        <v>1953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139"/>
    </row>
    <row r="93" spans="1:9" ht="15.75" x14ac:dyDescent="0.25">
      <c r="A93" s="9">
        <v>71</v>
      </c>
      <c r="B93" s="49" t="s">
        <v>1954</v>
      </c>
      <c r="C93" s="18" t="s">
        <v>6</v>
      </c>
      <c r="D93" s="18" t="s">
        <v>5</v>
      </c>
      <c r="E93" s="31" t="s">
        <v>346</v>
      </c>
      <c r="F93" s="38" t="str">
        <f t="shared" ref="F93:F95" ca="1" si="5">IF(AND(C93="NO",D93="NO"),IF(F93="",TODAY(),F93),"")</f>
        <v/>
      </c>
      <c r="G93" s="139"/>
    </row>
    <row r="94" spans="1:9" ht="15.75" x14ac:dyDescent="0.25">
      <c r="A94" s="9">
        <v>72</v>
      </c>
      <c r="B94" s="49" t="s">
        <v>1978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139"/>
      <c r="I94">
        <f>9+6+7</f>
        <v>22</v>
      </c>
    </row>
    <row r="95" spans="1:9" ht="15.75" x14ac:dyDescent="0.25">
      <c r="A95" s="9">
        <v>73</v>
      </c>
      <c r="B95" s="49" t="s">
        <v>1993</v>
      </c>
      <c r="C95" s="18" t="s">
        <v>5</v>
      </c>
      <c r="D95" s="18" t="s">
        <v>6</v>
      </c>
      <c r="E95" s="31" t="s">
        <v>1777</v>
      </c>
      <c r="F95" s="38" t="str">
        <f t="shared" ca="1" si="5"/>
        <v/>
      </c>
      <c r="G95" s="139"/>
      <c r="I95">
        <f>18+4+3</f>
        <v>25</v>
      </c>
    </row>
    <row r="96" spans="1:9" ht="15.75" x14ac:dyDescent="0.25">
      <c r="A96" s="9">
        <v>74</v>
      </c>
      <c r="B96" s="49" t="s">
        <v>1995</v>
      </c>
      <c r="C96" s="18" t="s">
        <v>5</v>
      </c>
      <c r="D96" s="18" t="s">
        <v>6</v>
      </c>
      <c r="E96" s="31" t="s">
        <v>1777</v>
      </c>
      <c r="F96" s="38" t="str">
        <f t="shared" ca="1" si="4"/>
        <v/>
      </c>
      <c r="G96" s="139"/>
    </row>
    <row r="97" spans="1:10" x14ac:dyDescent="0.25">
      <c r="G97" s="139"/>
    </row>
    <row r="98" spans="1:10" ht="45" x14ac:dyDescent="0.25">
      <c r="A98" s="158" t="s">
        <v>54</v>
      </c>
      <c r="B98" s="159"/>
      <c r="C98" s="10">
        <f>COUNTIF(C25:C96, "SI")</f>
        <v>22</v>
      </c>
      <c r="D98" s="6" t="s">
        <v>51</v>
      </c>
      <c r="E98" s="30">
        <f>C98/A96*100</f>
        <v>29.72972972972973</v>
      </c>
      <c r="F98" s="11" t="s">
        <v>1883</v>
      </c>
      <c r="G98" s="139"/>
    </row>
    <row r="99" spans="1:10" ht="45" x14ac:dyDescent="0.25">
      <c r="A99" s="158" t="s">
        <v>55</v>
      </c>
      <c r="B99" s="159"/>
      <c r="C99" s="10">
        <f>COUNTIF(C23:C96, "NO")</f>
        <v>50</v>
      </c>
      <c r="D99" s="6" t="s">
        <v>51</v>
      </c>
      <c r="E99" s="30">
        <f>C99/A96*100</f>
        <v>67.567567567567565</v>
      </c>
      <c r="F99" s="11" t="s">
        <v>1884</v>
      </c>
      <c r="G99" s="139"/>
    </row>
    <row r="100" spans="1:10" ht="18" x14ac:dyDescent="0.25">
      <c r="A100" s="24"/>
      <c r="B100" s="24"/>
      <c r="C100" s="25"/>
      <c r="D100" s="26"/>
      <c r="E100" s="27"/>
      <c r="F100" s="28"/>
      <c r="G100" s="139"/>
    </row>
    <row r="101" spans="1:10" ht="45" x14ac:dyDescent="0.25">
      <c r="A101" s="158" t="s">
        <v>56</v>
      </c>
      <c r="B101" s="159"/>
      <c r="C101" s="10">
        <f>COUNTIF(D22:D96, "SI")</f>
        <v>25</v>
      </c>
      <c r="D101" s="6" t="s">
        <v>51</v>
      </c>
      <c r="E101" s="30">
        <f>C101/A96*100</f>
        <v>33.783783783783782</v>
      </c>
      <c r="F101" s="11" t="s">
        <v>58</v>
      </c>
      <c r="G101" s="139"/>
    </row>
    <row r="102" spans="1:10" ht="45" x14ac:dyDescent="0.25">
      <c r="A102" s="158" t="s">
        <v>57</v>
      </c>
      <c r="B102" s="159"/>
      <c r="C102" s="10">
        <f>COUNTIF(D23:D96, "NO")</f>
        <v>49</v>
      </c>
      <c r="D102" s="6" t="s">
        <v>51</v>
      </c>
      <c r="E102" s="30">
        <f>C102/A96*100</f>
        <v>66.21621621621621</v>
      </c>
      <c r="F102" s="11" t="s">
        <v>59</v>
      </c>
      <c r="G102" s="139"/>
    </row>
    <row r="103" spans="1:10" ht="18" x14ac:dyDescent="0.25">
      <c r="A103" s="24"/>
      <c r="B103" s="24"/>
      <c r="C103" s="25"/>
      <c r="D103" s="26"/>
      <c r="E103" s="27"/>
      <c r="F103" s="58"/>
      <c r="G103" s="139"/>
    </row>
    <row r="104" spans="1:10" ht="15" customHeight="1" x14ac:dyDescent="0.25">
      <c r="A104" s="154" t="s">
        <v>1039</v>
      </c>
      <c r="B104" s="155"/>
      <c r="C104" s="149">
        <f>COUNTIFS(C23:C96,"SI",D23:D96,"SI")</f>
        <v>12</v>
      </c>
      <c r="D104" s="150" t="s">
        <v>51</v>
      </c>
      <c r="E104" s="152">
        <f>C104/A96*100</f>
        <v>16.216216216216218</v>
      </c>
      <c r="F104" s="168" t="s">
        <v>1041</v>
      </c>
      <c r="G104" s="139"/>
    </row>
    <row r="105" spans="1:10" ht="15" customHeight="1" x14ac:dyDescent="0.25">
      <c r="A105" s="156"/>
      <c r="B105" s="157"/>
      <c r="C105" s="149"/>
      <c r="D105" s="151"/>
      <c r="E105" s="153"/>
      <c r="F105" s="169"/>
      <c r="G105" s="139"/>
    </row>
    <row r="106" spans="1:10" ht="15" customHeight="1" x14ac:dyDescent="0.25">
      <c r="A106" s="154" t="s">
        <v>1040</v>
      </c>
      <c r="B106" s="155"/>
      <c r="C106" s="149">
        <f>COUNTIFS(C23:C96,"NO",D23:D96,"NO")</f>
        <v>37</v>
      </c>
      <c r="D106" s="150" t="s">
        <v>51</v>
      </c>
      <c r="E106" s="152">
        <f>C106/A96*100</f>
        <v>50</v>
      </c>
      <c r="F106" s="168" t="s">
        <v>1042</v>
      </c>
      <c r="G106" s="139"/>
    </row>
    <row r="107" spans="1:10" ht="15" customHeight="1" x14ac:dyDescent="0.25">
      <c r="A107" s="156"/>
      <c r="B107" s="157"/>
      <c r="C107" s="149"/>
      <c r="D107" s="151"/>
      <c r="E107" s="153"/>
      <c r="F107" s="169"/>
      <c r="G107" s="139"/>
    </row>
    <row r="108" spans="1:10" ht="18" x14ac:dyDescent="0.25">
      <c r="A108" s="24"/>
      <c r="B108" s="24"/>
      <c r="C108" s="25"/>
      <c r="D108" s="26"/>
      <c r="E108" s="27"/>
      <c r="F108" s="58"/>
      <c r="G108" s="139"/>
    </row>
    <row r="109" spans="1:10" x14ac:dyDescent="0.25">
      <c r="B109" s="4"/>
      <c r="G109" s="139"/>
    </row>
    <row r="110" spans="1:10" ht="14.25" customHeight="1" x14ac:dyDescent="0.25">
      <c r="A110" s="146" t="s">
        <v>1980</v>
      </c>
      <c r="B110" s="147"/>
      <c r="C110" s="147"/>
      <c r="D110" s="147"/>
      <c r="E110" s="148"/>
      <c r="G110" s="139"/>
      <c r="I110" s="160" t="s">
        <v>1981</v>
      </c>
      <c r="J110" s="160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1982</v>
      </c>
      <c r="G111" s="13" t="s">
        <v>1983</v>
      </c>
      <c r="I111" s="161"/>
      <c r="J111" s="161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5</v>
      </c>
      <c r="E112" s="14" t="s">
        <v>46</v>
      </c>
      <c r="F112" s="38" t="str">
        <f t="shared" ref="F112:F145" ca="1" si="6">IF(AND(C112="NO",D112="NO"),IF(F112="",TODAY(),F112),"")</f>
        <v/>
      </c>
      <c r="G112" s="139"/>
      <c r="I112" s="119" t="str" cm="1">
        <f t="array" ref="I112:I145">_xlfn._xlws.FILTER(B112:B316,(C112:C316="SI")*(D112:D316="SI"),"")</f>
        <v>Necdy Pacheco</v>
      </c>
      <c r="J112" s="119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5</v>
      </c>
      <c r="E113" s="14" t="s">
        <v>46</v>
      </c>
      <c r="F113" s="38" t="str">
        <f t="shared" ca="1" si="6"/>
        <v/>
      </c>
      <c r="G113" s="139"/>
      <c r="I113" s="119" t="str">
        <v>David Rangel</v>
      </c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5</v>
      </c>
      <c r="E114" s="14" t="s">
        <v>265</v>
      </c>
      <c r="F114" s="38" t="str">
        <f t="shared" ca="1" si="6"/>
        <v/>
      </c>
      <c r="G114" s="139"/>
      <c r="I114" s="119" t="str">
        <v>Isbelia Puche</v>
      </c>
      <c r="J114" s="119"/>
    </row>
    <row r="115" spans="1:10" ht="15" customHeight="1" x14ac:dyDescent="0.25">
      <c r="A115" s="9">
        <v>4</v>
      </c>
      <c r="B115" s="8" t="s">
        <v>66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39"/>
      <c r="I115" s="119" t="str">
        <v>María PerDOMo</v>
      </c>
      <c r="J115" s="119"/>
    </row>
    <row r="116" spans="1:10" ht="15" customHeight="1" x14ac:dyDescent="0.25">
      <c r="A116" s="9">
        <v>5</v>
      </c>
      <c r="B116" s="8" t="s">
        <v>67</v>
      </c>
      <c r="C116" s="9" t="s">
        <v>5</v>
      </c>
      <c r="D116" s="9" t="s">
        <v>5</v>
      </c>
      <c r="E116" s="14" t="s">
        <v>46</v>
      </c>
      <c r="F116" s="38" t="str">
        <f t="shared" ca="1" si="6"/>
        <v/>
      </c>
      <c r="G116" s="139"/>
      <c r="I116" s="119" t="str">
        <v>Andrés Gómez</v>
      </c>
      <c r="J116" s="119"/>
    </row>
    <row r="117" spans="1:10" x14ac:dyDescent="0.25">
      <c r="A117" s="9">
        <v>6</v>
      </c>
      <c r="B117" s="8" t="s">
        <v>1074</v>
      </c>
      <c r="C117" s="9" t="s">
        <v>5</v>
      </c>
      <c r="D117" s="9" t="s">
        <v>6</v>
      </c>
      <c r="E117" s="14" t="s">
        <v>46</v>
      </c>
      <c r="F117" s="38" t="str">
        <f t="shared" ca="1" si="6"/>
        <v/>
      </c>
      <c r="G117" s="139"/>
      <c r="I117" s="119" t="str">
        <v>Karol González</v>
      </c>
      <c r="J117" s="119"/>
    </row>
    <row r="118" spans="1:10" ht="15" customHeight="1" x14ac:dyDescent="0.25">
      <c r="A118" s="9">
        <v>7</v>
      </c>
      <c r="B118" s="40" t="s">
        <v>1190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G118" s="139"/>
      <c r="I118" s="119" t="str">
        <v xml:space="preserve">Douglas Saavedra </v>
      </c>
      <c r="J118" s="119"/>
    </row>
    <row r="119" spans="1:10" ht="15" customHeight="1" x14ac:dyDescent="0.25">
      <c r="A119" s="9">
        <v>8</v>
      </c>
      <c r="B119" s="8" t="s">
        <v>73</v>
      </c>
      <c r="C119" s="9" t="s">
        <v>5</v>
      </c>
      <c r="D119" s="9" t="s">
        <v>6</v>
      </c>
      <c r="E119" s="14" t="s">
        <v>46</v>
      </c>
      <c r="F119" s="38" t="str">
        <f t="shared" ca="1" si="6"/>
        <v/>
      </c>
      <c r="G119" s="139"/>
      <c r="I119" s="119" t="str">
        <v>Zuleima Barrios</v>
      </c>
      <c r="J119" s="119"/>
    </row>
    <row r="120" spans="1:10" ht="15" customHeight="1" x14ac:dyDescent="0.25">
      <c r="A120" s="9">
        <v>9</v>
      </c>
      <c r="B120" s="8" t="s">
        <v>75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39"/>
      <c r="I120" s="119" t="str">
        <v xml:space="preserve">Tibisay Rangel </v>
      </c>
      <c r="J120" s="119"/>
    </row>
    <row r="121" spans="1:10" x14ac:dyDescent="0.25">
      <c r="A121" s="9">
        <v>10</v>
      </c>
      <c r="B121" s="8" t="s">
        <v>1876</v>
      </c>
      <c r="C121" s="9" t="s">
        <v>5</v>
      </c>
      <c r="D121" s="9" t="s">
        <v>5</v>
      </c>
      <c r="E121" s="14" t="s">
        <v>46</v>
      </c>
      <c r="F121" s="38" t="str">
        <f t="shared" ca="1" si="6"/>
        <v/>
      </c>
      <c r="G121" s="139"/>
      <c r="I121" s="119" t="str">
        <v>Soneida CastelLANo</v>
      </c>
      <c r="J121" s="119"/>
    </row>
    <row r="122" spans="1:10" x14ac:dyDescent="0.25">
      <c r="A122" s="9">
        <v>11</v>
      </c>
      <c r="B122" s="40" t="s">
        <v>1620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139"/>
      <c r="H122" s="83"/>
      <c r="I122" s="119" t="str">
        <v>Mirian Hernández</v>
      </c>
      <c r="J122" s="119"/>
    </row>
    <row r="123" spans="1:10" x14ac:dyDescent="0.25">
      <c r="A123" s="9">
        <v>12</v>
      </c>
      <c r="B123" s="8" t="s">
        <v>2007</v>
      </c>
      <c r="C123" s="9" t="s">
        <v>6</v>
      </c>
      <c r="D123" s="9" t="s">
        <v>5</v>
      </c>
      <c r="E123" s="93" t="s">
        <v>40</v>
      </c>
      <c r="F123" s="38" t="str">
        <f t="shared" ca="1" si="6"/>
        <v/>
      </c>
      <c r="G123" s="139"/>
      <c r="I123" s="119" t="str">
        <v xml:space="preserve">Ender Sambrano </v>
      </c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39"/>
      <c r="I124" s="119" t="str">
        <v xml:space="preserve">Naikelis chourio </v>
      </c>
      <c r="J124" s="119"/>
    </row>
    <row r="125" spans="1:10" x14ac:dyDescent="0.25">
      <c r="A125" s="9">
        <v>14</v>
      </c>
      <c r="B125" s="8" t="s">
        <v>79</v>
      </c>
      <c r="C125" s="9" t="s">
        <v>5</v>
      </c>
      <c r="D125" s="9" t="s">
        <v>5</v>
      </c>
      <c r="E125" s="14" t="s">
        <v>46</v>
      </c>
      <c r="F125" s="38" t="str">
        <f t="shared" ca="1" si="6"/>
        <v/>
      </c>
      <c r="G125" s="139"/>
      <c r="I125" s="119" t="str">
        <v xml:space="preserve">Esteban Sambrano </v>
      </c>
      <c r="J125" s="119"/>
    </row>
    <row r="126" spans="1:10" x14ac:dyDescent="0.25">
      <c r="A126" s="9">
        <v>15</v>
      </c>
      <c r="B126" s="8" t="s">
        <v>72</v>
      </c>
      <c r="C126" s="9" t="s">
        <v>5</v>
      </c>
      <c r="D126" s="9" t="s">
        <v>6</v>
      </c>
      <c r="E126" s="14" t="s">
        <v>46</v>
      </c>
      <c r="F126" s="38" t="str">
        <f t="shared" ca="1" si="6"/>
        <v/>
      </c>
      <c r="G126" s="139"/>
      <c r="I126" s="119" t="str">
        <v xml:space="preserve">Samuel Sambrano </v>
      </c>
      <c r="J126" s="119"/>
    </row>
    <row r="127" spans="1:10" x14ac:dyDescent="0.25">
      <c r="A127" s="9">
        <v>16</v>
      </c>
      <c r="B127" s="8" t="s">
        <v>1126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G127" s="139"/>
      <c r="I127" s="119" t="str">
        <v>Nohemi Rangel</v>
      </c>
      <c r="J127" s="4"/>
    </row>
    <row r="128" spans="1:10" x14ac:dyDescent="0.25">
      <c r="A128" s="9">
        <v>17</v>
      </c>
      <c r="B128" s="8" t="s">
        <v>1170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G128" s="139"/>
      <c r="I128" s="119" t="str">
        <v>Loris Colina</v>
      </c>
      <c r="J128" s="4"/>
    </row>
    <row r="129" spans="1:20" x14ac:dyDescent="0.25">
      <c r="A129" s="9">
        <v>18</v>
      </c>
      <c r="B129" s="8" t="s">
        <v>80</v>
      </c>
      <c r="C129" s="9" t="s">
        <v>5</v>
      </c>
      <c r="D129" s="9" t="s">
        <v>6</v>
      </c>
      <c r="E129" s="14" t="s">
        <v>46</v>
      </c>
      <c r="F129" s="38" t="str">
        <f t="shared" ca="1" si="6"/>
        <v/>
      </c>
      <c r="G129" s="139"/>
      <c r="I129" s="119" t="str">
        <v>Manuel Jordan</v>
      </c>
      <c r="J129" s="119"/>
    </row>
    <row r="130" spans="1:20" x14ac:dyDescent="0.25">
      <c r="A130" s="9">
        <v>19</v>
      </c>
      <c r="B130" s="8" t="s">
        <v>83</v>
      </c>
      <c r="C130" s="9" t="s">
        <v>5</v>
      </c>
      <c r="D130" s="9" t="s">
        <v>5</v>
      </c>
      <c r="E130" s="14" t="s">
        <v>265</v>
      </c>
      <c r="F130" s="38" t="str">
        <f t="shared" ca="1" si="6"/>
        <v/>
      </c>
      <c r="G130" s="139"/>
      <c r="I130" s="119" t="str">
        <v>Edixon Rincon</v>
      </c>
      <c r="J130" s="119"/>
    </row>
    <row r="131" spans="1:20" ht="15" customHeight="1" x14ac:dyDescent="0.25">
      <c r="A131" s="9">
        <v>20</v>
      </c>
      <c r="B131" s="8" t="s">
        <v>1361</v>
      </c>
      <c r="C131" s="9" t="s">
        <v>5</v>
      </c>
      <c r="D131" s="9" t="s">
        <v>5</v>
      </c>
      <c r="E131" s="14" t="s">
        <v>46</v>
      </c>
      <c r="F131" s="38" t="str">
        <f t="shared" ca="1" si="6"/>
        <v/>
      </c>
      <c r="G131" s="139"/>
      <c r="I131" s="119" t="str">
        <v>Magalis Colina</v>
      </c>
      <c r="J131" s="119"/>
    </row>
    <row r="132" spans="1:20" x14ac:dyDescent="0.25">
      <c r="A132" s="9">
        <v>21</v>
      </c>
      <c r="B132" s="8" t="s">
        <v>84</v>
      </c>
      <c r="C132" s="9" t="s">
        <v>5</v>
      </c>
      <c r="D132" s="9" t="s">
        <v>5</v>
      </c>
      <c r="E132" s="14" t="s">
        <v>265</v>
      </c>
      <c r="F132" s="38" t="str">
        <f t="shared" ca="1" si="6"/>
        <v/>
      </c>
      <c r="G132" s="139"/>
      <c r="I132" s="119" t="str">
        <v>Omiria Aizpurua</v>
      </c>
      <c r="J132" s="119"/>
    </row>
    <row r="133" spans="1:20" x14ac:dyDescent="0.25">
      <c r="A133" s="9">
        <v>22</v>
      </c>
      <c r="B133" s="8" t="s">
        <v>1877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G133" s="139"/>
      <c r="I133" s="119" t="str">
        <v>Valentina Montilla</v>
      </c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46222</v>
      </c>
      <c r="G134" s="139"/>
      <c r="I134" s="119" t="str">
        <v>Edith Rincón</v>
      </c>
    </row>
    <row r="135" spans="1:20" ht="14.25" customHeight="1" x14ac:dyDescent="0.25">
      <c r="A135" s="9">
        <v>24</v>
      </c>
      <c r="B135" s="8" t="s">
        <v>1043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G135" s="139"/>
      <c r="I135" s="119" t="str">
        <v>Omar Rincón</v>
      </c>
      <c r="J135" s="119"/>
    </row>
    <row r="136" spans="1:20" ht="15" customHeight="1" x14ac:dyDescent="0.25">
      <c r="A136" s="9">
        <v>25</v>
      </c>
      <c r="B136" s="8" t="s">
        <v>1888</v>
      </c>
      <c r="C136" s="9" t="s">
        <v>5</v>
      </c>
      <c r="D136" s="9" t="s">
        <v>5</v>
      </c>
      <c r="E136" s="14" t="s">
        <v>46</v>
      </c>
      <c r="F136" s="38" t="str">
        <f t="shared" ca="1" si="6"/>
        <v/>
      </c>
      <c r="G136" s="139"/>
      <c r="I136" s="119" t="str">
        <v>José aldana</v>
      </c>
      <c r="J136" s="119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5</v>
      </c>
      <c r="E137" s="14" t="s">
        <v>153</v>
      </c>
      <c r="F137" s="38" t="str">
        <f t="shared" ca="1" si="6"/>
        <v/>
      </c>
      <c r="G137" s="139"/>
      <c r="I137" s="4" t="str">
        <v>Alexandro Martinez</v>
      </c>
      <c r="J137" s="4"/>
    </row>
    <row r="138" spans="1:20" x14ac:dyDescent="0.25">
      <c r="A138" s="9">
        <v>27</v>
      </c>
      <c r="B138" s="8" t="s">
        <v>1970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G138" s="139"/>
      <c r="I138" s="4" t="str">
        <v>Francis Perez</v>
      </c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39"/>
      <c r="I139" s="4" t="str">
        <v>Marvelis Quintero</v>
      </c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G140" s="139"/>
      <c r="I140" s="4" t="str">
        <v>Juan Carlos Márquez</v>
      </c>
    </row>
    <row r="141" spans="1:20" x14ac:dyDescent="0.25">
      <c r="A141" s="9">
        <v>30</v>
      </c>
      <c r="B141" s="40" t="s">
        <v>1078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G141" s="139"/>
      <c r="I141" s="4" t="str">
        <v>Lilibeth Linares</v>
      </c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G142" s="139"/>
      <c r="I142" s="4" t="str">
        <v>Jesus Longares</v>
      </c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G143" s="139"/>
      <c r="I143" s="4" t="str">
        <v>Mathias Rangel</v>
      </c>
      <c r="J143" s="4"/>
    </row>
    <row r="144" spans="1:20" x14ac:dyDescent="0.25">
      <c r="A144" s="9">
        <v>33</v>
      </c>
      <c r="B144" s="8" t="s">
        <v>93</v>
      </c>
      <c r="C144" s="9" t="s">
        <v>5</v>
      </c>
      <c r="D144" s="9" t="s">
        <v>6</v>
      </c>
      <c r="E144" s="14" t="s">
        <v>46</v>
      </c>
      <c r="F144" s="38" t="str">
        <f t="shared" ca="1" si="6"/>
        <v/>
      </c>
      <c r="G144" s="139"/>
      <c r="I144" s="4" t="str">
        <v>Soraida Pineda</v>
      </c>
      <c r="J144" s="4"/>
    </row>
    <row r="145" spans="1:17" ht="18.75" x14ac:dyDescent="0.25">
      <c r="A145" s="9">
        <v>34</v>
      </c>
      <c r="B145" s="8" t="s">
        <v>212</v>
      </c>
      <c r="C145" s="9" t="s">
        <v>5</v>
      </c>
      <c r="D145" s="9" t="s">
        <v>6</v>
      </c>
      <c r="E145" s="14" t="s">
        <v>46</v>
      </c>
      <c r="F145" s="38" t="str">
        <f t="shared" ca="1" si="6"/>
        <v/>
      </c>
      <c r="G145" s="139"/>
      <c r="I145" s="4" t="str">
        <v>Jesús Pérez</v>
      </c>
      <c r="J145" s="134">
        <f>C324</f>
        <v>34</v>
      </c>
    </row>
    <row r="146" spans="1:17" x14ac:dyDescent="0.25">
      <c r="A146" s="9">
        <v>35</v>
      </c>
      <c r="B146" s="8" t="s">
        <v>96</v>
      </c>
      <c r="C146" s="9" t="s">
        <v>5</v>
      </c>
      <c r="D146" s="9" t="s">
        <v>6</v>
      </c>
      <c r="E146" s="14" t="s">
        <v>265</v>
      </c>
      <c r="F146" s="38" t="str">
        <f t="shared" ref="F146:F185" ca="1" si="7">IF(AND(C146="NO",D146="NO"),IF(F146="",TODAY(),F146),"")</f>
        <v/>
      </c>
      <c r="G146" s="139"/>
      <c r="I146" s="4"/>
      <c r="J146" s="4"/>
    </row>
    <row r="147" spans="1:17" x14ac:dyDescent="0.25">
      <c r="A147" s="9">
        <v>36</v>
      </c>
      <c r="B147" s="40" t="s">
        <v>1077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G147" s="139"/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G148" s="139"/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G149" s="139"/>
      <c r="I149" s="4"/>
    </row>
    <row r="150" spans="1:17" x14ac:dyDescent="0.25">
      <c r="A150" s="9">
        <v>39</v>
      </c>
      <c r="B150" s="8" t="s">
        <v>1612</v>
      </c>
      <c r="C150" s="9" t="s">
        <v>5</v>
      </c>
      <c r="D150" s="9" t="s">
        <v>6</v>
      </c>
      <c r="E150" s="14" t="s">
        <v>46</v>
      </c>
      <c r="F150" s="38" t="str">
        <f t="shared" ca="1" si="7"/>
        <v/>
      </c>
      <c r="G150" s="139"/>
      <c r="I150" s="4"/>
    </row>
    <row r="151" spans="1:17" x14ac:dyDescent="0.25">
      <c r="A151" s="9">
        <v>40</v>
      </c>
      <c r="B151" s="40" t="s">
        <v>1646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39"/>
      <c r="I151" s="4"/>
    </row>
    <row r="152" spans="1:17" ht="14.25" customHeight="1" x14ac:dyDescent="0.25">
      <c r="A152" s="9">
        <v>41</v>
      </c>
      <c r="B152" s="8" t="s">
        <v>1279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G152" s="139"/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G153" s="139"/>
      <c r="I153" s="119"/>
      <c r="J153" s="119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G154" s="139"/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G155" s="139"/>
      <c r="I155" s="4"/>
      <c r="J155" s="4"/>
    </row>
    <row r="156" spans="1:17" ht="15.75" customHeight="1" x14ac:dyDescent="0.25">
      <c r="A156" s="9">
        <v>45</v>
      </c>
      <c r="B156" s="8" t="s">
        <v>1973</v>
      </c>
      <c r="C156" s="9" t="s">
        <v>5</v>
      </c>
      <c r="D156" s="9" t="s">
        <v>5</v>
      </c>
      <c r="E156" s="14" t="s">
        <v>46</v>
      </c>
      <c r="F156" s="38" t="str">
        <f t="shared" ca="1" si="7"/>
        <v/>
      </c>
      <c r="G156" s="139"/>
      <c r="I156" s="4"/>
      <c r="J156" s="4"/>
    </row>
    <row r="157" spans="1:17" x14ac:dyDescent="0.25">
      <c r="A157" s="9">
        <v>46</v>
      </c>
      <c r="B157" s="8" t="s">
        <v>1379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39"/>
      <c r="I157" s="4"/>
      <c r="J157" s="4"/>
    </row>
    <row r="158" spans="1:17" x14ac:dyDescent="0.25">
      <c r="A158" s="9">
        <v>47</v>
      </c>
      <c r="B158" s="40" t="s">
        <v>1669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  <c r="G158" s="139"/>
    </row>
    <row r="159" spans="1:17" x14ac:dyDescent="0.25">
      <c r="A159" s="9">
        <v>48</v>
      </c>
      <c r="B159" s="8" t="s">
        <v>104</v>
      </c>
      <c r="C159" s="9" t="s">
        <v>5</v>
      </c>
      <c r="D159" s="9" t="s">
        <v>6</v>
      </c>
      <c r="E159" s="14" t="s">
        <v>46</v>
      </c>
      <c r="F159" s="38" t="str">
        <f t="shared" ca="1" si="7"/>
        <v/>
      </c>
      <c r="G159" s="139"/>
    </row>
    <row r="160" spans="1:17" x14ac:dyDescent="0.25">
      <c r="A160" s="9">
        <v>49</v>
      </c>
      <c r="B160" s="40" t="s">
        <v>1647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39"/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  <c r="G161" s="139"/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5</v>
      </c>
      <c r="E162" s="14" t="s">
        <v>153</v>
      </c>
      <c r="F162" s="38" t="str">
        <f t="shared" ca="1" si="7"/>
        <v/>
      </c>
      <c r="G162" s="139"/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  <c r="G163" s="139"/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  <c r="G164" s="139"/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  <c r="G165" s="139"/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5</v>
      </c>
      <c r="E166" s="14" t="s">
        <v>46</v>
      </c>
      <c r="F166" s="38" t="str">
        <f t="shared" ca="1" si="7"/>
        <v/>
      </c>
      <c r="G166" s="142"/>
    </row>
    <row r="167" spans="1:74" x14ac:dyDescent="0.25">
      <c r="A167" s="9">
        <v>56</v>
      </c>
      <c r="B167" s="40" t="s">
        <v>1885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  <c r="G167" s="139"/>
    </row>
    <row r="168" spans="1:74" x14ac:dyDescent="0.25">
      <c r="A168" s="9">
        <v>57</v>
      </c>
      <c r="B168" s="8" t="s">
        <v>1398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G168" s="139"/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1419</v>
      </c>
      <c r="C169" s="9" t="s">
        <v>5</v>
      </c>
      <c r="D169" s="9" t="s">
        <v>6</v>
      </c>
      <c r="E169" s="14" t="s">
        <v>46</v>
      </c>
      <c r="F169" s="38" t="str">
        <f t="shared" ca="1" si="7"/>
        <v/>
      </c>
      <c r="G169" s="139"/>
    </row>
    <row r="170" spans="1:74" x14ac:dyDescent="0.25">
      <c r="A170" s="9">
        <v>59</v>
      </c>
      <c r="B170" s="40" t="s">
        <v>1280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  <c r="G170" s="139"/>
    </row>
    <row r="171" spans="1:74" x14ac:dyDescent="0.25">
      <c r="A171" s="9">
        <v>60</v>
      </c>
      <c r="B171" s="8" t="s">
        <v>1719</v>
      </c>
      <c r="C171" s="9" t="s">
        <v>5</v>
      </c>
      <c r="D171" s="9" t="s">
        <v>6</v>
      </c>
      <c r="E171" s="15" t="s">
        <v>46</v>
      </c>
      <c r="F171" s="38" t="str">
        <f t="shared" ca="1" si="7"/>
        <v/>
      </c>
      <c r="G171" s="139"/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5</v>
      </c>
      <c r="E172" s="14" t="s">
        <v>346</v>
      </c>
      <c r="F172" s="38" t="str">
        <f t="shared" ca="1" si="7"/>
        <v/>
      </c>
      <c r="G172" s="139"/>
    </row>
    <row r="173" spans="1:74" x14ac:dyDescent="0.25">
      <c r="A173" s="9">
        <v>62</v>
      </c>
      <c r="B173" s="8" t="s">
        <v>1821</v>
      </c>
      <c r="C173" s="9" t="s">
        <v>5</v>
      </c>
      <c r="D173" s="9" t="s">
        <v>6</v>
      </c>
      <c r="E173" s="14" t="s">
        <v>46</v>
      </c>
      <c r="F173" s="38" t="str">
        <f t="shared" ca="1" si="7"/>
        <v/>
      </c>
      <c r="G173" s="139"/>
    </row>
    <row r="174" spans="1:74" x14ac:dyDescent="0.25">
      <c r="A174" s="9">
        <v>63</v>
      </c>
      <c r="B174" s="8" t="s">
        <v>115</v>
      </c>
      <c r="C174" s="9" t="s">
        <v>5</v>
      </c>
      <c r="D174" s="9" t="s">
        <v>6</v>
      </c>
      <c r="E174" s="14" t="s">
        <v>46</v>
      </c>
      <c r="F174" s="38" t="str">
        <f t="shared" ca="1" si="7"/>
        <v/>
      </c>
      <c r="G174" s="139"/>
    </row>
    <row r="175" spans="1:74" x14ac:dyDescent="0.25">
      <c r="A175" s="9">
        <v>64</v>
      </c>
      <c r="B175" s="8" t="s">
        <v>1820</v>
      </c>
      <c r="C175" s="9" t="s">
        <v>5</v>
      </c>
      <c r="D175" s="9" t="s">
        <v>6</v>
      </c>
      <c r="E175" s="14" t="s">
        <v>46</v>
      </c>
      <c r="F175" s="38" t="str">
        <f t="shared" ca="1" si="7"/>
        <v/>
      </c>
      <c r="G175" s="139"/>
    </row>
    <row r="176" spans="1:74" x14ac:dyDescent="0.25">
      <c r="A176" s="9">
        <v>65</v>
      </c>
      <c r="B176" s="8" t="s">
        <v>116</v>
      </c>
      <c r="C176" s="9" t="s">
        <v>5</v>
      </c>
      <c r="D176" s="9" t="s">
        <v>5</v>
      </c>
      <c r="E176" s="14" t="s">
        <v>265</v>
      </c>
      <c r="F176" s="38" t="str">
        <f t="shared" ca="1" si="7"/>
        <v/>
      </c>
      <c r="G176" s="139"/>
    </row>
    <row r="177" spans="1:10" x14ac:dyDescent="0.25">
      <c r="A177" s="9">
        <v>66</v>
      </c>
      <c r="B177" s="8" t="s">
        <v>117</v>
      </c>
      <c r="C177" s="9" t="s">
        <v>5</v>
      </c>
      <c r="D177" s="9" t="s">
        <v>5</v>
      </c>
      <c r="E177" s="14" t="s">
        <v>265</v>
      </c>
      <c r="F177" s="38" t="str">
        <f t="shared" ca="1" si="7"/>
        <v/>
      </c>
      <c r="G177" s="139"/>
    </row>
    <row r="178" spans="1:10" x14ac:dyDescent="0.25">
      <c r="A178" s="9">
        <v>67</v>
      </c>
      <c r="B178" s="8" t="s">
        <v>118</v>
      </c>
      <c r="C178" s="9" t="s">
        <v>5</v>
      </c>
      <c r="D178" s="9" t="s">
        <v>5</v>
      </c>
      <c r="E178" s="14" t="s">
        <v>153</v>
      </c>
      <c r="F178" s="38" t="str">
        <f t="shared" ca="1" si="7"/>
        <v/>
      </c>
      <c r="G178" s="139"/>
    </row>
    <row r="179" spans="1:10" x14ac:dyDescent="0.25">
      <c r="A179" s="9">
        <v>68</v>
      </c>
      <c r="B179" s="40" t="s">
        <v>1597</v>
      </c>
      <c r="C179" s="9" t="s">
        <v>5</v>
      </c>
      <c r="D179" s="9" t="s">
        <v>6</v>
      </c>
      <c r="E179" s="14" t="s">
        <v>46</v>
      </c>
      <c r="F179" s="38" t="str">
        <f t="shared" ca="1" si="7"/>
        <v/>
      </c>
      <c r="G179" s="139"/>
    </row>
    <row r="180" spans="1:10" x14ac:dyDescent="0.25">
      <c r="A180" s="9">
        <v>69</v>
      </c>
      <c r="B180" s="8" t="s">
        <v>119</v>
      </c>
      <c r="C180" s="9" t="s">
        <v>5</v>
      </c>
      <c r="D180" s="9" t="s">
        <v>5</v>
      </c>
      <c r="E180" s="14" t="s">
        <v>153</v>
      </c>
      <c r="F180" s="38" t="str">
        <f t="shared" ca="1" si="7"/>
        <v/>
      </c>
      <c r="G180" s="139"/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G181" s="139"/>
      <c r="H181" s="82"/>
    </row>
    <row r="182" spans="1:10" x14ac:dyDescent="0.25">
      <c r="A182" s="9">
        <v>71</v>
      </c>
      <c r="B182" s="8" t="s">
        <v>121</v>
      </c>
      <c r="C182" s="9" t="s">
        <v>5</v>
      </c>
      <c r="D182" s="9" t="s">
        <v>5</v>
      </c>
      <c r="E182" s="14" t="s">
        <v>265</v>
      </c>
      <c r="F182" s="38" t="str">
        <f t="shared" ca="1" si="7"/>
        <v/>
      </c>
      <c r="G182" s="139"/>
    </row>
    <row r="183" spans="1:10" x14ac:dyDescent="0.25">
      <c r="A183" s="9">
        <v>72</v>
      </c>
      <c r="B183" s="8" t="s">
        <v>122</v>
      </c>
      <c r="C183" s="9" t="s">
        <v>5</v>
      </c>
      <c r="D183" s="9" t="s">
        <v>6</v>
      </c>
      <c r="E183" s="14" t="s">
        <v>153</v>
      </c>
      <c r="F183" s="38" t="str">
        <f t="shared" ca="1" si="7"/>
        <v/>
      </c>
      <c r="G183" s="139"/>
    </row>
    <row r="184" spans="1:10" x14ac:dyDescent="0.25">
      <c r="A184" s="9">
        <v>73</v>
      </c>
      <c r="B184" s="8" t="s">
        <v>1826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  <c r="G184" s="139"/>
    </row>
    <row r="185" spans="1:10" x14ac:dyDescent="0.25">
      <c r="A185" s="9">
        <v>74</v>
      </c>
      <c r="B185" s="8" t="s">
        <v>126</v>
      </c>
      <c r="C185" s="9" t="s">
        <v>5</v>
      </c>
      <c r="D185" s="9" t="s">
        <v>5</v>
      </c>
      <c r="E185" s="14" t="s">
        <v>46</v>
      </c>
      <c r="F185" s="38" t="str">
        <f t="shared" ca="1" si="7"/>
        <v/>
      </c>
      <c r="G185" s="139"/>
    </row>
    <row r="186" spans="1:10" x14ac:dyDescent="0.25">
      <c r="A186" s="9">
        <v>75</v>
      </c>
      <c r="B186" s="8" t="s">
        <v>296</v>
      </c>
      <c r="C186" s="9" t="s">
        <v>5</v>
      </c>
      <c r="D186" s="9" t="s">
        <v>6</v>
      </c>
      <c r="E186" s="14" t="s">
        <v>46</v>
      </c>
      <c r="F186" s="38" t="str">
        <f t="shared" ref="F186:F216" ca="1" si="8">IF(AND(C186="NO",D186="NO"),IF(F186="",TODAY(),F186),"")</f>
        <v/>
      </c>
      <c r="G186" s="139"/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  <c r="G187" s="139"/>
    </row>
    <row r="188" spans="1:10" ht="15" customHeight="1" x14ac:dyDescent="0.25">
      <c r="A188" s="9">
        <v>77</v>
      </c>
      <c r="B188" s="40" t="s">
        <v>1667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G188" s="139"/>
      <c r="I188" s="119"/>
      <c r="J188" s="119"/>
    </row>
    <row r="189" spans="1:10" x14ac:dyDescent="0.25">
      <c r="A189" s="9">
        <v>78</v>
      </c>
      <c r="B189" s="8" t="s">
        <v>405</v>
      </c>
      <c r="C189" s="9" t="s">
        <v>5</v>
      </c>
      <c r="D189" s="9" t="s">
        <v>5</v>
      </c>
      <c r="E189" s="14" t="s">
        <v>46</v>
      </c>
      <c r="F189" s="38" t="str">
        <f t="shared" ca="1" si="8"/>
        <v/>
      </c>
      <c r="G189" s="139"/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  <c r="G190" s="139"/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39"/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  <c r="G192" s="139"/>
    </row>
    <row r="193" spans="1:10" x14ac:dyDescent="0.25">
      <c r="A193" s="9">
        <v>82</v>
      </c>
      <c r="B193" s="8" t="s">
        <v>1827</v>
      </c>
      <c r="C193" s="9" t="s">
        <v>5</v>
      </c>
      <c r="D193" s="9" t="s">
        <v>5</v>
      </c>
      <c r="E193" s="14" t="s">
        <v>46</v>
      </c>
      <c r="F193" s="38" t="str">
        <f t="shared" ca="1" si="8"/>
        <v/>
      </c>
      <c r="G193" s="139"/>
    </row>
    <row r="194" spans="1:10" ht="15.75" customHeight="1" x14ac:dyDescent="0.25">
      <c r="A194" s="9">
        <v>83</v>
      </c>
      <c r="B194" s="8" t="s">
        <v>134</v>
      </c>
      <c r="C194" s="9" t="s">
        <v>5</v>
      </c>
      <c r="D194" s="9" t="s">
        <v>6</v>
      </c>
      <c r="E194" s="14" t="s">
        <v>46</v>
      </c>
      <c r="F194" s="38" t="str">
        <f t="shared" ca="1" si="8"/>
        <v/>
      </c>
      <c r="G194" s="139"/>
    </row>
    <row r="195" spans="1:10" x14ac:dyDescent="0.25">
      <c r="A195" s="9">
        <v>84</v>
      </c>
      <c r="B195" s="8" t="s">
        <v>1789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  <c r="G195" s="139"/>
    </row>
    <row r="196" spans="1:10" x14ac:dyDescent="0.25">
      <c r="A196" s="9">
        <v>85</v>
      </c>
      <c r="B196" s="8" t="s">
        <v>136</v>
      </c>
      <c r="C196" s="9" t="s">
        <v>5</v>
      </c>
      <c r="D196" s="9" t="s">
        <v>6</v>
      </c>
      <c r="E196" s="14" t="s">
        <v>153</v>
      </c>
      <c r="F196" s="38" t="str">
        <f t="shared" ca="1" si="8"/>
        <v/>
      </c>
      <c r="G196" s="139"/>
    </row>
    <row r="197" spans="1:10" x14ac:dyDescent="0.25">
      <c r="A197" s="9">
        <v>86</v>
      </c>
      <c r="B197" s="8" t="s">
        <v>137</v>
      </c>
      <c r="C197" s="9" t="s">
        <v>5</v>
      </c>
      <c r="D197" s="9" t="s">
        <v>5</v>
      </c>
      <c r="E197" s="14" t="s">
        <v>1285</v>
      </c>
      <c r="F197" s="38" t="str">
        <f t="shared" ca="1" si="8"/>
        <v/>
      </c>
      <c r="G197" s="139"/>
    </row>
    <row r="198" spans="1:10" x14ac:dyDescent="0.25">
      <c r="A198" s="9">
        <v>87</v>
      </c>
      <c r="B198" s="8" t="s">
        <v>138</v>
      </c>
      <c r="C198" s="9" t="s">
        <v>5</v>
      </c>
      <c r="D198" s="9" t="s">
        <v>5</v>
      </c>
      <c r="E198" s="14" t="s">
        <v>1285</v>
      </c>
      <c r="F198" s="38" t="str">
        <f t="shared" ca="1" si="8"/>
        <v/>
      </c>
      <c r="G198" s="139"/>
    </row>
    <row r="199" spans="1:10" x14ac:dyDescent="0.25">
      <c r="A199" s="9">
        <v>88</v>
      </c>
      <c r="B199" s="8" t="s">
        <v>1168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  <c r="G199" s="139"/>
    </row>
    <row r="200" spans="1:10" x14ac:dyDescent="0.25">
      <c r="A200" s="9">
        <v>89</v>
      </c>
      <c r="B200" s="8" t="s">
        <v>142</v>
      </c>
      <c r="C200" s="9" t="s">
        <v>5</v>
      </c>
      <c r="D200" s="9" t="s">
        <v>6</v>
      </c>
      <c r="E200" s="14" t="s">
        <v>153</v>
      </c>
      <c r="F200" s="38" t="str">
        <f t="shared" ca="1" si="8"/>
        <v/>
      </c>
      <c r="G200" s="139"/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G201" s="139"/>
      <c r="I201" s="119"/>
      <c r="J201" s="119"/>
    </row>
    <row r="202" spans="1:10" x14ac:dyDescent="0.25">
      <c r="A202" s="9">
        <v>91</v>
      </c>
      <c r="B202" s="40" t="s">
        <v>1169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  <c r="G202" s="139"/>
    </row>
    <row r="203" spans="1:10" x14ac:dyDescent="0.25">
      <c r="A203" s="9">
        <v>92</v>
      </c>
      <c r="B203" s="8" t="s">
        <v>1891</v>
      </c>
      <c r="C203" s="9" t="s">
        <v>5</v>
      </c>
      <c r="D203" s="9" t="s">
        <v>6</v>
      </c>
      <c r="E203" s="14" t="s">
        <v>46</v>
      </c>
      <c r="F203" s="38" t="str">
        <f t="shared" ca="1" si="8"/>
        <v/>
      </c>
      <c r="G203" s="139"/>
    </row>
    <row r="204" spans="1:10" x14ac:dyDescent="0.25">
      <c r="A204" s="9">
        <v>93</v>
      </c>
      <c r="B204" s="40" t="s">
        <v>1547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  <c r="G204" s="139"/>
    </row>
    <row r="205" spans="1:10" x14ac:dyDescent="0.25">
      <c r="A205" s="9">
        <v>94</v>
      </c>
      <c r="B205" s="8" t="s">
        <v>1121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  <c r="G205" s="139"/>
    </row>
    <row r="206" spans="1:10" x14ac:dyDescent="0.25">
      <c r="A206" s="9">
        <v>95</v>
      </c>
      <c r="B206" s="8" t="s">
        <v>1791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  <c r="G206" s="139"/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46202</v>
      </c>
      <c r="G207" s="139"/>
    </row>
    <row r="208" spans="1:10" x14ac:dyDescent="0.25">
      <c r="A208" s="9">
        <v>97</v>
      </c>
      <c r="B208" s="19" t="s">
        <v>299</v>
      </c>
      <c r="C208" s="9" t="s">
        <v>5</v>
      </c>
      <c r="D208" s="9" t="s">
        <v>5</v>
      </c>
      <c r="E208" s="14" t="s">
        <v>153</v>
      </c>
      <c r="F208" s="38" t="str">
        <f t="shared" ca="1" si="8"/>
        <v/>
      </c>
      <c r="G208" s="139"/>
    </row>
    <row r="209" spans="1:35" x14ac:dyDescent="0.25">
      <c r="A209" s="9">
        <v>98</v>
      </c>
      <c r="B209" s="19" t="s">
        <v>309</v>
      </c>
      <c r="C209" s="9" t="s">
        <v>5</v>
      </c>
      <c r="D209" s="9" t="s">
        <v>5</v>
      </c>
      <c r="E209" s="14" t="s">
        <v>307</v>
      </c>
      <c r="F209" s="38" t="str">
        <f t="shared" ca="1" si="8"/>
        <v/>
      </c>
      <c r="G209" s="139"/>
    </row>
    <row r="210" spans="1:35" x14ac:dyDescent="0.25">
      <c r="A210" s="9">
        <v>99</v>
      </c>
      <c r="B210" s="8" t="s">
        <v>1918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  <c r="G210" s="139"/>
    </row>
    <row r="211" spans="1:35" x14ac:dyDescent="0.25">
      <c r="A211" s="9">
        <v>100</v>
      </c>
      <c r="B211" s="40" t="s">
        <v>1822</v>
      </c>
      <c r="C211" s="9" t="s">
        <v>5</v>
      </c>
      <c r="D211" s="9" t="s">
        <v>6</v>
      </c>
      <c r="E211" s="14" t="s">
        <v>46</v>
      </c>
      <c r="F211" s="38" t="str">
        <f t="shared" ca="1" si="8"/>
        <v/>
      </c>
      <c r="G211" s="139"/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139"/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44"/>
    </row>
    <row r="214" spans="1:35" x14ac:dyDescent="0.25">
      <c r="A214" s="9">
        <v>103</v>
      </c>
      <c r="B214" s="19" t="s">
        <v>412</v>
      </c>
      <c r="C214" s="9" t="s">
        <v>5</v>
      </c>
      <c r="D214" s="9" t="s">
        <v>5</v>
      </c>
      <c r="E214" s="14" t="s">
        <v>46</v>
      </c>
      <c r="F214" s="38" t="str">
        <f t="shared" ca="1" si="8"/>
        <v/>
      </c>
      <c r="G214" s="139"/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  <c r="G215" s="139"/>
    </row>
    <row r="216" spans="1:35" ht="13.5" customHeight="1" x14ac:dyDescent="0.25">
      <c r="A216" s="9">
        <v>105</v>
      </c>
      <c r="B216" s="40" t="s">
        <v>1694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  <c r="G216" s="139"/>
    </row>
    <row r="217" spans="1:35" x14ac:dyDescent="0.25">
      <c r="A217" s="9">
        <v>106</v>
      </c>
      <c r="B217" s="40" t="s">
        <v>1693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  <c r="G217" s="139"/>
    </row>
    <row r="218" spans="1:35" x14ac:dyDescent="0.25">
      <c r="A218" s="9">
        <v>107</v>
      </c>
      <c r="B218" s="19" t="s">
        <v>1828</v>
      </c>
      <c r="C218" s="9" t="s">
        <v>5</v>
      </c>
      <c r="D218" s="9" t="s">
        <v>5</v>
      </c>
      <c r="E218" s="14" t="s">
        <v>46</v>
      </c>
      <c r="F218" s="38" t="str">
        <f t="shared" ca="1" si="9"/>
        <v/>
      </c>
      <c r="G218" s="139"/>
    </row>
    <row r="219" spans="1:35" x14ac:dyDescent="0.25">
      <c r="A219" s="9">
        <v>108</v>
      </c>
      <c r="B219" s="40" t="s">
        <v>454</v>
      </c>
      <c r="C219" s="9" t="s">
        <v>5</v>
      </c>
      <c r="D219" s="9" t="s">
        <v>6</v>
      </c>
      <c r="E219" s="14" t="s">
        <v>46</v>
      </c>
      <c r="F219" s="38" t="str">
        <f t="shared" ca="1" si="9"/>
        <v/>
      </c>
      <c r="G219" s="139"/>
    </row>
    <row r="220" spans="1:35" x14ac:dyDescent="0.25">
      <c r="A220" s="9">
        <v>109</v>
      </c>
      <c r="B220" s="36" t="s">
        <v>215</v>
      </c>
      <c r="C220" s="9" t="s">
        <v>5</v>
      </c>
      <c r="D220" s="9" t="s">
        <v>5</v>
      </c>
      <c r="E220" s="14" t="s">
        <v>307</v>
      </c>
      <c r="F220" s="38" t="str">
        <f t="shared" ca="1" si="9"/>
        <v/>
      </c>
      <c r="G220" s="139"/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5</v>
      </c>
      <c r="E221" s="14" t="s">
        <v>307</v>
      </c>
      <c r="F221" s="38" t="str">
        <f t="shared" ca="1" si="9"/>
        <v/>
      </c>
      <c r="G221" s="139"/>
    </row>
    <row r="222" spans="1:35" x14ac:dyDescent="0.25">
      <c r="A222" s="9">
        <v>111</v>
      </c>
      <c r="B222" s="8" t="s">
        <v>281</v>
      </c>
      <c r="C222" s="9" t="s">
        <v>5</v>
      </c>
      <c r="D222" s="9" t="s">
        <v>5</v>
      </c>
      <c r="E222" s="14" t="s">
        <v>46</v>
      </c>
      <c r="F222" s="38" t="str">
        <f t="shared" ca="1" si="9"/>
        <v/>
      </c>
      <c r="G222" s="139"/>
    </row>
    <row r="223" spans="1:35" x14ac:dyDescent="0.25">
      <c r="A223" s="9">
        <v>112</v>
      </c>
      <c r="B223" s="8" t="s">
        <v>1837</v>
      </c>
      <c r="C223" s="9" t="s">
        <v>6</v>
      </c>
      <c r="D223" s="9" t="s">
        <v>5</v>
      </c>
      <c r="E223" s="14" t="s">
        <v>153</v>
      </c>
      <c r="F223" s="38" t="str">
        <f t="shared" ca="1" si="9"/>
        <v/>
      </c>
      <c r="G223" s="139"/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5</v>
      </c>
      <c r="E224" s="14" t="s">
        <v>153</v>
      </c>
      <c r="F224" s="38" t="str">
        <f t="shared" ca="1" si="9"/>
        <v/>
      </c>
      <c r="G224" s="139"/>
    </row>
    <row r="225" spans="1:7" x14ac:dyDescent="0.25">
      <c r="A225" s="9">
        <v>114</v>
      </c>
      <c r="B225" s="40" t="s">
        <v>1502</v>
      </c>
      <c r="C225" s="9" t="s">
        <v>5</v>
      </c>
      <c r="D225" s="9" t="s">
        <v>6</v>
      </c>
      <c r="E225" s="14" t="s">
        <v>46</v>
      </c>
      <c r="F225" s="38" t="str">
        <f t="shared" ca="1" si="9"/>
        <v/>
      </c>
      <c r="G225" s="139"/>
    </row>
    <row r="226" spans="1:7" x14ac:dyDescent="0.25">
      <c r="A226" s="9">
        <v>115</v>
      </c>
      <c r="B226" s="19" t="s">
        <v>1838</v>
      </c>
      <c r="C226" s="9" t="s">
        <v>6</v>
      </c>
      <c r="D226" s="9" t="s">
        <v>5</v>
      </c>
      <c r="E226" s="14" t="s">
        <v>153</v>
      </c>
      <c r="F226" s="38" t="str">
        <f t="shared" ca="1" si="9"/>
        <v/>
      </c>
      <c r="G226" s="139"/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5</v>
      </c>
      <c r="E227" s="22" t="s">
        <v>46</v>
      </c>
      <c r="F227" s="38" t="str">
        <f t="shared" ca="1" si="9"/>
        <v/>
      </c>
      <c r="G227" s="139"/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  <c r="G228" s="139"/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  <c r="G229" s="139"/>
    </row>
    <row r="230" spans="1:7" x14ac:dyDescent="0.25">
      <c r="A230" s="9">
        <v>119</v>
      </c>
      <c r="B230" s="8" t="s">
        <v>1824</v>
      </c>
      <c r="C230" s="9" t="s">
        <v>5</v>
      </c>
      <c r="D230" s="9" t="s">
        <v>6</v>
      </c>
      <c r="E230" s="14" t="s">
        <v>46</v>
      </c>
      <c r="F230" s="38" t="str">
        <f t="shared" ca="1" si="9"/>
        <v/>
      </c>
      <c r="G230" s="139"/>
    </row>
    <row r="231" spans="1:7" x14ac:dyDescent="0.25">
      <c r="A231" s="9">
        <v>120</v>
      </c>
      <c r="B231" s="40" t="s">
        <v>1254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  <c r="G231" s="139"/>
    </row>
    <row r="232" spans="1:7" x14ac:dyDescent="0.25">
      <c r="A232" s="9">
        <v>121</v>
      </c>
      <c r="B232" s="8" t="s">
        <v>213</v>
      </c>
      <c r="C232" s="9" t="s">
        <v>5</v>
      </c>
      <c r="D232" s="9" t="s">
        <v>5</v>
      </c>
      <c r="E232" s="14" t="s">
        <v>46</v>
      </c>
      <c r="F232" s="38" t="str">
        <f t="shared" ca="1" si="9"/>
        <v/>
      </c>
      <c r="G232" s="139"/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5</v>
      </c>
      <c r="E233" s="14" t="s">
        <v>153</v>
      </c>
      <c r="F233" s="38" t="str">
        <f t="shared" ca="1" si="9"/>
        <v/>
      </c>
      <c r="G233" s="139"/>
    </row>
    <row r="234" spans="1:7" x14ac:dyDescent="0.25">
      <c r="A234" s="9">
        <v>123</v>
      </c>
      <c r="B234" s="40" t="s">
        <v>1792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  <c r="G234" s="139"/>
    </row>
    <row r="235" spans="1:7" x14ac:dyDescent="0.25">
      <c r="A235" s="9">
        <v>124</v>
      </c>
      <c r="B235" s="40" t="s">
        <v>1793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  <c r="G235" s="139"/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  <c r="G236" s="139"/>
    </row>
    <row r="237" spans="1:7" x14ac:dyDescent="0.25">
      <c r="A237" s="9">
        <v>126</v>
      </c>
      <c r="B237" s="40" t="s">
        <v>1790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39"/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5</v>
      </c>
      <c r="E238" s="14" t="s">
        <v>46</v>
      </c>
      <c r="F238" s="38" t="str">
        <f t="shared" ca="1" si="9"/>
        <v/>
      </c>
      <c r="G238" s="139"/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5</v>
      </c>
      <c r="E239" s="14" t="s">
        <v>153</v>
      </c>
      <c r="F239" s="38" t="str">
        <f t="shared" ca="1" si="9"/>
        <v/>
      </c>
      <c r="G239" s="139"/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5</v>
      </c>
      <c r="E240" s="14" t="s">
        <v>153</v>
      </c>
      <c r="F240" s="38" t="str">
        <f t="shared" ca="1" si="9"/>
        <v/>
      </c>
      <c r="G240" s="139"/>
    </row>
    <row r="241" spans="1:8" x14ac:dyDescent="0.25">
      <c r="A241" s="9">
        <v>130</v>
      </c>
      <c r="B241" s="55" t="s">
        <v>1892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  <c r="G241" s="139"/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39"/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39"/>
    </row>
    <row r="244" spans="1:8" x14ac:dyDescent="0.25">
      <c r="A244" s="9">
        <v>133</v>
      </c>
      <c r="B244" s="40" t="s">
        <v>1023</v>
      </c>
      <c r="C244" s="9" t="s">
        <v>5</v>
      </c>
      <c r="D244" s="9" t="s">
        <v>6</v>
      </c>
      <c r="E244" s="14" t="s">
        <v>46</v>
      </c>
      <c r="F244" s="38" t="str">
        <f t="shared" ca="1" si="9"/>
        <v/>
      </c>
      <c r="G244" s="139"/>
    </row>
    <row r="245" spans="1:8" x14ac:dyDescent="0.25">
      <c r="A245" s="9">
        <v>134</v>
      </c>
      <c r="B245" s="40" t="s">
        <v>619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39"/>
      <c r="H245" s="48"/>
    </row>
    <row r="246" spans="1:8" x14ac:dyDescent="0.25">
      <c r="A246" s="9">
        <v>135</v>
      </c>
      <c r="B246" s="40" t="s">
        <v>569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39"/>
      <c r="H246" s="48"/>
    </row>
    <row r="247" spans="1:8" x14ac:dyDescent="0.25">
      <c r="A247" s="9">
        <v>136</v>
      </c>
      <c r="B247" s="40" t="s">
        <v>1823</v>
      </c>
      <c r="C247" s="9" t="s">
        <v>5</v>
      </c>
      <c r="D247" s="9" t="s">
        <v>6</v>
      </c>
      <c r="E247" s="14" t="s">
        <v>46</v>
      </c>
      <c r="F247" s="38" t="str">
        <f t="shared" ca="1" si="9"/>
        <v/>
      </c>
      <c r="G247" s="139"/>
    </row>
    <row r="248" spans="1:8" x14ac:dyDescent="0.25">
      <c r="A248" s="9">
        <v>137</v>
      </c>
      <c r="B248" s="40" t="s">
        <v>786</v>
      </c>
      <c r="C248" s="9" t="s">
        <v>6</v>
      </c>
      <c r="D248" s="9" t="s">
        <v>5</v>
      </c>
      <c r="E248" s="14" t="s">
        <v>153</v>
      </c>
      <c r="F248" s="38" t="str">
        <f t="shared" ca="1" si="9"/>
        <v/>
      </c>
      <c r="G248" s="139"/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5</v>
      </c>
      <c r="E249" s="14" t="s">
        <v>153</v>
      </c>
      <c r="F249" s="38" t="str">
        <f t="shared" ca="1" si="9"/>
        <v/>
      </c>
      <c r="G249" s="139"/>
    </row>
    <row r="250" spans="1:8" ht="15" customHeight="1" x14ac:dyDescent="0.25">
      <c r="A250" s="9">
        <v>139</v>
      </c>
      <c r="B250" s="17" t="s">
        <v>338</v>
      </c>
      <c r="C250" s="9" t="s">
        <v>5</v>
      </c>
      <c r="D250" s="9" t="s">
        <v>6</v>
      </c>
      <c r="E250" s="14" t="s">
        <v>46</v>
      </c>
      <c r="F250" s="38" t="str">
        <f t="shared" ref="F250:F273" ca="1" si="10">IF(AND(C250="NO",D250="NO"),IF(F250="",TODAY(),F250),"")</f>
        <v/>
      </c>
      <c r="G250" s="139"/>
    </row>
    <row r="251" spans="1:8" x14ac:dyDescent="0.25">
      <c r="A251" s="9">
        <v>140</v>
      </c>
      <c r="B251" s="40" t="s">
        <v>1555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139"/>
      <c r="H251" s="100"/>
    </row>
    <row r="252" spans="1:8" x14ac:dyDescent="0.25">
      <c r="A252" s="9">
        <v>141</v>
      </c>
      <c r="B252" s="40" t="s">
        <v>1866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39"/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39"/>
      <c r="H253" s="72"/>
    </row>
    <row r="254" spans="1:8" x14ac:dyDescent="0.25">
      <c r="A254" s="9">
        <v>143</v>
      </c>
      <c r="B254" s="40" t="s">
        <v>1531</v>
      </c>
      <c r="C254" s="9" t="s">
        <v>5</v>
      </c>
      <c r="D254" s="9" t="s">
        <v>6</v>
      </c>
      <c r="E254" s="14" t="s">
        <v>153</v>
      </c>
      <c r="F254" s="38" t="str">
        <f t="shared" ca="1" si="10"/>
        <v/>
      </c>
      <c r="G254" s="139"/>
      <c r="H254" s="73"/>
    </row>
    <row r="255" spans="1:8" x14ac:dyDescent="0.25">
      <c r="A255" s="9">
        <v>144</v>
      </c>
      <c r="B255" s="40" t="s">
        <v>1385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143"/>
    </row>
    <row r="256" spans="1:8" x14ac:dyDescent="0.25">
      <c r="A256" s="9">
        <v>145</v>
      </c>
      <c r="B256" s="40" t="s">
        <v>939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39"/>
      <c r="H256" s="79"/>
    </row>
    <row r="257" spans="1:10" x14ac:dyDescent="0.25">
      <c r="A257" s="9">
        <v>146</v>
      </c>
      <c r="B257" s="40" t="s">
        <v>1384</v>
      </c>
      <c r="C257" s="9" t="s">
        <v>5</v>
      </c>
      <c r="D257" s="9" t="s">
        <v>6</v>
      </c>
      <c r="E257" s="14" t="s">
        <v>153</v>
      </c>
      <c r="F257" s="38" t="str">
        <f t="shared" ca="1" si="10"/>
        <v/>
      </c>
      <c r="G257" s="139"/>
    </row>
    <row r="258" spans="1:10" x14ac:dyDescent="0.25">
      <c r="A258" s="9">
        <v>147</v>
      </c>
      <c r="B258" s="40" t="s">
        <v>1383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139"/>
      <c r="H258" s="48"/>
    </row>
    <row r="259" spans="1:10" x14ac:dyDescent="0.25">
      <c r="A259" s="9">
        <v>148</v>
      </c>
      <c r="B259" s="40" t="s">
        <v>1825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  <c r="G259" s="139"/>
    </row>
    <row r="260" spans="1:10" x14ac:dyDescent="0.25">
      <c r="A260" s="9">
        <v>149</v>
      </c>
      <c r="B260" s="40" t="s">
        <v>1399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39"/>
    </row>
    <row r="261" spans="1:10" x14ac:dyDescent="0.25">
      <c r="A261" s="9">
        <v>150</v>
      </c>
      <c r="B261" s="8" t="s">
        <v>130</v>
      </c>
      <c r="C261" s="9" t="s">
        <v>5</v>
      </c>
      <c r="D261" s="9" t="s">
        <v>5</v>
      </c>
      <c r="E261" s="14" t="s">
        <v>46</v>
      </c>
      <c r="F261" s="38" t="str">
        <f t="shared" ca="1" si="10"/>
        <v/>
      </c>
      <c r="G261" s="139"/>
      <c r="H261" s="74"/>
    </row>
    <row r="262" spans="1:10" x14ac:dyDescent="0.25">
      <c r="A262" s="9">
        <v>151</v>
      </c>
      <c r="B262" s="40" t="s">
        <v>141</v>
      </c>
      <c r="C262" s="9" t="s">
        <v>5</v>
      </c>
      <c r="D262" s="9" t="s">
        <v>5</v>
      </c>
      <c r="E262" s="14" t="s">
        <v>46</v>
      </c>
      <c r="F262" s="38" t="str">
        <f t="shared" ca="1" si="10"/>
        <v/>
      </c>
      <c r="G262" s="139"/>
    </row>
    <row r="263" spans="1:10" x14ac:dyDescent="0.25">
      <c r="A263" s="9">
        <v>152</v>
      </c>
      <c r="B263" s="40" t="s">
        <v>938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139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139"/>
    </row>
    <row r="265" spans="1:10" x14ac:dyDescent="0.25">
      <c r="A265" s="9">
        <v>154</v>
      </c>
      <c r="B265" s="8" t="s">
        <v>708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39"/>
      <c r="H265" s="74"/>
    </row>
    <row r="266" spans="1:10" x14ac:dyDescent="0.25">
      <c r="A266" s="9">
        <v>155</v>
      </c>
      <c r="B266" s="40" t="s">
        <v>1829</v>
      </c>
      <c r="C266" s="9" t="s">
        <v>5</v>
      </c>
      <c r="D266" s="9" t="s">
        <v>6</v>
      </c>
      <c r="E266" s="14" t="s">
        <v>46</v>
      </c>
      <c r="F266" s="38" t="str">
        <f t="shared" ca="1" si="10"/>
        <v/>
      </c>
      <c r="G266" s="139"/>
      <c r="H266" s="74"/>
    </row>
    <row r="267" spans="1:10" x14ac:dyDescent="0.25">
      <c r="A267" s="9">
        <v>156</v>
      </c>
      <c r="B267" s="8" t="s">
        <v>64</v>
      </c>
      <c r="C267" s="9" t="s">
        <v>5</v>
      </c>
      <c r="D267" s="9" t="s">
        <v>6</v>
      </c>
      <c r="E267" s="14" t="s">
        <v>46</v>
      </c>
      <c r="F267" s="38" t="str">
        <f t="shared" ca="1" si="10"/>
        <v/>
      </c>
      <c r="G267" s="139"/>
    </row>
    <row r="268" spans="1:10" ht="15" customHeight="1" x14ac:dyDescent="0.25">
      <c r="A268" s="9">
        <v>157</v>
      </c>
      <c r="B268" s="40" t="s">
        <v>1557</v>
      </c>
      <c r="C268" s="9" t="s">
        <v>6</v>
      </c>
      <c r="D268" s="9" t="s">
        <v>6</v>
      </c>
      <c r="E268" s="14" t="s">
        <v>153</v>
      </c>
      <c r="F268" s="38">
        <f t="shared" ca="1" si="10"/>
        <v>46222</v>
      </c>
      <c r="G268" s="139"/>
      <c r="I268" s="119"/>
      <c r="J268" s="119"/>
    </row>
    <row r="269" spans="1:10" x14ac:dyDescent="0.25">
      <c r="A269" s="9">
        <v>158</v>
      </c>
      <c r="B269" s="40" t="s">
        <v>1893</v>
      </c>
      <c r="C269" s="9" t="s">
        <v>6</v>
      </c>
      <c r="D269" s="9" t="s">
        <v>6</v>
      </c>
      <c r="E269" s="14" t="s">
        <v>46</v>
      </c>
      <c r="F269" s="38">
        <f t="shared" ca="1" si="10"/>
        <v>46209</v>
      </c>
      <c r="G269" s="139"/>
    </row>
    <row r="270" spans="1:10" x14ac:dyDescent="0.25">
      <c r="A270" s="9">
        <v>159</v>
      </c>
      <c r="B270" s="40" t="s">
        <v>1425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139"/>
    </row>
    <row r="271" spans="1:10" x14ac:dyDescent="0.25">
      <c r="A271" s="9">
        <v>160</v>
      </c>
      <c r="B271" s="40" t="s">
        <v>1476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139"/>
      <c r="H271" s="76"/>
    </row>
    <row r="272" spans="1:10" x14ac:dyDescent="0.25">
      <c r="A272" s="9">
        <v>161</v>
      </c>
      <c r="B272" s="40" t="s">
        <v>1674</v>
      </c>
      <c r="C272" s="9" t="s">
        <v>6</v>
      </c>
      <c r="D272" s="9" t="s">
        <v>6</v>
      </c>
      <c r="E272" s="14" t="s">
        <v>46</v>
      </c>
      <c r="F272" s="38">
        <f t="shared" ca="1" si="10"/>
        <v>46222</v>
      </c>
      <c r="G272" s="139"/>
      <c r="H272" s="83"/>
    </row>
    <row r="273" spans="1:10" x14ac:dyDescent="0.25">
      <c r="A273" s="9">
        <v>162</v>
      </c>
      <c r="B273" s="40" t="s">
        <v>1729</v>
      </c>
      <c r="C273" s="9" t="s">
        <v>5</v>
      </c>
      <c r="D273" s="9" t="s">
        <v>6</v>
      </c>
      <c r="E273" s="14" t="s">
        <v>46</v>
      </c>
      <c r="F273" s="38" t="str">
        <f t="shared" ca="1" si="10"/>
        <v/>
      </c>
      <c r="G273" s="139"/>
      <c r="H273" s="67"/>
    </row>
    <row r="274" spans="1:10" ht="15" customHeight="1" x14ac:dyDescent="0.25">
      <c r="A274" s="9">
        <v>163</v>
      </c>
      <c r="B274" s="8" t="s">
        <v>86</v>
      </c>
      <c r="C274" s="9" t="s">
        <v>6</v>
      </c>
      <c r="D274" s="9" t="s">
        <v>5</v>
      </c>
      <c r="E274" s="14" t="s">
        <v>46</v>
      </c>
      <c r="F274" s="38" t="str">
        <f t="shared" ref="F274:F276" ca="1" si="11">IF(AND(C274="NO",D274="NO"),IF(F274="",TODAY(),F274),"")</f>
        <v/>
      </c>
      <c r="G274" s="139"/>
      <c r="I274" s="119"/>
      <c r="J274" s="119"/>
    </row>
    <row r="275" spans="1:10" x14ac:dyDescent="0.25">
      <c r="A275" s="9">
        <v>164</v>
      </c>
      <c r="B275" s="40" t="s">
        <v>1223</v>
      </c>
      <c r="C275" s="9" t="s">
        <v>6</v>
      </c>
      <c r="D275" s="9" t="s">
        <v>6</v>
      </c>
      <c r="E275" s="14" t="s">
        <v>46</v>
      </c>
      <c r="F275" s="38">
        <f t="shared" ca="1" si="11"/>
        <v>46216</v>
      </c>
      <c r="G275" s="139"/>
      <c r="H275" s="72"/>
    </row>
    <row r="276" spans="1:10" ht="15" customHeight="1" x14ac:dyDescent="0.25">
      <c r="A276" s="9">
        <v>165</v>
      </c>
      <c r="B276" s="8" t="s">
        <v>70</v>
      </c>
      <c r="C276" s="9" t="s">
        <v>6</v>
      </c>
      <c r="D276" s="9" t="s">
        <v>5</v>
      </c>
      <c r="E276" s="14" t="s">
        <v>46</v>
      </c>
      <c r="F276" s="38" t="str">
        <f t="shared" ca="1" si="11"/>
        <v/>
      </c>
      <c r="G276" s="139"/>
      <c r="I276" s="119"/>
      <c r="J276" s="119"/>
    </row>
    <row r="277" spans="1:10" x14ac:dyDescent="0.25">
      <c r="A277" s="9">
        <v>166</v>
      </c>
      <c r="B277" s="40" t="s">
        <v>1382</v>
      </c>
      <c r="C277" s="9" t="s">
        <v>6</v>
      </c>
      <c r="D277" s="9" t="s">
        <v>6</v>
      </c>
      <c r="E277" s="14" t="s">
        <v>153</v>
      </c>
      <c r="F277" s="38">
        <f t="shared" ref="F277:F285" ca="1" si="12">IF(AND(C277="NO",D277="NO"),IF(F277="",TODAY(),F277),"")</f>
        <v>46222</v>
      </c>
      <c r="G277" s="139"/>
      <c r="H277" s="68"/>
    </row>
    <row r="278" spans="1:10" x14ac:dyDescent="0.25">
      <c r="A278" s="9">
        <v>167</v>
      </c>
      <c r="B278" s="40" t="s">
        <v>1769</v>
      </c>
      <c r="C278" s="9" t="s">
        <v>6</v>
      </c>
      <c r="D278" s="9" t="s">
        <v>6</v>
      </c>
      <c r="E278" s="14" t="s">
        <v>46</v>
      </c>
      <c r="F278" s="38">
        <f t="shared" ca="1" si="12"/>
        <v>46222</v>
      </c>
      <c r="G278" s="139"/>
      <c r="H278" s="107"/>
    </row>
    <row r="279" spans="1:10" x14ac:dyDescent="0.25">
      <c r="A279" s="9">
        <v>168</v>
      </c>
      <c r="B279" s="40" t="s">
        <v>1873</v>
      </c>
      <c r="C279" s="9" t="s">
        <v>6</v>
      </c>
      <c r="D279" s="9" t="s">
        <v>6</v>
      </c>
      <c r="E279" s="14" t="s">
        <v>346</v>
      </c>
      <c r="F279" s="38">
        <f t="shared" ca="1" si="12"/>
        <v>46209</v>
      </c>
      <c r="G279" s="139"/>
      <c r="H279" s="115"/>
    </row>
    <row r="280" spans="1:10" x14ac:dyDescent="0.25">
      <c r="A280" s="9">
        <v>169</v>
      </c>
      <c r="B280" s="40" t="s">
        <v>1904</v>
      </c>
      <c r="C280" s="9" t="s">
        <v>5</v>
      </c>
      <c r="D280" s="9" t="s">
        <v>6</v>
      </c>
      <c r="E280" s="14" t="s">
        <v>46</v>
      </c>
      <c r="F280" s="38" t="str">
        <f t="shared" ca="1" si="12"/>
        <v/>
      </c>
      <c r="G280" s="139"/>
      <c r="H280" s="115"/>
    </row>
    <row r="281" spans="1:10" x14ac:dyDescent="0.25">
      <c r="A281" s="9">
        <v>170</v>
      </c>
      <c r="B281" s="40" t="s">
        <v>318</v>
      </c>
      <c r="C281" s="9" t="s">
        <v>6</v>
      </c>
      <c r="D281" s="9" t="s">
        <v>6</v>
      </c>
      <c r="E281" s="14" t="s">
        <v>153</v>
      </c>
      <c r="F281" s="38">
        <f t="shared" ca="1" si="12"/>
        <v>46222</v>
      </c>
      <c r="G281" s="139"/>
    </row>
    <row r="282" spans="1:10" x14ac:dyDescent="0.25">
      <c r="A282" s="9">
        <v>171</v>
      </c>
      <c r="B282" s="40" t="s">
        <v>1948</v>
      </c>
      <c r="C282" s="9" t="s">
        <v>6</v>
      </c>
      <c r="D282" s="9" t="s">
        <v>6</v>
      </c>
      <c r="E282" s="14" t="s">
        <v>46</v>
      </c>
      <c r="F282" s="38">
        <f t="shared" ca="1" si="12"/>
        <v>46216</v>
      </c>
      <c r="G282" s="139"/>
      <c r="H282" s="117"/>
    </row>
    <row r="283" spans="1:10" ht="15" customHeight="1" x14ac:dyDescent="0.25">
      <c r="A283" s="9">
        <v>172</v>
      </c>
      <c r="B283" s="40" t="s">
        <v>1761</v>
      </c>
      <c r="C283" s="9" t="s">
        <v>6</v>
      </c>
      <c r="D283" s="9" t="s">
        <v>5</v>
      </c>
      <c r="E283" s="14" t="s">
        <v>346</v>
      </c>
      <c r="F283" s="38" t="str">
        <f t="shared" ca="1" si="12"/>
        <v/>
      </c>
      <c r="G283" s="139"/>
      <c r="I283" s="119"/>
      <c r="J283" s="119"/>
    </row>
    <row r="284" spans="1:10" ht="15" customHeight="1" x14ac:dyDescent="0.25">
      <c r="A284" s="9">
        <v>173</v>
      </c>
      <c r="B284" s="40" t="s">
        <v>2010</v>
      </c>
      <c r="C284" s="9" t="s">
        <v>6</v>
      </c>
      <c r="D284" s="9" t="s">
        <v>5</v>
      </c>
      <c r="E284" s="14" t="s">
        <v>346</v>
      </c>
      <c r="F284" s="38" t="str">
        <f t="shared" ca="1" si="12"/>
        <v/>
      </c>
      <c r="G284" s="139"/>
      <c r="I284" s="119"/>
      <c r="J284" s="119"/>
    </row>
    <row r="285" spans="1:10" x14ac:dyDescent="0.25">
      <c r="A285" s="9">
        <v>174</v>
      </c>
      <c r="B285" s="40" t="s">
        <v>1924</v>
      </c>
      <c r="C285" s="9" t="s">
        <v>6</v>
      </c>
      <c r="D285" s="9" t="s">
        <v>6</v>
      </c>
      <c r="E285" s="14" t="s">
        <v>346</v>
      </c>
      <c r="F285" s="38">
        <f t="shared" ca="1" si="12"/>
        <v>46209</v>
      </c>
      <c r="G285" s="139"/>
      <c r="H285" s="117"/>
    </row>
    <row r="286" spans="1:10" ht="14.25" customHeight="1" x14ac:dyDescent="0.25">
      <c r="A286" s="9">
        <v>175</v>
      </c>
      <c r="B286" s="55" t="s">
        <v>739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  <c r="G286" s="139"/>
    </row>
    <row r="287" spans="1:10" x14ac:dyDescent="0.25">
      <c r="A287" s="9">
        <v>176</v>
      </c>
      <c r="B287" s="40" t="s">
        <v>1925</v>
      </c>
      <c r="C287" s="9" t="s">
        <v>6</v>
      </c>
      <c r="D287" s="9" t="s">
        <v>6</v>
      </c>
      <c r="E287" s="14" t="s">
        <v>346</v>
      </c>
      <c r="F287" s="38">
        <f ca="1">IF(AND(C287="NO",D287="NO"),IF(F287="",TODAY(),F287),"")</f>
        <v>46209</v>
      </c>
      <c r="G287" s="139"/>
      <c r="H287" s="124"/>
    </row>
    <row r="288" spans="1:10" x14ac:dyDescent="0.25">
      <c r="A288" s="9">
        <v>177</v>
      </c>
      <c r="B288" s="40" t="s">
        <v>1940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139"/>
      <c r="H288" s="124"/>
      <c r="I288" s="128"/>
    </row>
    <row r="289" spans="1:9" x14ac:dyDescent="0.25">
      <c r="A289" s="9">
        <v>178</v>
      </c>
      <c r="B289" s="40" t="s">
        <v>1941</v>
      </c>
      <c r="C289" s="9" t="s">
        <v>5</v>
      </c>
      <c r="D289" s="9" t="s">
        <v>6</v>
      </c>
      <c r="E289" s="14" t="s">
        <v>46</v>
      </c>
      <c r="F289" s="38" t="str">
        <f t="shared" ca="1" si="13"/>
        <v/>
      </c>
      <c r="G289" s="139"/>
      <c r="H289" s="124"/>
      <c r="I289" s="128"/>
    </row>
    <row r="290" spans="1:9" x14ac:dyDescent="0.25">
      <c r="A290" s="9">
        <v>179</v>
      </c>
      <c r="B290" s="40" t="s">
        <v>1942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139"/>
      <c r="H290" s="124"/>
      <c r="I290" s="128"/>
    </row>
    <row r="291" spans="1:9" x14ac:dyDescent="0.25">
      <c r="A291" s="9">
        <v>180</v>
      </c>
      <c r="B291" s="40" t="s">
        <v>1943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39"/>
      <c r="H291" s="124"/>
      <c r="I291" s="128"/>
    </row>
    <row r="292" spans="1:9" x14ac:dyDescent="0.25">
      <c r="A292" s="9">
        <v>181</v>
      </c>
      <c r="B292" s="40" t="s">
        <v>1945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39"/>
      <c r="H292" s="124"/>
      <c r="I292" s="128"/>
    </row>
    <row r="293" spans="1:9" x14ac:dyDescent="0.25">
      <c r="A293" s="9">
        <v>182</v>
      </c>
      <c r="B293" s="40" t="s">
        <v>1944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139"/>
      <c r="H293" s="124"/>
      <c r="I293" s="128"/>
    </row>
    <row r="294" spans="1:9" x14ac:dyDescent="0.25">
      <c r="A294" s="9">
        <v>183</v>
      </c>
      <c r="B294" s="40" t="s">
        <v>1946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139"/>
      <c r="H294" s="124"/>
      <c r="I294" s="128"/>
    </row>
    <row r="295" spans="1:9" x14ac:dyDescent="0.25">
      <c r="A295" s="9">
        <v>184</v>
      </c>
      <c r="B295" s="40" t="s">
        <v>1947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139"/>
      <c r="H295" s="124"/>
      <c r="I295" s="128"/>
    </row>
    <row r="296" spans="1:9" x14ac:dyDescent="0.25">
      <c r="A296" s="9">
        <v>185</v>
      </c>
      <c r="B296" s="40" t="s">
        <v>1949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139"/>
      <c r="H296" s="124"/>
      <c r="I296" s="128"/>
    </row>
    <row r="297" spans="1:9" x14ac:dyDescent="0.25">
      <c r="A297" s="9">
        <v>186</v>
      </c>
      <c r="B297" s="40" t="s">
        <v>1950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139"/>
      <c r="H297" s="124"/>
      <c r="I297" s="128"/>
    </row>
    <row r="298" spans="1:9" x14ac:dyDescent="0.25">
      <c r="A298" s="9">
        <v>187</v>
      </c>
      <c r="B298" s="40" t="s">
        <v>1956</v>
      </c>
      <c r="C298" s="9" t="s">
        <v>6</v>
      </c>
      <c r="D298" s="9" t="s">
        <v>6</v>
      </c>
      <c r="E298" s="14" t="s">
        <v>346</v>
      </c>
      <c r="F298" s="38">
        <f t="shared" ca="1" si="13"/>
        <v>46216</v>
      </c>
      <c r="G298" s="139"/>
      <c r="H298" s="124"/>
      <c r="I298" s="128"/>
    </row>
    <row r="299" spans="1:9" x14ac:dyDescent="0.25">
      <c r="A299" s="9">
        <v>188</v>
      </c>
      <c r="B299" s="40" t="s">
        <v>1957</v>
      </c>
      <c r="C299" s="9" t="s">
        <v>6</v>
      </c>
      <c r="D299" s="9" t="s">
        <v>6</v>
      </c>
      <c r="E299" s="14" t="s">
        <v>346</v>
      </c>
      <c r="F299" s="38">
        <f t="shared" ref="F299:F300" ca="1" si="16">IF(AND(C299="NO",D299="NO"),IF(F299="",TODAY(),F299),"")</f>
        <v>46222</v>
      </c>
      <c r="G299" s="139"/>
      <c r="H299" s="124"/>
      <c r="I299" s="128"/>
    </row>
    <row r="300" spans="1:9" x14ac:dyDescent="0.25">
      <c r="A300" s="9">
        <v>189</v>
      </c>
      <c r="B300" s="40" t="s">
        <v>1958</v>
      </c>
      <c r="C300" s="9" t="s">
        <v>6</v>
      </c>
      <c r="D300" s="9" t="s">
        <v>6</v>
      </c>
      <c r="E300" s="14" t="s">
        <v>346</v>
      </c>
      <c r="F300" s="38">
        <f t="shared" ca="1" si="16"/>
        <v>46222</v>
      </c>
      <c r="G300" s="139"/>
      <c r="H300" s="124"/>
      <c r="I300" s="128"/>
    </row>
    <row r="301" spans="1:9" x14ac:dyDescent="0.25">
      <c r="A301" s="9">
        <v>190</v>
      </c>
      <c r="B301" s="40" t="s">
        <v>1959</v>
      </c>
      <c r="C301" s="9" t="s">
        <v>6</v>
      </c>
      <c r="D301" s="9" t="s">
        <v>6</v>
      </c>
      <c r="E301" s="14" t="s">
        <v>346</v>
      </c>
      <c r="F301" s="38">
        <f t="shared" ref="F301:F316" ca="1" si="17">IF(AND(C301="NO",D301="NO"),IF(F301="",TODAY(),F301),"")</f>
        <v>46222</v>
      </c>
      <c r="G301" s="139"/>
      <c r="H301" s="135"/>
      <c r="I301" s="128"/>
    </row>
    <row r="302" spans="1:9" x14ac:dyDescent="0.25">
      <c r="A302" s="9">
        <v>191</v>
      </c>
      <c r="B302" s="40" t="s">
        <v>1969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139"/>
      <c r="H302" s="135"/>
      <c r="I302" s="128"/>
    </row>
    <row r="303" spans="1:9" x14ac:dyDescent="0.25">
      <c r="A303" s="9">
        <v>192</v>
      </c>
      <c r="B303" s="40" t="s">
        <v>1971</v>
      </c>
      <c r="C303" s="9" t="s">
        <v>5</v>
      </c>
      <c r="D303" s="9" t="s">
        <v>5</v>
      </c>
      <c r="E303" s="14" t="s">
        <v>46</v>
      </c>
      <c r="F303" s="38" t="str">
        <f t="shared" ca="1" si="17"/>
        <v/>
      </c>
      <c r="G303" s="139"/>
      <c r="H303" s="135"/>
    </row>
    <row r="304" spans="1:9" x14ac:dyDescent="0.25">
      <c r="A304" s="9">
        <v>193</v>
      </c>
      <c r="B304" s="40" t="s">
        <v>1972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139"/>
      <c r="H304" s="135"/>
    </row>
    <row r="305" spans="1:9" x14ac:dyDescent="0.25">
      <c r="A305" s="9">
        <v>194</v>
      </c>
      <c r="B305" s="40" t="s">
        <v>1974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139"/>
      <c r="H305" s="138"/>
    </row>
    <row r="306" spans="1:9" x14ac:dyDescent="0.25">
      <c r="A306" s="9">
        <v>195</v>
      </c>
      <c r="B306" s="40" t="s">
        <v>1996</v>
      </c>
      <c r="C306" s="9" t="s">
        <v>5</v>
      </c>
      <c r="D306" s="9" t="s">
        <v>6</v>
      </c>
      <c r="E306" s="14" t="s">
        <v>1777</v>
      </c>
      <c r="F306" s="38" t="str">
        <f t="shared" ca="1" si="17"/>
        <v/>
      </c>
      <c r="G306" s="139"/>
      <c r="H306" s="138"/>
      <c r="I306" s="128"/>
    </row>
    <row r="307" spans="1:9" x14ac:dyDescent="0.25">
      <c r="A307" s="9">
        <v>196</v>
      </c>
      <c r="B307" s="40" t="s">
        <v>1997</v>
      </c>
      <c r="C307" s="9" t="s">
        <v>5</v>
      </c>
      <c r="D307" s="9" t="s">
        <v>6</v>
      </c>
      <c r="E307" s="14" t="s">
        <v>1777</v>
      </c>
      <c r="F307" s="38" t="str">
        <f t="shared" ca="1" si="17"/>
        <v/>
      </c>
      <c r="G307" s="139"/>
      <c r="H307" s="138"/>
      <c r="I307" s="128"/>
    </row>
    <row r="308" spans="1:9" x14ac:dyDescent="0.25">
      <c r="A308" s="9">
        <v>197</v>
      </c>
      <c r="B308" s="40" t="s">
        <v>1998</v>
      </c>
      <c r="C308" s="9" t="s">
        <v>5</v>
      </c>
      <c r="D308" s="9" t="s">
        <v>5</v>
      </c>
      <c r="E308" s="14" t="s">
        <v>1777</v>
      </c>
      <c r="F308" s="38" t="str">
        <f t="shared" ca="1" si="17"/>
        <v/>
      </c>
      <c r="G308" s="139"/>
      <c r="H308" s="138"/>
      <c r="I308" s="128"/>
    </row>
    <row r="309" spans="1:9" x14ac:dyDescent="0.25">
      <c r="A309" s="9">
        <v>198</v>
      </c>
      <c r="B309" s="40" t="s">
        <v>1999</v>
      </c>
      <c r="C309" s="9" t="s">
        <v>5</v>
      </c>
      <c r="D309" s="9" t="s">
        <v>5</v>
      </c>
      <c r="E309" s="14" t="s">
        <v>1777</v>
      </c>
      <c r="F309" s="38" t="str">
        <f t="shared" ref="F309:F315" ca="1" si="18">IF(AND(C309="NO",D309="NO"),IF(F309="",TODAY(),F309),"")</f>
        <v/>
      </c>
      <c r="G309" s="139"/>
      <c r="H309" s="138"/>
      <c r="I309" s="128"/>
    </row>
    <row r="310" spans="1:9" x14ac:dyDescent="0.25">
      <c r="A310" s="9">
        <v>199</v>
      </c>
      <c r="B310" s="40" t="s">
        <v>2001</v>
      </c>
      <c r="C310" s="9" t="s">
        <v>5</v>
      </c>
      <c r="D310" s="9" t="s">
        <v>6</v>
      </c>
      <c r="E310" s="14" t="s">
        <v>1777</v>
      </c>
      <c r="F310" s="38" t="str">
        <f t="shared" ca="1" si="18"/>
        <v/>
      </c>
      <c r="G310" s="139"/>
      <c r="H310" s="138"/>
      <c r="I310" s="128"/>
    </row>
    <row r="311" spans="1:9" x14ac:dyDescent="0.25">
      <c r="A311" s="9">
        <v>200</v>
      </c>
      <c r="B311" s="40" t="s">
        <v>678</v>
      </c>
      <c r="C311" s="9" t="s">
        <v>5</v>
      </c>
      <c r="D311" s="9" t="s">
        <v>6</v>
      </c>
      <c r="E311" s="14" t="s">
        <v>1777</v>
      </c>
      <c r="F311" s="38" t="str">
        <f t="shared" ref="F311:F314" ca="1" si="19">IF(AND(C311="NO",D311="NO"),IF(F311="",TODAY(),F311),"")</f>
        <v/>
      </c>
      <c r="G311" s="139"/>
      <c r="H311" s="138"/>
      <c r="I311" s="128">
        <f>12+11+18+12+5+13+6</f>
        <v>77</v>
      </c>
    </row>
    <row r="312" spans="1:9" x14ac:dyDescent="0.25">
      <c r="A312" s="9">
        <v>201</v>
      </c>
      <c r="B312" s="40" t="s">
        <v>2002</v>
      </c>
      <c r="C312" s="9" t="s">
        <v>5</v>
      </c>
      <c r="D312" s="9" t="s">
        <v>6</v>
      </c>
      <c r="E312" s="14" t="s">
        <v>1777</v>
      </c>
      <c r="F312" s="38" t="str">
        <f t="shared" ca="1" si="19"/>
        <v/>
      </c>
      <c r="G312" s="139"/>
      <c r="H312" s="138"/>
      <c r="I312" s="128">
        <f>32+8+6+6+7+4</f>
        <v>63</v>
      </c>
    </row>
    <row r="313" spans="1:9" x14ac:dyDescent="0.25">
      <c r="A313" s="9">
        <v>202</v>
      </c>
      <c r="B313" s="40" t="s">
        <v>2008</v>
      </c>
      <c r="C313" s="9" t="s">
        <v>1777</v>
      </c>
      <c r="D313" s="9" t="s">
        <v>5</v>
      </c>
      <c r="E313" s="14" t="s">
        <v>346</v>
      </c>
      <c r="F313" s="38" t="str">
        <f t="shared" ca="1" si="19"/>
        <v/>
      </c>
      <c r="G313" s="139"/>
      <c r="H313" s="138"/>
      <c r="I313" s="128"/>
    </row>
    <row r="314" spans="1:9" x14ac:dyDescent="0.25">
      <c r="A314" s="9">
        <v>203</v>
      </c>
      <c r="B314" s="40" t="s">
        <v>2009</v>
      </c>
      <c r="C314" s="9" t="s">
        <v>1777</v>
      </c>
      <c r="D314" s="9" t="s">
        <v>5</v>
      </c>
      <c r="E314" s="14" t="s">
        <v>346</v>
      </c>
      <c r="F314" s="38" t="str">
        <f t="shared" ca="1" si="19"/>
        <v/>
      </c>
      <c r="G314" s="139"/>
      <c r="H314" s="138"/>
    </row>
    <row r="315" spans="1:9" x14ac:dyDescent="0.25">
      <c r="A315" s="9">
        <v>204</v>
      </c>
      <c r="B315" s="40" t="s">
        <v>2011</v>
      </c>
      <c r="C315" s="9" t="s">
        <v>1777</v>
      </c>
      <c r="D315" s="9" t="s">
        <v>5</v>
      </c>
      <c r="E315" s="14" t="s">
        <v>346</v>
      </c>
      <c r="F315" s="38" t="str">
        <f t="shared" ca="1" si="18"/>
        <v/>
      </c>
      <c r="G315" s="139"/>
      <c r="H315" s="138"/>
      <c r="I315" s="128"/>
    </row>
    <row r="316" spans="1:9" x14ac:dyDescent="0.25">
      <c r="A316" s="9">
        <v>205</v>
      </c>
      <c r="B316" s="40" t="s">
        <v>2012</v>
      </c>
      <c r="C316" s="9" t="s">
        <v>1777</v>
      </c>
      <c r="D316" s="9" t="s">
        <v>5</v>
      </c>
      <c r="E316" s="14" t="s">
        <v>346</v>
      </c>
      <c r="F316" s="38" t="str">
        <f t="shared" ca="1" si="17"/>
        <v/>
      </c>
      <c r="G316" s="139"/>
      <c r="H316" s="39"/>
    </row>
    <row r="317" spans="1:9" x14ac:dyDescent="0.25">
      <c r="F317" s="47"/>
      <c r="G317" s="139"/>
      <c r="H317" s="102"/>
    </row>
    <row r="318" spans="1:9" ht="45" x14ac:dyDescent="0.25">
      <c r="A318" s="158" t="s">
        <v>54</v>
      </c>
      <c r="B318" s="159"/>
      <c r="C318" s="10">
        <f>COUNTIF(C112:C316, "SI")</f>
        <v>77</v>
      </c>
      <c r="D318" s="6" t="s">
        <v>51</v>
      </c>
      <c r="E318" s="30">
        <f>C318/A316*100</f>
        <v>37.560975609756099</v>
      </c>
      <c r="F318" s="11" t="s">
        <v>1883</v>
      </c>
      <c r="G318" s="139"/>
    </row>
    <row r="319" spans="1:9" ht="45" x14ac:dyDescent="0.25">
      <c r="A319" s="158" t="s">
        <v>55</v>
      </c>
      <c r="B319" s="159"/>
      <c r="C319" s="10">
        <f>COUNTIF(C112:C316, "NO")</f>
        <v>124</v>
      </c>
      <c r="D319" s="6" t="s">
        <v>51</v>
      </c>
      <c r="E319" s="30">
        <f>C319/A316*100</f>
        <v>60.487804878048777</v>
      </c>
      <c r="F319" s="11" t="s">
        <v>1884</v>
      </c>
      <c r="G319" s="144"/>
    </row>
    <row r="320" spans="1:9" ht="18" x14ac:dyDescent="0.25">
      <c r="A320" s="24"/>
      <c r="B320" s="24"/>
      <c r="C320" s="25"/>
      <c r="D320" s="26"/>
      <c r="E320" s="27"/>
      <c r="F320" s="28"/>
      <c r="G320" s="139"/>
      <c r="H320" s="37"/>
    </row>
    <row r="321" spans="1:10" ht="45" x14ac:dyDescent="0.25">
      <c r="A321" s="158" t="s">
        <v>56</v>
      </c>
      <c r="B321" s="159"/>
      <c r="C321" s="10">
        <f>COUNTIF(D112:D316, "SI")</f>
        <v>63</v>
      </c>
      <c r="D321" s="6" t="s">
        <v>51</v>
      </c>
      <c r="E321" s="30">
        <f>C321/A316*100</f>
        <v>30.73170731707317</v>
      </c>
      <c r="F321" s="11" t="s">
        <v>58</v>
      </c>
      <c r="G321" s="139"/>
      <c r="H321" s="37"/>
    </row>
    <row r="322" spans="1:10" ht="45" x14ac:dyDescent="0.25">
      <c r="A322" s="158" t="s">
        <v>57</v>
      </c>
      <c r="B322" s="159"/>
      <c r="C322" s="10">
        <f>COUNTIF(D112:D316, "NO")</f>
        <v>142</v>
      </c>
      <c r="D322" s="6" t="s">
        <v>51</v>
      </c>
      <c r="E322" s="30">
        <f>C322/A316*100</f>
        <v>69.268292682926827</v>
      </c>
      <c r="F322" s="11" t="s">
        <v>59</v>
      </c>
      <c r="G322" s="139"/>
    </row>
    <row r="323" spans="1:10" ht="18" x14ac:dyDescent="0.25">
      <c r="A323" s="59"/>
      <c r="B323" s="59"/>
      <c r="C323" s="60"/>
      <c r="D323" s="61"/>
      <c r="E323" s="62"/>
      <c r="F323" s="63"/>
      <c r="G323" s="139"/>
    </row>
    <row r="324" spans="1:10" x14ac:dyDescent="0.25">
      <c r="A324" s="154" t="s">
        <v>1039</v>
      </c>
      <c r="B324" s="155"/>
      <c r="C324" s="149">
        <f>COUNTIFS(C112:C316,"SI",D112:D316,"SI")</f>
        <v>34</v>
      </c>
      <c r="D324" s="201" t="s">
        <v>51</v>
      </c>
      <c r="E324" s="152">
        <f>C324/A316*100</f>
        <v>16.585365853658537</v>
      </c>
      <c r="F324" s="170" t="s">
        <v>1041</v>
      </c>
      <c r="G324" s="139"/>
    </row>
    <row r="325" spans="1:10" x14ac:dyDescent="0.25">
      <c r="A325" s="156"/>
      <c r="B325" s="157"/>
      <c r="C325" s="149"/>
      <c r="D325" s="151"/>
      <c r="E325" s="153"/>
      <c r="F325" s="169"/>
      <c r="G325" s="139"/>
    </row>
    <row r="326" spans="1:10" x14ac:dyDescent="0.25">
      <c r="A326" s="154" t="s">
        <v>1040</v>
      </c>
      <c r="B326" s="155"/>
      <c r="C326" s="149">
        <f>COUNTIFS(C112:C316,"NO",D112:D316,"NO")</f>
        <v>99</v>
      </c>
      <c r="D326" s="150" t="s">
        <v>51</v>
      </c>
      <c r="E326" s="152">
        <f>C326/A316*100</f>
        <v>48.292682926829265</v>
      </c>
      <c r="F326" s="168" t="s">
        <v>1042</v>
      </c>
      <c r="G326" s="139"/>
    </row>
    <row r="327" spans="1:10" ht="15" customHeight="1" x14ac:dyDescent="0.25">
      <c r="A327" s="156"/>
      <c r="B327" s="157"/>
      <c r="C327" s="149"/>
      <c r="D327" s="151"/>
      <c r="E327" s="153"/>
      <c r="F327" s="169"/>
      <c r="G327" s="139"/>
    </row>
    <row r="328" spans="1:10" ht="15" customHeight="1" x14ac:dyDescent="0.25">
      <c r="G328" s="139"/>
    </row>
    <row r="329" spans="1:10" ht="15" customHeight="1" x14ac:dyDescent="0.25">
      <c r="A329" s="146" t="s">
        <v>1875</v>
      </c>
      <c r="B329" s="147"/>
      <c r="C329" s="147"/>
      <c r="D329" s="147"/>
      <c r="E329" s="148"/>
      <c r="G329" s="139"/>
    </row>
    <row r="330" spans="1:10" ht="15" customHeight="1" x14ac:dyDescent="0.25">
      <c r="A330" s="13" t="s">
        <v>0</v>
      </c>
      <c r="B330" s="13" t="s">
        <v>1</v>
      </c>
      <c r="C330" s="13" t="s">
        <v>2</v>
      </c>
      <c r="D330" s="13" t="s">
        <v>3</v>
      </c>
      <c r="E330" s="132" t="s">
        <v>7</v>
      </c>
      <c r="F330" s="13" t="s">
        <v>1982</v>
      </c>
      <c r="G330" s="13" t="s">
        <v>1983</v>
      </c>
    </row>
    <row r="331" spans="1:10" x14ac:dyDescent="0.25">
      <c r="A331" s="9">
        <v>1</v>
      </c>
      <c r="B331" s="8" t="s">
        <v>156</v>
      </c>
      <c r="C331" s="21" t="s">
        <v>6</v>
      </c>
      <c r="D331" s="129" t="s">
        <v>5</v>
      </c>
      <c r="E331" s="14" t="s">
        <v>265</v>
      </c>
      <c r="F331" s="38" t="str">
        <f t="shared" ref="F331:F360" ca="1" si="20">IF(AND(C331="NO",D331="NO"),IF(F331="",TODAY(),F331),"")</f>
        <v/>
      </c>
      <c r="G331" s="139"/>
    </row>
    <row r="332" spans="1:10" ht="15.75" customHeight="1" x14ac:dyDescent="0.25">
      <c r="A332" s="9">
        <v>2</v>
      </c>
      <c r="B332" s="8" t="s">
        <v>157</v>
      </c>
      <c r="C332" s="21" t="s">
        <v>5</v>
      </c>
      <c r="D332" s="129" t="s">
        <v>6</v>
      </c>
      <c r="E332" s="14" t="s">
        <v>265</v>
      </c>
      <c r="F332" s="38" t="str">
        <f t="shared" ca="1" si="20"/>
        <v/>
      </c>
      <c r="G332" s="139"/>
      <c r="I332" s="160" t="s">
        <v>1776</v>
      </c>
      <c r="J332" s="160"/>
    </row>
    <row r="333" spans="1:10" x14ac:dyDescent="0.25">
      <c r="A333" s="9">
        <v>3</v>
      </c>
      <c r="B333" s="8" t="s">
        <v>158</v>
      </c>
      <c r="C333" s="21" t="s">
        <v>5</v>
      </c>
      <c r="D333" s="129" t="s">
        <v>6</v>
      </c>
      <c r="E333" s="14" t="s">
        <v>46</v>
      </c>
      <c r="F333" s="38" t="str">
        <f t="shared" ca="1" si="20"/>
        <v/>
      </c>
      <c r="G333" s="139"/>
      <c r="I333" s="161"/>
      <c r="J333" s="161"/>
    </row>
    <row r="334" spans="1:10" x14ac:dyDescent="0.25">
      <c r="A334" s="9">
        <v>4</v>
      </c>
      <c r="B334" s="8" t="s">
        <v>159</v>
      </c>
      <c r="C334" s="21" t="s">
        <v>5</v>
      </c>
      <c r="D334" s="129" t="s">
        <v>6</v>
      </c>
      <c r="E334" s="14" t="s">
        <v>265</v>
      </c>
      <c r="F334" s="38" t="str">
        <f t="shared" ca="1" si="20"/>
        <v/>
      </c>
      <c r="G334" s="139"/>
      <c r="I334" s="4" t="str" cm="1">
        <f t="array" ref="I334:I356">_xlfn._xlws.FILTER(B331:B447,(C331:C447="SI")*(D331:D447="SI"),"")</f>
        <v>Adela González</v>
      </c>
      <c r="J334" s="4"/>
    </row>
    <row r="335" spans="1:10" x14ac:dyDescent="0.25">
      <c r="A335" s="9">
        <v>5</v>
      </c>
      <c r="B335" s="8" t="s">
        <v>160</v>
      </c>
      <c r="C335" s="21" t="s">
        <v>5</v>
      </c>
      <c r="D335" s="129" t="s">
        <v>5</v>
      </c>
      <c r="E335" s="14" t="s">
        <v>265</v>
      </c>
      <c r="F335" s="38" t="str">
        <f t="shared" ca="1" si="20"/>
        <v/>
      </c>
      <c r="G335" s="139"/>
      <c r="I335" s="4" t="str">
        <v>Maritza Bohórquez</v>
      </c>
      <c r="J335" s="4"/>
    </row>
    <row r="336" spans="1:10" x14ac:dyDescent="0.25">
      <c r="A336" s="9">
        <v>6</v>
      </c>
      <c r="B336" s="8" t="s">
        <v>161</v>
      </c>
      <c r="C336" s="21" t="s">
        <v>5</v>
      </c>
      <c r="D336" s="129" t="s">
        <v>6</v>
      </c>
      <c r="E336" s="14" t="s">
        <v>46</v>
      </c>
      <c r="F336" s="38" t="str">
        <f t="shared" ca="1" si="20"/>
        <v/>
      </c>
      <c r="G336" s="139"/>
      <c r="I336" s="4" t="str">
        <v xml:space="preserve">Beimar Guillen </v>
      </c>
      <c r="J336" s="4"/>
    </row>
    <row r="337" spans="1:10" x14ac:dyDescent="0.25">
      <c r="A337" s="9">
        <v>7</v>
      </c>
      <c r="B337" s="8" t="s">
        <v>165</v>
      </c>
      <c r="C337" s="21" t="s">
        <v>5</v>
      </c>
      <c r="D337" s="129" t="s">
        <v>6</v>
      </c>
      <c r="E337" s="14" t="s">
        <v>46</v>
      </c>
      <c r="F337" s="38" t="str">
        <f t="shared" ca="1" si="20"/>
        <v/>
      </c>
      <c r="G337" s="139"/>
      <c r="I337" s="4" t="str">
        <v>Samuel PerDOMo</v>
      </c>
      <c r="J337" s="4"/>
    </row>
    <row r="338" spans="1:10" x14ac:dyDescent="0.25">
      <c r="A338" s="9">
        <v>8</v>
      </c>
      <c r="B338" s="8" t="s">
        <v>166</v>
      </c>
      <c r="C338" s="21" t="s">
        <v>6</v>
      </c>
      <c r="D338" s="129" t="s">
        <v>5</v>
      </c>
      <c r="E338" s="14" t="s">
        <v>346</v>
      </c>
      <c r="F338" s="38" t="str">
        <f t="shared" ca="1" si="20"/>
        <v/>
      </c>
      <c r="G338" s="139"/>
      <c r="I338" s="4" t="str">
        <v>Isaac PerDOMo</v>
      </c>
      <c r="J338" s="4"/>
    </row>
    <row r="339" spans="1:10" x14ac:dyDescent="0.25">
      <c r="A339" s="9">
        <v>9</v>
      </c>
      <c r="B339" s="8" t="s">
        <v>671</v>
      </c>
      <c r="C339" s="21" t="s">
        <v>5</v>
      </c>
      <c r="D339" s="129" t="s">
        <v>5</v>
      </c>
      <c r="E339" s="14" t="s">
        <v>46</v>
      </c>
      <c r="F339" s="38" t="str">
        <f t="shared" ca="1" si="20"/>
        <v/>
      </c>
      <c r="G339" s="139"/>
      <c r="I339" s="4" t="str">
        <v>Gisela Betancourt</v>
      </c>
      <c r="J339" s="4"/>
    </row>
    <row r="340" spans="1:10" x14ac:dyDescent="0.25">
      <c r="A340" s="9">
        <v>10</v>
      </c>
      <c r="B340" s="8" t="s">
        <v>174</v>
      </c>
      <c r="C340" s="21" t="s">
        <v>6</v>
      </c>
      <c r="D340" s="129" t="s">
        <v>6</v>
      </c>
      <c r="E340" s="14" t="s">
        <v>46</v>
      </c>
      <c r="F340" s="38">
        <f t="shared" ca="1" si="20"/>
        <v>46209</v>
      </c>
      <c r="G340" s="139"/>
      <c r="I340" s="4" t="str">
        <v>Osmary Vilchez</v>
      </c>
      <c r="J340" s="4"/>
    </row>
    <row r="341" spans="1:10" x14ac:dyDescent="0.25">
      <c r="A341" s="9">
        <v>11</v>
      </c>
      <c r="B341" s="8" t="s">
        <v>171</v>
      </c>
      <c r="C341" s="21" t="s">
        <v>5</v>
      </c>
      <c r="D341" s="129" t="s">
        <v>6</v>
      </c>
      <c r="E341" s="14" t="s">
        <v>46</v>
      </c>
      <c r="F341" s="38" t="str">
        <f t="shared" ca="1" si="20"/>
        <v/>
      </c>
      <c r="G341" s="139"/>
      <c r="I341" s="4" t="str">
        <v>Alexander PerDOMo</v>
      </c>
      <c r="J341" s="4"/>
    </row>
    <row r="342" spans="1:10" s="48" customFormat="1" ht="17.25" customHeight="1" x14ac:dyDescent="0.25">
      <c r="A342" s="9">
        <v>12</v>
      </c>
      <c r="B342" s="8" t="s">
        <v>172</v>
      </c>
      <c r="C342" s="21" t="s">
        <v>5</v>
      </c>
      <c r="D342" s="129" t="s">
        <v>6</v>
      </c>
      <c r="E342" s="14" t="s">
        <v>46</v>
      </c>
      <c r="F342" s="38" t="str">
        <f t="shared" ca="1" si="20"/>
        <v/>
      </c>
      <c r="G342" s="139"/>
      <c r="H342"/>
      <c r="I342" s="4" t="str">
        <v>Mariangel González</v>
      </c>
      <c r="J342" s="126"/>
    </row>
    <row r="343" spans="1:10" x14ac:dyDescent="0.25">
      <c r="A343" s="9">
        <v>13</v>
      </c>
      <c r="B343" s="8" t="s">
        <v>1439</v>
      </c>
      <c r="C343" s="21" t="s">
        <v>6</v>
      </c>
      <c r="D343" s="129" t="s">
        <v>6</v>
      </c>
      <c r="E343" s="14" t="s">
        <v>46</v>
      </c>
      <c r="F343" s="38">
        <f t="shared" ca="1" si="20"/>
        <v>46222</v>
      </c>
      <c r="G343" s="139"/>
      <c r="I343" s="4" t="str">
        <v>Dayana Pereira</v>
      </c>
    </row>
    <row r="344" spans="1:10" x14ac:dyDescent="0.25">
      <c r="A344" s="9">
        <v>14</v>
      </c>
      <c r="B344" s="8" t="s">
        <v>1964</v>
      </c>
      <c r="C344" s="21" t="s">
        <v>5</v>
      </c>
      <c r="D344" s="129" t="s">
        <v>6</v>
      </c>
      <c r="E344" s="14" t="s">
        <v>46</v>
      </c>
      <c r="F344" s="38" t="str">
        <f t="shared" ca="1" si="20"/>
        <v/>
      </c>
      <c r="G344" s="139"/>
      <c r="I344" s="4" t="str">
        <v>Josefa Mora</v>
      </c>
      <c r="J344" s="4"/>
    </row>
    <row r="345" spans="1:10" x14ac:dyDescent="0.25">
      <c r="A345" s="9">
        <v>15</v>
      </c>
      <c r="B345" s="8" t="s">
        <v>175</v>
      </c>
      <c r="C345" s="21" t="s">
        <v>5</v>
      </c>
      <c r="D345" s="129" t="s">
        <v>5</v>
      </c>
      <c r="E345" s="14" t="s">
        <v>46</v>
      </c>
      <c r="F345" s="38" t="str">
        <f t="shared" ca="1" si="20"/>
        <v/>
      </c>
      <c r="G345" s="139"/>
      <c r="I345" s="4" t="str">
        <v>Franglis Andará</v>
      </c>
      <c r="J345" s="4"/>
    </row>
    <row r="346" spans="1:10" x14ac:dyDescent="0.25">
      <c r="A346" s="9">
        <v>16</v>
      </c>
      <c r="B346" s="8" t="s">
        <v>305</v>
      </c>
      <c r="C346" s="21" t="s">
        <v>6</v>
      </c>
      <c r="D346" s="129" t="s">
        <v>6</v>
      </c>
      <c r="E346" s="14" t="s">
        <v>46</v>
      </c>
      <c r="F346" s="38">
        <f t="shared" ca="1" si="20"/>
        <v>46216</v>
      </c>
      <c r="G346" s="139"/>
      <c r="I346" s="4" t="str">
        <v>INES DE GUILLEN</v>
      </c>
      <c r="J346" s="4"/>
    </row>
    <row r="347" spans="1:10" x14ac:dyDescent="0.25">
      <c r="A347" s="9">
        <v>17</v>
      </c>
      <c r="B347" s="40" t="s">
        <v>419</v>
      </c>
      <c r="C347" s="21" t="s">
        <v>6</v>
      </c>
      <c r="D347" s="129" t="s">
        <v>6</v>
      </c>
      <c r="E347" s="14" t="s">
        <v>46</v>
      </c>
      <c r="F347" s="38">
        <f t="shared" ca="1" si="20"/>
        <v>46202</v>
      </c>
      <c r="G347" s="139"/>
      <c r="I347" s="4" t="str">
        <v>VICTORIA FUENMAYOR</v>
      </c>
      <c r="J347" s="4"/>
    </row>
    <row r="348" spans="1:10" x14ac:dyDescent="0.25">
      <c r="A348" s="9">
        <v>18</v>
      </c>
      <c r="B348" s="19" t="s">
        <v>1375</v>
      </c>
      <c r="C348" s="21" t="s">
        <v>6</v>
      </c>
      <c r="D348" s="129" t="s">
        <v>6</v>
      </c>
      <c r="E348" s="14" t="s">
        <v>46</v>
      </c>
      <c r="F348" s="38">
        <f t="shared" ca="1" si="20"/>
        <v>46216</v>
      </c>
      <c r="G348" s="139"/>
      <c r="I348" s="4" t="str">
        <v>Elsy Cañizales</v>
      </c>
      <c r="J348" s="4"/>
    </row>
    <row r="349" spans="1:10" ht="13.5" customHeight="1" x14ac:dyDescent="0.25">
      <c r="A349" s="9">
        <v>19</v>
      </c>
      <c r="B349" s="8" t="s">
        <v>1878</v>
      </c>
      <c r="C349" s="21" t="s">
        <v>5</v>
      </c>
      <c r="D349" s="129" t="s">
        <v>5</v>
      </c>
      <c r="E349" s="14" t="s">
        <v>46</v>
      </c>
      <c r="F349" s="38" t="str">
        <f t="shared" ca="1" si="20"/>
        <v/>
      </c>
      <c r="G349" s="139"/>
      <c r="H349" s="80"/>
      <c r="I349" s="4" t="str">
        <v>Nathaly Moreno</v>
      </c>
      <c r="J349" s="4"/>
    </row>
    <row r="350" spans="1:10" ht="15" customHeight="1" x14ac:dyDescent="0.25">
      <c r="A350" s="9">
        <v>20</v>
      </c>
      <c r="B350" s="40" t="s">
        <v>1816</v>
      </c>
      <c r="C350" s="21" t="s">
        <v>6</v>
      </c>
      <c r="D350" s="129" t="s">
        <v>6</v>
      </c>
      <c r="E350" s="14" t="s">
        <v>46</v>
      </c>
      <c r="F350" s="38">
        <f t="shared" ca="1" si="20"/>
        <v>46222</v>
      </c>
      <c r="G350" s="139"/>
      <c r="I350" s="4" t="str">
        <v>Saray Guillén</v>
      </c>
      <c r="J350" s="4"/>
    </row>
    <row r="351" spans="1:10" x14ac:dyDescent="0.25">
      <c r="A351" s="9">
        <v>21</v>
      </c>
      <c r="B351" s="19" t="s">
        <v>1879</v>
      </c>
      <c r="C351" s="21" t="s">
        <v>5</v>
      </c>
      <c r="D351" s="129" t="s">
        <v>5</v>
      </c>
      <c r="E351" s="14" t="s">
        <v>46</v>
      </c>
      <c r="F351" s="38" t="str">
        <f t="shared" ca="1" si="20"/>
        <v/>
      </c>
      <c r="G351" s="139"/>
      <c r="I351" s="4" t="str">
        <v>Pedro Rondón</v>
      </c>
      <c r="J351" s="4"/>
    </row>
    <row r="352" spans="1:10" x14ac:dyDescent="0.25">
      <c r="A352" s="9">
        <v>22</v>
      </c>
      <c r="B352" s="19" t="s">
        <v>1990</v>
      </c>
      <c r="C352" s="21" t="s">
        <v>5</v>
      </c>
      <c r="D352" s="129" t="s">
        <v>6</v>
      </c>
      <c r="E352" s="14" t="s">
        <v>46</v>
      </c>
      <c r="F352" s="38" t="str">
        <f t="shared" ref="F352" ca="1" si="21">IF(AND(C352="NO",D352="NO"),IF(F352="",TODAY(),F352),"")</f>
        <v/>
      </c>
      <c r="G352" s="139"/>
      <c r="I352" s="4" t="str">
        <v>MarCELa Astudillo</v>
      </c>
      <c r="J352" s="4"/>
    </row>
    <row r="353" spans="1:10" ht="15" customHeight="1" x14ac:dyDescent="0.25">
      <c r="A353" s="9">
        <v>23</v>
      </c>
      <c r="B353" s="19" t="s">
        <v>1813</v>
      </c>
      <c r="C353" s="21" t="s">
        <v>5</v>
      </c>
      <c r="D353" s="129" t="s">
        <v>6</v>
      </c>
      <c r="E353" s="14" t="s">
        <v>46</v>
      </c>
      <c r="F353" s="38" t="str">
        <f t="shared" ca="1" si="20"/>
        <v/>
      </c>
      <c r="G353" s="139"/>
      <c r="I353" s="4" t="str">
        <v>Miriam Hernández</v>
      </c>
      <c r="J353" s="4"/>
    </row>
    <row r="354" spans="1:10" ht="15" customHeight="1" x14ac:dyDescent="0.25">
      <c r="A354" s="9">
        <v>24</v>
      </c>
      <c r="B354" s="8" t="s">
        <v>178</v>
      </c>
      <c r="C354" s="21" t="s">
        <v>6</v>
      </c>
      <c r="D354" s="129" t="s">
        <v>5</v>
      </c>
      <c r="E354" s="14" t="s">
        <v>265</v>
      </c>
      <c r="F354" s="38" t="str">
        <f t="shared" ca="1" si="20"/>
        <v/>
      </c>
      <c r="G354" s="139"/>
      <c r="I354" s="4" t="str">
        <v>Julia Prado</v>
      </c>
      <c r="J354" s="4"/>
    </row>
    <row r="355" spans="1:10" ht="21" x14ac:dyDescent="0.25">
      <c r="A355" s="9">
        <v>25</v>
      </c>
      <c r="B355" s="8" t="s">
        <v>182</v>
      </c>
      <c r="C355" s="21" t="s">
        <v>5</v>
      </c>
      <c r="D355" s="129" t="s">
        <v>6</v>
      </c>
      <c r="E355" s="14" t="s">
        <v>46</v>
      </c>
      <c r="F355" s="38" t="str">
        <f t="shared" ca="1" si="20"/>
        <v/>
      </c>
      <c r="G355" s="139"/>
      <c r="I355" s="4" t="str">
        <v>Naivelyn Méndez</v>
      </c>
      <c r="J355" s="125">
        <f>C455</f>
        <v>23</v>
      </c>
    </row>
    <row r="356" spans="1:10" x14ac:dyDescent="0.25">
      <c r="A356" s="9">
        <v>26</v>
      </c>
      <c r="B356" s="8" t="s">
        <v>184</v>
      </c>
      <c r="C356" s="21" t="s">
        <v>5</v>
      </c>
      <c r="D356" s="129" t="s">
        <v>5</v>
      </c>
      <c r="E356" s="14" t="s">
        <v>265</v>
      </c>
      <c r="F356" s="38" t="str">
        <f t="shared" ca="1" si="20"/>
        <v/>
      </c>
      <c r="G356" s="139"/>
      <c r="H356" s="85"/>
      <c r="I356" s="4" t="str">
        <v>Niriusky Ángulo</v>
      </c>
      <c r="J356" s="4"/>
    </row>
    <row r="357" spans="1:10" x14ac:dyDescent="0.25">
      <c r="A357" s="9">
        <v>27</v>
      </c>
      <c r="B357" s="8" t="s">
        <v>185</v>
      </c>
      <c r="C357" s="21" t="s">
        <v>5</v>
      </c>
      <c r="D357" s="129" t="s">
        <v>6</v>
      </c>
      <c r="E357" s="14" t="s">
        <v>46</v>
      </c>
      <c r="F357" s="38" t="str">
        <f t="shared" ca="1" si="20"/>
        <v/>
      </c>
      <c r="G357" s="139"/>
      <c r="H357" s="101"/>
      <c r="I357" s="4"/>
      <c r="J357" s="4"/>
    </row>
    <row r="358" spans="1:10" x14ac:dyDescent="0.25">
      <c r="A358" s="9">
        <v>28</v>
      </c>
      <c r="B358" s="8" t="s">
        <v>1815</v>
      </c>
      <c r="C358" s="21" t="s">
        <v>6</v>
      </c>
      <c r="D358" s="129" t="s">
        <v>6</v>
      </c>
      <c r="E358" s="14" t="s">
        <v>265</v>
      </c>
      <c r="F358" s="38">
        <f t="shared" ca="1" si="20"/>
        <v>46222</v>
      </c>
      <c r="G358" s="139"/>
      <c r="I358" s="4"/>
    </row>
    <row r="359" spans="1:10" x14ac:dyDescent="0.25">
      <c r="A359" s="9">
        <v>29</v>
      </c>
      <c r="B359" s="8" t="s">
        <v>187</v>
      </c>
      <c r="C359" s="21" t="s">
        <v>5</v>
      </c>
      <c r="D359" s="129" t="s">
        <v>5</v>
      </c>
      <c r="E359" s="14" t="s">
        <v>46</v>
      </c>
      <c r="F359" s="38" t="str">
        <f t="shared" ca="1" si="20"/>
        <v/>
      </c>
      <c r="G359" s="139"/>
      <c r="I359" s="4"/>
      <c r="J359" s="4"/>
    </row>
    <row r="360" spans="1:10" x14ac:dyDescent="0.25">
      <c r="A360" s="9">
        <v>30</v>
      </c>
      <c r="B360" s="8" t="s">
        <v>199</v>
      </c>
      <c r="C360" s="21" t="s">
        <v>6</v>
      </c>
      <c r="D360" s="129" t="s">
        <v>6</v>
      </c>
      <c r="E360" s="14" t="s">
        <v>46</v>
      </c>
      <c r="F360" s="38">
        <f t="shared" ca="1" si="20"/>
        <v>46209</v>
      </c>
      <c r="G360" s="139"/>
      <c r="I360" s="4"/>
      <c r="J360" s="4"/>
    </row>
    <row r="361" spans="1:10" x14ac:dyDescent="0.25">
      <c r="A361" s="9">
        <v>31</v>
      </c>
      <c r="B361" s="8" t="s">
        <v>1961</v>
      </c>
      <c r="C361" s="21" t="s">
        <v>6</v>
      </c>
      <c r="D361" s="129" t="s">
        <v>6</v>
      </c>
      <c r="E361" s="14" t="s">
        <v>46</v>
      </c>
      <c r="F361" s="38">
        <f t="shared" ref="F361:F376" ca="1" si="22">IF(AND(C361="NO",D361="NO"),IF(F361="",TODAY(),F361),"")</f>
        <v>46216</v>
      </c>
      <c r="G361" s="139"/>
    </row>
    <row r="362" spans="1:10" x14ac:dyDescent="0.25">
      <c r="A362" s="9">
        <v>32</v>
      </c>
      <c r="B362" s="8" t="s">
        <v>183</v>
      </c>
      <c r="C362" s="21" t="s">
        <v>6</v>
      </c>
      <c r="D362" s="129" t="s">
        <v>6</v>
      </c>
      <c r="E362" s="14" t="s">
        <v>46</v>
      </c>
      <c r="F362" s="38">
        <f t="shared" ca="1" si="22"/>
        <v>46216</v>
      </c>
      <c r="G362" s="139"/>
    </row>
    <row r="363" spans="1:10" x14ac:dyDescent="0.25">
      <c r="A363" s="9">
        <v>33</v>
      </c>
      <c r="B363" s="8" t="s">
        <v>1514</v>
      </c>
      <c r="C363" s="21" t="s">
        <v>6</v>
      </c>
      <c r="D363" s="129" t="s">
        <v>6</v>
      </c>
      <c r="E363" s="14" t="s">
        <v>46</v>
      </c>
      <c r="F363" s="38">
        <f t="shared" ca="1" si="22"/>
        <v>46216</v>
      </c>
      <c r="G363" s="139"/>
    </row>
    <row r="364" spans="1:10" x14ac:dyDescent="0.25">
      <c r="A364" s="9">
        <v>34</v>
      </c>
      <c r="B364" s="8" t="s">
        <v>1634</v>
      </c>
      <c r="C364" s="21" t="s">
        <v>5</v>
      </c>
      <c r="D364" s="129" t="s">
        <v>6</v>
      </c>
      <c r="E364" s="14" t="s">
        <v>46</v>
      </c>
      <c r="F364" s="38" t="str">
        <f t="shared" ca="1" si="22"/>
        <v/>
      </c>
      <c r="G364" s="139"/>
    </row>
    <row r="365" spans="1:10" x14ac:dyDescent="0.25">
      <c r="A365" s="9">
        <v>35</v>
      </c>
      <c r="B365" s="8" t="s">
        <v>190</v>
      </c>
      <c r="C365" s="21" t="s">
        <v>6</v>
      </c>
      <c r="D365" s="129" t="s">
        <v>6</v>
      </c>
      <c r="E365" s="14" t="s">
        <v>46</v>
      </c>
      <c r="F365" s="38">
        <f t="shared" ca="1" si="22"/>
        <v>46222</v>
      </c>
      <c r="G365" s="139"/>
    </row>
    <row r="366" spans="1:10" x14ac:dyDescent="0.25">
      <c r="A366" s="9">
        <v>36</v>
      </c>
      <c r="B366" s="8" t="s">
        <v>1086</v>
      </c>
      <c r="C366" s="21" t="s">
        <v>5</v>
      </c>
      <c r="D366" s="129" t="s">
        <v>6</v>
      </c>
      <c r="E366" s="14" t="s">
        <v>46</v>
      </c>
      <c r="F366" s="38" t="str">
        <f t="shared" ca="1" si="22"/>
        <v/>
      </c>
      <c r="G366" s="139"/>
    </row>
    <row r="367" spans="1:10" x14ac:dyDescent="0.25">
      <c r="A367" s="9">
        <v>37</v>
      </c>
      <c r="B367" s="8" t="s">
        <v>186</v>
      </c>
      <c r="C367" s="21" t="s">
        <v>6</v>
      </c>
      <c r="D367" s="129" t="s">
        <v>5</v>
      </c>
      <c r="E367" s="14" t="s">
        <v>46</v>
      </c>
      <c r="F367" s="38" t="str">
        <f t="shared" ca="1" si="22"/>
        <v/>
      </c>
      <c r="G367" s="139"/>
    </row>
    <row r="368" spans="1:10" x14ac:dyDescent="0.25">
      <c r="A368" s="9">
        <v>38</v>
      </c>
      <c r="B368" s="8" t="s">
        <v>191</v>
      </c>
      <c r="C368" s="21" t="s">
        <v>6</v>
      </c>
      <c r="D368" s="129" t="s">
        <v>6</v>
      </c>
      <c r="E368" s="14" t="s">
        <v>46</v>
      </c>
      <c r="F368" s="38">
        <f t="shared" ca="1" si="22"/>
        <v>46222</v>
      </c>
      <c r="G368" s="139"/>
      <c r="H368" s="78"/>
    </row>
    <row r="369" spans="1:7" x14ac:dyDescent="0.25">
      <c r="A369" s="9">
        <v>39</v>
      </c>
      <c r="B369" s="19" t="s">
        <v>1880</v>
      </c>
      <c r="C369" s="21" t="s">
        <v>5</v>
      </c>
      <c r="D369" s="129" t="s">
        <v>5</v>
      </c>
      <c r="E369" s="14" t="s">
        <v>153</v>
      </c>
      <c r="F369" s="38" t="str">
        <f t="shared" ca="1" si="22"/>
        <v/>
      </c>
      <c r="G369" s="139"/>
    </row>
    <row r="370" spans="1:7" x14ac:dyDescent="0.25">
      <c r="A370" s="9">
        <v>40</v>
      </c>
      <c r="B370" s="8" t="s">
        <v>198</v>
      </c>
      <c r="C370" s="21" t="s">
        <v>6</v>
      </c>
      <c r="D370" s="129" t="s">
        <v>5</v>
      </c>
      <c r="E370" s="14" t="s">
        <v>46</v>
      </c>
      <c r="F370" s="38" t="str">
        <f t="shared" ca="1" si="22"/>
        <v/>
      </c>
      <c r="G370" s="139"/>
    </row>
    <row r="371" spans="1:7" x14ac:dyDescent="0.25">
      <c r="A371" s="9">
        <v>41</v>
      </c>
      <c r="B371" s="8" t="s">
        <v>1805</v>
      </c>
      <c r="C371" s="21" t="s">
        <v>5</v>
      </c>
      <c r="D371" s="129" t="s">
        <v>5</v>
      </c>
      <c r="E371" s="14" t="s">
        <v>46</v>
      </c>
      <c r="F371" s="38" t="str">
        <f t="shared" ca="1" si="22"/>
        <v/>
      </c>
      <c r="G371" s="139"/>
    </row>
    <row r="372" spans="1:7" ht="15" customHeight="1" x14ac:dyDescent="0.25">
      <c r="A372" s="9">
        <v>42</v>
      </c>
      <c r="B372" s="8" t="s">
        <v>201</v>
      </c>
      <c r="C372" s="21" t="s">
        <v>5</v>
      </c>
      <c r="D372" s="129" t="s">
        <v>5</v>
      </c>
      <c r="E372" s="14" t="s">
        <v>307</v>
      </c>
      <c r="F372" s="38" t="str">
        <f t="shared" ca="1" si="22"/>
        <v/>
      </c>
      <c r="G372" s="139"/>
    </row>
    <row r="373" spans="1:7" x14ac:dyDescent="0.25">
      <c r="A373" s="9">
        <v>43</v>
      </c>
      <c r="B373" s="8" t="s">
        <v>202</v>
      </c>
      <c r="C373" s="21" t="s">
        <v>5</v>
      </c>
      <c r="D373" s="129" t="s">
        <v>5</v>
      </c>
      <c r="E373" s="14" t="s">
        <v>307</v>
      </c>
      <c r="F373" s="38" t="str">
        <f t="shared" ca="1" si="22"/>
        <v/>
      </c>
      <c r="G373" s="139"/>
    </row>
    <row r="374" spans="1:7" x14ac:dyDescent="0.25">
      <c r="A374" s="9">
        <v>44</v>
      </c>
      <c r="B374" s="8" t="s">
        <v>1807</v>
      </c>
      <c r="C374" s="21" t="s">
        <v>5</v>
      </c>
      <c r="D374" s="129" t="s">
        <v>5</v>
      </c>
      <c r="E374" s="14" t="s">
        <v>307</v>
      </c>
      <c r="F374" s="38" t="str">
        <f t="shared" ca="1" si="22"/>
        <v/>
      </c>
      <c r="G374" s="139"/>
    </row>
    <row r="375" spans="1:7" x14ac:dyDescent="0.25">
      <c r="A375" s="9">
        <v>45</v>
      </c>
      <c r="B375" s="8" t="s">
        <v>808</v>
      </c>
      <c r="C375" s="21" t="s">
        <v>5</v>
      </c>
      <c r="D375" s="129" t="s">
        <v>5</v>
      </c>
      <c r="E375" s="14" t="s">
        <v>46</v>
      </c>
      <c r="F375" s="38" t="str">
        <f t="shared" ca="1" si="22"/>
        <v/>
      </c>
      <c r="G375" s="139"/>
    </row>
    <row r="376" spans="1:7" x14ac:dyDescent="0.25">
      <c r="A376" s="9">
        <v>46</v>
      </c>
      <c r="B376" s="19" t="s">
        <v>457</v>
      </c>
      <c r="C376" s="21" t="s">
        <v>6</v>
      </c>
      <c r="D376" s="129" t="s">
        <v>6</v>
      </c>
      <c r="E376" s="14" t="s">
        <v>153</v>
      </c>
      <c r="F376" s="38">
        <f t="shared" ca="1" si="22"/>
        <v>46223</v>
      </c>
      <c r="G376" s="139"/>
    </row>
    <row r="377" spans="1:7" x14ac:dyDescent="0.25">
      <c r="A377" s="9">
        <v>47</v>
      </c>
      <c r="B377" s="8" t="s">
        <v>1249</v>
      </c>
      <c r="C377" s="21" t="s">
        <v>5</v>
      </c>
      <c r="D377" s="129" t="s">
        <v>5</v>
      </c>
      <c r="E377" s="14" t="s">
        <v>153</v>
      </c>
      <c r="F377" s="38" t="str">
        <f t="shared" ref="F377:F429" ca="1" si="23">IF(AND(C377="NO",D377="NO"),IF(F377="",TODAY(),F377),"")</f>
        <v/>
      </c>
      <c r="G377" s="139"/>
    </row>
    <row r="378" spans="1:7" x14ac:dyDescent="0.25">
      <c r="A378" s="9">
        <v>48</v>
      </c>
      <c r="B378" s="19" t="s">
        <v>1546</v>
      </c>
      <c r="C378" s="21" t="s">
        <v>6</v>
      </c>
      <c r="D378" s="129" t="s">
        <v>6</v>
      </c>
      <c r="E378" s="14" t="s">
        <v>46</v>
      </c>
      <c r="F378" s="38">
        <f t="shared" ca="1" si="23"/>
        <v>46222</v>
      </c>
      <c r="G378" s="139"/>
    </row>
    <row r="379" spans="1:7" x14ac:dyDescent="0.25">
      <c r="A379" s="9">
        <v>49</v>
      </c>
      <c r="B379" s="8" t="s">
        <v>1771</v>
      </c>
      <c r="C379" s="21" t="s">
        <v>6</v>
      </c>
      <c r="D379" s="129" t="s">
        <v>6</v>
      </c>
      <c r="E379" s="14" t="s">
        <v>46</v>
      </c>
      <c r="F379" s="38">
        <f t="shared" ca="1" si="23"/>
        <v>46209</v>
      </c>
      <c r="G379" s="139"/>
    </row>
    <row r="380" spans="1:7" x14ac:dyDescent="0.25">
      <c r="A380" s="9">
        <v>50</v>
      </c>
      <c r="B380" s="8" t="s">
        <v>176</v>
      </c>
      <c r="C380" s="21" t="s">
        <v>6</v>
      </c>
      <c r="D380" s="129" t="s">
        <v>6</v>
      </c>
      <c r="E380" s="14" t="s">
        <v>46</v>
      </c>
      <c r="F380" s="38">
        <f t="shared" ca="1" si="23"/>
        <v>46209</v>
      </c>
      <c r="G380" s="139"/>
    </row>
    <row r="381" spans="1:7" x14ac:dyDescent="0.25">
      <c r="A381" s="9">
        <v>51</v>
      </c>
      <c r="B381" s="8" t="s">
        <v>1860</v>
      </c>
      <c r="C381" s="21" t="s">
        <v>5</v>
      </c>
      <c r="D381" s="129" t="s">
        <v>6</v>
      </c>
      <c r="E381" s="14" t="s">
        <v>46</v>
      </c>
      <c r="F381" s="38" t="str">
        <f t="shared" ca="1" si="23"/>
        <v/>
      </c>
      <c r="G381" s="139"/>
    </row>
    <row r="382" spans="1:7" x14ac:dyDescent="0.25">
      <c r="A382" s="9">
        <v>52</v>
      </c>
      <c r="B382" s="19" t="s">
        <v>498</v>
      </c>
      <c r="C382" s="21" t="s">
        <v>6</v>
      </c>
      <c r="D382" s="129" t="s">
        <v>6</v>
      </c>
      <c r="E382" s="14" t="s">
        <v>46</v>
      </c>
      <c r="F382" s="38">
        <f t="shared" ca="1" si="23"/>
        <v>46222</v>
      </c>
      <c r="G382" s="139"/>
    </row>
    <row r="383" spans="1:7" x14ac:dyDescent="0.25">
      <c r="A383" s="9">
        <v>53</v>
      </c>
      <c r="B383" s="19" t="s">
        <v>715</v>
      </c>
      <c r="C383" s="21" t="s">
        <v>6</v>
      </c>
      <c r="D383" s="21" t="s">
        <v>5</v>
      </c>
      <c r="E383" s="14" t="s">
        <v>46</v>
      </c>
      <c r="F383" s="38" t="str">
        <f t="shared" ca="1" si="23"/>
        <v/>
      </c>
      <c r="G383" s="139"/>
    </row>
    <row r="384" spans="1:7" x14ac:dyDescent="0.25">
      <c r="A384" s="9">
        <v>54</v>
      </c>
      <c r="B384" s="8" t="s">
        <v>1846</v>
      </c>
      <c r="C384" s="21" t="s">
        <v>6</v>
      </c>
      <c r="D384" s="129" t="s">
        <v>6</v>
      </c>
      <c r="E384" s="14" t="s">
        <v>46</v>
      </c>
      <c r="F384" s="38">
        <f t="shared" ca="1" si="23"/>
        <v>46222</v>
      </c>
      <c r="G384" s="139"/>
    </row>
    <row r="385" spans="1:8" x14ac:dyDescent="0.25">
      <c r="A385" s="9">
        <v>55</v>
      </c>
      <c r="B385" s="19" t="s">
        <v>1642</v>
      </c>
      <c r="C385" s="21" t="s">
        <v>6</v>
      </c>
      <c r="D385" s="129" t="s">
        <v>6</v>
      </c>
      <c r="E385" s="14" t="s">
        <v>46</v>
      </c>
      <c r="F385" s="38">
        <f t="shared" ca="1" si="23"/>
        <v>46222</v>
      </c>
      <c r="G385" s="139"/>
    </row>
    <row r="386" spans="1:8" x14ac:dyDescent="0.25">
      <c r="A386" s="9">
        <v>56</v>
      </c>
      <c r="B386" s="19" t="s">
        <v>480</v>
      </c>
      <c r="C386" s="21" t="s">
        <v>6</v>
      </c>
      <c r="D386" s="129" t="s">
        <v>6</v>
      </c>
      <c r="E386" s="14" t="s">
        <v>46</v>
      </c>
      <c r="F386" s="38">
        <f t="shared" ca="1" si="23"/>
        <v>46216</v>
      </c>
      <c r="G386" s="139"/>
    </row>
    <row r="387" spans="1:8" x14ac:dyDescent="0.25">
      <c r="A387" s="9">
        <v>57</v>
      </c>
      <c r="B387" s="19" t="s">
        <v>1770</v>
      </c>
      <c r="C387" s="21" t="s">
        <v>6</v>
      </c>
      <c r="D387" s="129" t="s">
        <v>6</v>
      </c>
      <c r="E387" s="14" t="s">
        <v>46</v>
      </c>
      <c r="F387" s="38">
        <f t="shared" ca="1" si="23"/>
        <v>46209</v>
      </c>
      <c r="G387" s="139"/>
    </row>
    <row r="388" spans="1:8" x14ac:dyDescent="0.25">
      <c r="A388" s="9">
        <v>58</v>
      </c>
      <c r="B388" s="8" t="s">
        <v>1808</v>
      </c>
      <c r="C388" s="21" t="s">
        <v>5</v>
      </c>
      <c r="D388" s="129" t="s">
        <v>5</v>
      </c>
      <c r="E388" s="14" t="s">
        <v>46</v>
      </c>
      <c r="F388" s="38" t="str">
        <f t="shared" ca="1" si="23"/>
        <v/>
      </c>
      <c r="G388" s="139"/>
    </row>
    <row r="389" spans="1:8" x14ac:dyDescent="0.25">
      <c r="A389" s="9">
        <v>59</v>
      </c>
      <c r="B389" s="8" t="s">
        <v>179</v>
      </c>
      <c r="C389" s="21" t="s">
        <v>6</v>
      </c>
      <c r="D389" s="129" t="s">
        <v>5</v>
      </c>
      <c r="E389" s="14" t="s">
        <v>46</v>
      </c>
      <c r="F389" s="38" t="str">
        <f t="shared" ca="1" si="23"/>
        <v/>
      </c>
      <c r="G389" s="139"/>
      <c r="H389" s="44"/>
    </row>
    <row r="390" spans="1:8" x14ac:dyDescent="0.25">
      <c r="A390" s="9">
        <v>60</v>
      </c>
      <c r="B390" s="8" t="s">
        <v>1989</v>
      </c>
      <c r="C390" s="21" t="s">
        <v>5</v>
      </c>
      <c r="D390" s="129" t="s">
        <v>5</v>
      </c>
      <c r="E390" s="14" t="s">
        <v>153</v>
      </c>
      <c r="F390" s="38" t="str">
        <f t="shared" ca="1" si="23"/>
        <v/>
      </c>
      <c r="G390" s="139"/>
    </row>
    <row r="391" spans="1:8" x14ac:dyDescent="0.25">
      <c r="A391" s="9">
        <v>61</v>
      </c>
      <c r="B391" s="8" t="s">
        <v>204</v>
      </c>
      <c r="C391" s="21" t="s">
        <v>5</v>
      </c>
      <c r="D391" s="129" t="s">
        <v>5</v>
      </c>
      <c r="E391" s="14" t="s">
        <v>153</v>
      </c>
      <c r="F391" s="38" t="str">
        <f t="shared" ca="1" si="23"/>
        <v/>
      </c>
      <c r="G391" s="139"/>
      <c r="H391" s="57"/>
    </row>
    <row r="392" spans="1:8" x14ac:dyDescent="0.25">
      <c r="A392" s="9">
        <v>62</v>
      </c>
      <c r="B392" s="8" t="s">
        <v>272</v>
      </c>
      <c r="C392" s="21" t="s">
        <v>6</v>
      </c>
      <c r="D392" s="129" t="s">
        <v>6</v>
      </c>
      <c r="E392" s="14" t="s">
        <v>46</v>
      </c>
      <c r="F392" s="38">
        <f t="shared" ca="1" si="23"/>
        <v>46222</v>
      </c>
      <c r="G392" s="139"/>
    </row>
    <row r="393" spans="1:8" x14ac:dyDescent="0.25">
      <c r="A393" s="9">
        <v>63</v>
      </c>
      <c r="B393" s="19" t="s">
        <v>1806</v>
      </c>
      <c r="C393" s="21" t="s">
        <v>5</v>
      </c>
      <c r="D393" s="129" t="s">
        <v>5</v>
      </c>
      <c r="E393" s="14" t="s">
        <v>46</v>
      </c>
      <c r="F393" s="38" t="str">
        <f t="shared" ca="1" si="23"/>
        <v/>
      </c>
      <c r="G393" s="139"/>
    </row>
    <row r="394" spans="1:8" x14ac:dyDescent="0.25">
      <c r="A394" s="9">
        <v>64</v>
      </c>
      <c r="B394" s="8" t="s">
        <v>1886</v>
      </c>
      <c r="C394" s="21" t="s">
        <v>5</v>
      </c>
      <c r="D394" s="129" t="s">
        <v>5</v>
      </c>
      <c r="E394" s="14" t="s">
        <v>153</v>
      </c>
      <c r="F394" s="38" t="str">
        <f t="shared" ca="1" si="23"/>
        <v/>
      </c>
      <c r="G394" s="139"/>
      <c r="H394" s="57"/>
    </row>
    <row r="395" spans="1:8" x14ac:dyDescent="0.25">
      <c r="A395" s="9">
        <v>65</v>
      </c>
      <c r="B395" s="19" t="s">
        <v>1648</v>
      </c>
      <c r="C395" s="21" t="s">
        <v>6</v>
      </c>
      <c r="D395" s="129" t="s">
        <v>6</v>
      </c>
      <c r="E395" s="14" t="s">
        <v>1649</v>
      </c>
      <c r="F395" s="38">
        <f t="shared" ca="1" si="23"/>
        <v>46209</v>
      </c>
      <c r="G395" s="139"/>
    </row>
    <row r="396" spans="1:8" x14ac:dyDescent="0.25">
      <c r="A396" s="9">
        <v>66</v>
      </c>
      <c r="B396" s="49" t="s">
        <v>540</v>
      </c>
      <c r="C396" s="21" t="s">
        <v>6</v>
      </c>
      <c r="D396" s="129" t="s">
        <v>6</v>
      </c>
      <c r="E396" s="14" t="s">
        <v>46</v>
      </c>
      <c r="F396" s="38">
        <f t="shared" ca="1" si="23"/>
        <v>46222</v>
      </c>
      <c r="G396" s="139"/>
    </row>
    <row r="397" spans="1:8" ht="15.75" customHeight="1" x14ac:dyDescent="0.25">
      <c r="A397" s="9">
        <v>67</v>
      </c>
      <c r="B397" s="8" t="s">
        <v>358</v>
      </c>
      <c r="C397" s="21" t="s">
        <v>6</v>
      </c>
      <c r="D397" s="129" t="s">
        <v>5</v>
      </c>
      <c r="E397" s="14" t="s">
        <v>46</v>
      </c>
      <c r="F397" s="38" t="str">
        <f t="shared" ca="1" si="23"/>
        <v/>
      </c>
      <c r="G397" s="139"/>
    </row>
    <row r="398" spans="1:8" x14ac:dyDescent="0.25">
      <c r="A398" s="9">
        <v>68</v>
      </c>
      <c r="B398" s="19" t="s">
        <v>1328</v>
      </c>
      <c r="C398" s="21" t="s">
        <v>6</v>
      </c>
      <c r="D398" s="21" t="s">
        <v>5</v>
      </c>
      <c r="E398" s="14" t="s">
        <v>46</v>
      </c>
      <c r="F398" s="38" t="str">
        <f t="shared" ca="1" si="23"/>
        <v/>
      </c>
      <c r="G398" s="139"/>
    </row>
    <row r="399" spans="1:8" x14ac:dyDescent="0.25">
      <c r="A399" s="9">
        <v>69</v>
      </c>
      <c r="B399" s="19" t="s">
        <v>197</v>
      </c>
      <c r="C399" s="21" t="s">
        <v>6</v>
      </c>
      <c r="D399" s="21" t="s">
        <v>5</v>
      </c>
      <c r="E399" s="14" t="s">
        <v>46</v>
      </c>
      <c r="F399" s="38" t="str">
        <f t="shared" ca="1" si="23"/>
        <v/>
      </c>
      <c r="G399" s="139"/>
    </row>
    <row r="400" spans="1:8" x14ac:dyDescent="0.25">
      <c r="A400" s="9">
        <v>70</v>
      </c>
      <c r="B400" s="19" t="s">
        <v>2005</v>
      </c>
      <c r="C400" s="21" t="s">
        <v>6</v>
      </c>
      <c r="D400" s="21" t="s">
        <v>5</v>
      </c>
      <c r="E400" s="14" t="s">
        <v>46</v>
      </c>
      <c r="F400" s="38" t="str">
        <f t="shared" ca="1" si="23"/>
        <v/>
      </c>
      <c r="G400" s="139"/>
    </row>
    <row r="401" spans="1:7" ht="13.5" customHeight="1" x14ac:dyDescent="0.25">
      <c r="A401" s="9">
        <v>71</v>
      </c>
      <c r="B401" s="8" t="s">
        <v>1814</v>
      </c>
      <c r="C401" s="21" t="s">
        <v>6</v>
      </c>
      <c r="D401" s="129" t="s">
        <v>5</v>
      </c>
      <c r="E401" s="14" t="s">
        <v>393</v>
      </c>
      <c r="F401" s="38" t="str">
        <f t="shared" ca="1" si="23"/>
        <v/>
      </c>
      <c r="G401" s="139"/>
    </row>
    <row r="402" spans="1:7" x14ac:dyDescent="0.25">
      <c r="A402" s="9">
        <v>72</v>
      </c>
      <c r="B402" s="8" t="s">
        <v>1965</v>
      </c>
      <c r="C402" s="21" t="s">
        <v>6</v>
      </c>
      <c r="D402" s="129" t="s">
        <v>6</v>
      </c>
      <c r="E402" s="14" t="s">
        <v>346</v>
      </c>
      <c r="F402" s="38">
        <f t="shared" ca="1" si="23"/>
        <v>46202</v>
      </c>
      <c r="G402" s="139"/>
    </row>
    <row r="403" spans="1:7" ht="13.5" customHeight="1" x14ac:dyDescent="0.25">
      <c r="A403" s="9">
        <v>73</v>
      </c>
      <c r="B403" s="19" t="s">
        <v>1894</v>
      </c>
      <c r="C403" s="21" t="s">
        <v>6</v>
      </c>
      <c r="D403" s="129" t="s">
        <v>6</v>
      </c>
      <c r="E403" s="14" t="s">
        <v>46</v>
      </c>
      <c r="F403" s="38">
        <f t="shared" ca="1" si="23"/>
        <v>46202</v>
      </c>
      <c r="G403" s="139"/>
    </row>
    <row r="404" spans="1:7" x14ac:dyDescent="0.25">
      <c r="A404" s="9">
        <v>74</v>
      </c>
      <c r="B404" s="19" t="s">
        <v>1966</v>
      </c>
      <c r="C404" s="21" t="s">
        <v>6</v>
      </c>
      <c r="D404" s="129" t="s">
        <v>6</v>
      </c>
      <c r="E404" s="14" t="s">
        <v>153</v>
      </c>
      <c r="F404" s="38">
        <f t="shared" ca="1" si="23"/>
        <v>46222</v>
      </c>
      <c r="G404" s="139"/>
    </row>
    <row r="405" spans="1:7" ht="13.5" customHeight="1" x14ac:dyDescent="0.25">
      <c r="A405" s="9">
        <v>75</v>
      </c>
      <c r="B405" s="8" t="s">
        <v>1812</v>
      </c>
      <c r="C405" s="21" t="s">
        <v>6</v>
      </c>
      <c r="D405" s="129" t="s">
        <v>6</v>
      </c>
      <c r="E405" s="14" t="s">
        <v>46</v>
      </c>
      <c r="F405" s="38">
        <f t="shared" ca="1" si="23"/>
        <v>46209</v>
      </c>
      <c r="G405" s="139"/>
    </row>
    <row r="406" spans="1:7" ht="14.25" customHeight="1" x14ac:dyDescent="0.25">
      <c r="A406" s="9">
        <v>76</v>
      </c>
      <c r="B406" s="19" t="s">
        <v>1159</v>
      </c>
      <c r="C406" s="21" t="s">
        <v>6</v>
      </c>
      <c r="D406" s="129" t="s">
        <v>6</v>
      </c>
      <c r="E406" s="14" t="s">
        <v>46</v>
      </c>
      <c r="F406" s="38">
        <f t="shared" ca="1" si="23"/>
        <v>46216</v>
      </c>
      <c r="G406" s="139"/>
    </row>
    <row r="407" spans="1:7" ht="13.5" customHeight="1" x14ac:dyDescent="0.25">
      <c r="A407" s="9">
        <v>77</v>
      </c>
      <c r="B407" s="8" t="s">
        <v>168</v>
      </c>
      <c r="C407" s="21" t="s">
        <v>5</v>
      </c>
      <c r="D407" s="129" t="s">
        <v>5</v>
      </c>
      <c r="E407" s="14" t="s">
        <v>46</v>
      </c>
      <c r="F407" s="38" t="str">
        <f t="shared" ca="1" si="23"/>
        <v/>
      </c>
      <c r="G407" s="139"/>
    </row>
    <row r="408" spans="1:7" x14ac:dyDescent="0.25">
      <c r="A408" s="9">
        <v>78</v>
      </c>
      <c r="B408" s="19" t="s">
        <v>1440</v>
      </c>
      <c r="C408" s="21" t="s">
        <v>6</v>
      </c>
      <c r="D408" s="129" t="s">
        <v>6</v>
      </c>
      <c r="E408" s="14" t="s">
        <v>46</v>
      </c>
      <c r="F408" s="38">
        <f t="shared" ca="1" si="23"/>
        <v>46216</v>
      </c>
      <c r="G408" s="139"/>
    </row>
    <row r="409" spans="1:7" ht="13.5" customHeight="1" x14ac:dyDescent="0.25">
      <c r="A409" s="9">
        <v>79</v>
      </c>
      <c r="B409" s="8" t="s">
        <v>1991</v>
      </c>
      <c r="C409" s="21" t="s">
        <v>5</v>
      </c>
      <c r="D409" s="129" t="s">
        <v>6</v>
      </c>
      <c r="E409" s="14" t="s">
        <v>46</v>
      </c>
      <c r="F409" s="38" t="str">
        <f t="shared" ca="1" si="23"/>
        <v/>
      </c>
      <c r="G409" s="139"/>
    </row>
    <row r="410" spans="1:7" x14ac:dyDescent="0.25">
      <c r="A410" s="9">
        <v>80</v>
      </c>
      <c r="B410" s="40" t="s">
        <v>738</v>
      </c>
      <c r="C410" s="21" t="s">
        <v>6</v>
      </c>
      <c r="D410" s="129" t="s">
        <v>6</v>
      </c>
      <c r="E410" s="14" t="s">
        <v>46</v>
      </c>
      <c r="F410" s="38">
        <f t="shared" ca="1" si="23"/>
        <v>46222</v>
      </c>
      <c r="G410" s="139"/>
    </row>
    <row r="411" spans="1:7" ht="13.5" customHeight="1" x14ac:dyDescent="0.25">
      <c r="A411" s="9">
        <v>81</v>
      </c>
      <c r="B411" s="8" t="s">
        <v>1756</v>
      </c>
      <c r="C411" s="21" t="s">
        <v>6</v>
      </c>
      <c r="D411" s="129" t="s">
        <v>6</v>
      </c>
      <c r="E411" s="14" t="s">
        <v>46</v>
      </c>
      <c r="F411" s="38">
        <f t="shared" ca="1" si="23"/>
        <v>46216</v>
      </c>
      <c r="G411" s="139"/>
    </row>
    <row r="412" spans="1:7" ht="13.5" customHeight="1" x14ac:dyDescent="0.25">
      <c r="A412" s="9">
        <v>82</v>
      </c>
      <c r="B412" s="8" t="s">
        <v>1757</v>
      </c>
      <c r="C412" s="21" t="s">
        <v>6</v>
      </c>
      <c r="D412" s="129" t="s">
        <v>6</v>
      </c>
      <c r="E412" s="14" t="s">
        <v>46</v>
      </c>
      <c r="F412" s="38">
        <f t="shared" ca="1" si="23"/>
        <v>46222</v>
      </c>
      <c r="G412" s="139"/>
    </row>
    <row r="413" spans="1:7" ht="13.5" customHeight="1" x14ac:dyDescent="0.25">
      <c r="A413" s="9">
        <v>83</v>
      </c>
      <c r="B413" s="8" t="s">
        <v>1809</v>
      </c>
      <c r="C413" s="21" t="s">
        <v>5</v>
      </c>
      <c r="D413" s="129" t="s">
        <v>6</v>
      </c>
      <c r="E413" s="14" t="s">
        <v>46</v>
      </c>
      <c r="F413" s="38" t="str">
        <f t="shared" ca="1" si="23"/>
        <v/>
      </c>
      <c r="G413" s="139"/>
    </row>
    <row r="414" spans="1:7" ht="13.5" customHeight="1" x14ac:dyDescent="0.25">
      <c r="A414" s="9">
        <v>84</v>
      </c>
      <c r="B414" s="8" t="s">
        <v>1760</v>
      </c>
      <c r="C414" s="21" t="s">
        <v>6</v>
      </c>
      <c r="D414" s="129" t="s">
        <v>6</v>
      </c>
      <c r="E414" s="14" t="s">
        <v>46</v>
      </c>
      <c r="F414" s="38">
        <f t="shared" ca="1" si="23"/>
        <v>46216</v>
      </c>
      <c r="G414" s="139"/>
    </row>
    <row r="415" spans="1:7" ht="13.5" customHeight="1" x14ac:dyDescent="0.25">
      <c r="A415" s="9">
        <v>85</v>
      </c>
      <c r="B415" s="8" t="s">
        <v>1992</v>
      </c>
      <c r="C415" s="21" t="s">
        <v>5</v>
      </c>
      <c r="D415" s="129" t="s">
        <v>6</v>
      </c>
      <c r="E415" s="14" t="s">
        <v>46</v>
      </c>
      <c r="F415" s="38" t="str">
        <f t="shared" ca="1" si="23"/>
        <v/>
      </c>
      <c r="G415" s="139"/>
    </row>
    <row r="416" spans="1:7" ht="13.5" customHeight="1" x14ac:dyDescent="0.25">
      <c r="A416" s="9">
        <v>86</v>
      </c>
      <c r="B416" s="8" t="s">
        <v>1810</v>
      </c>
      <c r="C416" s="21" t="s">
        <v>6</v>
      </c>
      <c r="D416" s="129" t="s">
        <v>6</v>
      </c>
      <c r="E416" s="14" t="s">
        <v>46</v>
      </c>
      <c r="F416" s="38">
        <f t="shared" ca="1" si="23"/>
        <v>46209</v>
      </c>
      <c r="G416" s="44"/>
    </row>
    <row r="417" spans="1:9" x14ac:dyDescent="0.25">
      <c r="A417" s="9">
        <v>87</v>
      </c>
      <c r="B417" s="19" t="s">
        <v>1149</v>
      </c>
      <c r="C417" s="21" t="s">
        <v>6</v>
      </c>
      <c r="D417" s="129" t="s">
        <v>6</v>
      </c>
      <c r="E417" s="14" t="s">
        <v>46</v>
      </c>
      <c r="F417" s="38">
        <f t="shared" ca="1" si="23"/>
        <v>46216</v>
      </c>
      <c r="G417" s="139"/>
    </row>
    <row r="418" spans="1:9" ht="13.5" customHeight="1" x14ac:dyDescent="0.25">
      <c r="A418" s="9">
        <v>88</v>
      </c>
      <c r="B418" s="8" t="s">
        <v>1861</v>
      </c>
      <c r="C418" s="21" t="s">
        <v>5</v>
      </c>
      <c r="D418" s="129" t="s">
        <v>5</v>
      </c>
      <c r="E418" s="14" t="s">
        <v>46</v>
      </c>
      <c r="F418" s="38" t="str">
        <f t="shared" ca="1" si="23"/>
        <v/>
      </c>
      <c r="G418" s="44"/>
    </row>
    <row r="419" spans="1:9" x14ac:dyDescent="0.25">
      <c r="A419" s="9">
        <v>89</v>
      </c>
      <c r="B419" s="19" t="s">
        <v>794</v>
      </c>
      <c r="C419" s="21" t="s">
        <v>6</v>
      </c>
      <c r="D419" s="129" t="s">
        <v>6</v>
      </c>
      <c r="E419" s="14" t="s">
        <v>46</v>
      </c>
      <c r="F419" s="38">
        <f t="shared" ca="1" si="23"/>
        <v>46216</v>
      </c>
      <c r="G419" s="139"/>
    </row>
    <row r="420" spans="1:9" ht="13.5" customHeight="1" x14ac:dyDescent="0.25">
      <c r="A420" s="9">
        <v>90</v>
      </c>
      <c r="B420" s="8" t="s">
        <v>1905</v>
      </c>
      <c r="C420" s="21" t="s">
        <v>5</v>
      </c>
      <c r="D420" s="129" t="s">
        <v>6</v>
      </c>
      <c r="E420" s="14" t="s">
        <v>46</v>
      </c>
      <c r="F420" s="38" t="str">
        <f t="shared" ca="1" si="23"/>
        <v/>
      </c>
      <c r="G420" s="44"/>
    </row>
    <row r="421" spans="1:9" ht="13.5" customHeight="1" x14ac:dyDescent="0.25">
      <c r="A421" s="9">
        <v>91</v>
      </c>
      <c r="B421" s="8" t="s">
        <v>1907</v>
      </c>
      <c r="C421" s="21" t="s">
        <v>6</v>
      </c>
      <c r="D421" s="129" t="s">
        <v>6</v>
      </c>
      <c r="E421" s="14" t="s">
        <v>46</v>
      </c>
      <c r="F421" s="38">
        <f t="shared" ca="1" si="23"/>
        <v>46209</v>
      </c>
      <c r="G421" s="44"/>
    </row>
    <row r="422" spans="1:9" ht="13.5" customHeight="1" x14ac:dyDescent="0.25">
      <c r="A422" s="9">
        <v>92</v>
      </c>
      <c r="B422" s="8" t="s">
        <v>1908</v>
      </c>
      <c r="C422" s="21" t="s">
        <v>6</v>
      </c>
      <c r="D422" s="129" t="s">
        <v>6</v>
      </c>
      <c r="E422" s="14" t="s">
        <v>46</v>
      </c>
      <c r="F422" s="38">
        <f t="shared" ca="1" si="23"/>
        <v>46209</v>
      </c>
      <c r="G422" s="44"/>
    </row>
    <row r="423" spans="1:9" ht="13.5" customHeight="1" x14ac:dyDescent="0.25">
      <c r="A423" s="9">
        <v>93</v>
      </c>
      <c r="B423" s="8" t="s">
        <v>1909</v>
      </c>
      <c r="C423" s="21" t="s">
        <v>6</v>
      </c>
      <c r="D423" s="129" t="s">
        <v>6</v>
      </c>
      <c r="E423" s="14" t="s">
        <v>46</v>
      </c>
      <c r="F423" s="38">
        <f t="shared" ca="1" si="23"/>
        <v>46209</v>
      </c>
      <c r="G423" s="44"/>
    </row>
    <row r="424" spans="1:9" ht="13.5" customHeight="1" x14ac:dyDescent="0.25">
      <c r="A424" s="9">
        <v>94</v>
      </c>
      <c r="B424" s="8" t="s">
        <v>1911</v>
      </c>
      <c r="C424" s="21" t="s">
        <v>6</v>
      </c>
      <c r="D424" s="129" t="s">
        <v>6</v>
      </c>
      <c r="E424" s="14" t="s">
        <v>46</v>
      </c>
      <c r="F424" s="38">
        <f t="shared" ca="1" si="23"/>
        <v>46216</v>
      </c>
      <c r="G424" s="44"/>
    </row>
    <row r="425" spans="1:9" ht="13.5" customHeight="1" x14ac:dyDescent="0.25">
      <c r="A425" s="9">
        <v>95</v>
      </c>
      <c r="B425" s="8" t="s">
        <v>1910</v>
      </c>
      <c r="C425" s="21" t="s">
        <v>6</v>
      </c>
      <c r="D425" s="129" t="s">
        <v>6</v>
      </c>
      <c r="E425" s="14" t="s">
        <v>46</v>
      </c>
      <c r="F425" s="38">
        <f t="shared" ca="1" si="23"/>
        <v>46209</v>
      </c>
      <c r="G425" s="44"/>
    </row>
    <row r="426" spans="1:9" ht="13.5" customHeight="1" x14ac:dyDescent="0.25">
      <c r="A426" s="9">
        <v>96</v>
      </c>
      <c r="B426" s="8" t="s">
        <v>1906</v>
      </c>
      <c r="C426" s="21" t="s">
        <v>6</v>
      </c>
      <c r="D426" s="129" t="s">
        <v>6</v>
      </c>
      <c r="E426" s="14" t="s">
        <v>46</v>
      </c>
      <c r="F426" s="38">
        <f t="shared" ca="1" si="23"/>
        <v>46209</v>
      </c>
      <c r="G426" s="44"/>
    </row>
    <row r="427" spans="1:9" ht="13.5" customHeight="1" x14ac:dyDescent="0.25">
      <c r="A427" s="9">
        <v>97</v>
      </c>
      <c r="B427" s="118" t="s">
        <v>1921</v>
      </c>
      <c r="C427" s="21" t="s">
        <v>6</v>
      </c>
      <c r="D427" s="129" t="s">
        <v>6</v>
      </c>
      <c r="E427" s="14" t="s">
        <v>46</v>
      </c>
      <c r="F427" s="38">
        <f t="shared" ca="1" si="23"/>
        <v>46209</v>
      </c>
      <c r="G427" s="44"/>
    </row>
    <row r="428" spans="1:9" ht="13.5" customHeight="1" x14ac:dyDescent="0.25">
      <c r="A428" s="9">
        <v>98</v>
      </c>
      <c r="B428" s="8" t="s">
        <v>1922</v>
      </c>
      <c r="C428" s="21" t="s">
        <v>6</v>
      </c>
      <c r="D428" s="129" t="s">
        <v>5</v>
      </c>
      <c r="E428" s="14" t="s">
        <v>46</v>
      </c>
      <c r="F428" s="38" t="str">
        <f t="shared" ca="1" si="23"/>
        <v/>
      </c>
      <c r="G428" s="44"/>
    </row>
    <row r="429" spans="1:9" ht="13.5" customHeight="1" x14ac:dyDescent="0.25">
      <c r="A429" s="9">
        <v>99</v>
      </c>
      <c r="B429" s="8" t="s">
        <v>1923</v>
      </c>
      <c r="C429" s="21" t="s">
        <v>6</v>
      </c>
      <c r="D429" s="129" t="s">
        <v>6</v>
      </c>
      <c r="E429" s="14" t="s">
        <v>46</v>
      </c>
      <c r="F429" s="38">
        <f t="shared" ca="1" si="23"/>
        <v>46209</v>
      </c>
      <c r="G429" s="44"/>
    </row>
    <row r="430" spans="1:9" ht="12.75" customHeight="1" x14ac:dyDescent="0.25">
      <c r="A430" s="9">
        <v>100</v>
      </c>
      <c r="B430" s="8" t="s">
        <v>1988</v>
      </c>
      <c r="C430" s="21" t="s">
        <v>5</v>
      </c>
      <c r="D430" s="129" t="s">
        <v>5</v>
      </c>
      <c r="E430" s="14" t="s">
        <v>46</v>
      </c>
      <c r="F430" s="38" t="str">
        <f ca="1">IF(AND(C430="NO",D430="NO"),IF(F430="",TODAY(),F430),"")</f>
        <v/>
      </c>
      <c r="G430" s="44"/>
    </row>
    <row r="431" spans="1:9" ht="13.5" customHeight="1" x14ac:dyDescent="0.25">
      <c r="A431" s="9">
        <v>101</v>
      </c>
      <c r="B431" s="8" t="s">
        <v>1934</v>
      </c>
      <c r="C431" s="21" t="s">
        <v>6</v>
      </c>
      <c r="D431" s="129" t="s">
        <v>6</v>
      </c>
      <c r="E431" s="14" t="s">
        <v>46</v>
      </c>
      <c r="F431" s="38">
        <f t="shared" ref="F431:F447" ca="1" si="24">IF(AND(C431="NO",D431="NO"),IF(F431="",TODAY(),F431),"")</f>
        <v>46216</v>
      </c>
      <c r="G431" s="44"/>
    </row>
    <row r="432" spans="1:9" ht="13.5" customHeight="1" x14ac:dyDescent="0.25">
      <c r="A432" s="9">
        <v>102</v>
      </c>
      <c r="B432" s="8" t="s">
        <v>1933</v>
      </c>
      <c r="C432" s="21" t="s">
        <v>6</v>
      </c>
      <c r="D432" s="129" t="s">
        <v>6</v>
      </c>
      <c r="E432" s="14" t="s">
        <v>46</v>
      </c>
      <c r="F432" s="38">
        <f t="shared" ca="1" si="24"/>
        <v>46216</v>
      </c>
      <c r="G432" s="44"/>
      <c r="I432" s="128"/>
    </row>
    <row r="433" spans="1:9" ht="13.5" customHeight="1" x14ac:dyDescent="0.25">
      <c r="A433" s="9">
        <v>103</v>
      </c>
      <c r="B433" s="8" t="s">
        <v>1932</v>
      </c>
      <c r="C433" s="21" t="s">
        <v>6</v>
      </c>
      <c r="D433" s="129" t="s">
        <v>6</v>
      </c>
      <c r="E433" s="14" t="s">
        <v>46</v>
      </c>
      <c r="F433" s="38">
        <f t="shared" ca="1" si="24"/>
        <v>46216</v>
      </c>
      <c r="G433" s="44"/>
      <c r="I433" s="128"/>
    </row>
    <row r="434" spans="1:9" ht="13.5" customHeight="1" x14ac:dyDescent="0.25">
      <c r="A434" s="9">
        <v>104</v>
      </c>
      <c r="B434" s="8" t="s">
        <v>1936</v>
      </c>
      <c r="C434" s="21" t="s">
        <v>6</v>
      </c>
      <c r="D434" s="129" t="s">
        <v>6</v>
      </c>
      <c r="E434" s="14" t="s">
        <v>46</v>
      </c>
      <c r="F434" s="38">
        <f t="shared" ca="1" si="24"/>
        <v>46216</v>
      </c>
      <c r="G434" s="44"/>
    </row>
    <row r="435" spans="1:9" ht="13.5" customHeight="1" x14ac:dyDescent="0.25">
      <c r="A435" s="9">
        <v>105</v>
      </c>
      <c r="B435" s="8" t="s">
        <v>1935</v>
      </c>
      <c r="C435" s="21" t="s">
        <v>6</v>
      </c>
      <c r="D435" s="129" t="s">
        <v>6</v>
      </c>
      <c r="E435" s="14" t="s">
        <v>46</v>
      </c>
      <c r="F435" s="38">
        <f t="shared" ca="1" si="24"/>
        <v>46216</v>
      </c>
      <c r="G435" s="44"/>
    </row>
    <row r="436" spans="1:9" ht="13.5" customHeight="1" x14ac:dyDescent="0.25">
      <c r="A436" s="9">
        <v>106</v>
      </c>
      <c r="B436" s="8" t="s">
        <v>1105</v>
      </c>
      <c r="C436" s="21" t="s">
        <v>6</v>
      </c>
      <c r="D436" s="129" t="s">
        <v>6</v>
      </c>
      <c r="E436" s="14" t="s">
        <v>46</v>
      </c>
      <c r="F436" s="38">
        <f t="shared" ca="1" si="24"/>
        <v>46216</v>
      </c>
      <c r="G436" s="44"/>
    </row>
    <row r="437" spans="1:9" x14ac:dyDescent="0.25">
      <c r="A437" s="9">
        <v>107</v>
      </c>
      <c r="B437" s="19" t="s">
        <v>1029</v>
      </c>
      <c r="C437" s="21" t="s">
        <v>6</v>
      </c>
      <c r="D437" s="129" t="s">
        <v>6</v>
      </c>
      <c r="E437" s="14" t="s">
        <v>153</v>
      </c>
      <c r="F437" s="38">
        <f t="shared" ca="1" si="24"/>
        <v>46222</v>
      </c>
      <c r="G437" s="139"/>
    </row>
    <row r="438" spans="1:9" ht="13.5" customHeight="1" x14ac:dyDescent="0.25">
      <c r="A438" s="9">
        <v>108</v>
      </c>
      <c r="B438" s="8" t="s">
        <v>1931</v>
      </c>
      <c r="C438" s="21" t="s">
        <v>6</v>
      </c>
      <c r="D438" s="129" t="s">
        <v>6</v>
      </c>
      <c r="E438" s="14" t="s">
        <v>46</v>
      </c>
      <c r="F438" s="38">
        <f t="shared" ref="F438:F442" ca="1" si="25">IF(AND(C438="NO",D438="NO"),IF(F438="",TODAY(),F438),"")</f>
        <v>46216</v>
      </c>
      <c r="G438" s="44"/>
    </row>
    <row r="439" spans="1:9" ht="13.5" customHeight="1" x14ac:dyDescent="0.25">
      <c r="A439" s="9">
        <v>109</v>
      </c>
      <c r="B439" s="8" t="s">
        <v>1960</v>
      </c>
      <c r="C439" s="21" t="s">
        <v>5</v>
      </c>
      <c r="D439" s="129" t="s">
        <v>5</v>
      </c>
      <c r="E439" s="14" t="s">
        <v>346</v>
      </c>
      <c r="F439" s="38" t="str">
        <f t="shared" ca="1" si="25"/>
        <v/>
      </c>
      <c r="G439" s="44"/>
    </row>
    <row r="440" spans="1:9" ht="13.5" customHeight="1" x14ac:dyDescent="0.25">
      <c r="A440" s="9">
        <v>110</v>
      </c>
      <c r="B440" s="8" t="s">
        <v>1967</v>
      </c>
      <c r="C440" s="21" t="s">
        <v>6</v>
      </c>
      <c r="D440" s="129" t="s">
        <v>6</v>
      </c>
      <c r="E440" s="14" t="s">
        <v>46</v>
      </c>
      <c r="F440" s="38">
        <f t="shared" ca="1" si="25"/>
        <v>46222</v>
      </c>
      <c r="G440" s="44"/>
    </row>
    <row r="441" spans="1:9" ht="13.5" customHeight="1" x14ac:dyDescent="0.25">
      <c r="A441" s="9">
        <v>111</v>
      </c>
      <c r="B441" s="8" t="s">
        <v>1968</v>
      </c>
      <c r="C441" s="21" t="s">
        <v>6</v>
      </c>
      <c r="D441" s="129" t="s">
        <v>6</v>
      </c>
      <c r="E441" s="14" t="s">
        <v>46</v>
      </c>
      <c r="F441" s="38">
        <f t="shared" ca="1" si="25"/>
        <v>46222</v>
      </c>
      <c r="G441" s="44"/>
      <c r="I441">
        <f>18+9+17</f>
        <v>44</v>
      </c>
    </row>
    <row r="442" spans="1:9" ht="13.5" customHeight="1" x14ac:dyDescent="0.25">
      <c r="A442" s="9">
        <v>112</v>
      </c>
      <c r="B442" s="8" t="s">
        <v>1977</v>
      </c>
      <c r="C442" s="21" t="s">
        <v>6</v>
      </c>
      <c r="D442" s="129" t="s">
        <v>5</v>
      </c>
      <c r="E442" s="14" t="s">
        <v>46</v>
      </c>
      <c r="F442" s="38" t="str">
        <f t="shared" ca="1" si="25"/>
        <v/>
      </c>
      <c r="G442" s="44"/>
      <c r="I442">
        <f>10+11+6+13</f>
        <v>40</v>
      </c>
    </row>
    <row r="443" spans="1:9" ht="13.5" customHeight="1" x14ac:dyDescent="0.25">
      <c r="A443" s="9">
        <v>113</v>
      </c>
      <c r="B443" s="8" t="s">
        <v>1987</v>
      </c>
      <c r="C443" s="21" t="s">
        <v>5</v>
      </c>
      <c r="D443" s="129" t="s">
        <v>6</v>
      </c>
      <c r="E443" s="14" t="s">
        <v>1777</v>
      </c>
      <c r="F443" s="38"/>
      <c r="G443" s="44"/>
    </row>
    <row r="444" spans="1:9" ht="13.5" customHeight="1" x14ac:dyDescent="0.25">
      <c r="A444" s="9">
        <v>114</v>
      </c>
      <c r="B444" s="8" t="s">
        <v>1994</v>
      </c>
      <c r="C444" s="21" t="s">
        <v>5</v>
      </c>
      <c r="D444" s="129" t="s">
        <v>6</v>
      </c>
      <c r="E444" s="14" t="s">
        <v>1777</v>
      </c>
      <c r="F444" s="38" t="str">
        <f t="shared" ref="F444:F446" ca="1" si="26">IF(AND(C444="NO",D444="NO"),IF(F444="",TODAY(),F444),"")</f>
        <v/>
      </c>
      <c r="G444" s="44"/>
    </row>
    <row r="445" spans="1:9" ht="13.5" customHeight="1" x14ac:dyDescent="0.25">
      <c r="A445" s="9">
        <v>115</v>
      </c>
      <c r="B445" s="8" t="s">
        <v>2003</v>
      </c>
      <c r="C445" s="21" t="s">
        <v>1777</v>
      </c>
      <c r="D445" s="129" t="s">
        <v>5</v>
      </c>
      <c r="E445" s="14" t="s">
        <v>346</v>
      </c>
      <c r="F445" s="38" t="str">
        <f t="shared" ca="1" si="26"/>
        <v/>
      </c>
      <c r="G445" s="44"/>
    </row>
    <row r="446" spans="1:9" ht="13.5" customHeight="1" x14ac:dyDescent="0.25">
      <c r="A446" s="9">
        <v>116</v>
      </c>
      <c r="B446" s="8" t="s">
        <v>2004</v>
      </c>
      <c r="C446" s="21" t="s">
        <v>1777</v>
      </c>
      <c r="D446" s="129" t="s">
        <v>5</v>
      </c>
      <c r="E446" s="14" t="s">
        <v>346</v>
      </c>
      <c r="F446" s="38" t="str">
        <f t="shared" ca="1" si="26"/>
        <v/>
      </c>
      <c r="G446" s="139"/>
    </row>
    <row r="447" spans="1:9" ht="13.5" customHeight="1" x14ac:dyDescent="0.25">
      <c r="A447" s="9">
        <v>117</v>
      </c>
      <c r="B447" s="8" t="s">
        <v>2006</v>
      </c>
      <c r="C447" s="21" t="s">
        <v>1777</v>
      </c>
      <c r="D447" s="129" t="s">
        <v>5</v>
      </c>
      <c r="E447" s="14" t="s">
        <v>346</v>
      </c>
      <c r="F447" s="38" t="str">
        <f t="shared" ca="1" si="24"/>
        <v/>
      </c>
      <c r="G447" s="139"/>
      <c r="I447" s="37"/>
    </row>
    <row r="448" spans="1:9" ht="13.5" customHeight="1" x14ac:dyDescent="0.25">
      <c r="G448" s="139"/>
    </row>
    <row r="449" spans="1:8" ht="45" x14ac:dyDescent="0.25">
      <c r="A449" s="158" t="s">
        <v>54</v>
      </c>
      <c r="B449" s="159"/>
      <c r="C449" s="10">
        <f>COUNTIF(C331:C447, "SI")</f>
        <v>44</v>
      </c>
      <c r="D449" s="6" t="s">
        <v>51</v>
      </c>
      <c r="E449" s="30">
        <f>C449/A447*100</f>
        <v>37.606837606837608</v>
      </c>
      <c r="F449" s="11" t="s">
        <v>1883</v>
      </c>
      <c r="G449" s="144"/>
      <c r="H449" s="105"/>
    </row>
    <row r="450" spans="1:8" ht="45" x14ac:dyDescent="0.25">
      <c r="A450" s="158" t="s">
        <v>55</v>
      </c>
      <c r="B450" s="159"/>
      <c r="C450" s="10">
        <f>COUNTIF(C331:C447, "NO")</f>
        <v>70</v>
      </c>
      <c r="D450" s="6" t="s">
        <v>51</v>
      </c>
      <c r="E450" s="30">
        <f>C450/A447*100</f>
        <v>59.82905982905983</v>
      </c>
      <c r="F450" s="11" t="s">
        <v>1884</v>
      </c>
      <c r="G450" s="139"/>
      <c r="H450" s="44"/>
    </row>
    <row r="451" spans="1:8" ht="15" customHeight="1" x14ac:dyDescent="0.25">
      <c r="A451" s="24"/>
      <c r="B451" s="24"/>
      <c r="C451" s="25"/>
      <c r="D451" s="26"/>
      <c r="E451" s="27"/>
      <c r="F451" s="28"/>
      <c r="G451" s="139"/>
    </row>
    <row r="452" spans="1:8" ht="45" x14ac:dyDescent="0.25">
      <c r="A452" s="158" t="s">
        <v>56</v>
      </c>
      <c r="B452" s="159"/>
      <c r="C452" s="10">
        <f>COUNTIF(D331:D447, "SI")</f>
        <v>40</v>
      </c>
      <c r="D452" s="6" t="s">
        <v>51</v>
      </c>
      <c r="E452" s="30">
        <f>C452/Excluidos!A922*100</f>
        <v>17.777777777777779</v>
      </c>
      <c r="F452" s="11" t="s">
        <v>58</v>
      </c>
      <c r="G452" s="139"/>
    </row>
    <row r="453" spans="1:8" ht="45" x14ac:dyDescent="0.25">
      <c r="A453" s="158" t="s">
        <v>57</v>
      </c>
      <c r="B453" s="159"/>
      <c r="C453" s="10">
        <f>COUNTIF(D331:D447, "NO")</f>
        <v>77</v>
      </c>
      <c r="D453" s="6" t="s">
        <v>51</v>
      </c>
      <c r="E453" s="30">
        <f>C453/A447*100</f>
        <v>65.811965811965806</v>
      </c>
      <c r="F453" s="11" t="s">
        <v>59</v>
      </c>
      <c r="G453" s="139"/>
    </row>
    <row r="454" spans="1:8" x14ac:dyDescent="0.25">
      <c r="G454" s="139"/>
    </row>
    <row r="455" spans="1:8" x14ac:dyDescent="0.25">
      <c r="A455" s="154" t="s">
        <v>1039</v>
      </c>
      <c r="B455" s="155"/>
      <c r="C455" s="149">
        <f>COUNTIFS(C331:C447,"SI",D331:D447,"SI")</f>
        <v>23</v>
      </c>
      <c r="D455" s="150" t="s">
        <v>51</v>
      </c>
      <c r="E455" s="152">
        <f>C455/A447*100</f>
        <v>19.658119658119659</v>
      </c>
      <c r="F455" s="168" t="s">
        <v>1041</v>
      </c>
      <c r="G455" s="139"/>
    </row>
    <row r="456" spans="1:8" x14ac:dyDescent="0.25">
      <c r="A456" s="156"/>
      <c r="B456" s="157"/>
      <c r="C456" s="149"/>
      <c r="D456" s="151"/>
      <c r="E456" s="153"/>
      <c r="F456" s="169"/>
      <c r="G456" s="139"/>
    </row>
    <row r="457" spans="1:8" x14ac:dyDescent="0.25">
      <c r="A457" s="154" t="s">
        <v>1040</v>
      </c>
      <c r="B457" s="155"/>
      <c r="C457" s="149">
        <f>COUNTIFS(C326:C447,"NO",D326:D447,"NO")</f>
        <v>56</v>
      </c>
      <c r="D457" s="150" t="s">
        <v>51</v>
      </c>
      <c r="E457" s="152">
        <f>C457/A447*100</f>
        <v>47.863247863247864</v>
      </c>
      <c r="F457" s="168" t="s">
        <v>1042</v>
      </c>
      <c r="G457" s="139"/>
    </row>
    <row r="458" spans="1:8" x14ac:dyDescent="0.25">
      <c r="A458" s="156"/>
      <c r="B458" s="157"/>
      <c r="C458" s="149"/>
      <c r="D458" s="151"/>
      <c r="E458" s="153"/>
      <c r="F458" s="169"/>
      <c r="G458" s="139"/>
    </row>
    <row r="459" spans="1:8" x14ac:dyDescent="0.25">
      <c r="G459" s="139"/>
    </row>
    <row r="460" spans="1:8" ht="15" customHeight="1" x14ac:dyDescent="0.25">
      <c r="A460" s="146" t="s">
        <v>1874</v>
      </c>
      <c r="B460" s="147"/>
      <c r="C460" s="147"/>
      <c r="D460" s="147"/>
      <c r="E460" s="148"/>
      <c r="G460" s="139"/>
    </row>
    <row r="461" spans="1:8" ht="15" customHeight="1" x14ac:dyDescent="0.25">
      <c r="A461" s="13" t="s">
        <v>0</v>
      </c>
      <c r="B461" s="13" t="s">
        <v>1</v>
      </c>
      <c r="C461" s="13" t="s">
        <v>2</v>
      </c>
      <c r="D461" s="13" t="s">
        <v>3</v>
      </c>
      <c r="E461" s="13" t="s">
        <v>7</v>
      </c>
      <c r="F461" s="13" t="s">
        <v>1982</v>
      </c>
      <c r="G461" s="13" t="s">
        <v>1983</v>
      </c>
    </row>
    <row r="462" spans="1:8" ht="15" customHeight="1" x14ac:dyDescent="0.25">
      <c r="A462" s="9">
        <v>1</v>
      </c>
      <c r="B462" s="8" t="s">
        <v>390</v>
      </c>
      <c r="C462" s="21" t="s">
        <v>6</v>
      </c>
      <c r="D462" s="21" t="s">
        <v>6</v>
      </c>
      <c r="E462" s="14" t="s">
        <v>265</v>
      </c>
      <c r="F462" s="38">
        <f t="shared" ref="F462:F492" ca="1" si="27">IF(AND(C462="NO",D462="NO"),IF(F462="",TODAY(),F462),"")</f>
        <v>46209</v>
      </c>
      <c r="G462" s="139"/>
    </row>
    <row r="463" spans="1:8" ht="15" customHeight="1" x14ac:dyDescent="0.25">
      <c r="A463" s="9">
        <v>2</v>
      </c>
      <c r="B463" s="8" t="s">
        <v>221</v>
      </c>
      <c r="C463" s="21" t="s">
        <v>6</v>
      </c>
      <c r="D463" s="21" t="s">
        <v>6</v>
      </c>
      <c r="E463" s="14" t="s">
        <v>265</v>
      </c>
      <c r="F463" s="38">
        <f t="shared" ca="1" si="27"/>
        <v>46209</v>
      </c>
      <c r="G463" s="139"/>
      <c r="H463" s="29"/>
    </row>
    <row r="464" spans="1:8" x14ac:dyDescent="0.25">
      <c r="A464" s="9">
        <v>3</v>
      </c>
      <c r="B464" s="8" t="s">
        <v>382</v>
      </c>
      <c r="C464" s="21" t="s">
        <v>6</v>
      </c>
      <c r="D464" s="21" t="s">
        <v>6</v>
      </c>
      <c r="E464" s="14" t="s">
        <v>346</v>
      </c>
      <c r="F464" s="38">
        <f t="shared" ca="1" si="27"/>
        <v>46202</v>
      </c>
      <c r="G464" s="139"/>
    </row>
    <row r="465" spans="1:10" x14ac:dyDescent="0.25">
      <c r="A465" s="9">
        <v>4</v>
      </c>
      <c r="B465" s="8" t="s">
        <v>222</v>
      </c>
      <c r="C465" s="21" t="s">
        <v>5</v>
      </c>
      <c r="D465" s="21" t="s">
        <v>5</v>
      </c>
      <c r="E465" s="14" t="s">
        <v>265</v>
      </c>
      <c r="F465" s="38" t="str">
        <f t="shared" ca="1" si="27"/>
        <v/>
      </c>
      <c r="G465" s="139"/>
      <c r="I465" s="160" t="s">
        <v>1874</v>
      </c>
      <c r="J465" s="160"/>
    </row>
    <row r="466" spans="1:10" ht="15" customHeight="1" x14ac:dyDescent="0.25">
      <c r="A466" s="9">
        <v>5</v>
      </c>
      <c r="B466" s="8" t="s">
        <v>223</v>
      </c>
      <c r="C466" s="21" t="s">
        <v>5</v>
      </c>
      <c r="D466" s="21" t="s">
        <v>5</v>
      </c>
      <c r="E466" s="14" t="s">
        <v>265</v>
      </c>
      <c r="F466" s="38" t="str">
        <f t="shared" ca="1" si="27"/>
        <v/>
      </c>
      <c r="G466" s="139"/>
      <c r="I466" s="161"/>
      <c r="J466" s="161"/>
    </row>
    <row r="467" spans="1:10" ht="15" customHeight="1" x14ac:dyDescent="0.25">
      <c r="A467" s="9">
        <v>6</v>
      </c>
      <c r="B467" s="8" t="s">
        <v>224</v>
      </c>
      <c r="C467" s="21" t="s">
        <v>6</v>
      </c>
      <c r="D467" s="21" t="s">
        <v>5</v>
      </c>
      <c r="E467" s="14" t="s">
        <v>265</v>
      </c>
      <c r="F467" s="38" t="str">
        <f t="shared" ca="1" si="27"/>
        <v/>
      </c>
      <c r="G467" s="139"/>
      <c r="I467" s="4" t="str" cm="1">
        <f t="array" ref="I467:I480">_xlfn._xlws.FILTER(B462:B572,(C462:C572="SI")*(D462:D572="SI"),"")</f>
        <v xml:space="preserve">Gabriela marcano </v>
      </c>
      <c r="J467" s="127"/>
    </row>
    <row r="468" spans="1:10" ht="15.75" customHeight="1" x14ac:dyDescent="0.25">
      <c r="A468" s="9">
        <v>7</v>
      </c>
      <c r="B468" s="8" t="s">
        <v>225</v>
      </c>
      <c r="C468" s="21" t="s">
        <v>6</v>
      </c>
      <c r="D468" s="21" t="s">
        <v>5</v>
      </c>
      <c r="E468" s="14" t="s">
        <v>265</v>
      </c>
      <c r="F468" s="38" t="str">
        <f t="shared" ca="1" si="27"/>
        <v/>
      </c>
      <c r="G468" s="139"/>
      <c r="I468" s="4" t="str">
        <v xml:space="preserve">Alejandra marcano </v>
      </c>
      <c r="J468" s="127"/>
    </row>
    <row r="469" spans="1:10" x14ac:dyDescent="0.25">
      <c r="A469" s="9">
        <v>8</v>
      </c>
      <c r="B469" s="8" t="s">
        <v>226</v>
      </c>
      <c r="C469" s="21" t="s">
        <v>5</v>
      </c>
      <c r="D469" s="21" t="s">
        <v>5</v>
      </c>
      <c r="E469" s="14" t="s">
        <v>46</v>
      </c>
      <c r="F469" s="38" t="str">
        <f t="shared" ca="1" si="27"/>
        <v/>
      </c>
      <c r="G469" s="139"/>
      <c r="I469" s="4" t="str">
        <v xml:space="preserve">Paola reyes </v>
      </c>
      <c r="J469" s="127"/>
    </row>
    <row r="470" spans="1:10" x14ac:dyDescent="0.25">
      <c r="A470" s="9">
        <v>9</v>
      </c>
      <c r="B470" s="8" t="s">
        <v>227</v>
      </c>
      <c r="C470" s="21" t="s">
        <v>6</v>
      </c>
      <c r="D470" s="21" t="s">
        <v>5</v>
      </c>
      <c r="E470" s="14" t="s">
        <v>265</v>
      </c>
      <c r="F470" s="38" t="str">
        <f t="shared" ca="1" si="27"/>
        <v/>
      </c>
      <c r="G470" s="139"/>
      <c r="I470" s="4" t="str">
        <v>OrLANdo Marcano</v>
      </c>
      <c r="J470" s="127"/>
    </row>
    <row r="471" spans="1:10" x14ac:dyDescent="0.25">
      <c r="A471" s="9">
        <v>10</v>
      </c>
      <c r="B471" s="8" t="s">
        <v>230</v>
      </c>
      <c r="C471" s="21" t="s">
        <v>6</v>
      </c>
      <c r="D471" s="21" t="s">
        <v>6</v>
      </c>
      <c r="E471" s="14" t="s">
        <v>346</v>
      </c>
      <c r="F471" s="38">
        <f t="shared" ca="1" si="27"/>
        <v>46222</v>
      </c>
      <c r="G471" s="139"/>
      <c r="I471" s="4" t="str">
        <v>Jonathan Godoy</v>
      </c>
      <c r="J471" s="127"/>
    </row>
    <row r="472" spans="1:10" x14ac:dyDescent="0.25">
      <c r="A472" s="9">
        <v>11</v>
      </c>
      <c r="B472" s="8" t="s">
        <v>232</v>
      </c>
      <c r="C472" s="21" t="s">
        <v>6</v>
      </c>
      <c r="D472" s="21" t="s">
        <v>6</v>
      </c>
      <c r="E472" s="14" t="s">
        <v>265</v>
      </c>
      <c r="F472" s="38">
        <f t="shared" ca="1" si="27"/>
        <v>46222</v>
      </c>
      <c r="G472" s="139"/>
      <c r="I472" s="4" t="str">
        <v>Mayerlin Acosta</v>
      </c>
      <c r="J472" s="127"/>
    </row>
    <row r="473" spans="1:10" x14ac:dyDescent="0.25">
      <c r="A473" s="9">
        <v>12</v>
      </c>
      <c r="B473" s="8" t="s">
        <v>233</v>
      </c>
      <c r="C473" s="21" t="s">
        <v>6</v>
      </c>
      <c r="D473" s="21" t="s">
        <v>5</v>
      </c>
      <c r="E473" s="14" t="s">
        <v>46</v>
      </c>
      <c r="F473" s="38" t="str">
        <f t="shared" ca="1" si="27"/>
        <v/>
      </c>
      <c r="G473" s="139"/>
      <c r="I473" s="4" t="str">
        <v xml:space="preserve">Sebastián Chávez </v>
      </c>
      <c r="J473" s="127"/>
    </row>
    <row r="474" spans="1:10" ht="15.75" customHeight="1" x14ac:dyDescent="0.25">
      <c r="A474" s="9">
        <v>13</v>
      </c>
      <c r="B474" s="17" t="s">
        <v>1899</v>
      </c>
      <c r="C474" s="21" t="s">
        <v>6</v>
      </c>
      <c r="D474" s="21" t="s">
        <v>6</v>
      </c>
      <c r="E474" s="14" t="s">
        <v>153</v>
      </c>
      <c r="F474" s="38">
        <f t="shared" ca="1" si="27"/>
        <v>46209</v>
      </c>
      <c r="G474" s="139"/>
      <c r="I474" s="4" t="str">
        <v>Reinimar Bracho</v>
      </c>
      <c r="J474" s="127"/>
    </row>
    <row r="475" spans="1:10" x14ac:dyDescent="0.25">
      <c r="A475" s="9">
        <v>14</v>
      </c>
      <c r="B475" s="8" t="s">
        <v>421</v>
      </c>
      <c r="C475" s="21" t="s">
        <v>6</v>
      </c>
      <c r="D475" s="21" t="s">
        <v>6</v>
      </c>
      <c r="E475" s="14" t="s">
        <v>46</v>
      </c>
      <c r="F475" s="38">
        <f t="shared" ca="1" si="27"/>
        <v>46209</v>
      </c>
      <c r="G475" s="139"/>
      <c r="I475" s="4" t="str">
        <v xml:space="preserve">Gabriel Rosales </v>
      </c>
      <c r="J475" s="127"/>
    </row>
    <row r="476" spans="1:10" ht="15" customHeight="1" x14ac:dyDescent="0.25">
      <c r="A476" s="9">
        <v>15</v>
      </c>
      <c r="B476" s="40" t="s">
        <v>1117</v>
      </c>
      <c r="C476" s="21" t="s">
        <v>6</v>
      </c>
      <c r="D476" s="21" t="s">
        <v>6</v>
      </c>
      <c r="E476" s="14" t="s">
        <v>46</v>
      </c>
      <c r="F476" s="38">
        <f t="shared" ca="1" si="27"/>
        <v>46202</v>
      </c>
      <c r="G476" s="139"/>
      <c r="I476" s="4" t="str">
        <v>Adriana Díaz</v>
      </c>
      <c r="J476" s="4"/>
    </row>
    <row r="477" spans="1:10" ht="15" customHeight="1" x14ac:dyDescent="0.25">
      <c r="A477" s="9">
        <v>16</v>
      </c>
      <c r="B477" s="40" t="s">
        <v>1500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G477" s="139"/>
      <c r="I477" s="4" t="str">
        <v xml:space="preserve">Jonathan Cordero </v>
      </c>
      <c r="J477" s="127"/>
    </row>
    <row r="478" spans="1:10" ht="15" customHeight="1" x14ac:dyDescent="0.25">
      <c r="A478" s="9">
        <v>17</v>
      </c>
      <c r="B478" s="19" t="s">
        <v>326</v>
      </c>
      <c r="C478" s="21" t="s">
        <v>6</v>
      </c>
      <c r="D478" s="21" t="s">
        <v>6</v>
      </c>
      <c r="E478" s="14" t="s">
        <v>46</v>
      </c>
      <c r="F478" s="38">
        <f t="shared" ca="1" si="27"/>
        <v>46209</v>
      </c>
      <c r="G478" s="139"/>
      <c r="I478" s="4" t="str">
        <v>Yadniel Osechas</v>
      </c>
      <c r="J478" s="127"/>
    </row>
    <row r="479" spans="1:10" ht="15" customHeight="1" x14ac:dyDescent="0.25">
      <c r="A479" s="9">
        <v>18</v>
      </c>
      <c r="B479" s="8" t="s">
        <v>1833</v>
      </c>
      <c r="C479" s="21" t="s">
        <v>6</v>
      </c>
      <c r="D479" s="21" t="s">
        <v>5</v>
      </c>
      <c r="E479" s="14" t="s">
        <v>265</v>
      </c>
      <c r="F479" s="38" t="str">
        <f t="shared" ca="1" si="27"/>
        <v/>
      </c>
      <c r="G479" s="139"/>
      <c r="H479" s="78"/>
      <c r="I479" s="4" t="str">
        <v>Nohely CastelLANos</v>
      </c>
      <c r="J479" s="127"/>
    </row>
    <row r="480" spans="1:10" x14ac:dyDescent="0.25">
      <c r="A480" s="9">
        <v>19</v>
      </c>
      <c r="B480" s="8" t="s">
        <v>1779</v>
      </c>
      <c r="C480" s="21" t="s">
        <v>6</v>
      </c>
      <c r="D480" s="21" t="s">
        <v>5</v>
      </c>
      <c r="E480" s="14" t="s">
        <v>265</v>
      </c>
      <c r="F480" s="38" t="str">
        <f t="shared" ca="1" si="27"/>
        <v/>
      </c>
      <c r="G480" s="139"/>
      <c r="I480" s="4" t="str">
        <v>Jenifer Padilla</v>
      </c>
      <c r="J480" s="127"/>
    </row>
    <row r="481" spans="1:10" ht="21" x14ac:dyDescent="0.25">
      <c r="A481" s="9">
        <v>20</v>
      </c>
      <c r="B481" s="8" t="s">
        <v>1834</v>
      </c>
      <c r="C481" s="21" t="s">
        <v>6</v>
      </c>
      <c r="D481" s="21" t="s">
        <v>5</v>
      </c>
      <c r="E481" s="14" t="s">
        <v>265</v>
      </c>
      <c r="F481" s="38" t="str">
        <f t="shared" ca="1" si="27"/>
        <v/>
      </c>
      <c r="G481" s="139"/>
      <c r="I481" s="4"/>
      <c r="J481" s="125">
        <f>C580</f>
        <v>14</v>
      </c>
    </row>
    <row r="482" spans="1:10" x14ac:dyDescent="0.25">
      <c r="A482" s="9">
        <v>21</v>
      </c>
      <c r="B482" s="40" t="s">
        <v>1019</v>
      </c>
      <c r="C482" s="21" t="s">
        <v>6</v>
      </c>
      <c r="D482" s="21" t="s">
        <v>6</v>
      </c>
      <c r="E482" s="14" t="s">
        <v>46</v>
      </c>
      <c r="F482" s="38">
        <f t="shared" ca="1" si="27"/>
        <v>46222</v>
      </c>
      <c r="G482" s="139"/>
      <c r="I482" s="4"/>
      <c r="J482" s="127"/>
    </row>
    <row r="483" spans="1:10" ht="15" customHeight="1" x14ac:dyDescent="0.25">
      <c r="A483" s="9">
        <v>22</v>
      </c>
      <c r="B483" s="19" t="s">
        <v>907</v>
      </c>
      <c r="C483" s="21" t="s">
        <v>6</v>
      </c>
      <c r="D483" s="21" t="s">
        <v>6</v>
      </c>
      <c r="E483" s="14" t="s">
        <v>46</v>
      </c>
      <c r="F483" s="38">
        <f t="shared" ca="1" si="27"/>
        <v>46216</v>
      </c>
      <c r="G483" s="139"/>
      <c r="I483" s="4"/>
      <c r="J483" s="127"/>
    </row>
    <row r="484" spans="1:10" x14ac:dyDescent="0.25">
      <c r="A484" s="9">
        <v>23</v>
      </c>
      <c r="B484" s="8" t="s">
        <v>1895</v>
      </c>
      <c r="C484" s="21" t="s">
        <v>5</v>
      </c>
      <c r="D484" s="21" t="s">
        <v>5</v>
      </c>
      <c r="E484" s="14" t="s">
        <v>346</v>
      </c>
      <c r="F484" s="38" t="str">
        <f t="shared" ca="1" si="27"/>
        <v/>
      </c>
      <c r="G484" s="139"/>
      <c r="I484" s="4"/>
      <c r="J484" s="127"/>
    </row>
    <row r="485" spans="1:10" x14ac:dyDescent="0.25">
      <c r="A485" s="9">
        <v>24</v>
      </c>
      <c r="B485" s="40" t="s">
        <v>1324</v>
      </c>
      <c r="C485" s="21" t="s">
        <v>6</v>
      </c>
      <c r="D485" s="21" t="s">
        <v>6</v>
      </c>
      <c r="E485" s="14" t="s">
        <v>46</v>
      </c>
      <c r="F485" s="38">
        <f t="shared" ca="1" si="27"/>
        <v>46202</v>
      </c>
      <c r="G485" s="139"/>
      <c r="I485" s="4"/>
    </row>
    <row r="486" spans="1:10" x14ac:dyDescent="0.25">
      <c r="A486" s="9">
        <v>25</v>
      </c>
      <c r="B486" s="40" t="s">
        <v>1780</v>
      </c>
      <c r="C486" s="21" t="s">
        <v>6</v>
      </c>
      <c r="D486" s="21" t="s">
        <v>5</v>
      </c>
      <c r="E486" s="14" t="s">
        <v>153</v>
      </c>
      <c r="F486" s="38" t="str">
        <f t="shared" ca="1" si="27"/>
        <v/>
      </c>
      <c r="G486" s="139"/>
      <c r="H486" s="48"/>
      <c r="I486" s="4"/>
      <c r="J486" s="127"/>
    </row>
    <row r="487" spans="1:10" x14ac:dyDescent="0.25">
      <c r="A487" s="9">
        <v>26</v>
      </c>
      <c r="B487" s="19" t="s">
        <v>1690</v>
      </c>
      <c r="C487" s="21" t="s">
        <v>6</v>
      </c>
      <c r="D487" s="21" t="s">
        <v>6</v>
      </c>
      <c r="E487" s="14" t="s">
        <v>153</v>
      </c>
      <c r="F487" s="38">
        <f t="shared" ca="1" si="27"/>
        <v>46222</v>
      </c>
      <c r="G487" s="139"/>
      <c r="I487" s="4"/>
      <c r="J487" s="4"/>
    </row>
    <row r="488" spans="1:10" x14ac:dyDescent="0.25">
      <c r="A488" s="9">
        <v>27</v>
      </c>
      <c r="B488" s="8" t="s">
        <v>242</v>
      </c>
      <c r="C488" s="21" t="s">
        <v>5</v>
      </c>
      <c r="D488" s="21" t="s">
        <v>5</v>
      </c>
      <c r="E488" s="14" t="s">
        <v>1285</v>
      </c>
      <c r="F488" s="38" t="str">
        <f t="shared" ca="1" si="27"/>
        <v/>
      </c>
      <c r="G488" s="139"/>
      <c r="I488" s="4"/>
      <c r="J488" s="127"/>
    </row>
    <row r="489" spans="1:10" x14ac:dyDescent="0.25">
      <c r="A489" s="9">
        <v>28</v>
      </c>
      <c r="B489" s="8" t="s">
        <v>1794</v>
      </c>
      <c r="C489" s="21" t="s">
        <v>5</v>
      </c>
      <c r="D489" s="21" t="s">
        <v>5</v>
      </c>
      <c r="E489" s="14" t="s">
        <v>1285</v>
      </c>
      <c r="F489" s="38" t="str">
        <f t="shared" ca="1" si="27"/>
        <v/>
      </c>
      <c r="G489" s="139"/>
      <c r="I489" s="4"/>
      <c r="J489" s="4"/>
    </row>
    <row r="490" spans="1:10" x14ac:dyDescent="0.25">
      <c r="A490" s="9">
        <v>29</v>
      </c>
      <c r="B490" s="51" t="s">
        <v>267</v>
      </c>
      <c r="C490" s="21" t="s">
        <v>5</v>
      </c>
      <c r="D490" s="21" t="s">
        <v>6</v>
      </c>
      <c r="E490" s="14" t="s">
        <v>46</v>
      </c>
      <c r="F490" s="38" t="str">
        <f t="shared" ca="1" si="27"/>
        <v/>
      </c>
      <c r="G490" s="139"/>
      <c r="I490" s="4"/>
      <c r="J490" s="4"/>
    </row>
    <row r="491" spans="1:10" x14ac:dyDescent="0.25">
      <c r="A491" s="9">
        <v>30</v>
      </c>
      <c r="B491" s="8" t="s">
        <v>353</v>
      </c>
      <c r="C491" s="21" t="s">
        <v>6</v>
      </c>
      <c r="D491" s="21" t="s">
        <v>5</v>
      </c>
      <c r="E491" s="14" t="s">
        <v>346</v>
      </c>
      <c r="F491" s="38" t="str">
        <f t="shared" ca="1" si="27"/>
        <v/>
      </c>
      <c r="G491" s="139"/>
    </row>
    <row r="492" spans="1:10" x14ac:dyDescent="0.25">
      <c r="A492" s="9">
        <v>31</v>
      </c>
      <c r="B492" s="8" t="s">
        <v>244</v>
      </c>
      <c r="C492" s="21" t="s">
        <v>6</v>
      </c>
      <c r="D492" s="21" t="s">
        <v>5</v>
      </c>
      <c r="E492" s="14" t="s">
        <v>153</v>
      </c>
      <c r="F492" s="38" t="str">
        <f t="shared" ca="1" si="27"/>
        <v/>
      </c>
      <c r="G492" s="139"/>
      <c r="I492" s="4"/>
      <c r="J492" s="4"/>
    </row>
    <row r="493" spans="1:10" x14ac:dyDescent="0.25">
      <c r="A493" s="9">
        <v>32</v>
      </c>
      <c r="B493" s="19" t="s">
        <v>298</v>
      </c>
      <c r="C493" s="21" t="s">
        <v>6</v>
      </c>
      <c r="D493" s="21" t="s">
        <v>5</v>
      </c>
      <c r="E493" s="14" t="s">
        <v>346</v>
      </c>
      <c r="F493" s="38" t="str">
        <f t="shared" ref="F493:F534" ca="1" si="28">IF(AND(C493="NO",D493="NO"),IF(F493="",TODAY(),F493),"")</f>
        <v/>
      </c>
      <c r="G493" s="139"/>
      <c r="I493" s="4"/>
      <c r="J493" s="4"/>
    </row>
    <row r="494" spans="1:10" x14ac:dyDescent="0.25">
      <c r="A494" s="9">
        <v>33</v>
      </c>
      <c r="B494" s="8" t="s">
        <v>245</v>
      </c>
      <c r="C494" s="21" t="s">
        <v>6</v>
      </c>
      <c r="D494" s="21" t="s">
        <v>6</v>
      </c>
      <c r="E494" s="14" t="s">
        <v>153</v>
      </c>
      <c r="F494" s="38">
        <f t="shared" ca="1" si="28"/>
        <v>46209</v>
      </c>
      <c r="G494" s="139"/>
      <c r="I494" s="4"/>
      <c r="J494" s="4"/>
    </row>
    <row r="495" spans="1:10" x14ac:dyDescent="0.25">
      <c r="A495" s="9">
        <v>34</v>
      </c>
      <c r="B495" s="19" t="s">
        <v>1782</v>
      </c>
      <c r="C495" s="21" t="s">
        <v>5</v>
      </c>
      <c r="D495" s="21" t="s">
        <v>5</v>
      </c>
      <c r="E495" s="14" t="s">
        <v>265</v>
      </c>
      <c r="F495" s="38" t="str">
        <f t="shared" ca="1" si="28"/>
        <v/>
      </c>
      <c r="G495" s="139"/>
      <c r="I495" s="4"/>
      <c r="J495" s="4"/>
    </row>
    <row r="496" spans="1:10" x14ac:dyDescent="0.25">
      <c r="A496" s="9">
        <v>35</v>
      </c>
      <c r="B496" s="40" t="s">
        <v>855</v>
      </c>
      <c r="C496" s="21" t="s">
        <v>6</v>
      </c>
      <c r="D496" s="21" t="s">
        <v>6</v>
      </c>
      <c r="E496" s="14" t="s">
        <v>153</v>
      </c>
      <c r="F496" s="38">
        <f t="shared" ca="1" si="28"/>
        <v>46222</v>
      </c>
      <c r="G496" s="139"/>
    </row>
    <row r="497" spans="1:7" x14ac:dyDescent="0.25">
      <c r="A497" s="9">
        <v>36</v>
      </c>
      <c r="B497" s="40" t="s">
        <v>1783</v>
      </c>
      <c r="C497" s="21" t="s">
        <v>5</v>
      </c>
      <c r="D497" s="21" t="s">
        <v>5</v>
      </c>
      <c r="E497" s="14" t="s">
        <v>46</v>
      </c>
      <c r="F497" s="38" t="str">
        <f t="shared" ca="1" si="28"/>
        <v/>
      </c>
      <c r="G497" s="139"/>
    </row>
    <row r="498" spans="1:7" x14ac:dyDescent="0.25">
      <c r="A498" s="9">
        <v>37</v>
      </c>
      <c r="B498" s="19" t="s">
        <v>302</v>
      </c>
      <c r="C498" s="21" t="s">
        <v>5</v>
      </c>
      <c r="D498" s="21" t="s">
        <v>5</v>
      </c>
      <c r="E498" s="14" t="s">
        <v>46</v>
      </c>
      <c r="F498" s="38" t="str">
        <f t="shared" ca="1" si="28"/>
        <v/>
      </c>
      <c r="G498" s="139"/>
    </row>
    <row r="499" spans="1:7" ht="13.5" customHeight="1" x14ac:dyDescent="0.25">
      <c r="A499" s="9">
        <v>38</v>
      </c>
      <c r="B499" s="8" t="s">
        <v>271</v>
      </c>
      <c r="C499" s="21" t="s">
        <v>5</v>
      </c>
      <c r="D499" s="21" t="s">
        <v>6</v>
      </c>
      <c r="E499" s="14" t="s">
        <v>46</v>
      </c>
      <c r="F499" s="38" t="str">
        <f t="shared" ca="1" si="28"/>
        <v/>
      </c>
      <c r="G499" s="139"/>
    </row>
    <row r="500" spans="1:7" x14ac:dyDescent="0.25">
      <c r="A500" s="9">
        <v>39</v>
      </c>
      <c r="B500" s="8" t="s">
        <v>246</v>
      </c>
      <c r="C500" s="21" t="s">
        <v>6</v>
      </c>
      <c r="D500" s="21" t="s">
        <v>6</v>
      </c>
      <c r="E500" s="14" t="s">
        <v>46</v>
      </c>
      <c r="F500" s="38">
        <f t="shared" ca="1" si="28"/>
        <v>46222</v>
      </c>
      <c r="G500" s="139"/>
    </row>
    <row r="501" spans="1:7" x14ac:dyDescent="0.25">
      <c r="A501" s="9">
        <v>40</v>
      </c>
      <c r="B501" s="8" t="s">
        <v>220</v>
      </c>
      <c r="C501" s="21" t="s">
        <v>6</v>
      </c>
      <c r="D501" s="21" t="s">
        <v>5</v>
      </c>
      <c r="E501" s="14" t="s">
        <v>265</v>
      </c>
      <c r="F501" s="38" t="str">
        <f t="shared" ca="1" si="28"/>
        <v/>
      </c>
      <c r="G501" s="139"/>
    </row>
    <row r="502" spans="1:7" x14ac:dyDescent="0.25">
      <c r="A502" s="9">
        <v>41</v>
      </c>
      <c r="B502" s="8" t="s">
        <v>1605</v>
      </c>
      <c r="C502" s="21" t="s">
        <v>6</v>
      </c>
      <c r="D502" s="21" t="s">
        <v>5</v>
      </c>
      <c r="E502" s="94" t="s">
        <v>46</v>
      </c>
      <c r="F502" s="108"/>
      <c r="G502" s="139"/>
    </row>
    <row r="503" spans="1:7" x14ac:dyDescent="0.25">
      <c r="A503" s="9">
        <v>42</v>
      </c>
      <c r="B503" s="40" t="s">
        <v>234</v>
      </c>
      <c r="C503" s="21" t="s">
        <v>6</v>
      </c>
      <c r="D503" s="21" t="s">
        <v>6</v>
      </c>
      <c r="E503" s="14" t="s">
        <v>46</v>
      </c>
      <c r="F503" s="38">
        <f t="shared" ca="1" si="28"/>
        <v>46202</v>
      </c>
      <c r="G503" s="139"/>
    </row>
    <row r="504" spans="1:7" x14ac:dyDescent="0.25">
      <c r="A504" s="9">
        <v>43</v>
      </c>
      <c r="B504" s="40" t="s">
        <v>509</v>
      </c>
      <c r="C504" s="21" t="s">
        <v>6</v>
      </c>
      <c r="D504" s="21" t="s">
        <v>6</v>
      </c>
      <c r="E504" s="14" t="s">
        <v>46</v>
      </c>
      <c r="F504" s="38">
        <f t="shared" ca="1" si="28"/>
        <v>46209</v>
      </c>
      <c r="G504" s="139"/>
    </row>
    <row r="505" spans="1:7" x14ac:dyDescent="0.25">
      <c r="A505" s="9">
        <v>44</v>
      </c>
      <c r="B505" s="40" t="s">
        <v>270</v>
      </c>
      <c r="C505" s="21" t="s">
        <v>5</v>
      </c>
      <c r="D505" s="21" t="s">
        <v>5</v>
      </c>
      <c r="E505" s="14" t="s">
        <v>307</v>
      </c>
      <c r="F505" s="38" t="str">
        <f t="shared" ca="1" si="28"/>
        <v/>
      </c>
      <c r="G505" s="139"/>
    </row>
    <row r="506" spans="1:7" x14ac:dyDescent="0.25">
      <c r="A506" s="9">
        <v>45</v>
      </c>
      <c r="B506" s="19" t="s">
        <v>248</v>
      </c>
      <c r="C506" s="21" t="s">
        <v>5</v>
      </c>
      <c r="D506" s="21" t="s">
        <v>5</v>
      </c>
      <c r="E506" s="14" t="s">
        <v>307</v>
      </c>
      <c r="F506" s="38" t="str">
        <f t="shared" ca="1" si="28"/>
        <v/>
      </c>
      <c r="G506" s="139"/>
    </row>
    <row r="507" spans="1:7" x14ac:dyDescent="0.25">
      <c r="A507" s="9">
        <v>46</v>
      </c>
      <c r="B507" s="8" t="s">
        <v>1764</v>
      </c>
      <c r="C507" s="21" t="s">
        <v>6</v>
      </c>
      <c r="D507" s="21" t="s">
        <v>6</v>
      </c>
      <c r="E507" s="14" t="s">
        <v>46</v>
      </c>
      <c r="F507" s="38">
        <f t="shared" ca="1" si="28"/>
        <v>46222</v>
      </c>
      <c r="G507" s="139"/>
    </row>
    <row r="508" spans="1:7" x14ac:dyDescent="0.25">
      <c r="A508" s="9">
        <v>47</v>
      </c>
      <c r="B508" s="40" t="s">
        <v>251</v>
      </c>
      <c r="C508" s="21" t="s">
        <v>5</v>
      </c>
      <c r="D508" s="21" t="s">
        <v>6</v>
      </c>
      <c r="E508" s="14" t="s">
        <v>46</v>
      </c>
      <c r="F508" s="38" t="str">
        <f t="shared" ca="1" si="28"/>
        <v/>
      </c>
      <c r="G508" s="139"/>
    </row>
    <row r="509" spans="1:7" x14ac:dyDescent="0.25">
      <c r="A509" s="9">
        <v>48</v>
      </c>
      <c r="B509" s="40" t="s">
        <v>341</v>
      </c>
      <c r="C509" s="21" t="s">
        <v>5</v>
      </c>
      <c r="D509" s="21" t="s">
        <v>6</v>
      </c>
      <c r="E509" s="22" t="s">
        <v>46</v>
      </c>
      <c r="F509" s="38" t="str">
        <f t="shared" ca="1" si="28"/>
        <v/>
      </c>
      <c r="G509" s="139"/>
    </row>
    <row r="510" spans="1:7" x14ac:dyDescent="0.25">
      <c r="A510" s="9">
        <v>49</v>
      </c>
      <c r="B510" s="40" t="s">
        <v>1092</v>
      </c>
      <c r="C510" s="21" t="s">
        <v>6</v>
      </c>
      <c r="D510" s="21" t="s">
        <v>6</v>
      </c>
      <c r="E510" s="14" t="s">
        <v>46</v>
      </c>
      <c r="F510" s="38">
        <f t="shared" ca="1" si="28"/>
        <v>46209</v>
      </c>
      <c r="G510" s="139"/>
    </row>
    <row r="511" spans="1:7" x14ac:dyDescent="0.25">
      <c r="A511" s="9">
        <v>50</v>
      </c>
      <c r="B511" s="8" t="s">
        <v>789</v>
      </c>
      <c r="C511" s="21" t="s">
        <v>6</v>
      </c>
      <c r="D511" s="21" t="s">
        <v>6</v>
      </c>
      <c r="E511" s="14" t="s">
        <v>46</v>
      </c>
      <c r="F511" s="38">
        <f t="shared" ca="1" si="28"/>
        <v>46222</v>
      </c>
      <c r="G511" s="139"/>
    </row>
    <row r="512" spans="1:7" ht="15" customHeight="1" x14ac:dyDescent="0.25">
      <c r="A512" s="9">
        <v>51</v>
      </c>
      <c r="B512" s="8" t="s">
        <v>256</v>
      </c>
      <c r="C512" s="21" t="s">
        <v>5</v>
      </c>
      <c r="D512" s="21" t="s">
        <v>5</v>
      </c>
      <c r="E512" s="14" t="s">
        <v>265</v>
      </c>
      <c r="F512" s="38" t="str">
        <f t="shared" ca="1" si="28"/>
        <v/>
      </c>
      <c r="G512" s="139"/>
    </row>
    <row r="513" spans="1:8" x14ac:dyDescent="0.25">
      <c r="A513" s="9">
        <v>52</v>
      </c>
      <c r="B513" s="8" t="s">
        <v>1781</v>
      </c>
      <c r="C513" s="21" t="s">
        <v>6</v>
      </c>
      <c r="D513" s="21" t="s">
        <v>5</v>
      </c>
      <c r="E513" s="14" t="s">
        <v>46</v>
      </c>
      <c r="F513" s="38" t="str">
        <f t="shared" ca="1" si="28"/>
        <v/>
      </c>
      <c r="G513" s="139"/>
    </row>
    <row r="514" spans="1:8" x14ac:dyDescent="0.25">
      <c r="A514" s="9">
        <v>53</v>
      </c>
      <c r="B514" s="40" t="s">
        <v>1800</v>
      </c>
      <c r="C514" s="21" t="s">
        <v>5</v>
      </c>
      <c r="D514" s="21" t="s">
        <v>6</v>
      </c>
      <c r="E514" s="14" t="s">
        <v>46</v>
      </c>
      <c r="F514" s="38" t="str">
        <f t="shared" ca="1" si="28"/>
        <v/>
      </c>
      <c r="G514" s="143"/>
    </row>
    <row r="515" spans="1:8" x14ac:dyDescent="0.25">
      <c r="A515" s="9">
        <v>54</v>
      </c>
      <c r="B515" s="55" t="s">
        <v>911</v>
      </c>
      <c r="C515" s="21" t="s">
        <v>6</v>
      </c>
      <c r="D515" s="21" t="s">
        <v>6</v>
      </c>
      <c r="E515" s="14" t="s">
        <v>46</v>
      </c>
      <c r="F515" s="38">
        <f t="shared" ca="1" si="28"/>
        <v>46222</v>
      </c>
      <c r="G515" s="139"/>
    </row>
    <row r="516" spans="1:8" x14ac:dyDescent="0.25">
      <c r="A516" s="9">
        <v>55</v>
      </c>
      <c r="B516" s="8" t="s">
        <v>1045</v>
      </c>
      <c r="C516" s="21" t="s">
        <v>6</v>
      </c>
      <c r="D516" s="21" t="s">
        <v>6</v>
      </c>
      <c r="E516" s="14" t="s">
        <v>46</v>
      </c>
      <c r="F516" s="38">
        <f t="shared" ca="1" si="28"/>
        <v>46216</v>
      </c>
      <c r="G516" s="139"/>
    </row>
    <row r="517" spans="1:8" x14ac:dyDescent="0.25">
      <c r="A517" s="9">
        <v>56</v>
      </c>
      <c r="B517" s="40" t="s">
        <v>688</v>
      </c>
      <c r="C517" s="21" t="s">
        <v>6</v>
      </c>
      <c r="D517" s="21" t="s">
        <v>5</v>
      </c>
      <c r="E517" s="14" t="s">
        <v>346</v>
      </c>
      <c r="F517" s="38" t="str">
        <f t="shared" ca="1" si="28"/>
        <v/>
      </c>
      <c r="G517" s="139"/>
      <c r="H517" s="48"/>
    </row>
    <row r="518" spans="1:8" x14ac:dyDescent="0.25">
      <c r="A518" s="9">
        <v>57</v>
      </c>
      <c r="B518" s="40" t="s">
        <v>1427</v>
      </c>
      <c r="C518" s="21" t="s">
        <v>6</v>
      </c>
      <c r="D518" s="21" t="s">
        <v>5</v>
      </c>
      <c r="E518" s="14" t="s">
        <v>153</v>
      </c>
      <c r="F518" s="38" t="str">
        <f t="shared" ca="1" si="28"/>
        <v/>
      </c>
      <c r="G518" s="139"/>
    </row>
    <row r="519" spans="1:8" x14ac:dyDescent="0.25">
      <c r="A519" s="9">
        <v>58</v>
      </c>
      <c r="B519" s="8" t="s">
        <v>356</v>
      </c>
      <c r="C519" s="21" t="s">
        <v>6</v>
      </c>
      <c r="D519" s="21" t="s">
        <v>5</v>
      </c>
      <c r="E519" s="14" t="s">
        <v>46</v>
      </c>
      <c r="F519" s="38" t="str">
        <f t="shared" ca="1" si="28"/>
        <v/>
      </c>
      <c r="G519" s="139"/>
    </row>
    <row r="520" spans="1:8" x14ac:dyDescent="0.25">
      <c r="A520" s="9">
        <v>59</v>
      </c>
      <c r="B520" s="8" t="s">
        <v>237</v>
      </c>
      <c r="C520" s="21" t="s">
        <v>6</v>
      </c>
      <c r="D520" s="21" t="s">
        <v>5</v>
      </c>
      <c r="E520" s="14" t="s">
        <v>46</v>
      </c>
      <c r="F520" s="38" t="str">
        <f t="shared" ca="1" si="28"/>
        <v/>
      </c>
      <c r="G520" s="139"/>
    </row>
    <row r="521" spans="1:8" x14ac:dyDescent="0.25">
      <c r="A521" s="9">
        <v>60</v>
      </c>
      <c r="B521" s="40" t="s">
        <v>1411</v>
      </c>
      <c r="C521" s="21" t="s">
        <v>6</v>
      </c>
      <c r="D521" s="21" t="s">
        <v>6</v>
      </c>
      <c r="E521" s="14" t="s">
        <v>46</v>
      </c>
      <c r="F521" s="38">
        <f t="shared" ca="1" si="28"/>
        <v>46222</v>
      </c>
      <c r="G521" s="139"/>
    </row>
    <row r="522" spans="1:8" x14ac:dyDescent="0.25">
      <c r="A522" s="9">
        <v>61</v>
      </c>
      <c r="B522" s="49" t="s">
        <v>646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G522" s="139"/>
      <c r="H522" s="76"/>
    </row>
    <row r="523" spans="1:8" x14ac:dyDescent="0.25">
      <c r="A523" s="9">
        <v>62</v>
      </c>
      <c r="B523" s="40" t="s">
        <v>1431</v>
      </c>
      <c r="C523" s="21" t="s">
        <v>6</v>
      </c>
      <c r="D523" s="21" t="s">
        <v>6</v>
      </c>
      <c r="E523" s="14" t="s">
        <v>346</v>
      </c>
      <c r="F523" s="38">
        <f t="shared" ca="1" si="28"/>
        <v>46216</v>
      </c>
      <c r="G523" s="139"/>
    </row>
    <row r="524" spans="1:8" x14ac:dyDescent="0.25">
      <c r="A524" s="9">
        <v>63</v>
      </c>
      <c r="B524" s="8" t="s">
        <v>257</v>
      </c>
      <c r="C524" s="21" t="s">
        <v>6</v>
      </c>
      <c r="D524" s="21" t="s">
        <v>5</v>
      </c>
      <c r="E524" s="14" t="s">
        <v>46</v>
      </c>
      <c r="F524" s="38" t="str">
        <f t="shared" ca="1" si="28"/>
        <v/>
      </c>
      <c r="G524" s="139"/>
    </row>
    <row r="525" spans="1:8" ht="15" customHeight="1" x14ac:dyDescent="0.25">
      <c r="A525" s="9">
        <v>64</v>
      </c>
      <c r="B525" s="40" t="s">
        <v>1844</v>
      </c>
      <c r="C525" s="21" t="s">
        <v>6</v>
      </c>
      <c r="D525" s="21" t="s">
        <v>6</v>
      </c>
      <c r="E525" s="14" t="s">
        <v>46</v>
      </c>
      <c r="F525" s="38">
        <f t="shared" ca="1" si="28"/>
        <v>46222</v>
      </c>
      <c r="G525" s="139"/>
    </row>
    <row r="526" spans="1:8" ht="15" customHeight="1" x14ac:dyDescent="0.25">
      <c r="A526" s="9">
        <v>65</v>
      </c>
      <c r="B526" s="19" t="s">
        <v>1785</v>
      </c>
      <c r="C526" s="21" t="s">
        <v>5</v>
      </c>
      <c r="D526" s="21" t="s">
        <v>6</v>
      </c>
      <c r="E526" s="14" t="s">
        <v>46</v>
      </c>
      <c r="F526" s="38" t="str">
        <f t="shared" ca="1" si="28"/>
        <v/>
      </c>
      <c r="G526" s="139"/>
    </row>
    <row r="527" spans="1:8" x14ac:dyDescent="0.25">
      <c r="A527" s="9">
        <v>66</v>
      </c>
      <c r="B527" s="40" t="s">
        <v>1897</v>
      </c>
      <c r="C527" s="21" t="s">
        <v>5</v>
      </c>
      <c r="D527" s="21" t="s">
        <v>5</v>
      </c>
      <c r="E527" s="14" t="s">
        <v>393</v>
      </c>
      <c r="F527" s="38" t="str">
        <f t="shared" ca="1" si="28"/>
        <v/>
      </c>
      <c r="G527" s="139"/>
    </row>
    <row r="528" spans="1:8" x14ac:dyDescent="0.25">
      <c r="A528" s="9">
        <v>67</v>
      </c>
      <c r="B528" s="40" t="s">
        <v>1795</v>
      </c>
      <c r="C528" s="21" t="s">
        <v>6</v>
      </c>
      <c r="D528" s="21" t="s">
        <v>5</v>
      </c>
      <c r="E528" s="14" t="s">
        <v>265</v>
      </c>
      <c r="F528" s="38" t="str">
        <f t="shared" ca="1" si="28"/>
        <v/>
      </c>
      <c r="G528" s="139"/>
    </row>
    <row r="529" spans="1:8" x14ac:dyDescent="0.25">
      <c r="A529" s="9">
        <v>68</v>
      </c>
      <c r="B529" s="8" t="s">
        <v>250</v>
      </c>
      <c r="C529" s="21" t="s">
        <v>6</v>
      </c>
      <c r="D529" s="21" t="s">
        <v>5</v>
      </c>
      <c r="E529" s="14" t="s">
        <v>346</v>
      </c>
      <c r="F529" s="38" t="str">
        <f t="shared" ca="1" si="28"/>
        <v/>
      </c>
      <c r="G529" s="139"/>
    </row>
    <row r="530" spans="1:8" ht="14.25" customHeight="1" x14ac:dyDescent="0.25">
      <c r="A530" s="9">
        <v>69</v>
      </c>
      <c r="B530" s="40" t="s">
        <v>1540</v>
      </c>
      <c r="C530" s="21" t="s">
        <v>6</v>
      </c>
      <c r="D530" s="21" t="s">
        <v>6</v>
      </c>
      <c r="E530" s="14" t="s">
        <v>265</v>
      </c>
      <c r="F530" s="38">
        <f t="shared" ca="1" si="28"/>
        <v>46216</v>
      </c>
      <c r="G530" s="139"/>
      <c r="H530" s="57"/>
    </row>
    <row r="531" spans="1:8" ht="14.25" customHeight="1" x14ac:dyDescent="0.25">
      <c r="A531" s="9">
        <v>70</v>
      </c>
      <c r="B531" s="40" t="s">
        <v>1784</v>
      </c>
      <c r="C531" s="21" t="s">
        <v>6</v>
      </c>
      <c r="D531" s="21" t="s">
        <v>6</v>
      </c>
      <c r="E531" s="14" t="s">
        <v>153</v>
      </c>
      <c r="F531" s="38">
        <f t="shared" ca="1" si="28"/>
        <v>46222</v>
      </c>
      <c r="G531" s="139"/>
      <c r="H531" s="57"/>
    </row>
    <row r="532" spans="1:8" x14ac:dyDescent="0.25">
      <c r="A532" s="9">
        <v>71</v>
      </c>
      <c r="B532" s="40" t="s">
        <v>1365</v>
      </c>
      <c r="C532" s="21" t="s">
        <v>5</v>
      </c>
      <c r="D532" s="21" t="s">
        <v>6</v>
      </c>
      <c r="E532" s="14" t="s">
        <v>46</v>
      </c>
      <c r="F532" s="38" t="str">
        <f t="shared" ref="F532:F556" ca="1" si="29">IF(AND(C532="NO",D532="NO"),IF(F532="",TODAY(),F532),"")</f>
        <v/>
      </c>
      <c r="G532" s="139"/>
      <c r="H532" s="80"/>
    </row>
    <row r="533" spans="1:8" x14ac:dyDescent="0.25">
      <c r="A533" s="9">
        <v>72</v>
      </c>
      <c r="B533" s="40" t="s">
        <v>1715</v>
      </c>
      <c r="C533" s="21" t="s">
        <v>6</v>
      </c>
      <c r="D533" s="21" t="s">
        <v>6</v>
      </c>
      <c r="E533" s="14" t="s">
        <v>46</v>
      </c>
      <c r="F533" s="38">
        <f t="shared" ca="1" si="28"/>
        <v>46216</v>
      </c>
      <c r="G533" s="139"/>
    </row>
    <row r="534" spans="1:8" x14ac:dyDescent="0.25">
      <c r="A534" s="9">
        <v>73</v>
      </c>
      <c r="B534" s="40" t="s">
        <v>1928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  <c r="G534" s="139"/>
    </row>
    <row r="535" spans="1:8" x14ac:dyDescent="0.25">
      <c r="A535" s="9">
        <v>74</v>
      </c>
      <c r="B535" s="40" t="s">
        <v>1408</v>
      </c>
      <c r="C535" s="21" t="s">
        <v>6</v>
      </c>
      <c r="D535" s="21" t="s">
        <v>5</v>
      </c>
      <c r="E535" s="14" t="s">
        <v>46</v>
      </c>
      <c r="F535" s="38" t="str">
        <f t="shared" ca="1" si="29"/>
        <v/>
      </c>
      <c r="G535" s="139"/>
      <c r="H535" s="72"/>
    </row>
    <row r="536" spans="1:8" x14ac:dyDescent="0.25">
      <c r="A536" s="9">
        <v>75</v>
      </c>
      <c r="B536" s="40" t="s">
        <v>1410</v>
      </c>
      <c r="C536" s="21" t="s">
        <v>6</v>
      </c>
      <c r="D536" s="21" t="s">
        <v>6</v>
      </c>
      <c r="E536" s="14" t="s">
        <v>46</v>
      </c>
      <c r="F536" s="38">
        <f t="shared" ca="1" si="29"/>
        <v>46202</v>
      </c>
      <c r="G536" s="139"/>
    </row>
    <row r="537" spans="1:8" x14ac:dyDescent="0.25">
      <c r="A537" s="9">
        <v>76</v>
      </c>
      <c r="B537" s="40" t="s">
        <v>1412</v>
      </c>
      <c r="C537" s="21" t="s">
        <v>6</v>
      </c>
      <c r="D537" s="21" t="s">
        <v>6</v>
      </c>
      <c r="E537" s="14" t="s">
        <v>46</v>
      </c>
      <c r="F537" s="38">
        <f t="shared" ca="1" si="29"/>
        <v>46222</v>
      </c>
      <c r="G537" s="139"/>
    </row>
    <row r="538" spans="1:8" ht="15" customHeight="1" x14ac:dyDescent="0.25">
      <c r="A538" s="9">
        <v>77</v>
      </c>
      <c r="B538" s="8" t="s">
        <v>123</v>
      </c>
      <c r="C538" s="21" t="s">
        <v>5</v>
      </c>
      <c r="D538" s="21" t="s">
        <v>6</v>
      </c>
      <c r="E538" s="14" t="s">
        <v>153</v>
      </c>
      <c r="F538" s="38" t="str">
        <f t="shared" ca="1" si="29"/>
        <v/>
      </c>
      <c r="G538" s="139"/>
      <c r="H538" s="76"/>
    </row>
    <row r="539" spans="1:8" x14ac:dyDescent="0.25">
      <c r="A539" s="9">
        <v>78</v>
      </c>
      <c r="B539" s="8" t="s">
        <v>473</v>
      </c>
      <c r="C539" s="21" t="s">
        <v>6</v>
      </c>
      <c r="D539" s="21" t="s">
        <v>6</v>
      </c>
      <c r="E539" s="14" t="s">
        <v>346</v>
      </c>
      <c r="F539" s="38">
        <f t="shared" ca="1" si="29"/>
        <v>46209</v>
      </c>
      <c r="G539" s="139"/>
    </row>
    <row r="540" spans="1:8" x14ac:dyDescent="0.25">
      <c r="A540" s="9">
        <v>79</v>
      </c>
      <c r="B540" s="40" t="s">
        <v>1541</v>
      </c>
      <c r="C540" s="21" t="s">
        <v>6</v>
      </c>
      <c r="D540" s="21" t="s">
        <v>6</v>
      </c>
      <c r="E540" s="14" t="s">
        <v>46</v>
      </c>
      <c r="F540" s="38">
        <f t="shared" ca="1" si="29"/>
        <v>46216</v>
      </c>
      <c r="G540" s="139"/>
      <c r="H540" s="76"/>
    </row>
    <row r="541" spans="1:8" ht="15" customHeight="1" x14ac:dyDescent="0.25">
      <c r="A541" s="9">
        <v>80</v>
      </c>
      <c r="B541" s="40" t="s">
        <v>263</v>
      </c>
      <c r="C541" s="21" t="s">
        <v>5</v>
      </c>
      <c r="D541" s="21" t="s">
        <v>6</v>
      </c>
      <c r="E541" s="14" t="s">
        <v>46</v>
      </c>
      <c r="F541" s="38" t="str">
        <f t="shared" ca="1" si="29"/>
        <v/>
      </c>
      <c r="G541" s="139"/>
    </row>
    <row r="542" spans="1:8" x14ac:dyDescent="0.25">
      <c r="A542" s="9">
        <v>81</v>
      </c>
      <c r="B542" s="40" t="s">
        <v>849</v>
      </c>
      <c r="C542" s="21" t="s">
        <v>6</v>
      </c>
      <c r="D542" s="21" t="s">
        <v>5</v>
      </c>
      <c r="E542" s="14" t="s">
        <v>46</v>
      </c>
      <c r="F542" s="38" t="str">
        <f t="shared" ca="1" si="29"/>
        <v/>
      </c>
      <c r="G542" s="139"/>
    </row>
    <row r="543" spans="1:8" ht="15" customHeight="1" x14ac:dyDescent="0.25">
      <c r="A543" s="9">
        <v>82</v>
      </c>
      <c r="B543" s="40" t="s">
        <v>1496</v>
      </c>
      <c r="C543" s="21" t="s">
        <v>6</v>
      </c>
      <c r="D543" s="21" t="s">
        <v>5</v>
      </c>
      <c r="E543" s="14" t="s">
        <v>46</v>
      </c>
      <c r="F543" s="38" t="str">
        <f t="shared" ca="1" si="29"/>
        <v/>
      </c>
      <c r="G543" s="139"/>
      <c r="H543" s="77"/>
    </row>
    <row r="544" spans="1:8" ht="15" customHeight="1" x14ac:dyDescent="0.25">
      <c r="A544" s="9">
        <v>83</v>
      </c>
      <c r="B544" s="40" t="s">
        <v>1497</v>
      </c>
      <c r="C544" s="21" t="s">
        <v>6</v>
      </c>
      <c r="D544" s="21" t="s">
        <v>5</v>
      </c>
      <c r="E544" s="14" t="s">
        <v>46</v>
      </c>
      <c r="F544" s="38" t="str">
        <f t="shared" ca="1" si="29"/>
        <v/>
      </c>
      <c r="G544" s="139"/>
    </row>
    <row r="545" spans="1:8" ht="15" customHeight="1" x14ac:dyDescent="0.25">
      <c r="A545" s="9">
        <v>84</v>
      </c>
      <c r="B545" s="40" t="s">
        <v>1900</v>
      </c>
      <c r="C545" s="21" t="s">
        <v>6</v>
      </c>
      <c r="D545" s="21" t="s">
        <v>5</v>
      </c>
      <c r="E545" s="14" t="s">
        <v>46</v>
      </c>
      <c r="F545" s="38" t="str">
        <f t="shared" ca="1" si="29"/>
        <v/>
      </c>
      <c r="G545" s="139"/>
      <c r="H545" s="84"/>
    </row>
    <row r="546" spans="1:8" x14ac:dyDescent="0.25">
      <c r="A546" s="9">
        <v>85</v>
      </c>
      <c r="B546" s="40" t="s">
        <v>1564</v>
      </c>
      <c r="C546" s="21" t="s">
        <v>6</v>
      </c>
      <c r="D546" s="21" t="s">
        <v>6</v>
      </c>
      <c r="E546" s="14" t="s">
        <v>153</v>
      </c>
      <c r="F546" s="38">
        <f t="shared" ca="1" si="29"/>
        <v>46209</v>
      </c>
      <c r="G546" s="139"/>
    </row>
    <row r="547" spans="1:8" x14ac:dyDescent="0.25">
      <c r="A547" s="9">
        <v>86</v>
      </c>
      <c r="B547" s="8" t="s">
        <v>1352</v>
      </c>
      <c r="C547" s="21" t="s">
        <v>5</v>
      </c>
      <c r="D547" s="21" t="s">
        <v>6</v>
      </c>
      <c r="E547" s="14" t="s">
        <v>46</v>
      </c>
      <c r="F547" s="38" t="str">
        <f t="shared" ca="1" si="29"/>
        <v/>
      </c>
      <c r="G547" s="139"/>
    </row>
    <row r="548" spans="1:8" ht="15" customHeight="1" x14ac:dyDescent="0.25">
      <c r="A548" s="9">
        <v>87</v>
      </c>
      <c r="B548" s="40" t="s">
        <v>1836</v>
      </c>
      <c r="C548" s="21" t="s">
        <v>6</v>
      </c>
      <c r="D548" s="21" t="s">
        <v>5</v>
      </c>
      <c r="E548" s="14" t="s">
        <v>46</v>
      </c>
      <c r="F548" s="38" t="str">
        <f t="shared" ca="1" si="29"/>
        <v/>
      </c>
      <c r="G548" s="139"/>
      <c r="H548" s="99"/>
    </row>
    <row r="549" spans="1:8" ht="15" customHeight="1" x14ac:dyDescent="0.25">
      <c r="A549" s="9">
        <v>88</v>
      </c>
      <c r="B549" s="40" t="s">
        <v>1416</v>
      </c>
      <c r="C549" s="21" t="s">
        <v>6</v>
      </c>
      <c r="D549" s="21" t="s">
        <v>6</v>
      </c>
      <c r="E549" s="14" t="s">
        <v>46</v>
      </c>
      <c r="F549" s="38">
        <f t="shared" ca="1" si="29"/>
        <v>46222</v>
      </c>
      <c r="G549" s="139"/>
      <c r="H549" s="85"/>
    </row>
    <row r="550" spans="1:8" x14ac:dyDescent="0.25">
      <c r="A550" s="9">
        <v>89</v>
      </c>
      <c r="B550" s="40" t="s">
        <v>240</v>
      </c>
      <c r="C550" s="21" t="s">
        <v>6</v>
      </c>
      <c r="D550" s="21" t="s">
        <v>5</v>
      </c>
      <c r="E550" s="14" t="s">
        <v>46</v>
      </c>
      <c r="F550" s="38" t="str">
        <f t="shared" ca="1" si="29"/>
        <v/>
      </c>
      <c r="G550" s="139"/>
    </row>
    <row r="551" spans="1:8" ht="15" customHeight="1" x14ac:dyDescent="0.25">
      <c r="A551" s="9">
        <v>90</v>
      </c>
      <c r="B551" s="40" t="s">
        <v>1701</v>
      </c>
      <c r="C551" s="21" t="s">
        <v>6</v>
      </c>
      <c r="D551" s="21" t="s">
        <v>6</v>
      </c>
      <c r="E551" s="14" t="s">
        <v>46</v>
      </c>
      <c r="F551" s="38">
        <f t="shared" ca="1" si="29"/>
        <v>46222</v>
      </c>
      <c r="G551" s="139"/>
      <c r="H551" s="85"/>
    </row>
    <row r="552" spans="1:8" ht="15" customHeight="1" x14ac:dyDescent="0.25">
      <c r="A552" s="9">
        <v>91</v>
      </c>
      <c r="B552" s="40" t="s">
        <v>1732</v>
      </c>
      <c r="C552" s="21" t="s">
        <v>6</v>
      </c>
      <c r="D552" s="21" t="s">
        <v>5</v>
      </c>
      <c r="E552" s="14" t="s">
        <v>46</v>
      </c>
      <c r="F552" s="38" t="str">
        <f t="shared" ca="1" si="29"/>
        <v/>
      </c>
      <c r="G552" s="139"/>
      <c r="H552" s="100"/>
    </row>
    <row r="553" spans="1:8" ht="15" customHeight="1" x14ac:dyDescent="0.25">
      <c r="A553" s="9">
        <v>92</v>
      </c>
      <c r="B553" s="40" t="s">
        <v>235</v>
      </c>
      <c r="C553" s="21" t="s">
        <v>6</v>
      </c>
      <c r="D553" s="21" t="s">
        <v>6</v>
      </c>
      <c r="E553" s="14" t="s">
        <v>46</v>
      </c>
      <c r="F553" s="38">
        <f t="shared" ca="1" si="29"/>
        <v>46202</v>
      </c>
      <c r="G553" s="139"/>
      <c r="H553" s="101"/>
    </row>
    <row r="554" spans="1:8" ht="15" customHeight="1" x14ac:dyDescent="0.25">
      <c r="A554" s="9">
        <v>93</v>
      </c>
      <c r="B554" s="40" t="s">
        <v>1835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139"/>
      <c r="H554" s="103"/>
    </row>
    <row r="555" spans="1:8" x14ac:dyDescent="0.25">
      <c r="A555" s="9">
        <v>94</v>
      </c>
      <c r="B555" s="19" t="s">
        <v>192</v>
      </c>
      <c r="C555" s="21" t="s">
        <v>6</v>
      </c>
      <c r="D555" s="21" t="s">
        <v>5</v>
      </c>
      <c r="E555" s="14" t="s">
        <v>346</v>
      </c>
      <c r="F555" s="38" t="str">
        <f t="shared" ca="1" si="29"/>
        <v/>
      </c>
      <c r="G555" s="139"/>
    </row>
    <row r="556" spans="1:8" x14ac:dyDescent="0.25">
      <c r="A556" s="9">
        <v>95</v>
      </c>
      <c r="B556" s="40" t="s">
        <v>664</v>
      </c>
      <c r="C556" s="21" t="s">
        <v>6</v>
      </c>
      <c r="D556" s="21" t="s">
        <v>6</v>
      </c>
      <c r="E556" s="14" t="s">
        <v>46</v>
      </c>
      <c r="F556" s="38">
        <f t="shared" ca="1" si="29"/>
        <v>46216</v>
      </c>
      <c r="G556" s="139"/>
    </row>
    <row r="557" spans="1:8" ht="15" customHeight="1" x14ac:dyDescent="0.25">
      <c r="A557" s="9">
        <v>96</v>
      </c>
      <c r="B557" s="40" t="s">
        <v>1859</v>
      </c>
      <c r="C557" s="21" t="s">
        <v>6</v>
      </c>
      <c r="D557" s="21" t="s">
        <v>6</v>
      </c>
      <c r="E557" s="14" t="s">
        <v>346</v>
      </c>
      <c r="F557" s="38">
        <f t="shared" ref="F557:F564" ca="1" si="30">IF(AND(C557="NO",D557="NO"),IF(F557="",TODAY(),F557),"")</f>
        <v>46209</v>
      </c>
      <c r="G557" s="44"/>
      <c r="H557" s="107"/>
    </row>
    <row r="558" spans="1:8" ht="15" customHeight="1" x14ac:dyDescent="0.25">
      <c r="A558" s="9">
        <v>97</v>
      </c>
      <c r="B558" s="40" t="s">
        <v>1868</v>
      </c>
      <c r="C558" s="21" t="s">
        <v>5</v>
      </c>
      <c r="D558" s="21" t="s">
        <v>6</v>
      </c>
      <c r="E558" s="14" t="s">
        <v>46</v>
      </c>
      <c r="F558" s="38" t="str">
        <f t="shared" ca="1" si="30"/>
        <v/>
      </c>
      <c r="G558" s="44"/>
      <c r="H558" s="107"/>
    </row>
    <row r="559" spans="1:8" x14ac:dyDescent="0.25">
      <c r="A559" s="9">
        <v>98</v>
      </c>
      <c r="B559" s="8" t="s">
        <v>252</v>
      </c>
      <c r="C559" s="21" t="s">
        <v>5</v>
      </c>
      <c r="D559" s="21" t="s">
        <v>6</v>
      </c>
      <c r="E559" s="14" t="s">
        <v>265</v>
      </c>
      <c r="F559" s="38" t="str">
        <f t="shared" ca="1" si="30"/>
        <v/>
      </c>
      <c r="G559" s="139"/>
    </row>
    <row r="560" spans="1:8" ht="14.25" customHeight="1" x14ac:dyDescent="0.25">
      <c r="A560" s="9">
        <v>99</v>
      </c>
      <c r="B560" s="40" t="s">
        <v>1871</v>
      </c>
      <c r="C560" s="21" t="s">
        <v>6</v>
      </c>
      <c r="D560" s="21" t="s">
        <v>6</v>
      </c>
      <c r="E560" s="14" t="s">
        <v>346</v>
      </c>
      <c r="F560" s="38">
        <f t="shared" ca="1" si="30"/>
        <v>46222</v>
      </c>
      <c r="G560" s="44"/>
      <c r="H560" s="107"/>
    </row>
    <row r="561" spans="1:9" ht="15" customHeight="1" x14ac:dyDescent="0.25">
      <c r="A561" s="9">
        <v>100</v>
      </c>
      <c r="B561" s="40" t="s">
        <v>1872</v>
      </c>
      <c r="C561" s="21" t="s">
        <v>6</v>
      </c>
      <c r="D561" s="21" t="s">
        <v>6</v>
      </c>
      <c r="E561" s="14" t="s">
        <v>46</v>
      </c>
      <c r="F561" s="38">
        <f t="shared" ca="1" si="30"/>
        <v>46222</v>
      </c>
      <c r="G561" s="44"/>
      <c r="H561" s="115"/>
    </row>
    <row r="562" spans="1:9" ht="15" customHeight="1" x14ac:dyDescent="0.25">
      <c r="A562" s="9">
        <v>101</v>
      </c>
      <c r="B562" s="40" t="s">
        <v>1902</v>
      </c>
      <c r="C562" s="21" t="s">
        <v>6</v>
      </c>
      <c r="D562" s="21" t="s">
        <v>6</v>
      </c>
      <c r="E562" s="14" t="s">
        <v>46</v>
      </c>
      <c r="F562" s="38">
        <f t="shared" ca="1" si="30"/>
        <v>46209</v>
      </c>
      <c r="G562" s="44"/>
      <c r="H562" s="115"/>
    </row>
    <row r="563" spans="1:9" ht="15" customHeight="1" x14ac:dyDescent="0.25">
      <c r="A563" s="9">
        <v>102</v>
      </c>
      <c r="B563" s="40" t="s">
        <v>1903</v>
      </c>
      <c r="C563" s="21" t="s">
        <v>6</v>
      </c>
      <c r="D563" s="21" t="s">
        <v>6</v>
      </c>
      <c r="E563" s="14" t="s">
        <v>46</v>
      </c>
      <c r="F563" s="38">
        <f t="shared" ca="1" si="30"/>
        <v>46222</v>
      </c>
      <c r="G563" s="44"/>
      <c r="H563" s="116"/>
    </row>
    <row r="564" spans="1:9" ht="15" customHeight="1" x14ac:dyDescent="0.25">
      <c r="A564" s="9">
        <v>103</v>
      </c>
      <c r="B564" s="40" t="s">
        <v>1919</v>
      </c>
      <c r="C564" s="21" t="s">
        <v>6</v>
      </c>
      <c r="D564" s="21" t="s">
        <v>6</v>
      </c>
      <c r="E564" s="14" t="s">
        <v>346</v>
      </c>
      <c r="F564" s="38">
        <f t="shared" ca="1" si="30"/>
        <v>46222</v>
      </c>
      <c r="G564" s="44"/>
      <c r="H564" s="116"/>
      <c r="I564" s="128"/>
    </row>
    <row r="565" spans="1:9" x14ac:dyDescent="0.25">
      <c r="A565" s="9">
        <v>104</v>
      </c>
      <c r="B565" s="51" t="s">
        <v>241</v>
      </c>
      <c r="C565" s="21" t="s">
        <v>6</v>
      </c>
      <c r="D565" s="21" t="s">
        <v>5</v>
      </c>
      <c r="E565" s="14" t="s">
        <v>46</v>
      </c>
      <c r="F565" s="38" t="str">
        <f t="shared" ref="F565:F572" ca="1" si="31">IF(AND(C565="NO",D565="NO"),IF(F565="",TODAY(),F565),"")</f>
        <v/>
      </c>
      <c r="G565" s="139"/>
    </row>
    <row r="566" spans="1:9" ht="15" customHeight="1" x14ac:dyDescent="0.25">
      <c r="A566" s="9">
        <v>105</v>
      </c>
      <c r="B566" s="40" t="s">
        <v>1920</v>
      </c>
      <c r="C566" s="21" t="s">
        <v>6</v>
      </c>
      <c r="D566" s="21" t="s">
        <v>6</v>
      </c>
      <c r="E566" s="14" t="s">
        <v>346</v>
      </c>
      <c r="F566" s="38">
        <f t="shared" ca="1" si="31"/>
        <v>46209</v>
      </c>
      <c r="G566" s="44"/>
      <c r="H566" s="124"/>
      <c r="I566" s="128"/>
    </row>
    <row r="567" spans="1:9" x14ac:dyDescent="0.25">
      <c r="A567" s="9">
        <v>106</v>
      </c>
      <c r="B567" s="40" t="s">
        <v>1963</v>
      </c>
      <c r="C567" s="21" t="s">
        <v>6</v>
      </c>
      <c r="D567" s="21" t="s">
        <v>6</v>
      </c>
      <c r="E567" s="14" t="s">
        <v>46</v>
      </c>
      <c r="F567" s="38">
        <f t="shared" ca="1" si="31"/>
        <v>46222</v>
      </c>
      <c r="G567" s="139"/>
    </row>
    <row r="568" spans="1:9" ht="15" customHeight="1" x14ac:dyDescent="0.25">
      <c r="A568" s="9">
        <v>107</v>
      </c>
      <c r="B568" s="40" t="s">
        <v>1929</v>
      </c>
      <c r="C568" s="21" t="s">
        <v>6</v>
      </c>
      <c r="D568" s="21" t="s">
        <v>6</v>
      </c>
      <c r="E568" s="14" t="s">
        <v>46</v>
      </c>
      <c r="F568" s="38">
        <f t="shared" ca="1" si="31"/>
        <v>46216</v>
      </c>
      <c r="G568" s="44"/>
      <c r="H568" s="124"/>
    </row>
    <row r="569" spans="1:9" ht="15" customHeight="1" x14ac:dyDescent="0.25">
      <c r="A569" s="9">
        <v>108</v>
      </c>
      <c r="B569" s="40" t="s">
        <v>1930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44"/>
      <c r="H569" s="124"/>
    </row>
    <row r="570" spans="1:9" ht="15" customHeight="1" x14ac:dyDescent="0.25">
      <c r="A570" s="9">
        <v>109</v>
      </c>
      <c r="B570" s="40" t="s">
        <v>1955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44"/>
      <c r="H570" s="135"/>
      <c r="I570">
        <f>11+8+8</f>
        <v>27</v>
      </c>
    </row>
    <row r="571" spans="1:9" ht="15" customHeight="1" x14ac:dyDescent="0.25">
      <c r="A571" s="9">
        <v>110</v>
      </c>
      <c r="B571" s="40" t="s">
        <v>1962</v>
      </c>
      <c r="C571" s="21" t="s">
        <v>5</v>
      </c>
      <c r="D571" s="21" t="s">
        <v>5</v>
      </c>
      <c r="E571" s="14" t="s">
        <v>46</v>
      </c>
      <c r="F571" s="38" t="str">
        <f t="shared" ref="F571" ca="1" si="32">IF(AND(C571="NO",D571="NO"),IF(F571="",TODAY(),F571),"")</f>
        <v/>
      </c>
      <c r="G571" s="44"/>
      <c r="H571" s="138"/>
      <c r="I571">
        <f>11+6+8+20</f>
        <v>45</v>
      </c>
    </row>
    <row r="572" spans="1:9" ht="15" customHeight="1" x14ac:dyDescent="0.25">
      <c r="A572" s="9">
        <v>111</v>
      </c>
      <c r="B572" s="40" t="s">
        <v>2000</v>
      </c>
      <c r="C572" s="21" t="s">
        <v>5</v>
      </c>
      <c r="D572" s="21" t="s">
        <v>6</v>
      </c>
      <c r="E572" s="14" t="s">
        <v>1777</v>
      </c>
      <c r="F572" s="38" t="str">
        <f t="shared" ca="1" si="31"/>
        <v/>
      </c>
      <c r="G572" s="139"/>
      <c r="H572" s="104"/>
    </row>
    <row r="573" spans="1:9" ht="15" customHeight="1" x14ac:dyDescent="0.25">
      <c r="G573" s="139"/>
      <c r="H573" s="44"/>
    </row>
    <row r="574" spans="1:9" ht="45" x14ac:dyDescent="0.25">
      <c r="A574" s="158" t="s">
        <v>54</v>
      </c>
      <c r="B574" s="159"/>
      <c r="C574" s="10">
        <f>COUNTIF(C462:C572, "SI")</f>
        <v>27</v>
      </c>
      <c r="D574" s="6" t="s">
        <v>51</v>
      </c>
      <c r="E574" s="30">
        <f>C574/A572*100</f>
        <v>24.324324324324326</v>
      </c>
      <c r="F574" s="11" t="s">
        <v>1883</v>
      </c>
      <c r="G574" s="144"/>
      <c r="H574" s="44"/>
    </row>
    <row r="575" spans="1:9" ht="45" x14ac:dyDescent="0.25">
      <c r="A575" s="158" t="s">
        <v>55</v>
      </c>
      <c r="B575" s="159"/>
      <c r="C575" s="10">
        <f>COUNTIF(C462:C572, "NO")</f>
        <v>84</v>
      </c>
      <c r="D575" s="6" t="s">
        <v>51</v>
      </c>
      <c r="E575" s="30">
        <f>C575/A572*100</f>
        <v>75.675675675675677</v>
      </c>
      <c r="F575" s="11" t="s">
        <v>1884</v>
      </c>
      <c r="G575" s="139"/>
    </row>
    <row r="576" spans="1:9" s="75" customFormat="1" ht="18" x14ac:dyDescent="0.25">
      <c r="A576" s="24"/>
      <c r="B576" s="24"/>
      <c r="C576" s="25"/>
      <c r="D576" s="26"/>
      <c r="E576" s="27"/>
      <c r="F576" s="28"/>
      <c r="G576" s="139"/>
      <c r="H576"/>
      <c r="I576"/>
    </row>
    <row r="577" spans="1:10" s="75" customFormat="1" ht="45" x14ac:dyDescent="0.25">
      <c r="A577" s="158" t="s">
        <v>56</v>
      </c>
      <c r="B577" s="159"/>
      <c r="C577" s="10">
        <f>COUNTIF(D462:D572, "SI")</f>
        <v>45</v>
      </c>
      <c r="D577" s="6" t="s">
        <v>51</v>
      </c>
      <c r="E577" s="30">
        <f>C577/A572*100</f>
        <v>40.54054054054054</v>
      </c>
      <c r="F577" s="11" t="s">
        <v>58</v>
      </c>
      <c r="G577" s="139"/>
      <c r="H577"/>
      <c r="I577"/>
    </row>
    <row r="578" spans="1:10" ht="45" x14ac:dyDescent="0.25">
      <c r="A578" s="158" t="s">
        <v>57</v>
      </c>
      <c r="B578" s="159"/>
      <c r="C578" s="10">
        <f>COUNTIF(D462:D572, "NO")</f>
        <v>66</v>
      </c>
      <c r="D578" s="6" t="s">
        <v>51</v>
      </c>
      <c r="E578" s="30">
        <f>C578/A572*100</f>
        <v>59.45945945945946</v>
      </c>
      <c r="F578" s="11" t="s">
        <v>59</v>
      </c>
      <c r="G578" s="139"/>
    </row>
    <row r="579" spans="1:10" x14ac:dyDescent="0.25">
      <c r="G579" s="139"/>
      <c r="I579" t="str">
        <f t="shared" ref="I579:I590" si="33">IF(AND(C573="SI",D573="SI"),B573,"")</f>
        <v/>
      </c>
    </row>
    <row r="580" spans="1:10" x14ac:dyDescent="0.25">
      <c r="A580" s="154" t="s">
        <v>1039</v>
      </c>
      <c r="B580" s="155"/>
      <c r="C580" s="149">
        <f>COUNTIFS(C462:C572,"SI",D462:D572,"SI")</f>
        <v>14</v>
      </c>
      <c r="D580" s="150" t="s">
        <v>51</v>
      </c>
      <c r="E580" s="152">
        <f>C580/A572*100</f>
        <v>12.612612612612612</v>
      </c>
      <c r="F580" s="168" t="s">
        <v>1041</v>
      </c>
      <c r="G580" s="139"/>
      <c r="I580" t="str">
        <f t="shared" si="33"/>
        <v/>
      </c>
    </row>
    <row r="581" spans="1:10" x14ac:dyDescent="0.25">
      <c r="A581" s="156"/>
      <c r="B581" s="157"/>
      <c r="C581" s="149"/>
      <c r="D581" s="151"/>
      <c r="E581" s="153"/>
      <c r="F581" s="169"/>
      <c r="G581" s="139"/>
      <c r="I581" t="str">
        <f t="shared" si="33"/>
        <v/>
      </c>
    </row>
    <row r="582" spans="1:10" x14ac:dyDescent="0.25">
      <c r="A582" s="154" t="s">
        <v>1040</v>
      </c>
      <c r="B582" s="155"/>
      <c r="C582" s="149">
        <f>COUNTIFS(C462:C572,"NO",D462:D572,"NO")</f>
        <v>53</v>
      </c>
      <c r="D582" s="150" t="s">
        <v>51</v>
      </c>
      <c r="E582" s="152">
        <f>C582/A572*100</f>
        <v>47.747747747747752</v>
      </c>
      <c r="F582" s="168" t="s">
        <v>1042</v>
      </c>
      <c r="G582" s="139"/>
      <c r="H582" s="44"/>
      <c r="I582" t="str">
        <f t="shared" si="33"/>
        <v/>
      </c>
    </row>
    <row r="583" spans="1:10" x14ac:dyDescent="0.25">
      <c r="A583" s="156"/>
      <c r="B583" s="157"/>
      <c r="C583" s="149"/>
      <c r="D583" s="151"/>
      <c r="E583" s="153"/>
      <c r="F583" s="169"/>
      <c r="G583" s="139"/>
      <c r="I583" t="str">
        <f t="shared" si="33"/>
        <v/>
      </c>
    </row>
    <row r="584" spans="1:10" ht="15.75" x14ac:dyDescent="0.25">
      <c r="A584" s="69"/>
      <c r="B584" s="69"/>
      <c r="C584" s="41"/>
      <c r="D584" s="41"/>
      <c r="G584" s="139"/>
      <c r="I584" t="str">
        <f t="shared" si="33"/>
        <v/>
      </c>
    </row>
    <row r="585" spans="1:10" x14ac:dyDescent="0.25">
      <c r="A585" s="146" t="s">
        <v>1344</v>
      </c>
      <c r="B585" s="147"/>
      <c r="C585" s="147"/>
      <c r="D585" s="147"/>
      <c r="E585" s="148"/>
      <c r="G585" s="139"/>
      <c r="I585" t="str">
        <f t="shared" si="33"/>
        <v/>
      </c>
    </row>
    <row r="586" spans="1:10" ht="15" customHeight="1" x14ac:dyDescent="0.25">
      <c r="A586" s="13" t="s">
        <v>0</v>
      </c>
      <c r="B586" s="13" t="s">
        <v>1</v>
      </c>
      <c r="C586" s="13" t="s">
        <v>2</v>
      </c>
      <c r="D586" s="13" t="s">
        <v>3</v>
      </c>
      <c r="E586" s="13" t="s">
        <v>7</v>
      </c>
      <c r="F586" s="13" t="s">
        <v>1982</v>
      </c>
      <c r="G586" s="13" t="s">
        <v>1983</v>
      </c>
      <c r="I586" t="str">
        <f t="shared" si="33"/>
        <v/>
      </c>
    </row>
    <row r="587" spans="1:10" ht="15" customHeight="1" x14ac:dyDescent="0.25">
      <c r="A587" s="9">
        <v>1</v>
      </c>
      <c r="B587" s="8" t="s">
        <v>1787</v>
      </c>
      <c r="C587" s="21" t="s">
        <v>5</v>
      </c>
      <c r="D587" s="21" t="s">
        <v>5</v>
      </c>
      <c r="E587" s="14" t="s">
        <v>46</v>
      </c>
      <c r="F587" s="38" t="str">
        <f t="shared" ref="F587:F623" ca="1" si="34">IF(AND(C587="NO",D587="NO"),IF(F587="",TODAY(),F587),"")</f>
        <v/>
      </c>
      <c r="G587" s="139"/>
      <c r="I587" t="str">
        <f t="shared" si="33"/>
        <v/>
      </c>
    </row>
    <row r="588" spans="1:10" ht="15" customHeight="1" x14ac:dyDescent="0.25">
      <c r="A588" s="9">
        <v>2</v>
      </c>
      <c r="B588" s="8" t="s">
        <v>342</v>
      </c>
      <c r="C588" s="21" t="s">
        <v>6</v>
      </c>
      <c r="D588" s="21" t="s">
        <v>5</v>
      </c>
      <c r="E588" s="14" t="s">
        <v>46</v>
      </c>
      <c r="F588" s="38" t="str">
        <f t="shared" ca="1" si="34"/>
        <v/>
      </c>
      <c r="G588" s="139"/>
      <c r="I588" t="str">
        <f t="shared" si="33"/>
        <v/>
      </c>
    </row>
    <row r="589" spans="1:10" ht="15" customHeight="1" x14ac:dyDescent="0.25">
      <c r="A589" s="9">
        <v>3</v>
      </c>
      <c r="B589" s="8" t="s">
        <v>170</v>
      </c>
      <c r="C589" s="21" t="s">
        <v>6</v>
      </c>
      <c r="D589" s="21" t="s">
        <v>5</v>
      </c>
      <c r="E589" s="14" t="s">
        <v>46</v>
      </c>
      <c r="F589" s="38" t="str">
        <f t="shared" ca="1" si="34"/>
        <v/>
      </c>
      <c r="G589" s="139"/>
      <c r="I589" t="str">
        <f t="shared" si="33"/>
        <v/>
      </c>
    </row>
    <row r="590" spans="1:10" ht="15" customHeight="1" x14ac:dyDescent="0.25">
      <c r="A590" s="9">
        <v>4</v>
      </c>
      <c r="B590" s="19" t="s">
        <v>314</v>
      </c>
      <c r="C590" s="21" t="s">
        <v>6</v>
      </c>
      <c r="D590" s="21" t="s">
        <v>6</v>
      </c>
      <c r="E590" s="14" t="s">
        <v>46</v>
      </c>
      <c r="F590" s="38">
        <f t="shared" ca="1" si="34"/>
        <v>46222</v>
      </c>
      <c r="G590" s="139"/>
      <c r="I590" t="str">
        <f t="shared" si="33"/>
        <v/>
      </c>
    </row>
    <row r="591" spans="1:10" x14ac:dyDescent="0.25">
      <c r="A591" s="9">
        <v>5</v>
      </c>
      <c r="B591" s="8" t="s">
        <v>167</v>
      </c>
      <c r="C591" s="21" t="s">
        <v>5</v>
      </c>
      <c r="D591" s="21" t="s">
        <v>5</v>
      </c>
      <c r="E591" s="14" t="s">
        <v>307</v>
      </c>
      <c r="F591" s="38" t="str">
        <f t="shared" ca="1" si="34"/>
        <v/>
      </c>
      <c r="G591" s="139"/>
      <c r="I591" s="160" t="s">
        <v>1778</v>
      </c>
      <c r="J591" s="160"/>
    </row>
    <row r="592" spans="1:10" x14ac:dyDescent="0.25">
      <c r="A592" s="9">
        <v>6</v>
      </c>
      <c r="B592" s="8" t="s">
        <v>1786</v>
      </c>
      <c r="C592" s="21" t="s">
        <v>5</v>
      </c>
      <c r="D592" s="21" t="s">
        <v>5</v>
      </c>
      <c r="E592" s="14" t="s">
        <v>307</v>
      </c>
      <c r="F592" s="38" t="str">
        <f t="shared" ca="1" si="34"/>
        <v/>
      </c>
      <c r="G592" s="139"/>
      <c r="H592" s="57"/>
      <c r="I592" s="160"/>
      <c r="J592" s="160"/>
    </row>
    <row r="593" spans="1:10" ht="15" customHeight="1" x14ac:dyDescent="0.25">
      <c r="A593" s="9">
        <v>7</v>
      </c>
      <c r="B593" s="8" t="s">
        <v>1898</v>
      </c>
      <c r="C593" s="21" t="s">
        <v>6</v>
      </c>
      <c r="D593" s="21" t="s">
        <v>5</v>
      </c>
      <c r="E593" s="14" t="s">
        <v>153</v>
      </c>
      <c r="F593" s="38" t="str">
        <f t="shared" ca="1" si="34"/>
        <v/>
      </c>
      <c r="G593" s="139"/>
      <c r="I593" s="4" t="str" cm="1">
        <f t="array" ref="I593:I598">_xlfn._xlws.FILTER(B587:B623,(C587:C623="SI")*(D587:D623="SI"),"")</f>
        <v>Yelssy Flores</v>
      </c>
      <c r="J593" s="4"/>
    </row>
    <row r="594" spans="1:10" x14ac:dyDescent="0.25">
      <c r="A594" s="9">
        <v>8</v>
      </c>
      <c r="B594" s="19" t="s">
        <v>1157</v>
      </c>
      <c r="C594" s="21" t="s">
        <v>6</v>
      </c>
      <c r="D594" s="21" t="s">
        <v>6</v>
      </c>
      <c r="E594" s="14" t="s">
        <v>46</v>
      </c>
      <c r="F594" s="38">
        <f t="shared" ca="1" si="34"/>
        <v>46222</v>
      </c>
      <c r="G594" s="139"/>
      <c r="I594" s="4" t="str">
        <v>Yensi Cañizalez</v>
      </c>
      <c r="J594" s="4"/>
    </row>
    <row r="595" spans="1:10" x14ac:dyDescent="0.25">
      <c r="A595" s="9">
        <v>9</v>
      </c>
      <c r="B595" s="8" t="s">
        <v>261</v>
      </c>
      <c r="C595" s="21" t="s">
        <v>6</v>
      </c>
      <c r="D595" s="21" t="s">
        <v>6</v>
      </c>
      <c r="E595" s="14" t="s">
        <v>46</v>
      </c>
      <c r="F595" s="38">
        <f t="shared" ca="1" si="34"/>
        <v>46209</v>
      </c>
      <c r="G595" s="139"/>
      <c r="I595" s="4" t="str">
        <v>Sorenis Cañizalez</v>
      </c>
      <c r="J595" s="4"/>
    </row>
    <row r="596" spans="1:10" x14ac:dyDescent="0.25">
      <c r="A596" s="9">
        <v>10</v>
      </c>
      <c r="B596" s="8" t="s">
        <v>169</v>
      </c>
      <c r="C596" s="21" t="s">
        <v>5</v>
      </c>
      <c r="D596" s="21" t="s">
        <v>5</v>
      </c>
      <c r="E596" s="14" t="s">
        <v>46</v>
      </c>
      <c r="F596" s="38" t="str">
        <f t="shared" ca="1" si="34"/>
        <v/>
      </c>
      <c r="G596" s="139"/>
      <c r="I596" s="4" t="str">
        <v>Emiro Ortega</v>
      </c>
      <c r="J596" s="4"/>
    </row>
    <row r="597" spans="1:10" x14ac:dyDescent="0.25">
      <c r="A597" s="9">
        <v>11</v>
      </c>
      <c r="B597" s="19" t="s">
        <v>1231</v>
      </c>
      <c r="C597" s="21" t="s">
        <v>6</v>
      </c>
      <c r="D597" s="21" t="s">
        <v>5</v>
      </c>
      <c r="E597" s="14" t="s">
        <v>46</v>
      </c>
      <c r="F597" s="38" t="str">
        <f t="shared" ca="1" si="34"/>
        <v/>
      </c>
      <c r="G597" s="139"/>
      <c r="I597" s="4" t="str">
        <v>Yaritza Caguado</v>
      </c>
      <c r="J597" s="4"/>
    </row>
    <row r="598" spans="1:10" ht="15.75" customHeight="1" x14ac:dyDescent="0.25">
      <c r="A598" s="9">
        <v>12</v>
      </c>
      <c r="B598" s="19" t="s">
        <v>1131</v>
      </c>
      <c r="C598" s="21" t="s">
        <v>6</v>
      </c>
      <c r="D598" s="21" t="s">
        <v>6</v>
      </c>
      <c r="E598" s="14" t="s">
        <v>46</v>
      </c>
      <c r="F598" s="38">
        <f t="shared" ca="1" si="34"/>
        <v>46202</v>
      </c>
      <c r="G598" s="139"/>
      <c r="I598" s="4" t="str">
        <v>NAHOMI CERVANTES</v>
      </c>
      <c r="J598" s="4"/>
    </row>
    <row r="599" spans="1:10" x14ac:dyDescent="0.25">
      <c r="A599" s="9">
        <v>13</v>
      </c>
      <c r="B599" s="19" t="s">
        <v>1788</v>
      </c>
      <c r="C599" s="21" t="s">
        <v>6</v>
      </c>
      <c r="D599" s="21" t="s">
        <v>6</v>
      </c>
      <c r="E599" s="14" t="s">
        <v>46</v>
      </c>
      <c r="F599" s="38">
        <f t="shared" ca="1" si="34"/>
        <v>46222</v>
      </c>
      <c r="G599" s="139"/>
      <c r="J599" s="5">
        <f>C631</f>
        <v>6</v>
      </c>
    </row>
    <row r="600" spans="1:10" x14ac:dyDescent="0.25">
      <c r="A600" s="9">
        <v>14</v>
      </c>
      <c r="B600" s="8" t="s">
        <v>24</v>
      </c>
      <c r="C600" s="21" t="s">
        <v>5</v>
      </c>
      <c r="D600" s="21" t="s">
        <v>5</v>
      </c>
      <c r="E600" s="14" t="s">
        <v>321</v>
      </c>
      <c r="F600" s="38" t="str">
        <f t="shared" ca="1" si="34"/>
        <v/>
      </c>
      <c r="G600" s="139"/>
      <c r="I600" s="4"/>
      <c r="J600" s="4"/>
    </row>
    <row r="601" spans="1:10" x14ac:dyDescent="0.25">
      <c r="A601" s="9">
        <v>15</v>
      </c>
      <c r="B601" s="40" t="s">
        <v>1480</v>
      </c>
      <c r="C601" s="21" t="s">
        <v>6</v>
      </c>
      <c r="D601" s="21" t="s">
        <v>6</v>
      </c>
      <c r="E601" s="14" t="s">
        <v>46</v>
      </c>
      <c r="F601" s="38">
        <f t="shared" ca="1" si="34"/>
        <v>46202</v>
      </c>
      <c r="G601" s="139"/>
    </row>
    <row r="602" spans="1:10" x14ac:dyDescent="0.25">
      <c r="A602" s="9">
        <v>16</v>
      </c>
      <c r="B602" s="19" t="s">
        <v>1443</v>
      </c>
      <c r="C602" s="21" t="s">
        <v>6</v>
      </c>
      <c r="D602" s="21" t="s">
        <v>6</v>
      </c>
      <c r="E602" s="14" t="s">
        <v>46</v>
      </c>
      <c r="F602" s="38">
        <f t="shared" ca="1" si="34"/>
        <v>46209</v>
      </c>
      <c r="G602" s="139"/>
    </row>
    <row r="603" spans="1:10" x14ac:dyDescent="0.25">
      <c r="A603" s="9">
        <v>17</v>
      </c>
      <c r="B603" s="19" t="s">
        <v>1453</v>
      </c>
      <c r="C603" s="21" t="s">
        <v>6</v>
      </c>
      <c r="D603" s="21" t="s">
        <v>6</v>
      </c>
      <c r="E603" s="14" t="s">
        <v>46</v>
      </c>
      <c r="F603" s="38">
        <f t="shared" ca="1" si="34"/>
        <v>46202</v>
      </c>
      <c r="G603" s="139"/>
    </row>
    <row r="604" spans="1:10" x14ac:dyDescent="0.25">
      <c r="A604" s="9">
        <v>18</v>
      </c>
      <c r="B604" s="19" t="s">
        <v>1539</v>
      </c>
      <c r="C604" s="21" t="s">
        <v>6</v>
      </c>
      <c r="D604" s="21" t="s">
        <v>6</v>
      </c>
      <c r="E604" s="14" t="s">
        <v>46</v>
      </c>
      <c r="F604" s="38">
        <f t="shared" ca="1" si="34"/>
        <v>46202</v>
      </c>
      <c r="G604" s="139"/>
    </row>
    <row r="605" spans="1:10" x14ac:dyDescent="0.25">
      <c r="A605" s="9">
        <v>19</v>
      </c>
      <c r="B605" s="19" t="s">
        <v>1804</v>
      </c>
      <c r="C605" s="21" t="s">
        <v>6</v>
      </c>
      <c r="D605" s="21" t="s">
        <v>5</v>
      </c>
      <c r="E605" s="14" t="s">
        <v>46</v>
      </c>
      <c r="F605" s="38" t="str">
        <f t="shared" ca="1" si="34"/>
        <v/>
      </c>
      <c r="G605" s="139"/>
    </row>
    <row r="606" spans="1:10" x14ac:dyDescent="0.25">
      <c r="A606" s="9">
        <v>20</v>
      </c>
      <c r="B606" s="19" t="s">
        <v>1591</v>
      </c>
      <c r="C606" s="21" t="s">
        <v>6</v>
      </c>
      <c r="D606" s="21" t="s">
        <v>5</v>
      </c>
      <c r="E606" s="14" t="s">
        <v>46</v>
      </c>
      <c r="F606" s="38" t="str">
        <f t="shared" ca="1" si="34"/>
        <v/>
      </c>
      <c r="G606" s="139"/>
    </row>
    <row r="607" spans="1:10" x14ac:dyDescent="0.25">
      <c r="A607" s="9">
        <v>21</v>
      </c>
      <c r="B607" s="19" t="s">
        <v>1639</v>
      </c>
      <c r="C607" s="21" t="s">
        <v>5</v>
      </c>
      <c r="D607" s="21" t="s">
        <v>5</v>
      </c>
      <c r="E607" s="14" t="s">
        <v>46</v>
      </c>
      <c r="F607" s="38" t="str">
        <f t="shared" ca="1" si="34"/>
        <v/>
      </c>
      <c r="G607" s="139"/>
    </row>
    <row r="608" spans="1:10" x14ac:dyDescent="0.25">
      <c r="A608" s="9">
        <v>22</v>
      </c>
      <c r="B608" s="40" t="s">
        <v>1298</v>
      </c>
      <c r="C608" s="21" t="s">
        <v>6</v>
      </c>
      <c r="D608" s="21" t="s">
        <v>6</v>
      </c>
      <c r="E608" s="14" t="s">
        <v>346</v>
      </c>
      <c r="F608" s="38">
        <f ca="1">IF(AND(C608="NO",D608="NO"),IF(F608="",TODAY(),F608),"")</f>
        <v>46216</v>
      </c>
      <c r="G608" s="139"/>
    </row>
    <row r="609" spans="1:10" x14ac:dyDescent="0.25">
      <c r="A609" s="9">
        <v>23</v>
      </c>
      <c r="B609" s="40" t="s">
        <v>450</v>
      </c>
      <c r="C609" s="21" t="s">
        <v>6</v>
      </c>
      <c r="D609" s="21" t="s">
        <v>6</v>
      </c>
      <c r="E609" s="14" t="s">
        <v>46</v>
      </c>
      <c r="F609" s="38">
        <f t="shared" ca="1" si="34"/>
        <v>46202</v>
      </c>
      <c r="G609" s="139"/>
    </row>
    <row r="610" spans="1:10" x14ac:dyDescent="0.25">
      <c r="A610" s="9">
        <v>24</v>
      </c>
      <c r="B610" s="56" t="s">
        <v>295</v>
      </c>
      <c r="C610" s="21" t="s">
        <v>5</v>
      </c>
      <c r="D610" s="21" t="s">
        <v>6</v>
      </c>
      <c r="E610" s="14" t="s">
        <v>153</v>
      </c>
      <c r="F610" s="38" t="str">
        <f t="shared" ca="1" si="34"/>
        <v/>
      </c>
      <c r="G610" s="139"/>
    </row>
    <row r="611" spans="1:10" x14ac:dyDescent="0.25">
      <c r="A611" s="9">
        <v>25</v>
      </c>
      <c r="B611" s="56" t="s">
        <v>796</v>
      </c>
      <c r="C611" s="21" t="s">
        <v>5</v>
      </c>
      <c r="D611" s="21" t="s">
        <v>6</v>
      </c>
      <c r="E611" s="14" t="s">
        <v>153</v>
      </c>
      <c r="F611" s="38" t="str">
        <f t="shared" ca="1" si="34"/>
        <v/>
      </c>
      <c r="G611" s="139"/>
    </row>
    <row r="612" spans="1:10" x14ac:dyDescent="0.25">
      <c r="A612" s="9">
        <v>26</v>
      </c>
      <c r="B612" s="19" t="s">
        <v>1887</v>
      </c>
      <c r="C612" s="21" t="s">
        <v>5</v>
      </c>
      <c r="D612" s="21" t="s">
        <v>6</v>
      </c>
      <c r="E612" s="14" t="s">
        <v>46</v>
      </c>
      <c r="F612" s="38" t="str">
        <f t="shared" ca="1" si="34"/>
        <v/>
      </c>
      <c r="G612" s="139"/>
    </row>
    <row r="613" spans="1:10" x14ac:dyDescent="0.25">
      <c r="A613" s="9">
        <v>27</v>
      </c>
      <c r="B613" s="19" t="s">
        <v>795</v>
      </c>
      <c r="C613" s="21" t="s">
        <v>6</v>
      </c>
      <c r="D613" s="21" t="s">
        <v>6</v>
      </c>
      <c r="E613" s="14" t="s">
        <v>46</v>
      </c>
      <c r="F613" s="38">
        <f t="shared" ca="1" si="34"/>
        <v>46209</v>
      </c>
      <c r="G613" s="139"/>
    </row>
    <row r="614" spans="1:10" x14ac:dyDescent="0.25">
      <c r="A614" s="9">
        <v>28</v>
      </c>
      <c r="B614" s="19" t="s">
        <v>1751</v>
      </c>
      <c r="C614" s="21" t="s">
        <v>6</v>
      </c>
      <c r="D614" s="21" t="s">
        <v>5</v>
      </c>
      <c r="E614" s="14" t="s">
        <v>46</v>
      </c>
      <c r="F614" s="38" t="str">
        <f t="shared" ca="1" si="34"/>
        <v/>
      </c>
      <c r="G614" s="139"/>
    </row>
    <row r="615" spans="1:10" x14ac:dyDescent="0.25">
      <c r="A615" s="9">
        <v>29</v>
      </c>
      <c r="B615" s="19" t="s">
        <v>1000</v>
      </c>
      <c r="C615" s="21" t="s">
        <v>6</v>
      </c>
      <c r="D615" s="21" t="s">
        <v>6</v>
      </c>
      <c r="E615" s="14" t="s">
        <v>46</v>
      </c>
      <c r="F615" s="38">
        <f t="shared" ca="1" si="34"/>
        <v>46216</v>
      </c>
      <c r="G615" s="139"/>
    </row>
    <row r="616" spans="1:10" x14ac:dyDescent="0.25">
      <c r="A616" s="9">
        <v>30</v>
      </c>
      <c r="B616" s="8" t="s">
        <v>456</v>
      </c>
      <c r="C616" s="21" t="s">
        <v>6</v>
      </c>
      <c r="D616" s="21" t="s">
        <v>6</v>
      </c>
      <c r="E616" s="14" t="s">
        <v>265</v>
      </c>
      <c r="F616" s="38">
        <f t="shared" ca="1" si="34"/>
        <v>46216</v>
      </c>
      <c r="G616" s="139"/>
    </row>
    <row r="617" spans="1:10" ht="15" customHeight="1" x14ac:dyDescent="0.25">
      <c r="A617" s="9">
        <v>31</v>
      </c>
      <c r="B617" s="8" t="s">
        <v>1802</v>
      </c>
      <c r="C617" s="21" t="s">
        <v>6</v>
      </c>
      <c r="D617" s="21" t="s">
        <v>6</v>
      </c>
      <c r="E617" s="14" t="s">
        <v>46</v>
      </c>
      <c r="F617" s="38">
        <f ca="1">IF(AND(C617="NO",D617="NO"),IF(F617="",TODAY(),F617),"")</f>
        <v>46222</v>
      </c>
      <c r="G617" s="139"/>
      <c r="I617" s="4"/>
      <c r="J617" s="4"/>
    </row>
    <row r="618" spans="1:10" ht="14.25" customHeight="1" x14ac:dyDescent="0.25">
      <c r="A618" s="9">
        <v>32</v>
      </c>
      <c r="B618" s="8" t="s">
        <v>1432</v>
      </c>
      <c r="C618" s="21" t="s">
        <v>6</v>
      </c>
      <c r="D618" s="21" t="s">
        <v>6</v>
      </c>
      <c r="E618" s="14" t="s">
        <v>46</v>
      </c>
      <c r="F618" s="38">
        <f t="shared" ca="1" si="34"/>
        <v>46222</v>
      </c>
      <c r="G618" s="139"/>
    </row>
    <row r="619" spans="1:10" x14ac:dyDescent="0.25">
      <c r="A619" s="9">
        <v>33</v>
      </c>
      <c r="B619" s="19" t="s">
        <v>1752</v>
      </c>
      <c r="C619" s="21" t="s">
        <v>6</v>
      </c>
      <c r="D619" s="21" t="s">
        <v>5</v>
      </c>
      <c r="E619" s="14" t="s">
        <v>46</v>
      </c>
      <c r="F619" s="38" t="str">
        <f t="shared" ca="1" si="34"/>
        <v/>
      </c>
      <c r="G619" s="139"/>
    </row>
    <row r="620" spans="1:10" x14ac:dyDescent="0.25">
      <c r="A620" s="9">
        <v>34</v>
      </c>
      <c r="B620" s="19" t="s">
        <v>1856</v>
      </c>
      <c r="C620" s="21" t="s">
        <v>6</v>
      </c>
      <c r="D620" s="21" t="s">
        <v>6</v>
      </c>
      <c r="E620" s="14" t="s">
        <v>46</v>
      </c>
      <c r="F620" s="38">
        <f t="shared" ca="1" si="34"/>
        <v>46202</v>
      </c>
      <c r="G620" s="139"/>
    </row>
    <row r="621" spans="1:10" x14ac:dyDescent="0.25">
      <c r="A621" s="9">
        <v>35</v>
      </c>
      <c r="B621" s="19" t="s">
        <v>1869</v>
      </c>
      <c r="C621" s="21" t="s">
        <v>6</v>
      </c>
      <c r="D621" s="21" t="s">
        <v>5</v>
      </c>
      <c r="E621" s="14" t="s">
        <v>346</v>
      </c>
      <c r="F621" s="38" t="str">
        <f t="shared" ref="F621:F622" ca="1" si="35">IF(AND(C621="NO",D621="NO"),IF(F621="",TODAY(),F621),"")</f>
        <v/>
      </c>
      <c r="G621" s="139"/>
    </row>
    <row r="622" spans="1:10" x14ac:dyDescent="0.25">
      <c r="A622" s="9">
        <v>36</v>
      </c>
      <c r="B622" s="19" t="s">
        <v>1975</v>
      </c>
      <c r="C622" s="21" t="s">
        <v>6</v>
      </c>
      <c r="D622" s="21" t="s">
        <v>6</v>
      </c>
      <c r="E622" s="14" t="s">
        <v>346</v>
      </c>
      <c r="F622" s="38">
        <f t="shared" ca="1" si="35"/>
        <v>46222</v>
      </c>
      <c r="G622" s="139"/>
      <c r="I622">
        <f>9</f>
        <v>9</v>
      </c>
    </row>
    <row r="623" spans="1:10" x14ac:dyDescent="0.25">
      <c r="A623" s="9">
        <v>37</v>
      </c>
      <c r="B623" s="19" t="s">
        <v>1976</v>
      </c>
      <c r="C623" s="21" t="s">
        <v>6</v>
      </c>
      <c r="D623" s="21" t="s">
        <v>6</v>
      </c>
      <c r="E623" s="14" t="s">
        <v>346</v>
      </c>
      <c r="F623" s="38">
        <f t="shared" ca="1" si="34"/>
        <v>46222</v>
      </c>
      <c r="G623" s="139"/>
      <c r="I623">
        <v>15</v>
      </c>
    </row>
    <row r="624" spans="1:10" ht="21" x14ac:dyDescent="0.25">
      <c r="A624" s="71"/>
      <c r="B624" s="71"/>
      <c r="C624" s="41"/>
      <c r="D624" s="41"/>
      <c r="G624" s="139"/>
    </row>
    <row r="625" spans="1:8" ht="45" x14ac:dyDescent="0.25">
      <c r="A625" s="158" t="s">
        <v>54</v>
      </c>
      <c r="B625" s="159"/>
      <c r="C625" s="10">
        <f>COUNTIF(C587:C623, "SI")</f>
        <v>9</v>
      </c>
      <c r="D625" s="6" t="s">
        <v>51</v>
      </c>
      <c r="E625" s="30">
        <f>C625/A623*100</f>
        <v>24.324324324324326</v>
      </c>
      <c r="F625" s="11" t="s">
        <v>1883</v>
      </c>
      <c r="G625" s="139"/>
      <c r="H625" s="72"/>
    </row>
    <row r="626" spans="1:8" ht="45" x14ac:dyDescent="0.25">
      <c r="A626" s="158" t="s">
        <v>55</v>
      </c>
      <c r="B626" s="159"/>
      <c r="C626" s="10">
        <f>COUNTIF(C587:C623, "NO")</f>
        <v>28</v>
      </c>
      <c r="D626" s="6" t="s">
        <v>51</v>
      </c>
      <c r="E626" s="30">
        <f>C626/A623*100</f>
        <v>75.675675675675677</v>
      </c>
      <c r="F626" s="11" t="s">
        <v>1884</v>
      </c>
      <c r="G626" s="139"/>
    </row>
    <row r="627" spans="1:8" ht="18" x14ac:dyDescent="0.25">
      <c r="A627" s="24"/>
      <c r="B627" s="24"/>
      <c r="C627" s="25"/>
      <c r="D627" s="26"/>
      <c r="E627" s="27"/>
      <c r="F627" s="28"/>
      <c r="G627" s="139"/>
    </row>
    <row r="628" spans="1:8" ht="45" x14ac:dyDescent="0.25">
      <c r="A628" s="158" t="s">
        <v>56</v>
      </c>
      <c r="B628" s="159"/>
      <c r="C628" s="10">
        <f>COUNTIF(D587:D623, "SI")</f>
        <v>15</v>
      </c>
      <c r="D628" s="6" t="s">
        <v>51</v>
      </c>
      <c r="E628" s="30">
        <f>C628/A623*100</f>
        <v>40.54054054054054</v>
      </c>
      <c r="F628" s="11" t="s">
        <v>58</v>
      </c>
      <c r="G628" s="139"/>
    </row>
    <row r="629" spans="1:8" ht="45" x14ac:dyDescent="0.25">
      <c r="A629" s="158" t="s">
        <v>57</v>
      </c>
      <c r="B629" s="159"/>
      <c r="C629" s="10">
        <f>COUNTIF(D587:D623, "NO")</f>
        <v>22</v>
      </c>
      <c r="D629" s="6" t="s">
        <v>51</v>
      </c>
      <c r="E629" s="30">
        <f>C629/A623*100</f>
        <v>59.45945945945946</v>
      </c>
      <c r="F629" s="11" t="s">
        <v>59</v>
      </c>
      <c r="G629" s="139"/>
    </row>
    <row r="630" spans="1:8" x14ac:dyDescent="0.25">
      <c r="G630" s="139"/>
    </row>
    <row r="631" spans="1:8" x14ac:dyDescent="0.25">
      <c r="A631" s="154" t="s">
        <v>1039</v>
      </c>
      <c r="B631" s="155"/>
      <c r="C631" s="149">
        <f>COUNTIFS(C587:C623,"SI",D587:D623,"SI")</f>
        <v>6</v>
      </c>
      <c r="D631" s="150" t="s">
        <v>51</v>
      </c>
      <c r="E631" s="152">
        <f>C631/A623*100</f>
        <v>16.216216216216218</v>
      </c>
      <c r="F631" s="168" t="s">
        <v>1041</v>
      </c>
      <c r="G631" s="139"/>
    </row>
    <row r="632" spans="1:8" ht="36" customHeight="1" x14ac:dyDescent="0.25">
      <c r="A632" s="156"/>
      <c r="B632" s="157"/>
      <c r="C632" s="149"/>
      <c r="D632" s="151"/>
      <c r="E632" s="153"/>
      <c r="F632" s="169"/>
      <c r="G632" s="139"/>
    </row>
    <row r="633" spans="1:8" x14ac:dyDescent="0.25">
      <c r="A633" s="154" t="s">
        <v>1040</v>
      </c>
      <c r="B633" s="155"/>
      <c r="C633" s="149">
        <f>COUNTIFS(C587:C623,"NO",D587:D623,"NO")</f>
        <v>19</v>
      </c>
      <c r="D633" s="150" t="s">
        <v>51</v>
      </c>
      <c r="E633" s="152">
        <f>C633/A623*100</f>
        <v>51.351351351351347</v>
      </c>
      <c r="F633" s="168" t="s">
        <v>1042</v>
      </c>
      <c r="G633" s="139"/>
    </row>
    <row r="634" spans="1:8" x14ac:dyDescent="0.25">
      <c r="A634" s="156"/>
      <c r="B634" s="157"/>
      <c r="C634" s="149"/>
      <c r="D634" s="151"/>
      <c r="E634" s="153"/>
      <c r="F634" s="169"/>
      <c r="G634" s="139"/>
    </row>
    <row r="635" spans="1:8" ht="36.75" customHeight="1" x14ac:dyDescent="0.25">
      <c r="A635" s="70"/>
      <c r="B635" s="70"/>
      <c r="C635" s="70"/>
      <c r="D635" s="41"/>
      <c r="G635" s="139"/>
    </row>
    <row r="636" spans="1:8" x14ac:dyDescent="0.25">
      <c r="G636" s="139"/>
    </row>
    <row r="637" spans="1:8" ht="15" customHeight="1" x14ac:dyDescent="0.25">
      <c r="G637" s="139"/>
    </row>
    <row r="638" spans="1:8" ht="15" customHeight="1" x14ac:dyDescent="0.25">
      <c r="G638" s="139"/>
    </row>
    <row r="639" spans="1:8" ht="15" customHeight="1" x14ac:dyDescent="0.25">
      <c r="G639" s="139"/>
    </row>
    <row r="640" spans="1:8" ht="15" customHeight="1" x14ac:dyDescent="0.25">
      <c r="G640" s="139"/>
    </row>
    <row r="641" spans="7:7" ht="15" customHeight="1" x14ac:dyDescent="0.25">
      <c r="G641" s="139"/>
    </row>
    <row r="642" spans="7:7" x14ac:dyDescent="0.25">
      <c r="G642" s="139"/>
    </row>
    <row r="643" spans="7:7" x14ac:dyDescent="0.25">
      <c r="G643" s="139"/>
    </row>
    <row r="644" spans="7:7" x14ac:dyDescent="0.25">
      <c r="G644" s="139"/>
    </row>
    <row r="645" spans="7:7" x14ac:dyDescent="0.25">
      <c r="G645" s="139"/>
    </row>
    <row r="653" spans="7:7" ht="15" customHeight="1" x14ac:dyDescent="0.25"/>
    <row r="654" spans="7:7" ht="15" customHeight="1" x14ac:dyDescent="0.25"/>
    <row r="665" ht="15" customHeight="1" x14ac:dyDescent="0.25"/>
    <row r="666" ht="15" customHeight="1" x14ac:dyDescent="0.25"/>
  </sheetData>
  <sortState xmlns:xlrd2="http://schemas.microsoft.com/office/spreadsheetml/2017/richdata2" ref="A552:H605">
    <sortCondition ref="G494"/>
  </sortState>
  <mergeCells count="110">
    <mergeCell ref="A98:B98"/>
    <mergeCell ref="D104:D105"/>
    <mergeCell ref="C106:C107"/>
    <mergeCell ref="E106:E107"/>
    <mergeCell ref="A321:B321"/>
    <mergeCell ref="A452:B452"/>
    <mergeCell ref="A453:B453"/>
    <mergeCell ref="A455:B456"/>
    <mergeCell ref="C455:C456"/>
    <mergeCell ref="D455:D456"/>
    <mergeCell ref="I591:J592"/>
    <mergeCell ref="F580:F581"/>
    <mergeCell ref="D324:D325"/>
    <mergeCell ref="E455:E456"/>
    <mergeCell ref="A577:B577"/>
    <mergeCell ref="A575:B575"/>
    <mergeCell ref="C580:C581"/>
    <mergeCell ref="A457:B458"/>
    <mergeCell ref="A580:B581"/>
    <mergeCell ref="F633:F634"/>
    <mergeCell ref="A631:B632"/>
    <mergeCell ref="C631:C632"/>
    <mergeCell ref="D631:D632"/>
    <mergeCell ref="E631:E632"/>
    <mergeCell ref="F631:F632"/>
    <mergeCell ref="A629:B629"/>
    <mergeCell ref="F582:F583"/>
    <mergeCell ref="A625:B625"/>
    <mergeCell ref="A626:B626"/>
    <mergeCell ref="A628:B628"/>
    <mergeCell ref="A582:B583"/>
    <mergeCell ref="C582:C583"/>
    <mergeCell ref="D582:D583"/>
    <mergeCell ref="E582:E583"/>
    <mergeCell ref="A633:B634"/>
    <mergeCell ref="C633:C634"/>
    <mergeCell ref="D633:D634"/>
    <mergeCell ref="E633:E634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7:C458"/>
    <mergeCell ref="D457:D458"/>
    <mergeCell ref="E457:E458"/>
    <mergeCell ref="F326:F327"/>
    <mergeCell ref="E324:E325"/>
    <mergeCell ref="A449:B449"/>
    <mergeCell ref="F455:F456"/>
    <mergeCell ref="E326:E327"/>
    <mergeCell ref="F457:F458"/>
    <mergeCell ref="F324:F325"/>
    <mergeCell ref="A450:B450"/>
    <mergeCell ref="C8:D8"/>
    <mergeCell ref="A318:B318"/>
    <mergeCell ref="A319:B319"/>
    <mergeCell ref="A17:B17"/>
    <mergeCell ref="F106:F107"/>
    <mergeCell ref="I21:J22"/>
    <mergeCell ref="J8:K8"/>
    <mergeCell ref="A21:E21"/>
    <mergeCell ref="C324:C325"/>
    <mergeCell ref="D106:D107"/>
    <mergeCell ref="D580:D581"/>
    <mergeCell ref="E580:E581"/>
    <mergeCell ref="A585:E585"/>
    <mergeCell ref="A329:E329"/>
    <mergeCell ref="A326:B327"/>
    <mergeCell ref="A322:B322"/>
    <mergeCell ref="A324:B325"/>
    <mergeCell ref="C326:C327"/>
    <mergeCell ref="D326:D327"/>
    <mergeCell ref="C104:C105"/>
    <mergeCell ref="A110:E110"/>
    <mergeCell ref="A106:B107"/>
    <mergeCell ref="A578:B578"/>
    <mergeCell ref="A460:E460"/>
    <mergeCell ref="A574:B574"/>
    <mergeCell ref="A102:B102"/>
    <mergeCell ref="I110:J111"/>
    <mergeCell ref="I332:J333"/>
    <mergeCell ref="I465:J466"/>
    <mergeCell ref="A101:B101"/>
  </mergeCells>
  <phoneticPr fontId="21" type="noConversion"/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5" priority="13486" operator="containsText" text="NO+$D$4:$D$10">
      <formula>NOT(ISERROR(SEARCH("NO+$D$4:$D$10",C23)))</formula>
    </cfRule>
  </conditionalFormatting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4" priority="13483" operator="containsText" text="SI">
      <formula>NOT(ISERROR(SEARCH("SI",C23)))</formula>
    </cfRule>
    <cfRule type="containsText" dxfId="6703" priority="13485" operator="containsText" text="NO">
      <formula>NOT(ISERROR(SEARCH("NO",C23)))</formula>
    </cfRule>
  </conditionalFormatting>
  <conditionalFormatting sqref="E228:E229 E232 E56 E32:E35 E220:E222 E44:E46 E23:E30 E58:E79">
    <cfRule type="containsText" dxfId="6702" priority="13475" operator="containsText" text="Sin información">
      <formula>NOT(ISERROR(SEARCH("Sin información",E23)))</formula>
    </cfRule>
  </conditionalFormatting>
  <conditionalFormatting sqref="C587:D623 E56 E25:E30 E32:E35 E185:E186 E203:E205 E228:E232 E135 E201 E285 E287 C112:E112 E172:E177 E182 E197:E198 E207 E237:E238 E44:E46 C23:E25 C447:D447 C96:D96 E298:E304 C316:E316 C560:D570 C572:D572 C384:D397 E124:E133 C114:E122 C285:D304 C519:D519 C503:D507 C26:D93 E58:E79 E278:E279 C228:D282 C172:D226 E215:E222 E146:E161 C124:D170 E405:E436 C401:D441 E403 E370:E371 C353:D382 E359:E368 C331:D351 E339:E351 C548:D558 E548:E554 E540:E545 C521:D546 C510:D517 E513:E517 C462:D501 E482:E483">
    <cfRule type="containsText" dxfId="6701" priority="13474" operator="containsText" text="NUEVO">
      <formula>NOT(ISERROR(SEARCH("NUEVO",C23)))</formula>
    </cfRule>
  </conditionalFormatting>
  <conditionalFormatting sqref="E66:E67 E185:E186 E203:E205 E228:E232 E135 E201 E285 E287 E112 E172:E177 E182 E197:E198 E207 E237:E238 E298:E304 E316 E124:E133 E114:E122 E278:E279 E216:E222 E146:E161 E405:E436 E403 E370:E371 E359:E368 E339:E351 E548:E554 E540:E545 E513:E517 E482:E483">
    <cfRule type="containsText" dxfId="6700" priority="13466" operator="containsText" text="Sin Información">
      <formula>NOT(ISERROR(SEARCH("Sin Información",E66)))</formula>
    </cfRule>
  </conditionalFormatting>
  <conditionalFormatting sqref="E576">
    <cfRule type="colorScale" priority="1348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18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1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7">
    <cfRule type="colorScale" priority="597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699" priority="5928" operator="containsText" text="NUEVO">
      <formula>NOT(ISERROR(SEARCH("NUEVO",E251)))</formula>
    </cfRule>
  </conditionalFormatting>
  <conditionalFormatting sqref="E118">
    <cfRule type="containsText" dxfId="6698" priority="5934" operator="containsText" text="NUEVO">
      <formula>NOT(ISERROR(SEARCH("NUEVO",E118)))</formula>
    </cfRule>
  </conditionalFormatting>
  <conditionalFormatting sqref="E118">
    <cfRule type="containsText" dxfId="6697" priority="5933" operator="containsText" text="Sin Información">
      <formula>NOT(ISERROR(SEARCH("Sin Información",E118)))</formula>
    </cfRule>
  </conditionalFormatting>
  <conditionalFormatting sqref="E251">
    <cfRule type="containsText" dxfId="6696" priority="5927" operator="containsText" text="Sin Información">
      <formula>NOT(ISERROR(SEARCH("Sin Información",E251)))</formula>
    </cfRule>
  </conditionalFormatting>
  <conditionalFormatting sqref="E230">
    <cfRule type="containsText" dxfId="6695" priority="5760" operator="containsText" text="Sin información">
      <formula>NOT(ISERROR(SEARCH("Sin información",E230)))</formula>
    </cfRule>
  </conditionalFormatting>
  <conditionalFormatting sqref="E230">
    <cfRule type="containsText" dxfId="6694" priority="5759" operator="containsText" text="NUEVO">
      <formula>NOT(ISERROR(SEARCH("NUEVO",E230)))</formula>
    </cfRule>
  </conditionalFormatting>
  <conditionalFormatting sqref="E250">
    <cfRule type="containsText" dxfId="6693" priority="5765" operator="containsText" text="NUEVO">
      <formula>NOT(ISERROR(SEARCH("NUEVO",E250)))</formula>
    </cfRule>
  </conditionalFormatting>
  <conditionalFormatting sqref="E250">
    <cfRule type="containsText" dxfId="6692" priority="5764" operator="containsText" text="Sin Información">
      <formula>NOT(ISERROR(SEARCH("Sin Información",E250)))</formula>
    </cfRule>
  </conditionalFormatting>
  <conditionalFormatting sqref="E230">
    <cfRule type="containsText" dxfId="6691" priority="5758" operator="containsText" text="Sin Información">
      <formula>NOT(ISERROR(SEARCH("Sin Información",E230)))</formula>
    </cfRule>
  </conditionalFormatting>
  <conditionalFormatting sqref="N154:O154">
    <cfRule type="containsText" dxfId="6690" priority="5730" operator="containsText" text="NO+$D$4:$D$10">
      <formula>NOT(ISERROR(SEARCH("NO+$D$4:$D$10",N154)))</formula>
    </cfRule>
  </conditionalFormatting>
  <conditionalFormatting sqref="N154:O154">
    <cfRule type="containsText" dxfId="6689" priority="5728" operator="containsText" text="SI">
      <formula>NOT(ISERROR(SEARCH("SI",N154)))</formula>
    </cfRule>
    <cfRule type="containsText" dxfId="6688" priority="5729" operator="containsText" text="NO">
      <formula>NOT(ISERROR(SEARCH("NO",N154)))</formula>
    </cfRule>
  </conditionalFormatting>
  <conditionalFormatting sqref="N154:P154">
    <cfRule type="containsText" dxfId="6687" priority="5727" operator="containsText" text="NUEVO">
      <formula>NOT(ISERROR(SEARCH("NUEVO",N154)))</formula>
    </cfRule>
  </conditionalFormatting>
  <conditionalFormatting sqref="P154">
    <cfRule type="containsText" dxfId="6686" priority="5726" operator="containsText" text="Sin Información">
      <formula>NOT(ISERROR(SEARCH("Sin Información",P154)))</formula>
    </cfRule>
  </conditionalFormatting>
  <conditionalFormatting sqref="E266 E269">
    <cfRule type="containsText" dxfId="6685" priority="5005" operator="containsText" text="NUEVO">
      <formula>NOT(ISERROR(SEARCH("NUEVO",E266)))</formula>
    </cfRule>
  </conditionalFormatting>
  <conditionalFormatting sqref="E266 E269">
    <cfRule type="containsText" dxfId="6684" priority="5004" operator="containsText" text="Sin Información">
      <formula>NOT(ISERROR(SEARCH("Sin Información",E266)))</formula>
    </cfRule>
  </conditionalFormatting>
  <conditionalFormatting sqref="E231">
    <cfRule type="containsText" dxfId="6683" priority="4944" operator="containsText" text="NUEVO">
      <formula>NOT(ISERROR(SEARCH("NUEVO",E231)))</formula>
    </cfRule>
  </conditionalFormatting>
  <conditionalFormatting sqref="E231">
    <cfRule type="containsText" dxfId="6682" priority="4943" operator="containsText" text="Sin Información">
      <formula>NOT(ISERROR(SEARCH("Sin Información",E231)))</formula>
    </cfRule>
  </conditionalFormatting>
  <conditionalFormatting sqref="E253">
    <cfRule type="containsText" dxfId="6681" priority="4725" operator="containsText" text="NUEVO">
      <formula>NOT(ISERROR(SEARCH("NUEVO",E253)))</formula>
    </cfRule>
  </conditionalFormatting>
  <conditionalFormatting sqref="E253">
    <cfRule type="containsText" dxfId="6680" priority="4724" operator="containsText" text="Sin Información">
      <formula>NOT(ISERROR(SEARCH("Sin Información",E253)))</formula>
    </cfRule>
  </conditionalFormatting>
  <conditionalFormatting sqref="E271">
    <cfRule type="containsText" dxfId="6679" priority="4540" operator="containsText" text="Sin Información">
      <formula>NOT(ISERROR(SEARCH("Sin Información",E271)))</formula>
    </cfRule>
  </conditionalFormatting>
  <conditionalFormatting sqref="E271">
    <cfRule type="containsText" dxfId="6678" priority="4541" operator="containsText" text="NUEVO">
      <formula>NOT(ISERROR(SEARCH("NUEVO",E271)))</formula>
    </cfRule>
  </conditionalFormatting>
  <conditionalFormatting sqref="E265">
    <cfRule type="containsText" dxfId="6677" priority="3990" operator="containsText" text="NUEVO">
      <formula>NOT(ISERROR(SEARCH("NUEVO",E265)))</formula>
    </cfRule>
  </conditionalFormatting>
  <conditionalFormatting sqref="E265">
    <cfRule type="containsText" dxfId="6676" priority="3989" operator="containsText" text="Sin Información">
      <formula>NOT(ISERROR(SEARCH("Sin Información",E265)))</formula>
    </cfRule>
  </conditionalFormatting>
  <conditionalFormatting sqref="E256">
    <cfRule type="containsText" dxfId="6675" priority="2788" operator="containsText" text="NUEVO">
      <formula>NOT(ISERROR(SEARCH("NUEVO",E256)))</formula>
    </cfRule>
  </conditionalFormatting>
  <conditionalFormatting sqref="E256">
    <cfRule type="containsText" dxfId="6674" priority="2787" operator="containsText" text="Sin Información">
      <formula>NOT(ISERROR(SEARCH("Sin Información",E256)))</formula>
    </cfRule>
  </conditionalFormatting>
  <conditionalFormatting sqref="AD214:AE214">
    <cfRule type="containsText" dxfId="6673" priority="2704" operator="containsText" text="NO+$D$4:$D$10">
      <formula>NOT(ISERROR(SEARCH("NO+$D$4:$D$10",AD214)))</formula>
    </cfRule>
  </conditionalFormatting>
  <conditionalFormatting sqref="AD214:AE214">
    <cfRule type="containsText" dxfId="6672" priority="2702" operator="containsText" text="SI">
      <formula>NOT(ISERROR(SEARCH("SI",AD214)))</formula>
    </cfRule>
    <cfRule type="containsText" dxfId="6671" priority="2703" operator="containsText" text="NO">
      <formula>NOT(ISERROR(SEARCH("NO",AD214)))</formula>
    </cfRule>
  </conditionalFormatting>
  <conditionalFormatting sqref="AD214:AE214">
    <cfRule type="containsText" dxfId="6670" priority="2701" operator="containsText" text="NUEVO">
      <formula>NOT(ISERROR(SEARCH("NUEVO",AD214)))</formula>
    </cfRule>
  </conditionalFormatting>
  <conditionalFormatting sqref="AF214">
    <cfRule type="containsText" dxfId="6669" priority="2700" operator="containsText" text="NUEVO">
      <formula>NOT(ISERROR(SEARCH("NUEVO",AF214)))</formula>
    </cfRule>
  </conditionalFormatting>
  <conditionalFormatting sqref="AF214">
    <cfRule type="containsText" dxfId="6668" priority="2699" operator="containsText" text="Sin Información">
      <formula>NOT(ISERROR(SEARCH("Sin Información",AF214)))</formula>
    </cfRule>
  </conditionalFormatting>
  <conditionalFormatting sqref="F362">
    <cfRule type="containsText" dxfId="6667" priority="1675" operator="containsText" text="NO+$D$4:$D$10">
      <formula>NOT(ISERROR(SEARCH("NO+$D$4:$D$10",F362)))</formula>
    </cfRule>
  </conditionalFormatting>
  <conditionalFormatting sqref="F362">
    <cfRule type="containsText" dxfId="6666" priority="1673" operator="containsText" text="SI">
      <formula>NOT(ISERROR(SEARCH("SI",F362)))</formula>
    </cfRule>
    <cfRule type="containsText" dxfId="6665" priority="1674" operator="containsText" text="NO">
      <formula>NOT(ISERROR(SEARCH("NO",F362)))</formula>
    </cfRule>
  </conditionalFormatting>
  <conditionalFormatting sqref="F362">
    <cfRule type="containsText" dxfId="6664" priority="1672" operator="containsText" text="NUEVO">
      <formula>NOT(ISERROR(SEARCH("NUEVO",F362)))</formula>
    </cfRule>
  </conditionalFormatting>
  <conditionalFormatting sqref="E272">
    <cfRule type="containsText" dxfId="6663" priority="1550" operator="containsText" text="Sin Información">
      <formula>NOT(ISERROR(SEARCH("Sin Información",E272)))</formula>
    </cfRule>
  </conditionalFormatting>
  <conditionalFormatting sqref="E272">
    <cfRule type="containsText" dxfId="6662" priority="1551" operator="containsText" text="NUEVO">
      <formula>NOT(ISERROR(SEARCH("NUEVO",E272)))</formula>
    </cfRule>
  </conditionalFormatting>
  <conditionalFormatting sqref="E57">
    <cfRule type="containsText" dxfId="6661" priority="1536" operator="containsText" text="Sin información">
      <formula>NOT(ISERROR(SEARCH("Sin información",E57)))</formula>
    </cfRule>
  </conditionalFormatting>
  <conditionalFormatting sqref="E57">
    <cfRule type="containsText" dxfId="6660" priority="1535" operator="containsText" text="NUEVO">
      <formula>NOT(ISERROR(SEARCH("NUEVO",E57)))</formula>
    </cfRule>
  </conditionalFormatting>
  <conditionalFormatting sqref="E275">
    <cfRule type="containsText" dxfId="6659" priority="1505" operator="containsText" text="NUEVO">
      <formula>NOT(ISERROR(SEARCH("NUEVO",E275)))</formula>
    </cfRule>
  </conditionalFormatting>
  <conditionalFormatting sqref="E275">
    <cfRule type="containsText" dxfId="6658" priority="1504" operator="containsText" text="Sin Información">
      <formula>NOT(ISERROR(SEARCH("Sin Información",E275)))</formula>
    </cfRule>
  </conditionalFormatting>
  <conditionalFormatting sqref="BS168:BU168">
    <cfRule type="containsText" dxfId="6657" priority="15102" operator="containsText" text="NUEVO">
      <formula>NOT(ISERROR(SEARCH("NUEVO",#REF!)))</formula>
    </cfRule>
  </conditionalFormatting>
  <conditionalFormatting sqref="O133:P133">
    <cfRule type="containsText" dxfId="6656" priority="16776" operator="containsText" text="NO+$D$4:$D$10">
      <formula>NOT(ISERROR(SEARCH("NO+$D$4:$D$10",#REF!)))</formula>
    </cfRule>
  </conditionalFormatting>
  <conditionalFormatting sqref="O133:P133">
    <cfRule type="containsText" dxfId="6655" priority="16778" operator="containsText" text="SI">
      <formula>NOT(ISERROR(SEARCH("SI",#REF!)))</formula>
    </cfRule>
    <cfRule type="containsText" dxfId="6654" priority="16779" operator="containsText" text="NO">
      <formula>NOT(ISERROR(SEARCH("NO",#REF!)))</formula>
    </cfRule>
  </conditionalFormatting>
  <conditionalFormatting sqref="BS168:BT168">
    <cfRule type="containsText" dxfId="6653" priority="16915" operator="containsText" text="NO+$D$4:$D$10">
      <formula>NOT(ISERROR(SEARCH("NO+$D$4:$D$10",#REF!)))</formula>
    </cfRule>
  </conditionalFormatting>
  <conditionalFormatting sqref="BS168:BT168">
    <cfRule type="containsText" dxfId="6652" priority="16916" operator="containsText" text="SI">
      <formula>NOT(ISERROR(SEARCH("SI",#REF!)))</formula>
    </cfRule>
    <cfRule type="containsText" dxfId="6651" priority="16917" operator="containsText" text="NO">
      <formula>NOT(ISERROR(SEARCH("NO",#REF!)))</formula>
    </cfRule>
  </conditionalFormatting>
  <conditionalFormatting sqref="Q133">
    <cfRule type="containsText" dxfId="6650" priority="21355" operator="containsText" text="Sin Información">
      <formula>NOT(ISERROR(SEARCH("Sin Información",#REF!)))</formula>
    </cfRule>
  </conditionalFormatting>
  <conditionalFormatting sqref="BU168">
    <cfRule type="containsText" dxfId="6649" priority="21456" operator="containsText" text="Sin Información">
      <formula>NOT(ISERROR(SEARCH("Sin Información",#REF!)))</formula>
    </cfRule>
  </conditionalFormatting>
  <conditionalFormatting sqref="O133:Q133">
    <cfRule type="containsText" dxfId="6648" priority="21461" operator="containsText" text="NUEVO">
      <formula>NOT(ISERROR(SEARCH("NUEVO",#REF!)))</formula>
    </cfRule>
  </conditionalFormatting>
  <conditionalFormatting sqref="E127">
    <cfRule type="containsText" dxfId="6647" priority="1344" operator="containsText" text="NUEVO">
      <formula>NOT(ISERROR(SEARCH("NUEVO",E1215)))</formula>
    </cfRule>
  </conditionalFormatting>
  <conditionalFormatting sqref="E127">
    <cfRule type="containsText" dxfId="6646" priority="1345" operator="containsText" text="Sin información">
      <formula>NOT(ISERROR(SEARCH("Sin información",E1215)))</formula>
    </cfRule>
  </conditionalFormatting>
  <conditionalFormatting sqref="E128">
    <cfRule type="containsText" dxfId="6645" priority="1334" operator="containsText" text="Sin Información">
      <formula>NOT(ISERROR(SEARCH("Sin Información",E128)))</formula>
    </cfRule>
  </conditionalFormatting>
  <conditionalFormatting sqref="E128">
    <cfRule type="containsText" dxfId="6644" priority="1335" operator="containsText" text="NUEVO">
      <formula>NOT(ISERROR(SEARCH("NUEVO",E128)))</formula>
    </cfRule>
  </conditionalFormatting>
  <conditionalFormatting sqref="E203">
    <cfRule type="containsText" dxfId="6643" priority="1319" operator="containsText" text="NUEVO">
      <formula>NOT(ISERROR(SEARCH("NUEVO",E203)))</formula>
    </cfRule>
  </conditionalFormatting>
  <conditionalFormatting sqref="E203">
    <cfRule type="containsText" dxfId="6642" priority="1318" operator="containsText" text="Sin Información">
      <formula>NOT(ISERROR(SEARCH("Sin Información",E203)))</formula>
    </cfRule>
  </conditionalFormatting>
  <conditionalFormatting sqref="E278">
    <cfRule type="containsText" dxfId="6641" priority="1287" operator="containsText" text="Sin Información">
      <formula>NOT(ISERROR(SEARCH("Sin Información",E278)))</formula>
    </cfRule>
  </conditionalFormatting>
  <conditionalFormatting sqref="E278">
    <cfRule type="containsText" dxfId="6640" priority="1288" operator="containsText" text="NUEVO">
      <formula>NOT(ISERROR(SEARCH("NUEVO",E278)))</formula>
    </cfRule>
  </conditionalFormatting>
  <conditionalFormatting sqref="E279">
    <cfRule type="containsText" dxfId="6639" priority="1150" operator="containsText" text="Sin Información">
      <formula>NOT(ISERROR(SEARCH("Sin Información",E279)))</formula>
    </cfRule>
  </conditionalFormatting>
  <conditionalFormatting sqref="E279">
    <cfRule type="containsText" dxfId="6638" priority="1151" operator="containsText" text="NUEVO">
      <formula>NOT(ISERROR(SEARCH("NUEVO",E279)))</formula>
    </cfRule>
  </conditionalFormatting>
  <conditionalFormatting sqref="E267">
    <cfRule type="containsText" dxfId="6637" priority="1146" operator="containsText" text="NUEVO">
      <formula>NOT(ISERROR(SEARCH("NUEVO",E267)))</formula>
    </cfRule>
  </conditionalFormatting>
  <conditionalFormatting sqref="E267">
    <cfRule type="containsText" dxfId="6636" priority="1145" operator="containsText" text="Sin Información">
      <formula>NOT(ISERROR(SEARCH("Sin Información",E267)))</formula>
    </cfRule>
  </conditionalFormatting>
  <conditionalFormatting sqref="E270">
    <cfRule type="containsText" dxfId="6635" priority="1134" operator="containsText" text="NUEVO">
      <formula>NOT(ISERROR(SEARCH("NUEVO",E270)))</formula>
    </cfRule>
  </conditionalFormatting>
  <conditionalFormatting sqref="E270">
    <cfRule type="containsText" dxfId="6634" priority="1133" operator="containsText" text="Sin Información">
      <formula>NOT(ISERROR(SEARCH("Sin Información",E270)))</formula>
    </cfRule>
  </conditionalFormatting>
  <conditionalFormatting sqref="E204">
    <cfRule type="containsText" dxfId="6633" priority="1104" operator="containsText" text="NUEVO">
      <formula>NOT(ISERROR(SEARCH("NUEVO",E204)))</formula>
    </cfRule>
  </conditionalFormatting>
  <conditionalFormatting sqref="E204">
    <cfRule type="containsText" dxfId="6632" priority="1103" operator="containsText" text="Sin Información">
      <formula>NOT(ISERROR(SEARCH("Sin Información",E204)))</formula>
    </cfRule>
  </conditionalFormatting>
  <conditionalFormatting sqref="E252">
    <cfRule type="containsText" dxfId="6631" priority="27458" operator="containsText" text="NUEVO">
      <formula>NOT(ISERROR(SEARCH("NUEVO",#REF!)))</formula>
    </cfRule>
  </conditionalFormatting>
  <conditionalFormatting sqref="E252">
    <cfRule type="containsText" dxfId="6630" priority="27459" operator="containsText" text="Sin Información">
      <formula>NOT(ISERROR(SEARCH("Sin Información",#REF!)))</formula>
    </cfRule>
  </conditionalFormatting>
  <conditionalFormatting sqref="E276">
    <cfRule type="containsText" dxfId="6629" priority="1013" operator="containsText" text="NUEVO">
      <formula>NOT(ISERROR(SEARCH("NUEVO",E276)))</formula>
    </cfRule>
  </conditionalFormatting>
  <conditionalFormatting sqref="E276">
    <cfRule type="containsText" dxfId="6628" priority="1012" operator="containsText" text="Sin Información">
      <formula>NOT(ISERROR(SEARCH("Sin Información",E276)))</formula>
    </cfRule>
  </conditionalFormatting>
  <conditionalFormatting sqref="E274">
    <cfRule type="containsText" dxfId="6627" priority="1008" operator="containsText" text="NUEVO">
      <formula>NOT(ISERROR(SEARCH("NUEVO",E274)))</formula>
    </cfRule>
  </conditionalFormatting>
  <conditionalFormatting sqref="E274">
    <cfRule type="containsText" dxfId="6626" priority="1007" operator="containsText" text="Sin Información">
      <formula>NOT(ISERROR(SEARCH("Sin Información",E274)))</formula>
    </cfRule>
  </conditionalFormatting>
  <conditionalFormatting sqref="E280">
    <cfRule type="containsText" dxfId="6625" priority="995" operator="containsText" text="Sin Información">
      <formula>NOT(ISERROR(SEARCH("Sin Información",E280)))</formula>
    </cfRule>
  </conditionalFormatting>
  <conditionalFormatting sqref="E280">
    <cfRule type="containsText" dxfId="6624" priority="996" operator="containsText" text="NUEVO">
      <formula>NOT(ISERROR(SEARCH("NUEVO",E280)))</formula>
    </cfRule>
  </conditionalFormatting>
  <conditionalFormatting sqref="F617 F96 F159:F170 F405:F409 E32:E35 E250:F253 E262:F262 E135 E172 E201 E269:E276 E285 E287 E112:F112 E203:E205 E207 E237:E238 F244:F249 E256:F256 F254:F255 F257:F259 F261 E265:F267 F263:F264 F379:F382 E44:E46 E23:F24 E298:E304 E316 F560:F566 F384:G397 E124:F133 E114:F122 G315:G316 G285:G310 F285:F300 F503:F506 F25:F92 E56:E79 F269:F282 E278:E280 E228:E232 F228:F242 G228:G282 F172:G226 E216:E219 F139:F152 E147:E161 G124:G170 F411:F436 E405:E436 F401:F402 G401:G445 E403:F403 E370:E371 F353:F377 E359:E368 F344:F351 G331:G382 E339:E351 F548:G558 E548:E554 F530:F546 E540:E545 G521:G546 F521:F528 F516:F517 G510:G517 E513:E517 F462:G501 E482:E483 G23:G96">
    <cfRule type="expression" dxfId="6623" priority="992">
      <formula>E23&lt;&gt;""</formula>
    </cfRule>
  </conditionalFormatting>
  <conditionalFormatting sqref="E215 E173:E177 E135 E146 E182 E220:E222 E197:E198 E185:E186">
    <cfRule type="expression" dxfId="6622" priority="989">
      <formula>E135&lt;&gt;""</formula>
    </cfRule>
  </conditionalFormatting>
  <conditionalFormatting sqref="E25:E30">
    <cfRule type="expression" dxfId="6621" priority="988">
      <formula>E25&lt;&gt;""</formula>
    </cfRule>
  </conditionalFormatting>
  <conditionalFormatting sqref="I189:J200 I593:J598 I600:J600 I602:J615 I599 I41:J41 I35 I173:J187 I161:J170 I334:J342 I140 I149:I151 I405:J405 I139:J139 I154:J157 I510:J510 I617:J623 I38:J39 I135:J137 I159:J159 I486:J490 I492:J495 I481 I244:J259 I226:J226 I112:J112 I202:J211 I409:J409 I379:J382 I497:J501 I43:J53 I560:J564 I24:J24 J25 J23 I26:J34 I36:J36 I384:J397 I356:J357 I114:J122 I141:J144 I503:J506 I467:J480 I55:J83 I269:J280 I261:J267 I228:J241 I213:J224 I146:J148 I124:J133 I113:I132 I418:J418 I411:J416 I401:J403 I364:J377 I359:J362 I344:J354 I551:J558 I535:J546 I521:J528 I517:J517 I482:J484">
    <cfRule type="expression" dxfId="6620" priority="987">
      <formula>OR(I23&lt;&gt;"", J23&lt;&gt;"")</formula>
    </cfRule>
  </conditionalFormatting>
  <conditionalFormatting sqref="I282:J282">
    <cfRule type="expression" dxfId="6619" priority="986">
      <formula>OR(I282&lt;&gt;"", J282&lt;&gt;"")</formula>
    </cfRule>
  </conditionalFormatting>
  <conditionalFormatting sqref="I407:J407 I420:J428">
    <cfRule type="expression" dxfId="6618" priority="985">
      <formula>OR(I407&lt;&gt;"", J407&lt;&gt;"")</formula>
    </cfRule>
  </conditionalFormatting>
  <conditionalFormatting sqref="I512:J514 I566:J566 I568:J571 I530:J532 I548:J549 I519:J519">
    <cfRule type="expression" dxfId="6617" priority="984">
      <formula>OR(I512&lt;&gt;"", J512&lt;&gt;"")</formula>
    </cfRule>
  </conditionalFormatting>
  <conditionalFormatting sqref="J599">
    <cfRule type="expression" dxfId="6616" priority="27815">
      <formula>OR(J599&lt;&gt;"", K599&lt;&gt;"")</formula>
    </cfRule>
  </conditionalFormatting>
  <conditionalFormatting sqref="F363">
    <cfRule type="containsText" dxfId="6615" priority="668" operator="containsText" text="NO+$D$4:$D$10">
      <formula>NOT(ISERROR(SEARCH("NO+$D$4:$D$10",F363)))</formula>
    </cfRule>
  </conditionalFormatting>
  <conditionalFormatting sqref="F363">
    <cfRule type="containsText" dxfId="6614" priority="666" operator="containsText" text="SI">
      <formula>NOT(ISERROR(SEARCH("SI",F363)))</formula>
    </cfRule>
    <cfRule type="containsText" dxfId="6613" priority="667" operator="containsText" text="NO">
      <formula>NOT(ISERROR(SEARCH("NO",F363)))</formula>
    </cfRule>
  </conditionalFormatting>
  <conditionalFormatting sqref="F363">
    <cfRule type="containsText" dxfId="6612" priority="665" operator="containsText" text="NUEVO">
      <formula>NOT(ISERROR(SEARCH("NUEVO",F363)))</formula>
    </cfRule>
  </conditionalFormatting>
  <conditionalFormatting sqref="J145">
    <cfRule type="expression" dxfId="6611" priority="28045">
      <formula>OR(J145&lt;&gt;"", K140&lt;&gt;"")</formula>
    </cfRule>
  </conditionalFormatting>
  <conditionalFormatting sqref="I145">
    <cfRule type="expression" dxfId="6610" priority="656">
      <formula>OR(I145&lt;&gt;"", J145&lt;&gt;"")</formula>
    </cfRule>
  </conditionalFormatting>
  <conditionalFormatting sqref="J481">
    <cfRule type="expression" dxfId="6609" priority="28089">
      <formula>OR(J481&lt;&gt;"", K496&lt;&gt;"")</formula>
    </cfRule>
  </conditionalFormatting>
  <conditionalFormatting sqref="F154:F157 F135:F137">
    <cfRule type="expression" dxfId="6608" priority="644">
      <formula>F135&lt;&gt;""</formula>
    </cfRule>
  </conditionalFormatting>
  <conditionalFormatting sqref="F331:F342 F447 F438">
    <cfRule type="expression" dxfId="6607" priority="643">
      <formula>F331&lt;&gt;""</formula>
    </cfRule>
  </conditionalFormatting>
  <conditionalFormatting sqref="F568:F570 F510:F514 F572 F519">
    <cfRule type="expression" dxfId="6606" priority="642">
      <formula>F510&lt;&gt;""</formula>
    </cfRule>
  </conditionalFormatting>
  <conditionalFormatting sqref="F587:F620 F623">
    <cfRule type="expression" dxfId="6605" priority="641">
      <formula>F587&lt;&gt;""</formula>
    </cfRule>
  </conditionalFormatting>
  <conditionalFormatting sqref="F567">
    <cfRule type="expression" dxfId="6604" priority="617">
      <formula>F567&lt;&gt;""</formula>
    </cfRule>
  </conditionalFormatting>
  <conditionalFormatting sqref="F343">
    <cfRule type="expression" dxfId="6603" priority="610">
      <formula>F343&lt;&gt;""</formula>
    </cfRule>
  </conditionalFormatting>
  <conditionalFormatting sqref="F378">
    <cfRule type="expression" dxfId="6602" priority="603">
      <formula>F378&lt;&gt;""</formula>
    </cfRule>
  </conditionalFormatting>
  <conditionalFormatting sqref="F410">
    <cfRule type="expression" dxfId="6601" priority="597">
      <formula>F410&lt;&gt;""</formula>
    </cfRule>
  </conditionalFormatting>
  <conditionalFormatting sqref="F404">
    <cfRule type="expression" dxfId="6600" priority="590">
      <formula>F404&lt;&gt;""</formula>
    </cfRule>
  </conditionalFormatting>
  <conditionalFormatting sqref="F439">
    <cfRule type="expression" dxfId="6599" priority="582">
      <formula>F439&lt;&gt;""</formula>
    </cfRule>
  </conditionalFormatting>
  <conditionalFormatting sqref="F440">
    <cfRule type="expression" dxfId="6598" priority="574">
      <formula>F440&lt;&gt;""</formula>
    </cfRule>
  </conditionalFormatting>
  <conditionalFormatting sqref="F437">
    <cfRule type="expression" dxfId="6597" priority="567">
      <formula>F437&lt;&gt;""</formula>
    </cfRule>
  </conditionalFormatting>
  <conditionalFormatting sqref="F301">
    <cfRule type="expression" dxfId="6596" priority="559">
      <formula>F301&lt;&gt;""</formula>
    </cfRule>
  </conditionalFormatting>
  <conditionalFormatting sqref="F138">
    <cfRule type="expression" dxfId="6595" priority="552">
      <formula>F138&lt;&gt;""</formula>
    </cfRule>
  </conditionalFormatting>
  <conditionalFormatting sqref="F302:F304">
    <cfRule type="expression" dxfId="6594" priority="544">
      <formula>F302&lt;&gt;""</formula>
    </cfRule>
  </conditionalFormatting>
  <conditionalFormatting sqref="F153">
    <cfRule type="expression" dxfId="6593" priority="530">
      <formula>F153&lt;&gt;""</formula>
    </cfRule>
  </conditionalFormatting>
  <conditionalFormatting sqref="F621">
    <cfRule type="expression" dxfId="6592" priority="504">
      <formula>F621&lt;&gt;""</formula>
    </cfRule>
  </conditionalFormatting>
  <conditionalFormatting sqref="F622">
    <cfRule type="expression" dxfId="6591" priority="496">
      <formula>F622&lt;&gt;""</formula>
    </cfRule>
  </conditionalFormatting>
  <conditionalFormatting sqref="F441">
    <cfRule type="expression" dxfId="6590" priority="488">
      <formula>F441&lt;&gt;""</formula>
    </cfRule>
  </conditionalFormatting>
  <conditionalFormatting sqref="I343">
    <cfRule type="expression" dxfId="6589" priority="487">
      <formula>OR(I343&lt;&gt;"", J343&lt;&gt;"")</formula>
    </cfRule>
  </conditionalFormatting>
  <conditionalFormatting sqref="F93">
    <cfRule type="expression" dxfId="6588" priority="479">
      <formula>F93&lt;&gt;""</formula>
    </cfRule>
  </conditionalFormatting>
  <conditionalFormatting sqref="F268">
    <cfRule type="expression" dxfId="6587" priority="458">
      <formula>F268&lt;&gt;""</formula>
    </cfRule>
  </conditionalFormatting>
  <conditionalFormatting sqref="J35">
    <cfRule type="expression" dxfId="6586" priority="28214">
      <formula>OR(J35&lt;&gt;"", K42&lt;&gt;"")</formula>
    </cfRule>
  </conditionalFormatting>
  <conditionalFormatting sqref="F243">
    <cfRule type="expression" dxfId="6585" priority="471">
      <formula>F243&lt;&gt;""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4" priority="359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3" priority="360" operator="containsText" text="NUEVO">
      <formula>NOT(ISERROR(SEARCH("NUEVO",E137)))</formula>
    </cfRule>
  </conditionalFormatting>
  <conditionalFormatting sqref="I138">
    <cfRule type="expression" dxfId="6582" priority="457">
      <formula>OR(I138&lt;&gt;"", J138&lt;&gt;"")</formula>
    </cfRule>
  </conditionalFormatting>
  <conditionalFormatting sqref="F134">
    <cfRule type="expression" dxfId="6581" priority="450">
      <formula>F134&lt;&gt;""</formula>
    </cfRule>
  </conditionalFormatting>
  <conditionalFormatting sqref="I134">
    <cfRule type="expression" dxfId="6580" priority="449">
      <formula>OR(I134&lt;&gt;"", J134&lt;&gt;"")</formula>
    </cfRule>
  </conditionalFormatting>
  <conditionalFormatting sqref="F158">
    <cfRule type="expression" dxfId="6579" priority="443">
      <formula>F158&lt;&gt;""</formula>
    </cfRule>
  </conditionalFormatting>
  <conditionalFormatting sqref="I358">
    <cfRule type="expression" dxfId="6578" priority="28399">
      <formula>OR(I358&lt;&gt;"", #REF!&lt;&gt;"")</formula>
    </cfRule>
  </conditionalFormatting>
  <conditionalFormatting sqref="G112 G114:G122">
    <cfRule type="expression" dxfId="6577" priority="428">
      <formula>G112&lt;&gt;""</formula>
    </cfRule>
  </conditionalFormatting>
  <conditionalFormatting sqref="G447">
    <cfRule type="expression" dxfId="6576" priority="427">
      <formula>G447&lt;&gt;""</formula>
    </cfRule>
  </conditionalFormatting>
  <conditionalFormatting sqref="G560:G572 G519 G503:G507">
    <cfRule type="expression" dxfId="6575" priority="426">
      <formula>G503&lt;&gt;""</formula>
    </cfRule>
  </conditionalFormatting>
  <conditionalFormatting sqref="G587:G623">
    <cfRule type="expression" dxfId="6574" priority="425">
      <formula>G587&lt;&gt;""</formula>
    </cfRule>
  </conditionalFormatting>
  <conditionalFormatting sqref="F260">
    <cfRule type="expression" dxfId="6573" priority="424">
      <formula>F260&lt;&gt;""</formula>
    </cfRule>
  </conditionalFormatting>
  <conditionalFormatting sqref="E24">
    <cfRule type="expression" dxfId="6572" priority="382">
      <formula>E24&lt;&gt;""</formula>
    </cfRule>
  </conditionalFormatting>
  <conditionalFormatting sqref="E24">
    <cfRule type="expression" dxfId="6571" priority="383">
      <formula>E24&lt;&gt;""</formula>
    </cfRule>
  </conditionalFormatting>
  <conditionalFormatting sqref="F529 F515 F507">
    <cfRule type="expression" dxfId="6570" priority="413">
      <formula>F507&lt;&gt;""</formula>
    </cfRule>
  </conditionalFormatting>
  <conditionalFormatting sqref="E88:E90 E47:E55 E36:E43 E34">
    <cfRule type="expression" dxfId="6569" priority="409">
      <formula>E34&lt;&gt;""</formula>
    </cfRule>
  </conditionalFormatting>
  <conditionalFormatting sqref="E88:E90 E47:E55 E36:E43">
    <cfRule type="containsText" dxfId="6568" priority="408" operator="containsText" text="Sin información">
      <formula>NOT(ISERROR(SEARCH("Sin información",E36)))</formula>
    </cfRule>
  </conditionalFormatting>
  <conditionalFormatting sqref="E88:E90 E47:E55 E36:E43">
    <cfRule type="containsText" dxfId="6567" priority="407" operator="containsText" text="NUEVO">
      <formula>NOT(ISERROR(SEARCH("NUEVO",E36)))</formula>
    </cfRule>
  </conditionalFormatting>
  <conditionalFormatting sqref="E56">
    <cfRule type="expression" dxfId="6566" priority="406">
      <formula>E56&lt;&gt;""</formula>
    </cfRule>
  </conditionalFormatting>
  <conditionalFormatting sqref="E91:E93 E80:E87 E57 E96">
    <cfRule type="containsText" dxfId="6565" priority="405" operator="containsText" text="Sin información">
      <formula>NOT(ISERROR(SEARCH("Sin información",E57)))</formula>
    </cfRule>
  </conditionalFormatting>
  <conditionalFormatting sqref="E91:E93 E80:E87 E57 E96">
    <cfRule type="containsText" dxfId="6564" priority="404" operator="containsText" text="NUEVO">
      <formula>NOT(ISERROR(SEARCH("NUEVO",E57)))</formula>
    </cfRule>
  </conditionalFormatting>
  <conditionalFormatting sqref="E91:E93 E80:E87 E66:E67 E57 E96">
    <cfRule type="expression" dxfId="6563" priority="403">
      <formula>E57&lt;&gt;""</formula>
    </cfRule>
  </conditionalFormatting>
  <conditionalFormatting sqref="E91:E93 E80:E87 E96">
    <cfRule type="expression" dxfId="6562" priority="402">
      <formula>E80&lt;&gt;""</formula>
    </cfRule>
  </conditionalFormatting>
  <conditionalFormatting sqref="E25:E27 E31">
    <cfRule type="expression" dxfId="6561" priority="401">
      <formula>E25&lt;&gt;""</formula>
    </cfRule>
  </conditionalFormatting>
  <conditionalFormatting sqref="E25:E27 E31 E33 E35 E44">
    <cfRule type="expression" dxfId="6560" priority="400">
      <formula>E25&lt;&gt;""</formula>
    </cfRule>
  </conditionalFormatting>
  <conditionalFormatting sqref="E31">
    <cfRule type="containsText" dxfId="6559" priority="399" operator="containsText" text="Sin información">
      <formula>NOT(ISERROR(SEARCH("Sin información",E31)))</formula>
    </cfRule>
  </conditionalFormatting>
  <conditionalFormatting sqref="E31">
    <cfRule type="containsText" dxfId="6558" priority="398" operator="containsText" text="NUEVO">
      <formula>NOT(ISERROR(SEARCH("NUEVO",E31)))</formula>
    </cfRule>
  </conditionalFormatting>
  <conditionalFormatting sqref="E31">
    <cfRule type="containsText" dxfId="6557" priority="397" operator="containsText" text="Sin información">
      <formula>NOT(ISERROR(SEARCH("Sin información",E31)))</formula>
    </cfRule>
  </conditionalFormatting>
  <conditionalFormatting sqref="E31">
    <cfRule type="containsText" dxfId="6556" priority="396" operator="containsText" text="NUEVO">
      <formula>NOT(ISERROR(SEARCH("NUEVO",E31)))</formula>
    </cfRule>
  </conditionalFormatting>
  <conditionalFormatting sqref="E44 E35 E33 E31">
    <cfRule type="expression" dxfId="6555" priority="395">
      <formula>E31&lt;&gt;""</formula>
    </cfRule>
  </conditionalFormatting>
  <conditionalFormatting sqref="E44 E35 E33">
    <cfRule type="expression" dxfId="6554" priority="394">
      <formula>E33&lt;&gt;""</formula>
    </cfRule>
  </conditionalFormatting>
  <conditionalFormatting sqref="E45">
    <cfRule type="expression" dxfId="6553" priority="393">
      <formula>E45&lt;&gt;""</formula>
    </cfRule>
  </conditionalFormatting>
  <conditionalFormatting sqref="E45">
    <cfRule type="expression" dxfId="6552" priority="392">
      <formula>E45&lt;&gt;""</formula>
    </cfRule>
  </conditionalFormatting>
  <conditionalFormatting sqref="E45">
    <cfRule type="expression" dxfId="6551" priority="391">
      <formula>E45&lt;&gt;""</formula>
    </cfRule>
  </conditionalFormatting>
  <conditionalFormatting sqref="E46">
    <cfRule type="expression" dxfId="6550" priority="390">
      <formula>E46&lt;&gt;""</formula>
    </cfRule>
  </conditionalFormatting>
  <conditionalFormatting sqref="E46">
    <cfRule type="expression" dxfId="6549" priority="389">
      <formula>E46&lt;&gt;""</formula>
    </cfRule>
  </conditionalFormatting>
  <conditionalFormatting sqref="E46">
    <cfRule type="expression" dxfId="6548" priority="388">
      <formula>E46&lt;&gt;""</formula>
    </cfRule>
  </conditionalFormatting>
  <conditionalFormatting sqref="E23">
    <cfRule type="expression" dxfId="6547" priority="387">
      <formula>E23&lt;&gt;""</formula>
    </cfRule>
  </conditionalFormatting>
  <conditionalFormatting sqref="E23">
    <cfRule type="expression" dxfId="6546" priority="386">
      <formula>E23&lt;&gt;""</formula>
    </cfRule>
  </conditionalFormatting>
  <conditionalFormatting sqref="E23">
    <cfRule type="expression" dxfId="6545" priority="385">
      <formula>E23&lt;&gt;""</formula>
    </cfRule>
  </conditionalFormatting>
  <conditionalFormatting sqref="E24">
    <cfRule type="expression" dxfId="6544" priority="384">
      <formula>E24&lt;&gt;""</formula>
    </cfRule>
  </conditionalFormatting>
  <conditionalFormatting sqref="E32">
    <cfRule type="expression" dxfId="6543" priority="381">
      <formula>E32&lt;&gt;""</formula>
    </cfRule>
  </conditionalFormatting>
  <conditionalFormatting sqref="E32">
    <cfRule type="expression" dxfId="6542" priority="380">
      <formula>E32&lt;&gt;""</formula>
    </cfRule>
  </conditionalFormatting>
  <conditionalFormatting sqref="E32">
    <cfRule type="expression" dxfId="6541" priority="379">
      <formula>E32&lt;&gt;""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40" priority="378" operator="containsText" text="NUEVO">
      <formula>NOT(ISERROR(SEARCH("NUEVO",E134)))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9" priority="377" operator="containsText" text="Sin Información">
      <formula>NOT(ISERROR(SEARCH("Sin Información",E134)))</formula>
    </cfRule>
  </conditionalFormatting>
  <conditionalFormatting sqref="E288:E297 E286 E282 E260:E261 E241:E247 E225 E222 E209:E214 E199 E188:E195 E185:E186 E181 E179 E173:E175 E168:E170 E163:E166 E143:E145 E138:E141 E136 E134">
    <cfRule type="expression" dxfId="6538" priority="376">
      <formula>E134&lt;&gt;""</formula>
    </cfRule>
  </conditionalFormatting>
  <conditionalFormatting sqref="E215 E182 E176:E177 E146">
    <cfRule type="expression" dxfId="6537" priority="375">
      <formula>E146&lt;&gt;""</formula>
    </cfRule>
  </conditionalFormatting>
  <conditionalFormatting sqref="E215">
    <cfRule type="containsText" dxfId="6536" priority="374" operator="containsText" text="Sin Información">
      <formula>NOT(ISERROR(SEARCH("Sin Información",E215)))</formula>
    </cfRule>
  </conditionalFormatting>
  <conditionalFormatting sqref="E215 E182 E176:E177 E146">
    <cfRule type="expression" dxfId="6535" priority="372">
      <formula>E146&lt;&gt;""</formula>
    </cfRule>
  </conditionalFormatting>
  <conditionalFormatting sqref="E215">
    <cfRule type="containsText" dxfId="6534" priority="371" operator="containsText" text="Sin Información">
      <formula>NOT(ISERROR(SEARCH("Sin Información",E215)))</formula>
    </cfRule>
  </conditionalFormatting>
  <conditionalFormatting sqref="E220">
    <cfRule type="expression" dxfId="6533" priority="369">
      <formula>E220&lt;&gt;""</formula>
    </cfRule>
  </conditionalFormatting>
  <conditionalFormatting sqref="E221">
    <cfRule type="expression" dxfId="6532" priority="368">
      <formula>E221&lt;&gt;""</formula>
    </cfRule>
  </conditionalFormatting>
  <conditionalFormatting sqref="E197:E198">
    <cfRule type="containsText" dxfId="6531" priority="367" operator="containsText" text="Sin información">
      <formula>NOT(ISERROR(SEARCH("Sin información",E197)))</formula>
    </cfRule>
  </conditionalFormatting>
  <conditionalFormatting sqref="E197:E198">
    <cfRule type="expression" dxfId="6530" priority="366">
      <formula>E197&lt;&gt;""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9" priority="358">
      <formula>E137&lt;&gt;""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28" priority="357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7" priority="356">
      <formula>E137&lt;&gt;""</formula>
    </cfRule>
  </conditionalFormatting>
  <conditionalFormatting sqref="E281">
    <cfRule type="containsText" dxfId="6526" priority="355" operator="containsText" text="NUEVO">
      <formula>NOT(ISERROR(SEARCH("NUEVO",E281)))</formula>
    </cfRule>
  </conditionalFormatting>
  <conditionalFormatting sqref="E281">
    <cfRule type="containsText" dxfId="6525" priority="354" operator="containsText" text="Sin Información">
      <formula>NOT(ISERROR(SEARCH("Sin Información",E281)))</formula>
    </cfRule>
  </conditionalFormatting>
  <conditionalFormatting sqref="E281">
    <cfRule type="expression" dxfId="6524" priority="353">
      <formula>E281&lt;&gt;""</formula>
    </cfRule>
  </conditionalFormatting>
  <conditionalFormatting sqref="E281">
    <cfRule type="containsText" dxfId="6523" priority="352" operator="containsText" text="Sin información">
      <formula>NOT(ISERROR(SEARCH("Sin información",E281)))</formula>
    </cfRule>
  </conditionalFormatting>
  <conditionalFormatting sqref="E281">
    <cfRule type="expression" dxfId="6522" priority="351">
      <formula>E281&lt;&gt;""</formula>
    </cfRule>
  </conditionalFormatting>
  <conditionalFormatting sqref="E546 E496">
    <cfRule type="expression" dxfId="6521" priority="277">
      <formula>E496&lt;&gt;""</formula>
    </cfRule>
  </conditionalFormatting>
  <conditionalFormatting sqref="E401">
    <cfRule type="containsText" dxfId="6520" priority="345" operator="containsText" text="NUEVO">
      <formula>NOT(ISERROR(SEARCH("NUEVO",E401)))</formula>
    </cfRule>
  </conditionalFormatting>
  <conditionalFormatting sqref="E401">
    <cfRule type="containsText" dxfId="6519" priority="344" operator="containsText" text="Sin Información">
      <formula>NOT(ISERROR(SEARCH("Sin Información",E401)))</formula>
    </cfRule>
  </conditionalFormatting>
  <conditionalFormatting sqref="E401">
    <cfRule type="expression" dxfId="6518" priority="343">
      <formula>E401&lt;&gt;""</formula>
    </cfRule>
  </conditionalFormatting>
  <conditionalFormatting sqref="E333 E336:E337 E355 E357 E375 E378:E382 E392:E393 E396:E397 E438 E440:E441 E447 E353 E384:E389">
    <cfRule type="containsText" dxfId="6517" priority="342" operator="containsText" text="NUEVO">
      <formula>NOT(ISERROR(SEARCH("NUEVO",E333)))</formula>
    </cfRule>
  </conditionalFormatting>
  <conditionalFormatting sqref="E333 E336:E337 E355 E357 E375 E378:E382 E392:E393 E396:E397 E438 E440:E441 E447 E353 E384:E389">
    <cfRule type="containsText" dxfId="6516" priority="341" operator="containsText" text="Sin Información">
      <formula>NOT(ISERROR(SEARCH("Sin Información",E333)))</formula>
    </cfRule>
  </conditionalFormatting>
  <conditionalFormatting sqref="E333 E336:E337 E355 E357 E375 E378:E382 E392:E393 E396:E397 E438 E440:E441 E447 E353 E384:E389">
    <cfRule type="expression" dxfId="6515" priority="340">
      <formula>E333&lt;&gt;""</formula>
    </cfRule>
  </conditionalFormatting>
  <conditionalFormatting sqref="E338">
    <cfRule type="containsText" dxfId="6514" priority="339" operator="containsText" text="NUEVO">
      <formula>NOT(ISERROR(SEARCH("NUEVO",E338)))</formula>
    </cfRule>
  </conditionalFormatting>
  <conditionalFormatting sqref="E338">
    <cfRule type="containsText" dxfId="6513" priority="338" operator="containsText" text="Sin Información">
      <formula>NOT(ISERROR(SEARCH("Sin Información",E338)))</formula>
    </cfRule>
  </conditionalFormatting>
  <conditionalFormatting sqref="E338">
    <cfRule type="expression" dxfId="6512" priority="337">
      <formula>E338&lt;&gt;""</formula>
    </cfRule>
  </conditionalFormatting>
  <conditionalFormatting sqref="E608 E621:E623">
    <cfRule type="containsText" dxfId="6511" priority="270" operator="containsText" text="NUEVO">
      <formula>NOT(ISERROR(SEARCH("NUEVO",E608)))</formula>
    </cfRule>
  </conditionalFormatting>
  <conditionalFormatting sqref="E608 E621:E623">
    <cfRule type="containsText" dxfId="6510" priority="269" operator="containsText" text="Sin Información">
      <formula>NOT(ISERROR(SEARCH("Sin Información",E608)))</formula>
    </cfRule>
  </conditionalFormatting>
  <conditionalFormatting sqref="E608 E621:E623">
    <cfRule type="expression" dxfId="6509" priority="268">
      <formula>E608&lt;&gt;""</formula>
    </cfRule>
  </conditionalFormatting>
  <conditionalFormatting sqref="E439 E402">
    <cfRule type="containsText" dxfId="6508" priority="333" operator="containsText" text="NUEVO">
      <formula>NOT(ISERROR(SEARCH("NUEVO",E402)))</formula>
    </cfRule>
  </conditionalFormatting>
  <conditionalFormatting sqref="E439 E402">
    <cfRule type="containsText" dxfId="6507" priority="332" operator="containsText" text="Sin Información">
      <formula>NOT(ISERROR(SEARCH("Sin Información",E402)))</formula>
    </cfRule>
  </conditionalFormatting>
  <conditionalFormatting sqref="E439 E402">
    <cfRule type="expression" dxfId="6506" priority="331">
      <formula>E402&lt;&gt;""</formula>
    </cfRule>
  </conditionalFormatting>
  <conditionalFormatting sqref="E354">
    <cfRule type="containsText" dxfId="6505" priority="330" operator="containsText" text="NUEVO">
      <formula>NOT(ISERROR(SEARCH("NUEVO",E354)))</formula>
    </cfRule>
  </conditionalFormatting>
  <conditionalFormatting sqref="E354">
    <cfRule type="containsText" dxfId="6504" priority="329" operator="containsText" text="Sin Información">
      <formula>NOT(ISERROR(SEARCH("Sin Información",E354)))</formula>
    </cfRule>
  </conditionalFormatting>
  <conditionalFormatting sqref="E354">
    <cfRule type="expression" dxfId="6503" priority="328">
      <formula>E354&lt;&gt;""</formula>
    </cfRule>
  </conditionalFormatting>
  <conditionalFormatting sqref="E610:E611 E593">
    <cfRule type="containsText" dxfId="6502" priority="261" operator="containsText" text="NUEVO">
      <formula>NOT(ISERROR(SEARCH("NUEVO",E593)))</formula>
    </cfRule>
  </conditionalFormatting>
  <conditionalFormatting sqref="E610:E611 E593">
    <cfRule type="containsText" dxfId="6501" priority="260" operator="containsText" text="Sin Información">
      <formula>NOT(ISERROR(SEARCH("Sin Información",E593)))</formula>
    </cfRule>
  </conditionalFormatting>
  <conditionalFormatting sqref="E610:E611 E593">
    <cfRule type="expression" dxfId="6500" priority="259">
      <formula>E593&lt;&gt;""</formula>
    </cfRule>
  </conditionalFormatting>
  <conditionalFormatting sqref="E358 E356 E334:E335 E331:E332">
    <cfRule type="containsText" dxfId="6499" priority="324" operator="containsText" text="NUEVO">
      <formula>NOT(ISERROR(SEARCH("NUEVO",E331)))</formula>
    </cfRule>
  </conditionalFormatting>
  <conditionalFormatting sqref="E358 E356 E334:E335 E331:E332">
    <cfRule type="containsText" dxfId="6498" priority="323" operator="containsText" text="Sin Información">
      <formula>NOT(ISERROR(SEARCH("Sin Información",E331)))</formula>
    </cfRule>
  </conditionalFormatting>
  <conditionalFormatting sqref="E358 E356 E334:E335 E331:E332">
    <cfRule type="expression" dxfId="6497" priority="322">
      <formula>E331&lt;&gt;""</formula>
    </cfRule>
  </conditionalFormatting>
  <conditionalFormatting sqref="E372:E374">
    <cfRule type="containsText" dxfId="6496" priority="321" operator="containsText" text="NUEVO">
      <formula>NOT(ISERROR(SEARCH("NUEVO",E372)))</formula>
    </cfRule>
  </conditionalFormatting>
  <conditionalFormatting sqref="E372:E374">
    <cfRule type="containsText" dxfId="6495" priority="320" operator="containsText" text="Sin Información">
      <formula>NOT(ISERROR(SEARCH("Sin Información",E372)))</formula>
    </cfRule>
  </conditionalFormatting>
  <conditionalFormatting sqref="E372:E374">
    <cfRule type="expression" dxfId="6494" priority="319">
      <formula>E372&lt;&gt;""</formula>
    </cfRule>
  </conditionalFormatting>
  <conditionalFormatting sqref="E369">
    <cfRule type="containsText" dxfId="6493" priority="318" operator="containsText" text="NUEVO">
      <formula>NOT(ISERROR(SEARCH("NUEVO",E369)))</formula>
    </cfRule>
  </conditionalFormatting>
  <conditionalFormatting sqref="E369">
    <cfRule type="containsText" dxfId="6492" priority="317" operator="containsText" text="Sin Información">
      <formula>NOT(ISERROR(SEARCH("Sin Información",E369)))</formula>
    </cfRule>
  </conditionalFormatting>
  <conditionalFormatting sqref="E369">
    <cfRule type="expression" dxfId="6491" priority="316">
      <formula>E369&lt;&gt;""</formula>
    </cfRule>
  </conditionalFormatting>
  <conditionalFormatting sqref="E437 E404 E394 E390:E391 E376:E377">
    <cfRule type="containsText" dxfId="6490" priority="315" operator="containsText" text="NUEVO">
      <formula>NOT(ISERROR(SEARCH("NUEVO",E376)))</formula>
    </cfRule>
  </conditionalFormatting>
  <conditionalFormatting sqref="E437 E404 E394 E390:E391 E376:E377">
    <cfRule type="containsText" dxfId="6489" priority="314" operator="containsText" text="Sin Información">
      <formula>NOT(ISERROR(SEARCH("Sin Información",E376)))</formula>
    </cfRule>
  </conditionalFormatting>
  <conditionalFormatting sqref="E437 E404 E394 E390:E391 E376:E377">
    <cfRule type="expression" dxfId="6488" priority="313">
      <formula>E376&lt;&gt;""</formula>
    </cfRule>
  </conditionalFormatting>
  <conditionalFormatting sqref="E395">
    <cfRule type="containsText" dxfId="6487" priority="312" operator="containsText" text="NUEVO">
      <formula>NOT(ISERROR(SEARCH("NUEVO",E395)))</formula>
    </cfRule>
  </conditionalFormatting>
  <conditionalFormatting sqref="E395">
    <cfRule type="containsText" dxfId="6486" priority="311" operator="containsText" text="Sin Información">
      <formula>NOT(ISERROR(SEARCH("Sin Información",E395)))</formula>
    </cfRule>
  </conditionalFormatting>
  <conditionalFormatting sqref="E395">
    <cfRule type="expression" dxfId="6485" priority="310">
      <formula>E395&lt;&gt;""</formula>
    </cfRule>
  </conditionalFormatting>
  <conditionalFormatting sqref="E616">
    <cfRule type="containsText" dxfId="6484" priority="267" operator="containsText" text="NUEVO">
      <formula>NOT(ISERROR(SEARCH("NUEVO",E616)))</formula>
    </cfRule>
  </conditionalFormatting>
  <conditionalFormatting sqref="E616">
    <cfRule type="containsText" dxfId="6483" priority="266" operator="containsText" text="Sin Información">
      <formula>NOT(ISERROR(SEARCH("Sin Información",E616)))</formula>
    </cfRule>
  </conditionalFormatting>
  <conditionalFormatting sqref="E616">
    <cfRule type="expression" dxfId="6482" priority="265">
      <formula>E616&lt;&gt;""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1" priority="303" operator="containsText" text="NUEVO">
      <formula>NOT(ISERROR(SEARCH("NUEVO",E464)))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0" priority="302" operator="containsText" text="Sin Información">
      <formula>NOT(ISERROR(SEARCH("Sin Información",E464)))</formula>
    </cfRule>
  </conditionalFormatting>
  <conditionalFormatting sqref="E469 E464 E473 E475:E478 E485 E497:E500 E503:E504 E507 E524:E527 E532:E537 E556 E558 E561:E563 E565 E567:E570 E490:E491 E493 E510:E511 E572 E521:E522 E519">
    <cfRule type="expression" dxfId="6479" priority="301">
      <formula>E464&lt;&gt;""</formula>
    </cfRule>
  </conditionalFormatting>
  <conditionalFormatting sqref="E566 E564 E560 E557 E555 E539 E529 E523 E484 E471">
    <cfRule type="containsText" dxfId="6478" priority="300" operator="containsText" text="NUEVO">
      <formula>NOT(ISERROR(SEARCH("NUEVO",E471)))</formula>
    </cfRule>
  </conditionalFormatting>
  <conditionalFormatting sqref="E566 E564 E560 E557 E555 E539 E529 E523 E484 E471">
    <cfRule type="containsText" dxfId="6477" priority="299" operator="containsText" text="Sin Información">
      <formula>NOT(ISERROR(SEARCH("Sin Información",E471)))</formula>
    </cfRule>
  </conditionalFormatting>
  <conditionalFormatting sqref="E566 E564 E560 E557 E555 E539 E529 E523 E484 E471">
    <cfRule type="expression" dxfId="6476" priority="298">
      <formula>E471&lt;&gt;""</formula>
    </cfRule>
  </conditionalFormatting>
  <conditionalFormatting sqref="E530 E528 E512 E501 E495 E479:E481 E472 E470 E465:E468 E462:E463">
    <cfRule type="containsText" dxfId="6475" priority="297" operator="containsText" text="NUEVO">
      <formula>NOT(ISERROR(SEARCH("NUEVO",E462)))</formula>
    </cfRule>
  </conditionalFormatting>
  <conditionalFormatting sqref="E530 E528 E512 E501 E495 E479:E481 E472 E470 E465:E468 E462:E463">
    <cfRule type="containsText" dxfId="6474" priority="296" operator="containsText" text="Sin Información">
      <formula>NOT(ISERROR(SEARCH("Sin Información",E462)))</formula>
    </cfRule>
  </conditionalFormatting>
  <conditionalFormatting sqref="E530 E528 E512 E501 E495 E479:E481 E472 E470 E465:E468 E462:E463">
    <cfRule type="expression" dxfId="6473" priority="295">
      <formula>E462&lt;&gt;""</formula>
    </cfRule>
  </conditionalFormatting>
  <conditionalFormatting sqref="E505">
    <cfRule type="containsText" dxfId="6472" priority="294" operator="containsText" text="NUEVO">
      <formula>NOT(ISERROR(SEARCH("NUEVO",E505)))</formula>
    </cfRule>
  </conditionalFormatting>
  <conditionalFormatting sqref="E505">
    <cfRule type="containsText" dxfId="6471" priority="293" operator="containsText" text="Sin Información">
      <formula>NOT(ISERROR(SEARCH("Sin Información",E505)))</formula>
    </cfRule>
  </conditionalFormatting>
  <conditionalFormatting sqref="E505">
    <cfRule type="expression" dxfId="6470" priority="292">
      <formula>E505&lt;&gt;""</formula>
    </cfRule>
  </conditionalFormatting>
  <conditionalFormatting sqref="E506">
    <cfRule type="containsText" dxfId="6469" priority="291" operator="containsText" text="NUEVO">
      <formula>NOT(ISERROR(SEARCH("NUEVO",E506)))</formula>
    </cfRule>
  </conditionalFormatting>
  <conditionalFormatting sqref="E506">
    <cfRule type="containsText" dxfId="6468" priority="290" operator="containsText" text="Sin Información">
      <formula>NOT(ISERROR(SEARCH("Sin Información",E506)))</formula>
    </cfRule>
  </conditionalFormatting>
  <conditionalFormatting sqref="E506">
    <cfRule type="expression" dxfId="6467" priority="289">
      <formula>E506&lt;&gt;""</formula>
    </cfRule>
  </conditionalFormatting>
  <conditionalFormatting sqref="E488:E489">
    <cfRule type="containsText" dxfId="6466" priority="288" operator="containsText" text="NUEVO">
      <formula>NOT(ISERROR(SEARCH("NUEVO",E488)))</formula>
    </cfRule>
  </conditionalFormatting>
  <conditionalFormatting sqref="E488:E489">
    <cfRule type="containsText" dxfId="6465" priority="287" operator="containsText" text="Sin Información">
      <formula>NOT(ISERROR(SEARCH("Sin Información",E488)))</formula>
    </cfRule>
  </conditionalFormatting>
  <conditionalFormatting sqref="E488:E489">
    <cfRule type="expression" dxfId="6464" priority="286">
      <formula>E488&lt;&gt;""</formula>
    </cfRule>
  </conditionalFormatting>
  <conditionalFormatting sqref="E474">
    <cfRule type="containsText" dxfId="6463" priority="285" operator="containsText" text="NUEVO">
      <formula>NOT(ISERROR(SEARCH("NUEVO",E474)))</formula>
    </cfRule>
  </conditionalFormatting>
  <conditionalFormatting sqref="E474">
    <cfRule type="containsText" dxfId="6462" priority="284" operator="containsText" text="Sin Información">
      <formula>NOT(ISERROR(SEARCH("Sin Información",E474)))</formula>
    </cfRule>
  </conditionalFormatting>
  <conditionalFormatting sqref="E474">
    <cfRule type="expression" dxfId="6461" priority="283">
      <formula>E474&lt;&gt;""</formula>
    </cfRule>
  </conditionalFormatting>
  <conditionalFormatting sqref="E538 E531 E494 E492 E486:E487">
    <cfRule type="containsText" dxfId="6460" priority="282" operator="containsText" text="NUEVO">
      <formula>NOT(ISERROR(SEARCH("NUEVO",E486)))</formula>
    </cfRule>
  </conditionalFormatting>
  <conditionalFormatting sqref="E538 E531 E494 E492 E486:E487">
    <cfRule type="containsText" dxfId="6459" priority="281" operator="containsText" text="Sin Información">
      <formula>NOT(ISERROR(SEARCH("Sin Información",E486)))</formula>
    </cfRule>
  </conditionalFormatting>
  <conditionalFormatting sqref="E538 E531 E494 E492 E486:E487">
    <cfRule type="expression" dxfId="6458" priority="280">
      <formula>E486&lt;&gt;""</formula>
    </cfRule>
  </conditionalFormatting>
  <conditionalFormatting sqref="E546 E496">
    <cfRule type="containsText" dxfId="6457" priority="279" operator="containsText" text="NUEVO">
      <formula>NOT(ISERROR(SEARCH("NUEVO",E496)))</formula>
    </cfRule>
  </conditionalFormatting>
  <conditionalFormatting sqref="E546 E496">
    <cfRule type="containsText" dxfId="6456" priority="278" operator="containsText" text="Sin Información">
      <formula>NOT(ISERROR(SEARCH("Sin Información",E496)))</formula>
    </cfRule>
  </conditionalFormatting>
  <conditionalFormatting sqref="E587">
    <cfRule type="containsText" dxfId="6455" priority="276" operator="containsText" text="NUEVO">
      <formula>NOT(ISERROR(SEARCH("NUEVO",E587)))</formula>
    </cfRule>
  </conditionalFormatting>
  <conditionalFormatting sqref="E587">
    <cfRule type="containsText" dxfId="6454" priority="275" operator="containsText" text="Sin Información">
      <formula>NOT(ISERROR(SEARCH("Sin Información",E587)))</formula>
    </cfRule>
  </conditionalFormatting>
  <conditionalFormatting sqref="E587">
    <cfRule type="expression" dxfId="6453" priority="274">
      <formula>E587&lt;&gt;""</formula>
    </cfRule>
  </conditionalFormatting>
  <conditionalFormatting sqref="E617:E620 E612:E615 E609 E601:E607 E594:E599 E588:E590">
    <cfRule type="containsText" dxfId="6452" priority="273" operator="containsText" text="NUEVO">
      <formula>NOT(ISERROR(SEARCH("NUEVO",E588)))</formula>
    </cfRule>
  </conditionalFormatting>
  <conditionalFormatting sqref="E617:E620 E612:E615 E609 E601:E607 E594:E599 E588:E590">
    <cfRule type="containsText" dxfId="6451" priority="272" operator="containsText" text="Sin Información">
      <formula>NOT(ISERROR(SEARCH("Sin Información",E588)))</formula>
    </cfRule>
  </conditionalFormatting>
  <conditionalFormatting sqref="E617:E620 E612:E615 E609 E601:E607 E594:E599 E588:E590">
    <cfRule type="expression" dxfId="6450" priority="271">
      <formula>E588&lt;&gt;""</formula>
    </cfRule>
  </conditionalFormatting>
  <conditionalFormatting sqref="E591:E592">
    <cfRule type="containsText" dxfId="6449" priority="264" operator="containsText" text="NUEVO">
      <formula>NOT(ISERROR(SEARCH("NUEVO",E591)))</formula>
    </cfRule>
  </conditionalFormatting>
  <conditionalFormatting sqref="E591:E592">
    <cfRule type="containsText" dxfId="6448" priority="263" operator="containsText" text="Sin Información">
      <formula>NOT(ISERROR(SEARCH("Sin Información",E591)))</formula>
    </cfRule>
  </conditionalFormatting>
  <conditionalFormatting sqref="E591:E592">
    <cfRule type="expression" dxfId="6447" priority="262">
      <formula>E591&lt;&gt;""</formula>
    </cfRule>
  </conditionalFormatting>
  <conditionalFormatting sqref="E600">
    <cfRule type="containsText" dxfId="6446" priority="258" operator="containsText" text="NUEVO">
      <formula>NOT(ISERROR(SEARCH("NUEVO",E600)))</formula>
    </cfRule>
  </conditionalFormatting>
  <conditionalFormatting sqref="E600">
    <cfRule type="containsText" dxfId="6445" priority="257" operator="containsText" text="Sin Información">
      <formula>NOT(ISERROR(SEARCH("Sin Información",E600)))</formula>
    </cfRule>
  </conditionalFormatting>
  <conditionalFormatting sqref="E600">
    <cfRule type="expression" dxfId="6444" priority="256">
      <formula>E600&lt;&gt;""</formula>
    </cfRule>
  </conditionalFormatting>
  <conditionalFormatting sqref="C442:D442">
    <cfRule type="containsText" dxfId="6443" priority="255" operator="containsText" text="NO+$D$4:$D$10">
      <formula>NOT(ISERROR(SEARCH("NO+$D$4:$D$10",C442)))</formula>
    </cfRule>
  </conditionalFormatting>
  <conditionalFormatting sqref="C442:D442">
    <cfRule type="containsText" dxfId="6442" priority="253" operator="containsText" text="SI">
      <formula>NOT(ISERROR(SEARCH("SI",C442)))</formula>
    </cfRule>
    <cfRule type="containsText" dxfId="6441" priority="254" operator="containsText" text="NO">
      <formula>NOT(ISERROR(SEARCH("NO",C442)))</formula>
    </cfRule>
  </conditionalFormatting>
  <conditionalFormatting sqref="C442:D442">
    <cfRule type="containsText" dxfId="6440" priority="252" operator="containsText" text="NUEVO">
      <formula>NOT(ISERROR(SEARCH("NUEVO",C442)))</formula>
    </cfRule>
  </conditionalFormatting>
  <conditionalFormatting sqref="F442:F443">
    <cfRule type="expression" dxfId="6439" priority="251">
      <formula>F442&lt;&gt;""</formula>
    </cfRule>
  </conditionalFormatting>
  <conditionalFormatting sqref="E442">
    <cfRule type="containsText" dxfId="6438" priority="250" operator="containsText" text="NUEVO">
      <formula>NOT(ISERROR(SEARCH("NUEVO",E442)))</formula>
    </cfRule>
  </conditionalFormatting>
  <conditionalFormatting sqref="E442">
    <cfRule type="containsText" dxfId="6437" priority="249" operator="containsText" text="Sin Información">
      <formula>NOT(ISERROR(SEARCH("Sin Información",E442)))</formula>
    </cfRule>
  </conditionalFormatting>
  <conditionalFormatting sqref="E442">
    <cfRule type="expression" dxfId="6436" priority="248">
      <formula>E442&lt;&gt;""</formula>
    </cfRule>
  </conditionalFormatting>
  <conditionalFormatting sqref="C352:D352">
    <cfRule type="containsText" dxfId="6435" priority="247" operator="containsText" text="NO+$D$4:$D$10">
      <formula>NOT(ISERROR(SEARCH("NO+$D$4:$D$10",C352)))</formula>
    </cfRule>
  </conditionalFormatting>
  <conditionalFormatting sqref="C352:D352">
    <cfRule type="containsText" dxfId="6434" priority="245" operator="containsText" text="SI">
      <formula>NOT(ISERROR(SEARCH("SI",C352)))</formula>
    </cfRule>
    <cfRule type="containsText" dxfId="6433" priority="246" operator="containsText" text="NO">
      <formula>NOT(ISERROR(SEARCH("NO",C352)))</formula>
    </cfRule>
  </conditionalFormatting>
  <conditionalFormatting sqref="C352:D352">
    <cfRule type="containsText" dxfId="6432" priority="244" operator="containsText" text="NUEVO">
      <formula>NOT(ISERROR(SEARCH("NUEVO",C352)))</formula>
    </cfRule>
  </conditionalFormatting>
  <conditionalFormatting sqref="F352">
    <cfRule type="expression" dxfId="6431" priority="243">
      <formula>F352&lt;&gt;""</formula>
    </cfRule>
  </conditionalFormatting>
  <conditionalFormatting sqref="E352">
    <cfRule type="containsText" dxfId="6430" priority="242" operator="containsText" text="NUEVO">
      <formula>NOT(ISERROR(SEARCH("NUEVO",E352)))</formula>
    </cfRule>
  </conditionalFormatting>
  <conditionalFormatting sqref="E352">
    <cfRule type="containsText" dxfId="6429" priority="241" operator="containsText" text="Sin Información">
      <formula>NOT(ISERROR(SEARCH("Sin Información",E352)))</formula>
    </cfRule>
  </conditionalFormatting>
  <conditionalFormatting sqref="E352">
    <cfRule type="expression" dxfId="6428" priority="240">
      <formula>E352&lt;&gt;""</formula>
    </cfRule>
  </conditionalFormatting>
  <conditionalFormatting sqref="C94:D94">
    <cfRule type="containsText" dxfId="6427" priority="239" operator="containsText" text="NO+$D$4:$D$10">
      <formula>NOT(ISERROR(SEARCH("NO+$D$4:$D$10",C94)))</formula>
    </cfRule>
  </conditionalFormatting>
  <conditionalFormatting sqref="C94:D94">
    <cfRule type="containsText" dxfId="6426" priority="237" operator="containsText" text="SI">
      <formula>NOT(ISERROR(SEARCH("SI",C94)))</formula>
    </cfRule>
    <cfRule type="containsText" dxfId="6425" priority="238" operator="containsText" text="NO">
      <formula>NOT(ISERROR(SEARCH("NO",C94)))</formula>
    </cfRule>
  </conditionalFormatting>
  <conditionalFormatting sqref="C94:D94">
    <cfRule type="containsText" dxfId="6424" priority="236" operator="containsText" text="NUEVO">
      <formula>NOT(ISERROR(SEARCH("NUEVO",C94)))</formula>
    </cfRule>
  </conditionalFormatting>
  <conditionalFormatting sqref="F94">
    <cfRule type="expression" dxfId="6423" priority="235">
      <formula>F94&lt;&gt;""</formula>
    </cfRule>
  </conditionalFormatting>
  <conditionalFormatting sqref="E94">
    <cfRule type="containsText" dxfId="6422" priority="234" operator="containsText" text="Sin información">
      <formula>NOT(ISERROR(SEARCH("Sin información",E94)))</formula>
    </cfRule>
  </conditionalFormatting>
  <conditionalFormatting sqref="E94">
    <cfRule type="containsText" dxfId="6421" priority="233" operator="containsText" text="NUEVO">
      <formula>NOT(ISERROR(SEARCH("NUEVO",E94)))</formula>
    </cfRule>
  </conditionalFormatting>
  <conditionalFormatting sqref="E94">
    <cfRule type="expression" dxfId="6420" priority="232">
      <formula>E94&lt;&gt;""</formula>
    </cfRule>
  </conditionalFormatting>
  <conditionalFormatting sqref="E94">
    <cfRule type="expression" dxfId="6419" priority="231">
      <formula>E94&lt;&gt;""</formula>
    </cfRule>
  </conditionalFormatting>
  <conditionalFormatting sqref="C443:D443">
    <cfRule type="containsText" dxfId="6418" priority="230" operator="containsText" text="NO+$D$4:$D$10">
      <formula>NOT(ISERROR(SEARCH("NO+$D$4:$D$10",C443)))</formula>
    </cfRule>
  </conditionalFormatting>
  <conditionalFormatting sqref="C443:D443">
    <cfRule type="containsText" dxfId="6417" priority="228" operator="containsText" text="SI">
      <formula>NOT(ISERROR(SEARCH("SI",C443)))</formula>
    </cfRule>
    <cfRule type="containsText" dxfId="6416" priority="229" operator="containsText" text="NO">
      <formula>NOT(ISERROR(SEARCH("NO",C443)))</formula>
    </cfRule>
  </conditionalFormatting>
  <conditionalFormatting sqref="C443:D443">
    <cfRule type="containsText" dxfId="6415" priority="227" operator="containsText" text="NUEVO">
      <formula>NOT(ISERROR(SEARCH("NUEVO",C443)))</formula>
    </cfRule>
  </conditionalFormatting>
  <conditionalFormatting sqref="E443">
    <cfRule type="containsText" dxfId="6414" priority="226" operator="containsText" text="NUEVO">
      <formula>NOT(ISERROR(SEARCH("NUEVO",E443)))</formula>
    </cfRule>
  </conditionalFormatting>
  <conditionalFormatting sqref="E443">
    <cfRule type="containsText" dxfId="6413" priority="225" operator="containsText" text="Sin Información">
      <formula>NOT(ISERROR(SEARCH("Sin Información",E443)))</formula>
    </cfRule>
  </conditionalFormatting>
  <conditionalFormatting sqref="E443">
    <cfRule type="expression" dxfId="6412" priority="224">
      <formula>E443&lt;&gt;""</formula>
    </cfRule>
  </conditionalFormatting>
  <conditionalFormatting sqref="C95:D95">
    <cfRule type="containsText" dxfId="6411" priority="223" operator="containsText" text="NO+$D$4:$D$10">
      <formula>NOT(ISERROR(SEARCH("NO+$D$4:$D$10",C95)))</formula>
    </cfRule>
  </conditionalFormatting>
  <conditionalFormatting sqref="C95:D95">
    <cfRule type="containsText" dxfId="6410" priority="221" operator="containsText" text="SI">
      <formula>NOT(ISERROR(SEARCH("SI",C95)))</formula>
    </cfRule>
    <cfRule type="containsText" dxfId="6409" priority="222" operator="containsText" text="NO">
      <formula>NOT(ISERROR(SEARCH("NO",C95)))</formula>
    </cfRule>
  </conditionalFormatting>
  <conditionalFormatting sqref="C95:D95">
    <cfRule type="containsText" dxfId="6408" priority="220" operator="containsText" text="NUEVO">
      <formula>NOT(ISERROR(SEARCH("NUEVO",C95)))</formula>
    </cfRule>
  </conditionalFormatting>
  <conditionalFormatting sqref="F95">
    <cfRule type="expression" dxfId="6407" priority="219">
      <formula>F95&lt;&gt;""</formula>
    </cfRule>
  </conditionalFormatting>
  <conditionalFormatting sqref="E95">
    <cfRule type="containsText" dxfId="6406" priority="218" operator="containsText" text="Sin información">
      <formula>NOT(ISERROR(SEARCH("Sin información",E95)))</formula>
    </cfRule>
  </conditionalFormatting>
  <conditionalFormatting sqref="E95">
    <cfRule type="containsText" dxfId="6405" priority="217" operator="containsText" text="NUEVO">
      <formula>NOT(ISERROR(SEARCH("NUEVO",E95)))</formula>
    </cfRule>
  </conditionalFormatting>
  <conditionalFormatting sqref="E95">
    <cfRule type="expression" dxfId="6404" priority="216">
      <formula>E95&lt;&gt;""</formula>
    </cfRule>
  </conditionalFormatting>
  <conditionalFormatting sqref="E95">
    <cfRule type="expression" dxfId="6403" priority="215">
      <formula>E95&lt;&gt;""</formula>
    </cfRule>
  </conditionalFormatting>
  <conditionalFormatting sqref="C171:D171">
    <cfRule type="containsText" dxfId="6402" priority="212" operator="containsText" text="NO+$D$4:$D$10">
      <formula>NOT(ISERROR(SEARCH("NO+$D$4:$D$10",C171)))</formula>
    </cfRule>
  </conditionalFormatting>
  <conditionalFormatting sqref="C171:D171">
    <cfRule type="containsText" dxfId="6401" priority="210" operator="containsText" text="SI">
      <formula>NOT(ISERROR(SEARCH("SI",C171)))</formula>
    </cfRule>
    <cfRule type="containsText" dxfId="6400" priority="211" operator="containsText" text="NO">
      <formula>NOT(ISERROR(SEARCH("NO",C171)))</formula>
    </cfRule>
  </conditionalFormatting>
  <conditionalFormatting sqref="C171:D171">
    <cfRule type="containsText" dxfId="6399" priority="209" operator="containsText" text="NUEVO">
      <formula>NOT(ISERROR(SEARCH("NUEVO",C171)))</formula>
    </cfRule>
  </conditionalFormatting>
  <conditionalFormatting sqref="E171">
    <cfRule type="containsText" dxfId="6398" priority="213" operator="containsText" text="NUEVO">
      <formula>NOT(ISERROR(SEARCH("NUEVO",E1211)))</formula>
    </cfRule>
  </conditionalFormatting>
  <conditionalFormatting sqref="E171">
    <cfRule type="containsText" dxfId="6397" priority="214" operator="containsText" text="Sin Información">
      <formula>NOT(ISERROR(SEARCH("Sin Información",E1211)))</formula>
    </cfRule>
  </conditionalFormatting>
  <conditionalFormatting sqref="F171">
    <cfRule type="expression" dxfId="6396" priority="208">
      <formula>F171&lt;&gt;""</formula>
    </cfRule>
  </conditionalFormatting>
  <conditionalFormatting sqref="C305:D305">
    <cfRule type="containsText" dxfId="6395" priority="207" operator="containsText" text="NO+$D$4:$D$10">
      <formula>NOT(ISERROR(SEARCH("NO+$D$4:$D$10",C305)))</formula>
    </cfRule>
  </conditionalFormatting>
  <conditionalFormatting sqref="C305:D305">
    <cfRule type="containsText" dxfId="6394" priority="205" operator="containsText" text="SI">
      <formula>NOT(ISERROR(SEARCH("SI",C305)))</formula>
    </cfRule>
    <cfRule type="containsText" dxfId="6393" priority="206" operator="containsText" text="NO">
      <formula>NOT(ISERROR(SEARCH("NO",C305)))</formula>
    </cfRule>
  </conditionalFormatting>
  <conditionalFormatting sqref="C305:E305">
    <cfRule type="containsText" dxfId="6392" priority="204" operator="containsText" text="NUEVO">
      <formula>NOT(ISERROR(SEARCH("NUEVO",C305)))</formula>
    </cfRule>
  </conditionalFormatting>
  <conditionalFormatting sqref="E305">
    <cfRule type="containsText" dxfId="6391" priority="203" operator="containsText" text="Sin Información">
      <formula>NOT(ISERROR(SEARCH("Sin Información",E305)))</formula>
    </cfRule>
  </conditionalFormatting>
  <conditionalFormatting sqref="E305">
    <cfRule type="expression" dxfId="6390" priority="202">
      <formula>E305&lt;&gt;""</formula>
    </cfRule>
  </conditionalFormatting>
  <conditionalFormatting sqref="F305">
    <cfRule type="expression" dxfId="6389" priority="201">
      <formula>F305&lt;&gt;""</formula>
    </cfRule>
  </conditionalFormatting>
  <conditionalFormatting sqref="C306:D306 C308:D308">
    <cfRule type="containsText" dxfId="6388" priority="200" operator="containsText" text="NO+$D$4:$D$10">
      <formula>NOT(ISERROR(SEARCH("NO+$D$4:$D$10",C306)))</formula>
    </cfRule>
  </conditionalFormatting>
  <conditionalFormatting sqref="C306:D306 C308:D308">
    <cfRule type="containsText" dxfId="6387" priority="198" operator="containsText" text="SI">
      <formula>NOT(ISERROR(SEARCH("SI",C306)))</formula>
    </cfRule>
    <cfRule type="containsText" dxfId="6386" priority="199" operator="containsText" text="NO">
      <formula>NOT(ISERROR(SEARCH("NO",C306)))</formula>
    </cfRule>
  </conditionalFormatting>
  <conditionalFormatting sqref="C306:E306 C308:E308">
    <cfRule type="containsText" dxfId="6385" priority="197" operator="containsText" text="NUEVO">
      <formula>NOT(ISERROR(SEARCH("NUEVO",C306)))</formula>
    </cfRule>
  </conditionalFormatting>
  <conditionalFormatting sqref="E306 E308">
    <cfRule type="containsText" dxfId="6384" priority="196" operator="containsText" text="Sin Información">
      <formula>NOT(ISERROR(SEARCH("Sin Información",E306)))</formula>
    </cfRule>
  </conditionalFormatting>
  <conditionalFormatting sqref="E306 E308">
    <cfRule type="expression" dxfId="6383" priority="195">
      <formula>E306&lt;&gt;""</formula>
    </cfRule>
  </conditionalFormatting>
  <conditionalFormatting sqref="F306">
    <cfRule type="expression" dxfId="6382" priority="194">
      <formula>F306&lt;&gt;""</formula>
    </cfRule>
  </conditionalFormatting>
  <conditionalFormatting sqref="C307:D307">
    <cfRule type="containsText" dxfId="6381" priority="193" operator="containsText" text="NO+$D$4:$D$10">
      <formula>NOT(ISERROR(SEARCH("NO+$D$4:$D$10",C307)))</formula>
    </cfRule>
  </conditionalFormatting>
  <conditionalFormatting sqref="C307:D307">
    <cfRule type="containsText" dxfId="6380" priority="191" operator="containsText" text="SI">
      <formula>NOT(ISERROR(SEARCH("SI",C307)))</formula>
    </cfRule>
    <cfRule type="containsText" dxfId="6379" priority="192" operator="containsText" text="NO">
      <formula>NOT(ISERROR(SEARCH("NO",C307)))</formula>
    </cfRule>
  </conditionalFormatting>
  <conditionalFormatting sqref="C307:E307">
    <cfRule type="containsText" dxfId="6378" priority="190" operator="containsText" text="NUEVO">
      <formula>NOT(ISERROR(SEARCH("NUEVO",C307)))</formula>
    </cfRule>
  </conditionalFormatting>
  <conditionalFormatting sqref="E307">
    <cfRule type="containsText" dxfId="6377" priority="189" operator="containsText" text="Sin Información">
      <formula>NOT(ISERROR(SEARCH("Sin Información",E307)))</formula>
    </cfRule>
  </conditionalFormatting>
  <conditionalFormatting sqref="E307">
    <cfRule type="expression" dxfId="6376" priority="188">
      <formula>E307&lt;&gt;""</formula>
    </cfRule>
  </conditionalFormatting>
  <conditionalFormatting sqref="F307:F308 F316">
    <cfRule type="expression" dxfId="6375" priority="187">
      <formula>F307&lt;&gt;""</formula>
    </cfRule>
  </conditionalFormatting>
  <conditionalFormatting sqref="C547:D547">
    <cfRule type="containsText" dxfId="6374" priority="186" operator="containsText" text="NO+$D$4:$D$10">
      <formula>NOT(ISERROR(SEARCH("NO+$D$4:$D$10",C547)))</formula>
    </cfRule>
  </conditionalFormatting>
  <conditionalFormatting sqref="C547:D547">
    <cfRule type="containsText" dxfId="6373" priority="184" operator="containsText" text="SI">
      <formula>NOT(ISERROR(SEARCH("SI",C547)))</formula>
    </cfRule>
    <cfRule type="containsText" dxfId="6372" priority="185" operator="containsText" text="NO">
      <formula>NOT(ISERROR(SEARCH("NO",C547)))</formula>
    </cfRule>
  </conditionalFormatting>
  <conditionalFormatting sqref="C547:D547">
    <cfRule type="containsText" dxfId="6371" priority="182" operator="containsText" text="NUEVO">
      <formula>NOT(ISERROR(SEARCH("NUEVO",C547)))</formula>
    </cfRule>
  </conditionalFormatting>
  <conditionalFormatting sqref="F547">
    <cfRule type="expression" dxfId="6370" priority="179">
      <formula>F547&lt;&gt;""</formula>
    </cfRule>
  </conditionalFormatting>
  <conditionalFormatting sqref="E547">
    <cfRule type="expression" dxfId="6369" priority="176">
      <formula>E547&lt;&gt;""</formula>
    </cfRule>
  </conditionalFormatting>
  <conditionalFormatting sqref="E547">
    <cfRule type="containsText" dxfId="6368" priority="178" operator="containsText" text="NUEVO">
      <formula>NOT(ISERROR(SEARCH("NUEVO",E547)))</formula>
    </cfRule>
  </conditionalFormatting>
  <conditionalFormatting sqref="E547">
    <cfRule type="containsText" dxfId="6367" priority="177" operator="containsText" text="Sin Información">
      <formula>NOT(ISERROR(SEARCH("Sin Información",E547)))</formula>
    </cfRule>
  </conditionalFormatting>
  <conditionalFormatting sqref="C508:D508">
    <cfRule type="containsText" dxfId="6366" priority="175" operator="containsText" text="NO+$D$4:$D$10">
      <formula>NOT(ISERROR(SEARCH("NO+$D$4:$D$10",C508)))</formula>
    </cfRule>
  </conditionalFormatting>
  <conditionalFormatting sqref="C508:D508">
    <cfRule type="containsText" dxfId="6365" priority="173" operator="containsText" text="SI">
      <formula>NOT(ISERROR(SEARCH("SI",C508)))</formula>
    </cfRule>
    <cfRule type="containsText" dxfId="6364" priority="174" operator="containsText" text="NO">
      <formula>NOT(ISERROR(SEARCH("NO",C508)))</formula>
    </cfRule>
  </conditionalFormatting>
  <conditionalFormatting sqref="C508:D508">
    <cfRule type="containsText" dxfId="6363" priority="172" operator="containsText" text="NUEVO">
      <formula>NOT(ISERROR(SEARCH("NUEVO",C508)))</formula>
    </cfRule>
  </conditionalFormatting>
  <conditionalFormatting sqref="E508">
    <cfRule type="containsText" dxfId="6362" priority="167" operator="containsText" text="Sin Información">
      <formula>NOT(ISERROR(SEARCH("Sin Información",E508)))</formula>
    </cfRule>
  </conditionalFormatting>
  <conditionalFormatting sqref="E508">
    <cfRule type="expression" dxfId="6361" priority="166">
      <formula>E508&lt;&gt;""</formula>
    </cfRule>
  </conditionalFormatting>
  <conditionalFormatting sqref="E508">
    <cfRule type="containsText" dxfId="6360" priority="168" operator="containsText" text="NUEVO">
      <formula>NOT(ISERROR(SEARCH("NUEVO",E508)))</formula>
    </cfRule>
  </conditionalFormatting>
  <conditionalFormatting sqref="F508">
    <cfRule type="expression" dxfId="6359" priority="165">
      <formula>F508&lt;&gt;""</formula>
    </cfRule>
  </conditionalFormatting>
  <conditionalFormatting sqref="C509:D509">
    <cfRule type="containsText" dxfId="6358" priority="164" operator="containsText" text="NO+$D$4:$D$10">
      <formula>NOT(ISERROR(SEARCH("NO+$D$4:$D$10",C509)))</formula>
    </cfRule>
  </conditionalFormatting>
  <conditionalFormatting sqref="C509:D509">
    <cfRule type="containsText" dxfId="6357" priority="162" operator="containsText" text="SI">
      <formula>NOT(ISERROR(SEARCH("SI",C509)))</formula>
    </cfRule>
    <cfRule type="containsText" dxfId="6356" priority="163" operator="containsText" text="NO">
      <formula>NOT(ISERROR(SEARCH("NO",C509)))</formula>
    </cfRule>
  </conditionalFormatting>
  <conditionalFormatting sqref="C509:D509">
    <cfRule type="containsText" dxfId="6355" priority="161" operator="containsText" text="NUEVO">
      <formula>NOT(ISERROR(SEARCH("NUEVO",C509)))</formula>
    </cfRule>
  </conditionalFormatting>
  <conditionalFormatting sqref="E509">
    <cfRule type="containsText" dxfId="6354" priority="160" operator="containsText" text="Sin información">
      <formula>NOT(ISERROR(SEARCH("Sin información",E509)))</formula>
    </cfRule>
  </conditionalFormatting>
  <conditionalFormatting sqref="E509">
    <cfRule type="containsText" dxfId="6353" priority="159" operator="containsText" text="NUEVO">
      <formula>NOT(ISERROR(SEARCH("NUEVO",E509)))</formula>
    </cfRule>
  </conditionalFormatting>
  <conditionalFormatting sqref="E509">
    <cfRule type="containsText" dxfId="6352" priority="158" operator="containsText" text="Sin Información">
      <formula>NOT(ISERROR(SEARCH("Sin Información",E509)))</formula>
    </cfRule>
  </conditionalFormatting>
  <conditionalFormatting sqref="F509">
    <cfRule type="expression" dxfId="6351" priority="157">
      <formula>F509&lt;&gt;""</formula>
    </cfRule>
  </conditionalFormatting>
  <conditionalFormatting sqref="C559:D559">
    <cfRule type="containsText" dxfId="6350" priority="156" operator="containsText" text="NO+$D$4:$D$10">
      <formula>NOT(ISERROR(SEARCH("NO+$D$4:$D$10",C559)))</formula>
    </cfRule>
  </conditionalFormatting>
  <conditionalFormatting sqref="C559:D559">
    <cfRule type="containsText" dxfId="6349" priority="154" operator="containsText" text="SI">
      <formula>NOT(ISERROR(SEARCH("SI",C559)))</formula>
    </cfRule>
    <cfRule type="containsText" dxfId="6348" priority="155" operator="containsText" text="NO">
      <formula>NOT(ISERROR(SEARCH("NO",C559)))</formula>
    </cfRule>
  </conditionalFormatting>
  <conditionalFormatting sqref="C559:D559">
    <cfRule type="containsText" dxfId="6347" priority="153" operator="containsText" text="NUEVO">
      <formula>NOT(ISERROR(SEARCH("NUEVO",C559)))</formula>
    </cfRule>
  </conditionalFormatting>
  <conditionalFormatting sqref="E273">
    <cfRule type="containsText" dxfId="6346" priority="28400" operator="containsText" text="Sin Información">
      <formula>NOT(ISERROR(SEARCH("Sin Información",E559)))</formula>
    </cfRule>
  </conditionalFormatting>
  <conditionalFormatting sqref="E273">
    <cfRule type="containsText" dxfId="6345" priority="28401" operator="containsText" text="NUEVO">
      <formula>NOT(ISERROR(SEARCH("NUEVO",E559)))</formula>
    </cfRule>
  </conditionalFormatting>
  <conditionalFormatting sqref="E559">
    <cfRule type="containsText" dxfId="6344" priority="148" operator="containsText" text="NUEVO">
      <formula>NOT(ISERROR(SEARCH("NUEVO",E559)))</formula>
    </cfRule>
  </conditionalFormatting>
  <conditionalFormatting sqref="E559">
    <cfRule type="containsText" dxfId="6343" priority="147" operator="containsText" text="Sin Información">
      <formula>NOT(ISERROR(SEARCH("Sin Información",E559)))</formula>
    </cfRule>
  </conditionalFormatting>
  <conditionalFormatting sqref="E559">
    <cfRule type="expression" dxfId="6342" priority="146">
      <formula>E559&lt;&gt;""</formula>
    </cfRule>
  </conditionalFormatting>
  <conditionalFormatting sqref="F559">
    <cfRule type="expression" dxfId="6341" priority="145">
      <formula>F559&lt;&gt;""</formula>
    </cfRule>
  </conditionalFormatting>
  <conditionalFormatting sqref="C571:D571">
    <cfRule type="containsText" dxfId="6340" priority="144" operator="containsText" text="NO+$D$4:$D$10">
      <formula>NOT(ISERROR(SEARCH("NO+$D$4:$D$10",C571)))</formula>
    </cfRule>
  </conditionalFormatting>
  <conditionalFormatting sqref="C571:D571">
    <cfRule type="containsText" dxfId="6339" priority="142" operator="containsText" text="SI">
      <formula>NOT(ISERROR(SEARCH("SI",C571)))</formula>
    </cfRule>
    <cfRule type="containsText" dxfId="6338" priority="143" operator="containsText" text="NO">
      <formula>NOT(ISERROR(SEARCH("NO",C571)))</formula>
    </cfRule>
  </conditionalFormatting>
  <conditionalFormatting sqref="C571:D571">
    <cfRule type="containsText" dxfId="6337" priority="141" operator="containsText" text="NUEVO">
      <formula>NOT(ISERROR(SEARCH("NUEVO",C571)))</formula>
    </cfRule>
  </conditionalFormatting>
  <conditionalFormatting sqref="F571">
    <cfRule type="expression" dxfId="6336" priority="140">
      <formula>F571&lt;&gt;""</formula>
    </cfRule>
  </conditionalFormatting>
  <conditionalFormatting sqref="E571">
    <cfRule type="containsText" dxfId="6335" priority="139" operator="containsText" text="NUEVO">
      <formula>NOT(ISERROR(SEARCH("NUEVO",E571)))</formula>
    </cfRule>
  </conditionalFormatting>
  <conditionalFormatting sqref="E571">
    <cfRule type="containsText" dxfId="6334" priority="138" operator="containsText" text="Sin Información">
      <formula>NOT(ISERROR(SEARCH("Sin Información",E571)))</formula>
    </cfRule>
  </conditionalFormatting>
  <conditionalFormatting sqref="E571">
    <cfRule type="expression" dxfId="6333" priority="137">
      <formula>E571&lt;&gt;""</formula>
    </cfRule>
  </conditionalFormatting>
  <conditionalFormatting sqref="C309:D310 C315:D315">
    <cfRule type="containsText" dxfId="6332" priority="136" operator="containsText" text="NO+$D$4:$D$10">
      <formula>NOT(ISERROR(SEARCH("NO+$D$4:$D$10",C309)))</formula>
    </cfRule>
  </conditionalFormatting>
  <conditionalFormatting sqref="C309:D310 C315:D315">
    <cfRule type="containsText" dxfId="6331" priority="134" operator="containsText" text="SI">
      <formula>NOT(ISERROR(SEARCH("SI",C309)))</formula>
    </cfRule>
    <cfRule type="containsText" dxfId="6330" priority="135" operator="containsText" text="NO">
      <formula>NOT(ISERROR(SEARCH("NO",C309)))</formula>
    </cfRule>
  </conditionalFormatting>
  <conditionalFormatting sqref="C309:E310 C315:E315">
    <cfRule type="containsText" dxfId="6329" priority="133" operator="containsText" text="NUEVO">
      <formula>NOT(ISERROR(SEARCH("NUEVO",C309)))</formula>
    </cfRule>
  </conditionalFormatting>
  <conditionalFormatting sqref="E309:E310 E315">
    <cfRule type="containsText" dxfId="6328" priority="132" operator="containsText" text="Sin Información">
      <formula>NOT(ISERROR(SEARCH("Sin Información",E309)))</formula>
    </cfRule>
  </conditionalFormatting>
  <conditionalFormatting sqref="E309:E310 E315">
    <cfRule type="expression" dxfId="6327" priority="131">
      <formula>E309&lt;&gt;""</formula>
    </cfRule>
  </conditionalFormatting>
  <conditionalFormatting sqref="F309:F310 F315">
    <cfRule type="expression" dxfId="6326" priority="130">
      <formula>F309&lt;&gt;""</formula>
    </cfRule>
  </conditionalFormatting>
  <conditionalFormatting sqref="I23">
    <cfRule type="expression" dxfId="6325" priority="28403">
      <formula>OR(I23&lt;&gt;"", J25&lt;&gt;"")</formula>
    </cfRule>
  </conditionalFormatting>
  <conditionalFormatting sqref="I25">
    <cfRule type="expression" dxfId="6324" priority="129">
      <formula>OR(I25&lt;&gt;"", J25&lt;&gt;"")</formula>
    </cfRule>
  </conditionalFormatting>
  <conditionalFormatting sqref="C444:D445">
    <cfRule type="containsText" dxfId="6323" priority="128" operator="containsText" text="NO+$D$4:$D$10">
      <formula>NOT(ISERROR(SEARCH("NO+$D$4:$D$10",C444)))</formula>
    </cfRule>
  </conditionalFormatting>
  <conditionalFormatting sqref="C444:D445">
    <cfRule type="containsText" dxfId="6322" priority="126" operator="containsText" text="SI">
      <formula>NOT(ISERROR(SEARCH("SI",C444)))</formula>
    </cfRule>
    <cfRule type="containsText" dxfId="6321" priority="127" operator="containsText" text="NO">
      <formula>NOT(ISERROR(SEARCH("NO",C444)))</formula>
    </cfRule>
  </conditionalFormatting>
  <conditionalFormatting sqref="C444:D445">
    <cfRule type="containsText" dxfId="6320" priority="125" operator="containsText" text="NUEVO">
      <formula>NOT(ISERROR(SEARCH("NUEVO",C444)))</formula>
    </cfRule>
  </conditionalFormatting>
  <conditionalFormatting sqref="F444:F445">
    <cfRule type="expression" dxfId="6319" priority="124">
      <formula>F444&lt;&gt;""</formula>
    </cfRule>
  </conditionalFormatting>
  <conditionalFormatting sqref="E444:E445">
    <cfRule type="containsText" dxfId="6318" priority="123" operator="containsText" text="NUEVO">
      <formula>NOT(ISERROR(SEARCH("NUEVO",E444)))</formula>
    </cfRule>
  </conditionalFormatting>
  <conditionalFormatting sqref="E444:E445">
    <cfRule type="containsText" dxfId="6317" priority="122" operator="containsText" text="Sin Información">
      <formula>NOT(ISERROR(SEARCH("Sin Información",E444)))</formula>
    </cfRule>
  </conditionalFormatting>
  <conditionalFormatting sqref="E444:E445">
    <cfRule type="expression" dxfId="6316" priority="121">
      <formula>E444&lt;&gt;""</formula>
    </cfRule>
  </conditionalFormatting>
  <conditionalFormatting sqref="C398:D400">
    <cfRule type="containsText" dxfId="6315" priority="120" operator="containsText" text="NO+$D$4:$D$10">
      <formula>NOT(ISERROR(SEARCH("NO+$D$4:$D$10",C398)))</formula>
    </cfRule>
  </conditionalFormatting>
  <conditionalFormatting sqref="C398:D400">
    <cfRule type="containsText" dxfId="6314" priority="118" operator="containsText" text="SI">
      <formula>NOT(ISERROR(SEARCH("SI",C398)))</formula>
    </cfRule>
    <cfRule type="containsText" dxfId="6313" priority="119" operator="containsText" text="NO">
      <formula>NOT(ISERROR(SEARCH("NO",C398)))</formula>
    </cfRule>
  </conditionalFormatting>
  <conditionalFormatting sqref="C398:D400">
    <cfRule type="containsText" dxfId="6312" priority="117" operator="containsText" text="NUEVO">
      <formula>NOT(ISERROR(SEARCH("NUEVO",C398)))</formula>
    </cfRule>
  </conditionalFormatting>
  <conditionalFormatting sqref="F398:F400">
    <cfRule type="expression" dxfId="6311" priority="115">
      <formula>F398&lt;&gt;""</formula>
    </cfRule>
  </conditionalFormatting>
  <conditionalFormatting sqref="E398:E400">
    <cfRule type="containsText" dxfId="6310" priority="114" operator="containsText" text="NUEVO">
      <formula>NOT(ISERROR(SEARCH("NUEVO",E398)))</formula>
    </cfRule>
  </conditionalFormatting>
  <conditionalFormatting sqref="E398:E400">
    <cfRule type="containsText" dxfId="6309" priority="113" operator="containsText" text="Sin Información">
      <formula>NOT(ISERROR(SEARCH("Sin Información",E398)))</formula>
    </cfRule>
  </conditionalFormatting>
  <conditionalFormatting sqref="E398:E400">
    <cfRule type="expression" dxfId="6308" priority="112">
      <formula>E398&lt;&gt;""</formula>
    </cfRule>
  </conditionalFormatting>
  <conditionalFormatting sqref="C446:D446">
    <cfRule type="containsText" dxfId="6307" priority="111" operator="containsText" text="NO+$D$4:$D$10">
      <formula>NOT(ISERROR(SEARCH("NO+$D$4:$D$10",C446)))</formula>
    </cfRule>
  </conditionalFormatting>
  <conditionalFormatting sqref="C446:D446">
    <cfRule type="containsText" dxfId="6306" priority="109" operator="containsText" text="SI">
      <formula>NOT(ISERROR(SEARCH("SI",C446)))</formula>
    </cfRule>
    <cfRule type="containsText" dxfId="6305" priority="110" operator="containsText" text="NO">
      <formula>NOT(ISERROR(SEARCH("NO",C446)))</formula>
    </cfRule>
  </conditionalFormatting>
  <conditionalFormatting sqref="C446:D446">
    <cfRule type="containsText" dxfId="6304" priority="108" operator="containsText" text="NUEVO">
      <formula>NOT(ISERROR(SEARCH("NUEVO",C446)))</formula>
    </cfRule>
  </conditionalFormatting>
  <conditionalFormatting sqref="F446">
    <cfRule type="expression" dxfId="6303" priority="107">
      <formula>F446&lt;&gt;""</formula>
    </cfRule>
  </conditionalFormatting>
  <conditionalFormatting sqref="G446">
    <cfRule type="expression" dxfId="6302" priority="106">
      <formula>G446&lt;&gt;""</formula>
    </cfRule>
  </conditionalFormatting>
  <conditionalFormatting sqref="E446">
    <cfRule type="containsText" dxfId="6301" priority="105" operator="containsText" text="NUEVO">
      <formula>NOT(ISERROR(SEARCH("NUEVO",E446)))</formula>
    </cfRule>
  </conditionalFormatting>
  <conditionalFormatting sqref="E446">
    <cfRule type="containsText" dxfId="6300" priority="104" operator="containsText" text="Sin Información">
      <formula>NOT(ISERROR(SEARCH("Sin Información",E446)))</formula>
    </cfRule>
  </conditionalFormatting>
  <conditionalFormatting sqref="E446">
    <cfRule type="expression" dxfId="6299" priority="103">
      <formula>E446&lt;&gt;""</formula>
    </cfRule>
  </conditionalFormatting>
  <conditionalFormatting sqref="C383:D383">
    <cfRule type="containsText" dxfId="6298" priority="102" operator="containsText" text="NO+$D$4:$D$10">
      <formula>NOT(ISERROR(SEARCH("NO+$D$4:$D$10",C383)))</formula>
    </cfRule>
  </conditionalFormatting>
  <conditionalFormatting sqref="C383:D383">
    <cfRule type="containsText" dxfId="6297" priority="100" operator="containsText" text="SI">
      <formula>NOT(ISERROR(SEARCH("SI",C383)))</formula>
    </cfRule>
    <cfRule type="containsText" dxfId="6296" priority="101" operator="containsText" text="NO">
      <formula>NOT(ISERROR(SEARCH("NO",C383)))</formula>
    </cfRule>
  </conditionalFormatting>
  <conditionalFormatting sqref="C383:D383">
    <cfRule type="containsText" dxfId="6295" priority="99" operator="containsText" text="NUEVO">
      <formula>NOT(ISERROR(SEARCH("NUEVO",C383)))</formula>
    </cfRule>
  </conditionalFormatting>
  <conditionalFormatting sqref="E383">
    <cfRule type="containsText" dxfId="6294" priority="96" operator="containsText" text="NUEVO">
      <formula>NOT(ISERROR(SEARCH("NUEVO",E383)))</formula>
    </cfRule>
  </conditionalFormatting>
  <conditionalFormatting sqref="E383">
    <cfRule type="containsText" dxfId="6293" priority="95" operator="containsText" text="Sin Información">
      <formula>NOT(ISERROR(SEARCH("Sin Información",E383)))</formula>
    </cfRule>
  </conditionalFormatting>
  <conditionalFormatting sqref="E383">
    <cfRule type="expression" dxfId="6292" priority="94">
      <formula>E383&lt;&gt;""</formula>
    </cfRule>
  </conditionalFormatting>
  <conditionalFormatting sqref="F383">
    <cfRule type="expression" dxfId="6291" priority="93">
      <formula>F383&lt;&gt;""</formula>
    </cfRule>
  </conditionalFormatting>
  <conditionalFormatting sqref="I355">
    <cfRule type="expression" dxfId="6290" priority="91">
      <formula>OR(I355&lt;&gt;"", J355&lt;&gt;"")</formula>
    </cfRule>
  </conditionalFormatting>
  <conditionalFormatting sqref="J355">
    <cfRule type="expression" dxfId="6289" priority="92">
      <formula>OR(J355&lt;&gt;"", K361&lt;&gt;"")</formula>
    </cfRule>
  </conditionalFormatting>
  <conditionalFormatting sqref="C123:D123">
    <cfRule type="containsText" dxfId="6288" priority="90" operator="containsText" text="NO+$D$4:$D$10">
      <formula>NOT(ISERROR(SEARCH("NO+$D$4:$D$10",C123)))</formula>
    </cfRule>
  </conditionalFormatting>
  <conditionalFormatting sqref="C123:D123">
    <cfRule type="containsText" dxfId="6287" priority="88" operator="containsText" text="SI">
      <formula>NOT(ISERROR(SEARCH("SI",C123)))</formula>
    </cfRule>
    <cfRule type="containsText" dxfId="6286" priority="89" operator="containsText" text="NO">
      <formula>NOT(ISERROR(SEARCH("NO",C123)))</formula>
    </cfRule>
  </conditionalFormatting>
  <conditionalFormatting sqref="C123:E123">
    <cfRule type="containsText" dxfId="6285" priority="87" operator="containsText" text="NUEVO">
      <formula>NOT(ISERROR(SEARCH("NUEVO",C123)))</formula>
    </cfRule>
  </conditionalFormatting>
  <conditionalFormatting sqref="E123">
    <cfRule type="containsText" dxfId="6284" priority="86" operator="containsText" text="Sin Información">
      <formula>NOT(ISERROR(SEARCH("Sin Información",E123)))</formula>
    </cfRule>
  </conditionalFormatting>
  <conditionalFormatting sqref="F123">
    <cfRule type="expression" dxfId="6283" priority="85">
      <formula>F123&lt;&gt;""</formula>
    </cfRule>
  </conditionalFormatting>
  <conditionalFormatting sqref="C113:D113">
    <cfRule type="containsText" dxfId="6282" priority="84" operator="containsText" text="NO+$D$4:$D$10">
      <formula>NOT(ISERROR(SEARCH("NO+$D$4:$D$10",C113)))</formula>
    </cfRule>
  </conditionalFormatting>
  <conditionalFormatting sqref="C113:D113">
    <cfRule type="containsText" dxfId="6281" priority="82" operator="containsText" text="SI">
      <formula>NOT(ISERROR(SEARCH("SI",C113)))</formula>
    </cfRule>
    <cfRule type="containsText" dxfId="6280" priority="83" operator="containsText" text="NO">
      <formula>NOT(ISERROR(SEARCH("NO",C113)))</formula>
    </cfRule>
  </conditionalFormatting>
  <conditionalFormatting sqref="C113:D113">
    <cfRule type="containsText" dxfId="6279" priority="81" operator="containsText" text="NUEVO">
      <formula>NOT(ISERROR(SEARCH("NUEVO",C113)))</formula>
    </cfRule>
  </conditionalFormatting>
  <conditionalFormatting sqref="E113">
    <cfRule type="containsText" dxfId="6278" priority="77" operator="containsText" text="Sin Información">
      <formula>NOT(ISERROR(SEARCH("Sin Información",E113)))</formula>
    </cfRule>
  </conditionalFormatting>
  <conditionalFormatting sqref="F113">
    <cfRule type="expression" dxfId="6277" priority="79">
      <formula>F113&lt;&gt;""</formula>
    </cfRule>
  </conditionalFormatting>
  <conditionalFormatting sqref="E113">
    <cfRule type="containsText" dxfId="6276" priority="78" operator="containsText" text="NUEVO">
      <formula>NOT(ISERROR(SEARCH("NUEVO",E113)))</formula>
    </cfRule>
  </conditionalFormatting>
  <conditionalFormatting sqref="E113">
    <cfRule type="expression" dxfId="6275" priority="76">
      <formula>E113&lt;&gt;""</formula>
    </cfRule>
  </conditionalFormatting>
  <conditionalFormatting sqref="C312:D312">
    <cfRule type="containsText" dxfId="6274" priority="75" operator="containsText" text="NO+$D$4:$D$10">
      <formula>NOT(ISERROR(SEARCH("NO+$D$4:$D$10",C312)))</formula>
    </cfRule>
  </conditionalFormatting>
  <conditionalFormatting sqref="C312:D312">
    <cfRule type="containsText" dxfId="6273" priority="73" operator="containsText" text="SI">
      <formula>NOT(ISERROR(SEARCH("SI",C312)))</formula>
    </cfRule>
    <cfRule type="containsText" dxfId="6272" priority="74" operator="containsText" text="NO">
      <formula>NOT(ISERROR(SEARCH("NO",C312)))</formula>
    </cfRule>
  </conditionalFormatting>
  <conditionalFormatting sqref="C312:E312">
    <cfRule type="containsText" dxfId="6271" priority="72" operator="containsText" text="NUEVO">
      <formula>NOT(ISERROR(SEARCH("NUEVO",C312)))</formula>
    </cfRule>
  </conditionalFormatting>
  <conditionalFormatting sqref="E312">
    <cfRule type="containsText" dxfId="6270" priority="71" operator="containsText" text="Sin Información">
      <formula>NOT(ISERROR(SEARCH("Sin Información",E312)))</formula>
    </cfRule>
  </conditionalFormatting>
  <conditionalFormatting sqref="G311:G312 E312">
    <cfRule type="expression" dxfId="6269" priority="70">
      <formula>E311&lt;&gt;""</formula>
    </cfRule>
  </conditionalFormatting>
  <conditionalFormatting sqref="F312">
    <cfRule type="expression" dxfId="6268" priority="69">
      <formula>F312&lt;&gt;""</formula>
    </cfRule>
  </conditionalFormatting>
  <conditionalFormatting sqref="C311:D311">
    <cfRule type="containsText" dxfId="6267" priority="68" operator="containsText" text="NO+$D$4:$D$10">
      <formula>NOT(ISERROR(SEARCH("NO+$D$4:$D$10",C311)))</formula>
    </cfRule>
  </conditionalFormatting>
  <conditionalFormatting sqref="C311:D311">
    <cfRule type="containsText" dxfId="6266" priority="66" operator="containsText" text="SI">
      <formula>NOT(ISERROR(SEARCH("SI",C311)))</formula>
    </cfRule>
    <cfRule type="containsText" dxfId="6265" priority="67" operator="containsText" text="NO">
      <formula>NOT(ISERROR(SEARCH("NO",C311)))</formula>
    </cfRule>
  </conditionalFormatting>
  <conditionalFormatting sqref="C311:E311">
    <cfRule type="containsText" dxfId="6264" priority="65" operator="containsText" text="NUEVO">
      <formula>NOT(ISERROR(SEARCH("NUEVO",C311)))</formula>
    </cfRule>
  </conditionalFormatting>
  <conditionalFormatting sqref="E311">
    <cfRule type="containsText" dxfId="6263" priority="64" operator="containsText" text="Sin Información">
      <formula>NOT(ISERROR(SEARCH("Sin Información",E311)))</formula>
    </cfRule>
  </conditionalFormatting>
  <conditionalFormatting sqref="E311">
    <cfRule type="expression" dxfId="6262" priority="63">
      <formula>E311&lt;&gt;""</formula>
    </cfRule>
  </conditionalFormatting>
  <conditionalFormatting sqref="F311">
    <cfRule type="expression" dxfId="6261" priority="62">
      <formula>F311&lt;&gt;""</formula>
    </cfRule>
  </conditionalFormatting>
  <conditionalFormatting sqref="C283:D283">
    <cfRule type="containsText" dxfId="6260" priority="61" operator="containsText" text="NO+$D$4:$D$10">
      <formula>NOT(ISERROR(SEARCH("NO+$D$4:$D$10",C283)))</formula>
    </cfRule>
  </conditionalFormatting>
  <conditionalFormatting sqref="C283:D283">
    <cfRule type="containsText" dxfId="6259" priority="59" operator="containsText" text="SI">
      <formula>NOT(ISERROR(SEARCH("SI",C283)))</formula>
    </cfRule>
    <cfRule type="containsText" dxfId="6258" priority="60" operator="containsText" text="NO">
      <formula>NOT(ISERROR(SEARCH("NO",C283)))</formula>
    </cfRule>
  </conditionalFormatting>
  <conditionalFormatting sqref="C283:D283">
    <cfRule type="containsText" dxfId="6257" priority="58" operator="containsText" text="NUEVO">
      <formula>NOT(ISERROR(SEARCH("NUEVO",C283)))</formula>
    </cfRule>
  </conditionalFormatting>
  <conditionalFormatting sqref="E283">
    <cfRule type="containsText" dxfId="6256" priority="56" operator="containsText" text="Sin Información">
      <formula>NOT(ISERROR(SEARCH("Sin Información",E283)))</formula>
    </cfRule>
  </conditionalFormatting>
  <conditionalFormatting sqref="E283">
    <cfRule type="containsText" dxfId="6255" priority="57" operator="containsText" text="NUEVO">
      <formula>NOT(ISERROR(SEARCH("NUEVO",E283)))</formula>
    </cfRule>
  </conditionalFormatting>
  <conditionalFormatting sqref="C284:D284">
    <cfRule type="containsText" dxfId="6254" priority="55" operator="containsText" text="NO+$D$4:$D$10">
      <formula>NOT(ISERROR(SEARCH("NO+$D$4:$D$10",C284)))</formula>
    </cfRule>
  </conditionalFormatting>
  <conditionalFormatting sqref="C284:D284">
    <cfRule type="containsText" dxfId="6253" priority="53" operator="containsText" text="SI">
      <formula>NOT(ISERROR(SEARCH("SI",C284)))</formula>
    </cfRule>
    <cfRule type="containsText" dxfId="6252" priority="54" operator="containsText" text="NO">
      <formula>NOT(ISERROR(SEARCH("NO",C284)))</formula>
    </cfRule>
  </conditionalFormatting>
  <conditionalFormatting sqref="C284:D284">
    <cfRule type="containsText" dxfId="6251" priority="52" operator="containsText" text="NUEVO">
      <formula>NOT(ISERROR(SEARCH("NUEVO",C284)))</formula>
    </cfRule>
  </conditionalFormatting>
  <conditionalFormatting sqref="E284">
    <cfRule type="containsText" dxfId="6250" priority="50" operator="containsText" text="Sin Información">
      <formula>NOT(ISERROR(SEARCH("Sin Información",E284)))</formula>
    </cfRule>
  </conditionalFormatting>
  <conditionalFormatting sqref="E284">
    <cfRule type="containsText" dxfId="6249" priority="51" operator="containsText" text="NUEVO">
      <formula>NOT(ISERROR(SEARCH("NUEVO",E284)))</formula>
    </cfRule>
  </conditionalFormatting>
  <conditionalFormatting sqref="F283:F284">
    <cfRule type="expression" dxfId="6248" priority="49">
      <formula>F283&lt;&gt;""</formula>
    </cfRule>
  </conditionalFormatting>
  <conditionalFormatting sqref="C227:D227">
    <cfRule type="containsText" dxfId="6247" priority="48" operator="containsText" text="NO+$D$4:$D$10">
      <formula>NOT(ISERROR(SEARCH("NO+$D$4:$D$10",C227)))</formula>
    </cfRule>
  </conditionalFormatting>
  <conditionalFormatting sqref="C227:D227">
    <cfRule type="containsText" dxfId="6246" priority="46" operator="containsText" text="SI">
      <formula>NOT(ISERROR(SEARCH("SI",C227)))</formula>
    </cfRule>
    <cfRule type="containsText" dxfId="6245" priority="47" operator="containsText" text="NO">
      <formula>NOT(ISERROR(SEARCH("NO",C227)))</formula>
    </cfRule>
  </conditionalFormatting>
  <conditionalFormatting sqref="C227:D227">
    <cfRule type="containsText" dxfId="6244" priority="45" operator="containsText" text="NUEVO">
      <formula>NOT(ISERROR(SEARCH("NUEVO",C227)))</formula>
    </cfRule>
  </conditionalFormatting>
  <conditionalFormatting sqref="E227">
    <cfRule type="containsText" dxfId="6243" priority="43" operator="containsText" text="NUEVO">
      <formula>NOT(ISERROR(SEARCH("NUEVO",E227)))</formula>
    </cfRule>
  </conditionalFormatting>
  <conditionalFormatting sqref="E227">
    <cfRule type="containsText" dxfId="6242" priority="44" operator="containsText" text="Sin información">
      <formula>NOT(ISERROR(SEARCH("Sin información",E227)))</formula>
    </cfRule>
  </conditionalFormatting>
  <conditionalFormatting sqref="E227">
    <cfRule type="containsText" dxfId="6241" priority="42" operator="containsText" text="Sin Información">
      <formula>NOT(ISERROR(SEARCH("Sin Información",E227)))</formula>
    </cfRule>
  </conditionalFormatting>
  <conditionalFormatting sqref="F227">
    <cfRule type="expression" dxfId="6240" priority="41">
      <formula>F227&lt;&gt;""</formula>
    </cfRule>
  </conditionalFormatting>
  <conditionalFormatting sqref="C520:D520">
    <cfRule type="containsText" dxfId="6239" priority="40" operator="containsText" text="NO+$D$4:$D$10">
      <formula>NOT(ISERROR(SEARCH("NO+$D$4:$D$10",C520)))</formula>
    </cfRule>
  </conditionalFormatting>
  <conditionalFormatting sqref="C520:D520">
    <cfRule type="containsText" dxfId="6238" priority="38" operator="containsText" text="SI">
      <formula>NOT(ISERROR(SEARCH("SI",C520)))</formula>
    </cfRule>
    <cfRule type="containsText" dxfId="6237" priority="39" operator="containsText" text="NO">
      <formula>NOT(ISERROR(SEARCH("NO",C520)))</formula>
    </cfRule>
  </conditionalFormatting>
  <conditionalFormatting sqref="C520:D520">
    <cfRule type="containsText" dxfId="6236" priority="37" operator="containsText" text="NUEVO">
      <formula>NOT(ISERROR(SEARCH("NUEVO",C520)))</formula>
    </cfRule>
  </conditionalFormatting>
  <conditionalFormatting sqref="F520">
    <cfRule type="expression" dxfId="6235" priority="34">
      <formula>F520&lt;&gt;""</formula>
    </cfRule>
  </conditionalFormatting>
  <conditionalFormatting sqref="E520">
    <cfRule type="containsText" dxfId="6234" priority="33" operator="containsText" text="NUEVO">
      <formula>NOT(ISERROR(SEARCH("NUEVO",E520)))</formula>
    </cfRule>
  </conditionalFormatting>
  <conditionalFormatting sqref="E520">
    <cfRule type="containsText" dxfId="6233" priority="32" operator="containsText" text="Sin Información">
      <formula>NOT(ISERROR(SEARCH("Sin Información",E520)))</formula>
    </cfRule>
  </conditionalFormatting>
  <conditionalFormatting sqref="E520">
    <cfRule type="expression" dxfId="6232" priority="31">
      <formula>E520&lt;&gt;""</formula>
    </cfRule>
  </conditionalFormatting>
  <conditionalFormatting sqref="C518:D518">
    <cfRule type="containsText" dxfId="6231" priority="30" operator="containsText" text="NO+$D$4:$D$10">
      <formula>NOT(ISERROR(SEARCH("NO+$D$4:$D$10",C518)))</formula>
    </cfRule>
  </conditionalFormatting>
  <conditionalFormatting sqref="C518:D518">
    <cfRule type="containsText" dxfId="6230" priority="28" operator="containsText" text="SI">
      <formula>NOT(ISERROR(SEARCH("SI",C518)))</formula>
    </cfRule>
    <cfRule type="containsText" dxfId="6229" priority="29" operator="containsText" text="NO">
      <formula>NOT(ISERROR(SEARCH("NO",C518)))</formula>
    </cfRule>
  </conditionalFormatting>
  <conditionalFormatting sqref="C518:D518">
    <cfRule type="containsText" dxfId="6228" priority="27" operator="containsText" text="NUEVO">
      <formula>NOT(ISERROR(SEARCH("NUEVO",C518)))</formula>
    </cfRule>
  </conditionalFormatting>
  <conditionalFormatting sqref="E518">
    <cfRule type="containsText" dxfId="6227" priority="23" operator="containsText" text="NUEVO">
      <formula>NOT(ISERROR(SEARCH("NUEVO",E518)))</formula>
    </cfRule>
  </conditionalFormatting>
  <conditionalFormatting sqref="E518">
    <cfRule type="containsText" dxfId="6226" priority="22" operator="containsText" text="Sin Información">
      <formula>NOT(ISERROR(SEARCH("Sin Información",E518)))</formula>
    </cfRule>
  </conditionalFormatting>
  <conditionalFormatting sqref="E518">
    <cfRule type="expression" dxfId="6225" priority="21">
      <formula>E518&lt;&gt;""</formula>
    </cfRule>
  </conditionalFormatting>
  <conditionalFormatting sqref="F518">
    <cfRule type="expression" dxfId="6224" priority="20">
      <formula>F518&lt;&gt;""</formula>
    </cfRule>
  </conditionalFormatting>
  <conditionalFormatting sqref="C502:D502">
    <cfRule type="containsText" dxfId="6223" priority="19" operator="containsText" text="NO+$D$4:$D$10">
      <formula>NOT(ISERROR(SEARCH("NO+$D$4:$D$10",C502)))</formula>
    </cfRule>
  </conditionalFormatting>
  <conditionalFormatting sqref="C502:D502">
    <cfRule type="containsText" dxfId="6222" priority="17" operator="containsText" text="SI">
      <formula>NOT(ISERROR(SEARCH("SI",C502)))</formula>
    </cfRule>
    <cfRule type="containsText" dxfId="6221" priority="18" operator="containsText" text="NO">
      <formula>NOT(ISERROR(SEARCH("NO",C502)))</formula>
    </cfRule>
  </conditionalFormatting>
  <conditionalFormatting sqref="E502">
    <cfRule type="containsText" dxfId="6220" priority="16" operator="containsText" text="Sin información">
      <formula>NOT(ISERROR(SEARCH("Sin información",E502)))</formula>
    </cfRule>
  </conditionalFormatting>
  <conditionalFormatting sqref="C502:E502">
    <cfRule type="containsText" dxfId="6219" priority="15" operator="containsText" text="NUEVO">
      <formula>NOT(ISERROR(SEARCH("NUEVO",C502)))</formula>
    </cfRule>
  </conditionalFormatting>
  <conditionalFormatting sqref="C314:D314">
    <cfRule type="containsText" dxfId="6218" priority="14" operator="containsText" text="NO+$D$4:$D$10">
      <formula>NOT(ISERROR(SEARCH("NO+$D$4:$D$10",C314)))</formula>
    </cfRule>
  </conditionalFormatting>
  <conditionalFormatting sqref="C314:D314">
    <cfRule type="containsText" dxfId="6217" priority="12" operator="containsText" text="SI">
      <formula>NOT(ISERROR(SEARCH("SI",C314)))</formula>
    </cfRule>
    <cfRule type="containsText" dxfId="6216" priority="13" operator="containsText" text="NO">
      <formula>NOT(ISERROR(SEARCH("NO",C314)))</formula>
    </cfRule>
  </conditionalFormatting>
  <conditionalFormatting sqref="C314:E314">
    <cfRule type="containsText" dxfId="6215" priority="11" operator="containsText" text="NUEVO">
      <formula>NOT(ISERROR(SEARCH("NUEVO",C314)))</formula>
    </cfRule>
  </conditionalFormatting>
  <conditionalFormatting sqref="E314">
    <cfRule type="containsText" dxfId="6214" priority="10" operator="containsText" text="Sin Información">
      <formula>NOT(ISERROR(SEARCH("Sin Información",E314)))</formula>
    </cfRule>
  </conditionalFormatting>
  <conditionalFormatting sqref="E314 G313:G314">
    <cfRule type="expression" dxfId="6213" priority="9">
      <formula>E313&lt;&gt;""</formula>
    </cfRule>
  </conditionalFormatting>
  <conditionalFormatting sqref="F314">
    <cfRule type="expression" dxfId="6212" priority="8">
      <formula>F314&lt;&gt;""</formula>
    </cfRule>
  </conditionalFormatting>
  <conditionalFormatting sqref="C313:D313">
    <cfRule type="containsText" dxfId="6211" priority="7" operator="containsText" text="NO+$D$4:$D$10">
      <formula>NOT(ISERROR(SEARCH("NO+$D$4:$D$10",C313)))</formula>
    </cfRule>
  </conditionalFormatting>
  <conditionalFormatting sqref="C313:D313">
    <cfRule type="containsText" dxfId="6210" priority="5" operator="containsText" text="SI">
      <formula>NOT(ISERROR(SEARCH("SI",C313)))</formula>
    </cfRule>
    <cfRule type="containsText" dxfId="6209" priority="6" operator="containsText" text="NO">
      <formula>NOT(ISERROR(SEARCH("NO",C313)))</formula>
    </cfRule>
  </conditionalFormatting>
  <conditionalFormatting sqref="C313:E313">
    <cfRule type="containsText" dxfId="6208" priority="4" operator="containsText" text="NUEVO">
      <formula>NOT(ISERROR(SEARCH("NUEVO",C313)))</formula>
    </cfRule>
  </conditionalFormatting>
  <conditionalFormatting sqref="E313">
    <cfRule type="containsText" dxfId="6207" priority="3" operator="containsText" text="Sin Información">
      <formula>NOT(ISERROR(SEARCH("Sin Información",E313)))</formula>
    </cfRule>
  </conditionalFormatting>
  <conditionalFormatting sqref="E313">
    <cfRule type="expression" dxfId="6206" priority="2">
      <formula>E313&lt;&gt;""</formula>
    </cfRule>
  </conditionalFormatting>
  <conditionalFormatting sqref="F313">
    <cfRule type="expression" dxfId="6205" priority="1">
      <formula>F313&lt;&gt;""</formula>
    </cfRule>
  </conditionalFormatting>
  <conditionalFormatting sqref="I485">
    <cfRule type="expression" dxfId="6204" priority="28513">
      <formula>OR(I485&lt;&gt;"", J481&lt;&gt;"")</formula>
    </cfRule>
  </conditionalFormatting>
  <hyperlinks>
    <hyperlink ref="G23" r:id="rId1" display="https://api.whatsapp.com/send/?phone=%2B584246228061&amp;text&amp;type=phone_number&amp;app_absent=0" xr:uid="{2D46A303-AA53-455A-8732-958E8F3AAA77}"/>
    <hyperlink ref="G24" r:id="rId2" display="https://api.whatsapp.com/send/?phone=%2B584246792685&amp;text&amp;type=phone_number&amp;app_absent=0" xr:uid="{187DA652-A52B-49FA-A5DE-BD2888D49C6D}"/>
  </hyperlinks>
  <pageMargins left="0.7" right="0.7" top="0.75" bottom="0.75" header="0.3" footer="0.3"/>
  <pageSetup paperSize="9" orientation="portrait" r:id="rId3"/>
  <drawing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29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30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44" operator="containsText" text="Sin Información" id="{12ACFF38-4BD0-4FCE-91FD-BC6CCCFDF951}">
            <xm:f>NOT(ISERROR(SEARCH("Sin Información",Excluidos!E1152)))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43" operator="containsText" text="NUEVO" id="{4464EEE2-952F-4195-9006-D3EF517B1873}">
            <xm:f>NOT(ISERROR(SEARCH("NUEVO",Excluidos!E1152)))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291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295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C587:D623 C112:D316 C331:D447 C462:D572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E587:E623 E23:E96 E503:E508 E285:E316 E228:E282 E172:E226 E124:E170 E331:E447 E510:E572 E462:E501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2" t="s">
        <v>4</v>
      </c>
      <c r="B1" s="202"/>
      <c r="D1" s="137" t="s">
        <v>1984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393</v>
      </c>
    </row>
    <row r="4" spans="1:4" x14ac:dyDescent="0.25">
      <c r="A4" s="2" t="s">
        <v>1777</v>
      </c>
      <c r="D4" s="137" t="s">
        <v>346</v>
      </c>
    </row>
    <row r="5" spans="1:4" x14ac:dyDescent="0.25">
      <c r="D5" s="137" t="s">
        <v>321</v>
      </c>
    </row>
    <row r="6" spans="1:4" x14ac:dyDescent="0.25">
      <c r="D6" s="137" t="s">
        <v>265</v>
      </c>
    </row>
    <row r="7" spans="1:4" x14ac:dyDescent="0.25">
      <c r="D7" s="137" t="s">
        <v>1777</v>
      </c>
    </row>
    <row r="8" spans="1:4" x14ac:dyDescent="0.25">
      <c r="D8" s="137" t="s">
        <v>307</v>
      </c>
    </row>
    <row r="9" spans="1:4" x14ac:dyDescent="0.25">
      <c r="B9" s="23"/>
      <c r="D9" s="137" t="s">
        <v>153</v>
      </c>
    </row>
    <row r="10" spans="1:4" x14ac:dyDescent="0.25">
      <c r="D10" s="137" t="s">
        <v>1649</v>
      </c>
    </row>
    <row r="11" spans="1:4" x14ac:dyDescent="0.25">
      <c r="D11" s="137" t="s">
        <v>1285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4"/>
      <c r="B1" s="204"/>
      <c r="C1" s="204"/>
    </row>
    <row r="2" spans="1:3" ht="42.75" customHeight="1" x14ac:dyDescent="0.25">
      <c r="A2" s="204" t="s">
        <v>364</v>
      </c>
      <c r="B2" s="204"/>
      <c r="C2" s="204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3" t="s">
        <v>380</v>
      </c>
      <c r="B17" s="203"/>
      <c r="C17" s="46" t="s">
        <v>369</v>
      </c>
    </row>
    <row r="18" spans="1:3" ht="45" customHeight="1" x14ac:dyDescent="0.25">
      <c r="A18" s="203" t="s">
        <v>381</v>
      </c>
      <c r="B18" s="203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9"/>
  <sheetViews>
    <sheetView topLeftCell="A1495" zoomScale="85" zoomScaleNormal="85" workbookViewId="0">
      <selection activeCell="F1443" sqref="F1443"/>
    </sheetView>
  </sheetViews>
  <sheetFormatPr baseColWidth="10" defaultRowHeight="15" x14ac:dyDescent="0.25"/>
  <cols>
    <col min="2" max="2" width="24.42578125" customWidth="1"/>
    <col min="6" max="6" width="11.42578125" style="114"/>
  </cols>
  <sheetData>
    <row r="1" spans="1:6" x14ac:dyDescent="0.25">
      <c r="A1" s="106" t="s">
        <v>1840</v>
      </c>
    </row>
    <row r="2" spans="1:6" x14ac:dyDescent="0.25">
      <c r="A2" s="9">
        <v>1</v>
      </c>
      <c r="B2" s="49" t="s">
        <v>1697</v>
      </c>
      <c r="C2" s="18" t="s">
        <v>6</v>
      </c>
      <c r="D2" s="18" t="s">
        <v>6</v>
      </c>
      <c r="E2" s="91" t="s">
        <v>46</v>
      </c>
      <c r="F2" s="108">
        <v>46145</v>
      </c>
    </row>
    <row r="3" spans="1:6" x14ac:dyDescent="0.25">
      <c r="A3" s="9">
        <v>2</v>
      </c>
      <c r="B3" s="8" t="s">
        <v>1726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6" x14ac:dyDescent="0.25">
      <c r="A4" s="9">
        <v>3</v>
      </c>
      <c r="B4" s="49" t="s">
        <v>1725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6" x14ac:dyDescent="0.25">
      <c r="A5" s="9">
        <v>4</v>
      </c>
      <c r="B5" s="49" t="s">
        <v>1651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6" x14ac:dyDescent="0.25">
      <c r="A6" s="9">
        <v>5</v>
      </c>
      <c r="B6" s="49" t="s">
        <v>1709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6" x14ac:dyDescent="0.25">
      <c r="A7" s="9">
        <v>6</v>
      </c>
      <c r="B7" s="49" t="s">
        <v>1714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6" x14ac:dyDescent="0.25">
      <c r="A8" s="9">
        <v>7</v>
      </c>
      <c r="B8" s="49" t="s">
        <v>1713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6" x14ac:dyDescent="0.25">
      <c r="A9" s="9">
        <v>8</v>
      </c>
      <c r="B9" s="49" t="s">
        <v>1710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6" x14ac:dyDescent="0.25">
      <c r="A10" s="9">
        <v>9</v>
      </c>
      <c r="B10" s="49" t="s">
        <v>1712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6" x14ac:dyDescent="0.25">
      <c r="A11" s="9">
        <v>10</v>
      </c>
      <c r="B11" s="49" t="s">
        <v>1711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6" x14ac:dyDescent="0.25">
      <c r="A12" s="9">
        <v>11</v>
      </c>
      <c r="B12" s="49" t="s">
        <v>451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6" x14ac:dyDescent="0.25">
      <c r="A13" s="9">
        <v>12</v>
      </c>
      <c r="B13" s="49" t="s">
        <v>460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6" x14ac:dyDescent="0.25">
      <c r="A14" s="9">
        <v>13</v>
      </c>
      <c r="B14" s="49" t="s">
        <v>461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6" x14ac:dyDescent="0.25">
      <c r="A15" s="9">
        <v>14</v>
      </c>
      <c r="B15" s="49" t="s">
        <v>462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6" x14ac:dyDescent="0.25">
      <c r="A16" s="9">
        <v>15</v>
      </c>
      <c r="B16" s="49" t="s">
        <v>463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321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1" t="s">
        <v>555</v>
      </c>
      <c r="F24" s="108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1" t="s">
        <v>555</v>
      </c>
      <c r="F25" s="108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1582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1486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713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734</v>
      </c>
      <c r="C42" s="18" t="s">
        <v>6</v>
      </c>
      <c r="D42" s="18" t="s">
        <v>6</v>
      </c>
      <c r="E42" s="91" t="s">
        <v>346</v>
      </c>
      <c r="F42" s="108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1" t="s">
        <v>346</v>
      </c>
      <c r="F43" s="108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769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770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771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775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777</v>
      </c>
      <c r="C49" s="18" t="s">
        <v>6</v>
      </c>
      <c r="D49" s="18" t="s">
        <v>6</v>
      </c>
      <c r="E49" s="91" t="s">
        <v>46</v>
      </c>
      <c r="F49" s="108">
        <v>45907</v>
      </c>
    </row>
    <row r="50" spans="1:6" x14ac:dyDescent="0.25">
      <c r="A50" s="9">
        <v>49</v>
      </c>
      <c r="B50" s="49" t="s">
        <v>802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803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804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49" t="s">
        <v>805</v>
      </c>
      <c r="C53" s="18" t="s">
        <v>6</v>
      </c>
      <c r="D53" s="18" t="s">
        <v>6</v>
      </c>
      <c r="E53" s="91" t="s">
        <v>46</v>
      </c>
      <c r="F53" s="108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0" t="s">
        <v>46</v>
      </c>
      <c r="F54" s="108">
        <v>45929</v>
      </c>
    </row>
    <row r="55" spans="1:6" x14ac:dyDescent="0.25">
      <c r="A55" s="9">
        <v>54</v>
      </c>
      <c r="B55" s="19" t="s">
        <v>889</v>
      </c>
      <c r="C55" s="18" t="s">
        <v>6</v>
      </c>
      <c r="D55" s="18" t="s">
        <v>6</v>
      </c>
      <c r="E55" s="91" t="s">
        <v>46</v>
      </c>
      <c r="F55" s="108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0" t="s">
        <v>46</v>
      </c>
      <c r="F57" s="108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1" t="s">
        <v>555</v>
      </c>
      <c r="F58" s="108">
        <v>45929</v>
      </c>
    </row>
    <row r="59" spans="1:6" x14ac:dyDescent="0.25">
      <c r="A59" s="9">
        <v>58</v>
      </c>
      <c r="B59" s="19" t="s">
        <v>837</v>
      </c>
      <c r="C59" s="18" t="s">
        <v>6</v>
      </c>
      <c r="D59" s="18" t="s">
        <v>6</v>
      </c>
      <c r="E59" s="91" t="s">
        <v>346</v>
      </c>
      <c r="F59" s="108">
        <v>45922</v>
      </c>
    </row>
    <row r="60" spans="1:6" x14ac:dyDescent="0.25">
      <c r="A60" s="9">
        <v>59</v>
      </c>
      <c r="B60" s="19" t="s">
        <v>838</v>
      </c>
      <c r="C60" s="18" t="s">
        <v>6</v>
      </c>
      <c r="D60" s="18" t="s">
        <v>6</v>
      </c>
      <c r="E60" s="91" t="s">
        <v>346</v>
      </c>
      <c r="F60" s="108">
        <v>45922</v>
      </c>
    </row>
    <row r="61" spans="1:6" x14ac:dyDescent="0.25">
      <c r="A61" s="9">
        <v>60</v>
      </c>
      <c r="B61" s="19" t="s">
        <v>839</v>
      </c>
      <c r="C61" s="18" t="s">
        <v>6</v>
      </c>
      <c r="D61" s="18" t="s">
        <v>6</v>
      </c>
      <c r="E61" s="91" t="s">
        <v>346</v>
      </c>
      <c r="F61" s="108">
        <v>45922</v>
      </c>
    </row>
    <row r="62" spans="1:6" x14ac:dyDescent="0.25">
      <c r="A62" s="9">
        <v>61</v>
      </c>
      <c r="B62" s="8" t="s">
        <v>732</v>
      </c>
      <c r="C62" s="18" t="s">
        <v>6</v>
      </c>
      <c r="D62" s="18" t="s">
        <v>6</v>
      </c>
      <c r="E62" s="94" t="s">
        <v>46</v>
      </c>
      <c r="F62" s="108">
        <v>45922</v>
      </c>
    </row>
    <row r="63" spans="1:6" ht="15.75" x14ac:dyDescent="0.25">
      <c r="A63" s="9">
        <v>62</v>
      </c>
      <c r="B63" s="51" t="s">
        <v>706</v>
      </c>
      <c r="C63" s="18" t="s">
        <v>6</v>
      </c>
      <c r="D63" s="18" t="s">
        <v>6</v>
      </c>
      <c r="E63" s="90" t="s">
        <v>46</v>
      </c>
      <c r="F63" s="108">
        <v>45929</v>
      </c>
    </row>
    <row r="64" spans="1:6" x14ac:dyDescent="0.25">
      <c r="A64" s="9">
        <v>63</v>
      </c>
      <c r="B64" s="54" t="s">
        <v>831</v>
      </c>
      <c r="C64" s="18" t="s">
        <v>6</v>
      </c>
      <c r="D64" s="18" t="s">
        <v>6</v>
      </c>
      <c r="E64" s="91" t="s">
        <v>46</v>
      </c>
      <c r="F64" s="108">
        <v>45929</v>
      </c>
    </row>
    <row r="65" spans="1:6" x14ac:dyDescent="0.25">
      <c r="A65" s="9">
        <v>64</v>
      </c>
      <c r="B65" s="54" t="s">
        <v>888</v>
      </c>
      <c r="C65" s="18" t="s">
        <v>6</v>
      </c>
      <c r="D65" s="18" t="s">
        <v>6</v>
      </c>
      <c r="E65" s="91" t="s">
        <v>46</v>
      </c>
      <c r="F65" s="108">
        <v>45922</v>
      </c>
    </row>
    <row r="66" spans="1:6" x14ac:dyDescent="0.25">
      <c r="A66" s="9">
        <v>65</v>
      </c>
      <c r="B66" s="54" t="s">
        <v>832</v>
      </c>
      <c r="C66" s="18" t="s">
        <v>6</v>
      </c>
      <c r="D66" s="18" t="s">
        <v>6</v>
      </c>
      <c r="E66" s="91" t="s">
        <v>46</v>
      </c>
      <c r="F66" s="108">
        <v>45922</v>
      </c>
    </row>
    <row r="67" spans="1:6" x14ac:dyDescent="0.25">
      <c r="A67" s="9">
        <v>66</v>
      </c>
      <c r="B67" s="54" t="s">
        <v>890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54" t="s">
        <v>891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54" t="s">
        <v>894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887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893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892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895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896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901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900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49" t="s">
        <v>919</v>
      </c>
      <c r="C78" s="18" t="s">
        <v>6</v>
      </c>
      <c r="D78" s="18" t="s">
        <v>6</v>
      </c>
      <c r="E78" s="91" t="s">
        <v>46</v>
      </c>
      <c r="F78" s="108">
        <v>45929</v>
      </c>
    </row>
    <row r="79" spans="1:6" x14ac:dyDescent="0.25">
      <c r="A79" s="9">
        <v>78</v>
      </c>
      <c r="B79" s="49" t="s">
        <v>920</v>
      </c>
      <c r="C79" s="18" t="s">
        <v>6</v>
      </c>
      <c r="D79" s="18" t="s">
        <v>6</v>
      </c>
      <c r="E79" s="91" t="s">
        <v>46</v>
      </c>
      <c r="F79" s="108">
        <v>45929</v>
      </c>
    </row>
    <row r="80" spans="1:6" x14ac:dyDescent="0.25">
      <c r="A80" s="9">
        <v>79</v>
      </c>
      <c r="B80" s="8" t="s">
        <v>963</v>
      </c>
      <c r="C80" s="18" t="s">
        <v>6</v>
      </c>
      <c r="D80" s="18" t="s">
        <v>6</v>
      </c>
      <c r="E80" s="94" t="s">
        <v>46</v>
      </c>
      <c r="F80" s="108">
        <v>45935</v>
      </c>
    </row>
    <row r="81" spans="1:6" x14ac:dyDescent="0.25">
      <c r="A81" s="9">
        <v>80</v>
      </c>
      <c r="B81" s="49" t="s">
        <v>801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918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49" t="s">
        <v>961</v>
      </c>
      <c r="C83" s="18" t="s">
        <v>6</v>
      </c>
      <c r="D83" s="18" t="s">
        <v>6</v>
      </c>
      <c r="E83" s="91" t="s">
        <v>46</v>
      </c>
      <c r="F83" s="108">
        <v>45935</v>
      </c>
    </row>
    <row r="84" spans="1:6" x14ac:dyDescent="0.25">
      <c r="A84" s="9">
        <v>83</v>
      </c>
      <c r="B84" s="49" t="s">
        <v>964</v>
      </c>
      <c r="C84" s="18" t="s">
        <v>6</v>
      </c>
      <c r="D84" s="18" t="s">
        <v>6</v>
      </c>
      <c r="E84" s="91" t="s">
        <v>46</v>
      </c>
      <c r="F84" s="108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4" t="s">
        <v>44</v>
      </c>
      <c r="F85" s="108">
        <v>45942</v>
      </c>
    </row>
    <row r="86" spans="1:6" x14ac:dyDescent="0.25">
      <c r="A86" s="9">
        <v>85</v>
      </c>
      <c r="B86" s="8" t="s">
        <v>962</v>
      </c>
      <c r="C86" s="18" t="s">
        <v>6</v>
      </c>
      <c r="D86" s="18" t="s">
        <v>6</v>
      </c>
      <c r="E86" s="94" t="s">
        <v>46</v>
      </c>
      <c r="F86" s="108">
        <v>45942</v>
      </c>
    </row>
    <row r="87" spans="1:6" x14ac:dyDescent="0.25">
      <c r="A87" s="9">
        <v>86</v>
      </c>
      <c r="B87" s="49" t="s">
        <v>767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776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1003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1004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1005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1006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49" t="s">
        <v>1007</v>
      </c>
      <c r="C94" s="18" t="s">
        <v>6</v>
      </c>
      <c r="D94" s="18" t="s">
        <v>6</v>
      </c>
      <c r="E94" s="91" t="s">
        <v>46</v>
      </c>
      <c r="F94" s="108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1" t="s">
        <v>46</v>
      </c>
      <c r="F95" s="108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0" t="s">
        <v>46</v>
      </c>
      <c r="F96" s="108">
        <v>45949</v>
      </c>
    </row>
    <row r="97" spans="1:6" x14ac:dyDescent="0.25">
      <c r="A97" s="9">
        <v>96</v>
      </c>
      <c r="B97" s="49" t="s">
        <v>806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49" t="s">
        <v>1032</v>
      </c>
      <c r="C99" s="18" t="s">
        <v>6</v>
      </c>
      <c r="D99" s="18" t="s">
        <v>6</v>
      </c>
      <c r="E99" s="91" t="s">
        <v>46</v>
      </c>
      <c r="F99" s="108">
        <v>45949</v>
      </c>
    </row>
    <row r="100" spans="1:6" x14ac:dyDescent="0.25">
      <c r="A100" s="9">
        <v>99</v>
      </c>
      <c r="B100" s="49" t="s">
        <v>1033</v>
      </c>
      <c r="C100" s="18" t="s">
        <v>6</v>
      </c>
      <c r="D100" s="18" t="s">
        <v>6</v>
      </c>
      <c r="E100" s="91" t="s">
        <v>46</v>
      </c>
      <c r="F100" s="108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0" t="s">
        <v>43</v>
      </c>
      <c r="F101" s="108">
        <v>46033</v>
      </c>
    </row>
    <row r="102" spans="1:6" x14ac:dyDescent="0.25">
      <c r="A102" s="9">
        <v>101</v>
      </c>
      <c r="B102" s="49" t="s">
        <v>1067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1080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1081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49" t="s">
        <v>1082</v>
      </c>
      <c r="C105" s="18" t="s">
        <v>6</v>
      </c>
      <c r="D105" s="18" t="s">
        <v>6</v>
      </c>
      <c r="E105" s="91" t="s">
        <v>46</v>
      </c>
      <c r="F105" s="108">
        <v>45956</v>
      </c>
    </row>
    <row r="106" spans="1:6" x14ac:dyDescent="0.25">
      <c r="A106" s="9">
        <v>105</v>
      </c>
      <c r="B106" s="49" t="s">
        <v>1083</v>
      </c>
      <c r="C106" s="18" t="s">
        <v>6</v>
      </c>
      <c r="D106" s="18" t="s">
        <v>6</v>
      </c>
      <c r="E106" s="91" t="s">
        <v>46</v>
      </c>
      <c r="F106" s="108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1" t="s">
        <v>40</v>
      </c>
      <c r="F107" s="108">
        <v>45964</v>
      </c>
    </row>
    <row r="108" spans="1:6" x14ac:dyDescent="0.25">
      <c r="A108" s="9">
        <v>107</v>
      </c>
      <c r="B108" s="8" t="s">
        <v>1034</v>
      </c>
      <c r="C108" s="18" t="s">
        <v>6</v>
      </c>
      <c r="D108" s="18" t="s">
        <v>6</v>
      </c>
      <c r="E108" s="110" t="s">
        <v>46</v>
      </c>
      <c r="F108" s="108">
        <v>45970</v>
      </c>
    </row>
    <row r="109" spans="1:6" x14ac:dyDescent="0.25">
      <c r="A109" s="9">
        <v>108</v>
      </c>
      <c r="B109" s="35" t="s">
        <v>1160</v>
      </c>
      <c r="C109" s="18" t="s">
        <v>6</v>
      </c>
      <c r="D109" s="18" t="s">
        <v>6</v>
      </c>
      <c r="E109" s="94" t="s">
        <v>46</v>
      </c>
      <c r="F109" s="108">
        <v>45984</v>
      </c>
    </row>
    <row r="110" spans="1:6" x14ac:dyDescent="0.25">
      <c r="A110" s="9">
        <v>109</v>
      </c>
      <c r="B110" s="49" t="s">
        <v>1161</v>
      </c>
      <c r="C110" s="18" t="s">
        <v>6</v>
      </c>
      <c r="D110" s="18" t="s">
        <v>6</v>
      </c>
      <c r="E110" s="91" t="s">
        <v>46</v>
      </c>
      <c r="F110" s="108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0" t="s">
        <v>40</v>
      </c>
      <c r="F111" s="108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1" t="s">
        <v>40</v>
      </c>
      <c r="F112" s="108">
        <v>46005</v>
      </c>
    </row>
    <row r="113" spans="1:6" x14ac:dyDescent="0.25">
      <c r="A113" s="9">
        <v>112</v>
      </c>
      <c r="B113" s="19" t="s">
        <v>1262</v>
      </c>
      <c r="C113" s="18" t="s">
        <v>6</v>
      </c>
      <c r="D113" s="18" t="s">
        <v>6</v>
      </c>
      <c r="E113" s="91" t="s">
        <v>46</v>
      </c>
      <c r="F113" s="108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0" t="s">
        <v>43</v>
      </c>
      <c r="F114" s="108">
        <v>46033</v>
      </c>
    </row>
    <row r="115" spans="1:6" x14ac:dyDescent="0.25">
      <c r="A115" s="9">
        <v>114</v>
      </c>
      <c r="B115" s="19" t="s">
        <v>1197</v>
      </c>
      <c r="C115" s="18" t="s">
        <v>6</v>
      </c>
      <c r="D115" s="18" t="s">
        <v>6</v>
      </c>
      <c r="E115" s="91" t="s">
        <v>43</v>
      </c>
      <c r="F115" s="108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0" t="s">
        <v>40</v>
      </c>
      <c r="F116" s="108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0" t="s">
        <v>46</v>
      </c>
      <c r="F117" s="108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8" t="s">
        <v>833</v>
      </c>
      <c r="C119" s="18" t="s">
        <v>6</v>
      </c>
      <c r="D119" s="18" t="s">
        <v>6</v>
      </c>
      <c r="E119" s="94" t="s">
        <v>46</v>
      </c>
      <c r="F119" s="108">
        <v>45998</v>
      </c>
    </row>
    <row r="120" spans="1:6" x14ac:dyDescent="0.25">
      <c r="A120" s="9">
        <v>119</v>
      </c>
      <c r="B120" s="49" t="s">
        <v>1036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49" t="s">
        <v>1238</v>
      </c>
      <c r="C121" s="18" t="s">
        <v>6</v>
      </c>
      <c r="D121" s="18" t="s">
        <v>6</v>
      </c>
      <c r="E121" s="91" t="s">
        <v>346</v>
      </c>
      <c r="F121" s="108">
        <v>45998</v>
      </c>
    </row>
    <row r="122" spans="1:6" x14ac:dyDescent="0.25">
      <c r="A122" s="9">
        <v>121</v>
      </c>
      <c r="B122" s="49" t="s">
        <v>1232</v>
      </c>
      <c r="C122" s="18" t="s">
        <v>6</v>
      </c>
      <c r="D122" s="18" t="s">
        <v>6</v>
      </c>
      <c r="E122" s="91" t="s">
        <v>46</v>
      </c>
      <c r="F122" s="108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4" t="s">
        <v>44</v>
      </c>
      <c r="F123" s="108">
        <v>46033</v>
      </c>
    </row>
    <row r="124" spans="1:6" x14ac:dyDescent="0.25">
      <c r="A124" s="9">
        <v>123</v>
      </c>
      <c r="B124" s="49" t="s">
        <v>1105</v>
      </c>
      <c r="C124" s="18" t="s">
        <v>6</v>
      </c>
      <c r="D124" s="18" t="s">
        <v>6</v>
      </c>
      <c r="E124" s="91" t="s">
        <v>46</v>
      </c>
      <c r="F124" s="108">
        <v>46033</v>
      </c>
    </row>
    <row r="125" spans="1:6" x14ac:dyDescent="0.25">
      <c r="A125" s="9">
        <v>124</v>
      </c>
      <c r="B125" s="49" t="s">
        <v>1305</v>
      </c>
      <c r="C125" s="18" t="s">
        <v>6</v>
      </c>
      <c r="D125" s="18" t="s">
        <v>6</v>
      </c>
      <c r="E125" s="91" t="s">
        <v>46</v>
      </c>
      <c r="F125" s="108">
        <v>46033</v>
      </c>
    </row>
    <row r="126" spans="1:6" x14ac:dyDescent="0.25">
      <c r="A126" s="9">
        <v>125</v>
      </c>
      <c r="B126" s="8" t="s">
        <v>1374</v>
      </c>
      <c r="C126" s="18" t="s">
        <v>6</v>
      </c>
      <c r="D126" s="18" t="s">
        <v>6</v>
      </c>
      <c r="E126" s="110" t="s">
        <v>46</v>
      </c>
      <c r="F126" s="108">
        <v>46055</v>
      </c>
    </row>
    <row r="127" spans="1:6" x14ac:dyDescent="0.25">
      <c r="A127" s="9">
        <v>126</v>
      </c>
      <c r="B127" s="49" t="s">
        <v>1307</v>
      </c>
      <c r="C127" s="18" t="s">
        <v>6</v>
      </c>
      <c r="D127" s="18" t="s">
        <v>6</v>
      </c>
      <c r="E127" s="91" t="s">
        <v>46</v>
      </c>
      <c r="F127" s="108">
        <v>46061</v>
      </c>
    </row>
    <row r="128" spans="1:6" x14ac:dyDescent="0.25">
      <c r="A128" s="9">
        <v>127</v>
      </c>
      <c r="B128" s="49" t="s">
        <v>1306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49" t="s">
        <v>1237</v>
      </c>
      <c r="C129" s="18" t="s">
        <v>6</v>
      </c>
      <c r="D129" s="18" t="s">
        <v>6</v>
      </c>
      <c r="E129" s="91" t="s">
        <v>46</v>
      </c>
      <c r="F129" s="108">
        <v>46046</v>
      </c>
    </row>
    <row r="130" spans="1:6" x14ac:dyDescent="0.25">
      <c r="A130" s="9">
        <v>129</v>
      </c>
      <c r="B130" s="49" t="s">
        <v>1308</v>
      </c>
      <c r="C130" s="18" t="s">
        <v>6</v>
      </c>
      <c r="D130" s="18" t="s">
        <v>6</v>
      </c>
      <c r="E130" s="91" t="s">
        <v>46</v>
      </c>
      <c r="F130" s="108">
        <v>46055</v>
      </c>
    </row>
    <row r="131" spans="1:6" x14ac:dyDescent="0.25">
      <c r="A131" s="9">
        <v>130</v>
      </c>
      <c r="B131" s="8" t="s">
        <v>1401</v>
      </c>
      <c r="C131" s="18" t="s">
        <v>6</v>
      </c>
      <c r="D131" s="18" t="s">
        <v>6</v>
      </c>
      <c r="E131" s="110" t="s">
        <v>41</v>
      </c>
      <c r="F131" s="108">
        <v>46095</v>
      </c>
    </row>
    <row r="132" spans="1:6" x14ac:dyDescent="0.25">
      <c r="A132" s="9">
        <v>131</v>
      </c>
      <c r="B132" s="8" t="s">
        <v>1400</v>
      </c>
      <c r="C132" s="18" t="s">
        <v>6</v>
      </c>
      <c r="D132" s="18" t="s">
        <v>6</v>
      </c>
      <c r="E132" s="110" t="s">
        <v>41</v>
      </c>
      <c r="F132" s="108">
        <v>46095</v>
      </c>
    </row>
    <row r="133" spans="1:6" x14ac:dyDescent="0.25">
      <c r="A133" s="9">
        <v>132</v>
      </c>
      <c r="B133" s="8" t="s">
        <v>733</v>
      </c>
      <c r="C133" s="18" t="s">
        <v>6</v>
      </c>
      <c r="D133" s="18" t="s">
        <v>6</v>
      </c>
      <c r="E133" s="110" t="s">
        <v>46</v>
      </c>
      <c r="F133" s="108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1" t="s">
        <v>46</v>
      </c>
      <c r="F134" s="108">
        <v>46082</v>
      </c>
    </row>
    <row r="135" spans="1:6" x14ac:dyDescent="0.25">
      <c r="A135" s="9">
        <v>134</v>
      </c>
      <c r="B135" s="49" t="s">
        <v>1487</v>
      </c>
      <c r="C135" s="18" t="s">
        <v>6</v>
      </c>
      <c r="D135" s="18" t="s">
        <v>6</v>
      </c>
      <c r="E135" s="91" t="s">
        <v>46</v>
      </c>
      <c r="F135" s="108">
        <v>46082</v>
      </c>
    </row>
    <row r="136" spans="1:6" x14ac:dyDescent="0.25">
      <c r="A136" s="9">
        <v>135</v>
      </c>
      <c r="B136" s="49" t="s">
        <v>1433</v>
      </c>
      <c r="C136" s="18" t="s">
        <v>6</v>
      </c>
      <c r="D136" s="18" t="s">
        <v>6</v>
      </c>
      <c r="E136" s="91" t="s">
        <v>46</v>
      </c>
      <c r="F136" s="108">
        <v>46110</v>
      </c>
    </row>
    <row r="137" spans="1:6" x14ac:dyDescent="0.25">
      <c r="A137" s="9">
        <v>136</v>
      </c>
      <c r="B137" s="49" t="s">
        <v>1434</v>
      </c>
      <c r="C137" s="18" t="s">
        <v>6</v>
      </c>
      <c r="D137" s="18" t="s">
        <v>6</v>
      </c>
      <c r="E137" s="91" t="s">
        <v>46</v>
      </c>
      <c r="F137" s="108">
        <v>46110</v>
      </c>
    </row>
    <row r="138" spans="1:6" x14ac:dyDescent="0.25">
      <c r="A138" s="9">
        <v>137</v>
      </c>
      <c r="B138" s="49" t="s">
        <v>1567</v>
      </c>
      <c r="C138" s="18" t="s">
        <v>6</v>
      </c>
      <c r="D138" s="18" t="s">
        <v>6</v>
      </c>
      <c r="E138" s="91" t="s">
        <v>46</v>
      </c>
      <c r="F138" s="108">
        <v>46104</v>
      </c>
    </row>
    <row r="139" spans="1:6" x14ac:dyDescent="0.25">
      <c r="A139" s="9">
        <v>138</v>
      </c>
      <c r="B139" s="49" t="s">
        <v>1575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1583</v>
      </c>
      <c r="C140" s="18" t="s">
        <v>6</v>
      </c>
      <c r="D140" s="18" t="s">
        <v>6</v>
      </c>
      <c r="E140" s="91" t="s">
        <v>46</v>
      </c>
      <c r="F140" s="108">
        <v>46138</v>
      </c>
    </row>
    <row r="141" spans="1:6" x14ac:dyDescent="0.25">
      <c r="A141" s="9">
        <v>140</v>
      </c>
      <c r="B141" s="49" t="s">
        <v>1573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1571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1570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1569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1568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1577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1578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1579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1580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1599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1601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1600</v>
      </c>
      <c r="C152" s="18" t="s">
        <v>6</v>
      </c>
      <c r="D152" s="18" t="s">
        <v>6</v>
      </c>
      <c r="E152" s="91" t="s">
        <v>46</v>
      </c>
      <c r="F152" s="108">
        <v>46104</v>
      </c>
    </row>
    <row r="153" spans="1:6" x14ac:dyDescent="0.25">
      <c r="A153" s="9">
        <v>152</v>
      </c>
      <c r="B153" s="49" t="s">
        <v>1604</v>
      </c>
      <c r="C153" s="18" t="s">
        <v>6</v>
      </c>
      <c r="D153" s="18" t="s">
        <v>6</v>
      </c>
      <c r="E153" s="91" t="s">
        <v>46</v>
      </c>
      <c r="F153" s="108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1" t="s">
        <v>46</v>
      </c>
      <c r="F154" s="108">
        <v>46110</v>
      </c>
    </row>
    <row r="155" spans="1:6" x14ac:dyDescent="0.25">
      <c r="A155" s="9">
        <v>154</v>
      </c>
      <c r="B155" s="49" t="s">
        <v>1603</v>
      </c>
      <c r="C155" s="18" t="s">
        <v>6</v>
      </c>
      <c r="D155" s="18" t="s">
        <v>6</v>
      </c>
      <c r="E155" s="91" t="s">
        <v>46</v>
      </c>
      <c r="F155" s="108">
        <v>46138</v>
      </c>
    </row>
    <row r="156" spans="1:6" x14ac:dyDescent="0.25">
      <c r="A156" s="9">
        <v>155</v>
      </c>
      <c r="B156" s="49" t="s">
        <v>1602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1581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1683</v>
      </c>
      <c r="C158" s="18" t="s">
        <v>6</v>
      </c>
      <c r="D158" s="18" t="s">
        <v>6</v>
      </c>
      <c r="E158" s="91" t="s">
        <v>46</v>
      </c>
      <c r="F158" s="108">
        <v>46138</v>
      </c>
    </row>
    <row r="159" spans="1:6" x14ac:dyDescent="0.25">
      <c r="A159" s="9">
        <v>158</v>
      </c>
      <c r="B159" s="49" t="s">
        <v>1679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1680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1681</v>
      </c>
      <c r="C161" s="18" t="s">
        <v>6</v>
      </c>
      <c r="D161" s="18" t="s">
        <v>6</v>
      </c>
      <c r="E161" s="91" t="s">
        <v>46</v>
      </c>
      <c r="F161" s="108">
        <v>46131</v>
      </c>
    </row>
    <row r="162" spans="1:6" x14ac:dyDescent="0.25">
      <c r="A162" s="9">
        <v>161</v>
      </c>
      <c r="B162" s="49" t="s">
        <v>1682</v>
      </c>
      <c r="C162" s="18" t="s">
        <v>6</v>
      </c>
      <c r="D162" s="18" t="s">
        <v>6</v>
      </c>
      <c r="E162" s="91" t="s">
        <v>46</v>
      </c>
      <c r="F162" s="108">
        <v>46131</v>
      </c>
    </row>
    <row r="163" spans="1:6" x14ac:dyDescent="0.25">
      <c r="A163" s="9">
        <v>162</v>
      </c>
      <c r="B163" s="49" t="s">
        <v>1659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1656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49" t="s">
        <v>1742</v>
      </c>
      <c r="C165" s="18" t="s">
        <v>6</v>
      </c>
      <c r="D165" s="18" t="s">
        <v>6</v>
      </c>
      <c r="E165" s="22" t="s">
        <v>46</v>
      </c>
      <c r="F165" s="120">
        <v>46166</v>
      </c>
    </row>
    <row r="166" spans="1:6" x14ac:dyDescent="0.25">
      <c r="A166" s="9">
        <v>165</v>
      </c>
      <c r="B166" s="49" t="s">
        <v>1743</v>
      </c>
      <c r="C166" s="18" t="s">
        <v>6</v>
      </c>
      <c r="D166" s="18" t="s">
        <v>6</v>
      </c>
      <c r="E166" s="22" t="s">
        <v>46</v>
      </c>
      <c r="F166" s="120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0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0">
        <v>46173</v>
      </c>
    </row>
    <row r="169" spans="1:6" x14ac:dyDescent="0.25">
      <c r="A169" s="9">
        <v>168</v>
      </c>
      <c r="B169" s="49" t="s">
        <v>1741</v>
      </c>
      <c r="C169" s="18" t="s">
        <v>6</v>
      </c>
      <c r="D169" s="18" t="s">
        <v>6</v>
      </c>
      <c r="E169" s="22" t="s">
        <v>46</v>
      </c>
      <c r="F169" s="120">
        <v>46173</v>
      </c>
    </row>
    <row r="170" spans="1:6" x14ac:dyDescent="0.25">
      <c r="A170" s="9">
        <v>169</v>
      </c>
      <c r="B170" s="40" t="s">
        <v>1614</v>
      </c>
      <c r="C170" s="18" t="s">
        <v>6</v>
      </c>
      <c r="D170" s="18" t="s">
        <v>6</v>
      </c>
      <c r="E170" s="14" t="s">
        <v>46</v>
      </c>
      <c r="F170" s="38">
        <f t="shared" ref="F170:F177" ca="1" si="0">IF(AND(C170="NO",D170="NO"),IF(F170="",TODAY(),F170),"")</f>
        <v>46177</v>
      </c>
    </row>
    <row r="171" spans="1:6" x14ac:dyDescent="0.25">
      <c r="A171" s="9">
        <v>170</v>
      </c>
      <c r="B171" s="49" t="s">
        <v>1237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1772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1773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1774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1392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6" x14ac:dyDescent="0.25">
      <c r="A177" s="9">
        <v>176</v>
      </c>
      <c r="B177" s="49" t="s">
        <v>1818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8" spans="1:6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ref="F178:F179" ca="1" si="1">IF(AND(C178="NO",D178="NO"),IF(F178="",TODAY(),F178),"")</f>
        <v>46195</v>
      </c>
    </row>
    <row r="179" spans="1:6" ht="15.75" x14ac:dyDescent="0.25">
      <c r="A179" s="9">
        <v>178</v>
      </c>
      <c r="B179" s="49" t="s">
        <v>1858</v>
      </c>
      <c r="C179" s="18" t="s">
        <v>6</v>
      </c>
      <c r="D179" s="18" t="s">
        <v>6</v>
      </c>
      <c r="E179" s="31" t="s">
        <v>46</v>
      </c>
      <c r="F179" s="38">
        <f t="shared" ca="1" si="1"/>
        <v>46195</v>
      </c>
    </row>
    <row r="181" spans="1:6" x14ac:dyDescent="0.25">
      <c r="A181" s="106" t="s">
        <v>1980</v>
      </c>
    </row>
    <row r="182" spans="1:6" x14ac:dyDescent="0.25">
      <c r="A182" s="9">
        <v>1</v>
      </c>
      <c r="B182" s="40" t="s">
        <v>1377</v>
      </c>
      <c r="C182" s="9" t="s">
        <v>6</v>
      </c>
      <c r="D182" s="9" t="s">
        <v>6</v>
      </c>
      <c r="E182" s="91" t="s">
        <v>46</v>
      </c>
      <c r="F182" s="108">
        <v>46152</v>
      </c>
    </row>
    <row r="183" spans="1:6" x14ac:dyDescent="0.25">
      <c r="A183" s="9">
        <v>2</v>
      </c>
      <c r="B183" s="40" t="s">
        <v>1708</v>
      </c>
      <c r="C183" s="9" t="s">
        <v>6</v>
      </c>
      <c r="D183" s="9" t="s">
        <v>6</v>
      </c>
      <c r="E183" s="91" t="s">
        <v>46</v>
      </c>
      <c r="F183" s="108">
        <v>46152</v>
      </c>
    </row>
    <row r="184" spans="1:6" x14ac:dyDescent="0.25">
      <c r="A184" s="9">
        <v>3</v>
      </c>
      <c r="B184" s="8" t="s">
        <v>1735</v>
      </c>
      <c r="C184" s="9" t="s">
        <v>6</v>
      </c>
      <c r="D184" s="9" t="s">
        <v>6</v>
      </c>
      <c r="E184" s="94" t="s">
        <v>346</v>
      </c>
      <c r="F184" s="108">
        <v>46159</v>
      </c>
    </row>
    <row r="185" spans="1:6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4" t="s">
        <v>154</v>
      </c>
      <c r="F185" s="108">
        <v>46159</v>
      </c>
    </row>
    <row r="186" spans="1:6" x14ac:dyDescent="0.25">
      <c r="A186" s="9">
        <v>5</v>
      </c>
      <c r="B186" s="8" t="s">
        <v>81</v>
      </c>
      <c r="C186" s="9" t="s">
        <v>6</v>
      </c>
      <c r="D186" s="9" t="s">
        <v>6</v>
      </c>
      <c r="E186" s="94" t="s">
        <v>346</v>
      </c>
      <c r="F186" s="108">
        <v>46159</v>
      </c>
    </row>
    <row r="187" spans="1:6" x14ac:dyDescent="0.25">
      <c r="A187" s="9">
        <v>6</v>
      </c>
      <c r="B187" s="8" t="s">
        <v>1097</v>
      </c>
      <c r="C187" s="9" t="s">
        <v>6</v>
      </c>
      <c r="D187" s="9" t="s">
        <v>6</v>
      </c>
      <c r="E187" s="94" t="s">
        <v>41</v>
      </c>
      <c r="F187" s="108">
        <v>46159</v>
      </c>
    </row>
    <row r="188" spans="1:6" x14ac:dyDescent="0.25">
      <c r="A188" s="9">
        <v>7</v>
      </c>
      <c r="B188" s="8" t="s">
        <v>993</v>
      </c>
      <c r="C188" s="9" t="s">
        <v>6</v>
      </c>
      <c r="D188" s="9" t="s">
        <v>6</v>
      </c>
      <c r="E188" s="93" t="s">
        <v>46</v>
      </c>
      <c r="F188" s="108">
        <v>46159</v>
      </c>
    </row>
    <row r="189" spans="1:6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1" t="s">
        <v>40</v>
      </c>
      <c r="F189" s="108">
        <v>46159</v>
      </c>
    </row>
    <row r="190" spans="1:6" x14ac:dyDescent="0.25">
      <c r="A190" s="9">
        <v>9</v>
      </c>
      <c r="B190" s="40" t="s">
        <v>785</v>
      </c>
      <c r="C190" s="9" t="s">
        <v>6</v>
      </c>
      <c r="D190" s="9" t="s">
        <v>6</v>
      </c>
      <c r="E190" s="91" t="s">
        <v>154</v>
      </c>
      <c r="F190" s="108">
        <v>46159</v>
      </c>
    </row>
    <row r="191" spans="1:6" x14ac:dyDescent="0.25">
      <c r="A191" s="9">
        <v>10</v>
      </c>
      <c r="B191" s="40" t="s">
        <v>1685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6" x14ac:dyDescent="0.25">
      <c r="A192" s="9">
        <v>11</v>
      </c>
      <c r="B192" s="40" t="s">
        <v>1728</v>
      </c>
      <c r="C192" s="9" t="s">
        <v>6</v>
      </c>
      <c r="D192" s="9" t="s">
        <v>6</v>
      </c>
      <c r="E192" s="91"/>
      <c r="F192" s="108">
        <v>46159</v>
      </c>
    </row>
    <row r="193" spans="1:6" x14ac:dyDescent="0.25">
      <c r="A193" s="9">
        <v>12</v>
      </c>
      <c r="B193" s="40" t="s">
        <v>1643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13</v>
      </c>
      <c r="B194" s="40" t="s">
        <v>1722</v>
      </c>
      <c r="C194" s="9" t="s">
        <v>6</v>
      </c>
      <c r="D194" s="9" t="s">
        <v>6</v>
      </c>
      <c r="E194" s="91" t="s">
        <v>46</v>
      </c>
      <c r="F194" s="108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1" t="s">
        <v>46</v>
      </c>
      <c r="F195" s="108">
        <v>46159</v>
      </c>
    </row>
    <row r="196" spans="1:6" x14ac:dyDescent="0.25">
      <c r="A196" s="9">
        <v>15</v>
      </c>
      <c r="B196" s="40" t="s">
        <v>1720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16</v>
      </c>
      <c r="B197" s="40" t="s">
        <v>1721</v>
      </c>
      <c r="C197" s="9" t="s">
        <v>6</v>
      </c>
      <c r="D197" s="9" t="s">
        <v>6</v>
      </c>
      <c r="E197" s="94" t="s">
        <v>46</v>
      </c>
      <c r="F197" s="108">
        <v>46159</v>
      </c>
    </row>
    <row r="198" spans="1:6" x14ac:dyDescent="0.25">
      <c r="A198" s="9">
        <v>17</v>
      </c>
      <c r="B198" s="40" t="s">
        <v>1724</v>
      </c>
      <c r="C198" s="9" t="s">
        <v>6</v>
      </c>
      <c r="D198" s="9" t="s">
        <v>6</v>
      </c>
      <c r="E198" s="94" t="s">
        <v>46</v>
      </c>
      <c r="F198" s="108">
        <v>46159</v>
      </c>
    </row>
    <row r="199" spans="1:6" x14ac:dyDescent="0.25">
      <c r="A199" s="9">
        <v>18</v>
      </c>
      <c r="B199" s="40" t="s">
        <v>786</v>
      </c>
      <c r="C199" s="9" t="s">
        <v>6</v>
      </c>
      <c r="D199" s="9" t="s">
        <v>6</v>
      </c>
      <c r="E199" s="91" t="s">
        <v>154</v>
      </c>
      <c r="F199" s="108">
        <v>46159</v>
      </c>
    </row>
    <row r="200" spans="1:6" x14ac:dyDescent="0.25">
      <c r="A200" s="9">
        <v>19</v>
      </c>
      <c r="B200" s="8" t="s">
        <v>1735</v>
      </c>
      <c r="C200" s="9" t="s">
        <v>6</v>
      </c>
      <c r="D200" s="9" t="s">
        <v>6</v>
      </c>
      <c r="E200" s="94" t="s">
        <v>346</v>
      </c>
      <c r="F200" s="108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4" t="s">
        <v>154</v>
      </c>
      <c r="F201" s="108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4" t="s">
        <v>46</v>
      </c>
      <c r="F202" s="108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4" t="s">
        <v>40</v>
      </c>
      <c r="F203" s="108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4" t="s">
        <v>346</v>
      </c>
      <c r="F204" s="108">
        <v>46159</v>
      </c>
    </row>
    <row r="205" spans="1:6" x14ac:dyDescent="0.25">
      <c r="A205" s="9">
        <v>24</v>
      </c>
      <c r="B205" s="8" t="s">
        <v>1097</v>
      </c>
      <c r="C205" s="9" t="s">
        <v>6</v>
      </c>
      <c r="D205" s="9" t="s">
        <v>6</v>
      </c>
      <c r="E205" s="94" t="s">
        <v>41</v>
      </c>
      <c r="F205" s="108">
        <v>46159</v>
      </c>
    </row>
    <row r="206" spans="1:6" x14ac:dyDescent="0.25">
      <c r="A206" s="9">
        <v>25</v>
      </c>
      <c r="B206" s="40" t="s">
        <v>1419</v>
      </c>
      <c r="C206" s="9" t="s">
        <v>6</v>
      </c>
      <c r="D206" s="9" t="s">
        <v>6</v>
      </c>
      <c r="E206" s="94" t="s">
        <v>46</v>
      </c>
      <c r="F206" s="108"/>
    </row>
    <row r="207" spans="1:6" x14ac:dyDescent="0.25">
      <c r="A207" s="9">
        <v>26</v>
      </c>
      <c r="B207" s="8" t="s">
        <v>993</v>
      </c>
      <c r="C207" s="9" t="s">
        <v>6</v>
      </c>
      <c r="D207" s="9" t="s">
        <v>6</v>
      </c>
      <c r="E207" s="93" t="s">
        <v>46</v>
      </c>
      <c r="F207" s="108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1" t="s">
        <v>40</v>
      </c>
      <c r="F208" s="108"/>
    </row>
    <row r="209" spans="1:6" x14ac:dyDescent="0.25">
      <c r="A209" s="9">
        <v>28</v>
      </c>
      <c r="B209" s="40" t="s">
        <v>785</v>
      </c>
      <c r="C209" s="9" t="s">
        <v>6</v>
      </c>
      <c r="D209" s="9" t="s">
        <v>6</v>
      </c>
      <c r="E209" s="91" t="s">
        <v>154</v>
      </c>
      <c r="F209" s="108">
        <v>46159</v>
      </c>
    </row>
    <row r="210" spans="1:6" x14ac:dyDescent="0.25">
      <c r="A210" s="9">
        <v>29</v>
      </c>
      <c r="B210" s="40" t="s">
        <v>1685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30</v>
      </c>
      <c r="B211" s="40" t="s">
        <v>1728</v>
      </c>
      <c r="C211" s="9" t="s">
        <v>6</v>
      </c>
      <c r="D211" s="9" t="s">
        <v>6</v>
      </c>
      <c r="E211" s="91"/>
      <c r="F211" s="108">
        <v>46159</v>
      </c>
    </row>
    <row r="212" spans="1:6" x14ac:dyDescent="0.25">
      <c r="A212" s="9">
        <v>31</v>
      </c>
      <c r="B212" s="40" t="s">
        <v>1643</v>
      </c>
      <c r="C212" s="9" t="s">
        <v>6</v>
      </c>
      <c r="D212" s="9" t="s">
        <v>6</v>
      </c>
      <c r="E212" s="91" t="s">
        <v>46</v>
      </c>
      <c r="F212" s="108">
        <v>46159</v>
      </c>
    </row>
    <row r="213" spans="1:6" x14ac:dyDescent="0.25">
      <c r="A213" s="9">
        <v>32</v>
      </c>
      <c r="B213" s="40" t="s">
        <v>1722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33</v>
      </c>
      <c r="B214" s="8" t="s">
        <v>1719</v>
      </c>
      <c r="C214" s="9" t="s">
        <v>6</v>
      </c>
      <c r="D214" s="9" t="s">
        <v>6</v>
      </c>
      <c r="E214" s="93" t="s">
        <v>46</v>
      </c>
      <c r="F214" s="108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1" t="s">
        <v>46</v>
      </c>
      <c r="F215" s="108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1" t="s">
        <v>46</v>
      </c>
      <c r="F216" s="108">
        <v>46159</v>
      </c>
    </row>
    <row r="217" spans="1:6" x14ac:dyDescent="0.25">
      <c r="A217" s="9">
        <v>36</v>
      </c>
      <c r="B217" s="40" t="s">
        <v>1720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37</v>
      </c>
      <c r="B218" s="40" t="s">
        <v>1721</v>
      </c>
      <c r="C218" s="9" t="s">
        <v>6</v>
      </c>
      <c r="D218" s="9" t="s">
        <v>6</v>
      </c>
      <c r="E218" s="94" t="s">
        <v>46</v>
      </c>
      <c r="F218" s="108">
        <v>46159</v>
      </c>
    </row>
    <row r="219" spans="1:6" x14ac:dyDescent="0.25">
      <c r="A219" s="9">
        <v>38</v>
      </c>
      <c r="B219" s="40" t="s">
        <v>1724</v>
      </c>
      <c r="C219" s="9" t="s">
        <v>6</v>
      </c>
      <c r="D219" s="9" t="s">
        <v>6</v>
      </c>
      <c r="E219" s="94" t="s">
        <v>46</v>
      </c>
      <c r="F219" s="108">
        <v>46159</v>
      </c>
    </row>
    <row r="220" spans="1:6" x14ac:dyDescent="0.25">
      <c r="A220" s="9">
        <v>39</v>
      </c>
      <c r="B220" s="98" t="s">
        <v>503</v>
      </c>
      <c r="C220" s="86" t="s">
        <v>6</v>
      </c>
      <c r="D220" s="86" t="s">
        <v>6</v>
      </c>
      <c r="E220" s="112" t="s">
        <v>41</v>
      </c>
      <c r="F220" s="108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1" t="s">
        <v>40</v>
      </c>
      <c r="F221" s="108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3" t="s">
        <v>45</v>
      </c>
      <c r="F222" s="108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1" t="s">
        <v>46</v>
      </c>
      <c r="F225" s="108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1" t="s">
        <v>46</v>
      </c>
      <c r="F226" s="108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1" t="s">
        <v>153</v>
      </c>
      <c r="F227" s="108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1" t="s">
        <v>153</v>
      </c>
      <c r="F228" s="108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1" t="s">
        <v>46</v>
      </c>
      <c r="F232" s="108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1" t="s">
        <v>46</v>
      </c>
      <c r="F233" s="108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1" t="s">
        <v>46</v>
      </c>
      <c r="F241" s="108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1" t="s">
        <v>46</v>
      </c>
      <c r="F242" s="108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1" t="s">
        <v>154</v>
      </c>
      <c r="F243" s="108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1" t="s">
        <v>154</v>
      </c>
      <c r="F244" s="108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1" t="s">
        <v>46</v>
      </c>
      <c r="F246" s="108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1" t="s">
        <v>46</v>
      </c>
      <c r="F247" s="108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1" t="s">
        <v>46</v>
      </c>
      <c r="F248" s="108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4" t="s">
        <v>46</v>
      </c>
      <c r="F249" s="108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3" t="s">
        <v>42</v>
      </c>
      <c r="F250" s="108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3" t="s">
        <v>43</v>
      </c>
      <c r="F251" s="108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4" t="s">
        <v>40</v>
      </c>
      <c r="F253" s="108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4" t="s">
        <v>40</v>
      </c>
      <c r="F254" s="108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1" t="s">
        <v>46</v>
      </c>
      <c r="F259" s="108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1" t="s">
        <v>46</v>
      </c>
      <c r="F260" s="108">
        <v>45845</v>
      </c>
    </row>
    <row r="261" spans="1:6" x14ac:dyDescent="0.25">
      <c r="A261" s="9">
        <v>80</v>
      </c>
      <c r="B261" s="19" t="s">
        <v>1584</v>
      </c>
      <c r="C261" s="21" t="s">
        <v>6</v>
      </c>
      <c r="D261" s="21" t="s">
        <v>6</v>
      </c>
      <c r="E261" s="97" t="s">
        <v>46</v>
      </c>
      <c r="F261" s="108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1" t="s">
        <v>40</v>
      </c>
      <c r="F263" s="108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1" t="s">
        <v>40</v>
      </c>
      <c r="F264" s="108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4" t="s">
        <v>40</v>
      </c>
      <c r="F265" s="108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4" t="s">
        <v>41</v>
      </c>
      <c r="F266" s="108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4" t="s">
        <v>46</v>
      </c>
      <c r="F267" s="108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4" t="s">
        <v>40</v>
      </c>
      <c r="F268" s="108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3" t="s">
        <v>40</v>
      </c>
      <c r="F269" s="108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4" t="s">
        <v>46</v>
      </c>
      <c r="F270" s="108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1" t="s">
        <v>46</v>
      </c>
      <c r="F271" s="108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1" t="s">
        <v>46</v>
      </c>
      <c r="F272" s="108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1" t="s">
        <v>46</v>
      </c>
      <c r="F273" s="108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1" t="s">
        <v>153</v>
      </c>
      <c r="F274" s="108">
        <v>45866</v>
      </c>
    </row>
    <row r="275" spans="1:6" x14ac:dyDescent="0.25">
      <c r="A275" s="9">
        <v>94</v>
      </c>
      <c r="B275" s="19" t="s">
        <v>1692</v>
      </c>
      <c r="C275" s="21" t="s">
        <v>6</v>
      </c>
      <c r="D275" s="21" t="s">
        <v>6</v>
      </c>
      <c r="E275" s="97" t="s">
        <v>46</v>
      </c>
      <c r="F275" s="108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1" t="s">
        <v>153</v>
      </c>
      <c r="F276" s="108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1" t="s">
        <v>46</v>
      </c>
      <c r="F279" s="108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1" t="s">
        <v>153</v>
      </c>
      <c r="F281" s="108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1" t="s">
        <v>46</v>
      </c>
      <c r="F282" s="108">
        <v>45859</v>
      </c>
    </row>
    <row r="283" spans="1:6" x14ac:dyDescent="0.25">
      <c r="A283" s="9">
        <v>102</v>
      </c>
      <c r="B283" s="19" t="s">
        <v>1691</v>
      </c>
      <c r="C283" s="21" t="s">
        <v>6</v>
      </c>
      <c r="D283" s="21" t="s">
        <v>6</v>
      </c>
      <c r="E283" s="94" t="s">
        <v>46</v>
      </c>
      <c r="F283" s="108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1" t="s">
        <v>40</v>
      </c>
      <c r="F285" s="108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1" t="s">
        <v>40</v>
      </c>
      <c r="F286" s="108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1" t="s">
        <v>46</v>
      </c>
      <c r="F287" s="108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1" t="s">
        <v>153</v>
      </c>
      <c r="F288" s="108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1" t="s">
        <v>46</v>
      </c>
      <c r="F289" s="108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1" t="s">
        <v>46</v>
      </c>
      <c r="F290" s="108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1" t="s">
        <v>46</v>
      </c>
      <c r="F291" s="108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1" t="s">
        <v>153</v>
      </c>
      <c r="F292" s="108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1" t="s">
        <v>153</v>
      </c>
      <c r="F293" s="108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1" t="s">
        <v>153</v>
      </c>
      <c r="F294" s="108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1" t="s">
        <v>153</v>
      </c>
      <c r="F295" s="108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1" t="s">
        <v>46</v>
      </c>
      <c r="F296" s="108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1" t="s">
        <v>46</v>
      </c>
      <c r="F297" s="108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1" t="s">
        <v>46</v>
      </c>
      <c r="F298" s="108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4" t="s">
        <v>40</v>
      </c>
      <c r="F299" s="108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3" t="s">
        <v>40</v>
      </c>
      <c r="F300" s="108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3" t="s">
        <v>346</v>
      </c>
      <c r="F301" s="108">
        <v>45886</v>
      </c>
    </row>
    <row r="302" spans="1:6" x14ac:dyDescent="0.25">
      <c r="A302" s="9">
        <v>121</v>
      </c>
      <c r="B302" s="8" t="s">
        <v>659</v>
      </c>
      <c r="C302" s="9" t="s">
        <v>6</v>
      </c>
      <c r="D302" s="9" t="s">
        <v>6</v>
      </c>
      <c r="E302" s="93" t="s">
        <v>153</v>
      </c>
      <c r="F302" s="108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1" t="s">
        <v>46</v>
      </c>
      <c r="F304" s="108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1" t="s">
        <v>153</v>
      </c>
      <c r="F307" s="108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1" t="s">
        <v>46</v>
      </c>
      <c r="F309" s="108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1" t="s">
        <v>40</v>
      </c>
      <c r="F312" s="108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1" t="s">
        <v>46</v>
      </c>
      <c r="F313" s="108">
        <v>45886</v>
      </c>
    </row>
    <row r="314" spans="1:6" x14ac:dyDescent="0.25">
      <c r="A314" s="9">
        <v>133</v>
      </c>
      <c r="B314" s="40" t="s">
        <v>645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1" t="s">
        <v>153</v>
      </c>
      <c r="F316" s="108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1" t="s">
        <v>46</v>
      </c>
      <c r="F318" s="108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1" t="s">
        <v>153</v>
      </c>
      <c r="F321" s="108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148</v>
      </c>
      <c r="B329" s="40" t="s">
        <v>644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149</v>
      </c>
      <c r="B330" s="40" t="s">
        <v>656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150</v>
      </c>
      <c r="B331" s="40" t="s">
        <v>657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151</v>
      </c>
      <c r="B332" s="40" t="s">
        <v>658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152</v>
      </c>
      <c r="B333" s="40" t="s">
        <v>661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154</v>
      </c>
      <c r="B335" s="40" t="s">
        <v>668</v>
      </c>
      <c r="C335" s="9" t="s">
        <v>6</v>
      </c>
      <c r="D335" s="9" t="s">
        <v>6</v>
      </c>
      <c r="E335" s="91" t="s">
        <v>46</v>
      </c>
      <c r="F335" s="108">
        <v>45886</v>
      </c>
    </row>
    <row r="336" spans="1:6" x14ac:dyDescent="0.25">
      <c r="A336" s="9">
        <v>155</v>
      </c>
      <c r="B336" s="40" t="s">
        <v>669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156</v>
      </c>
      <c r="B337" s="40" t="s">
        <v>670</v>
      </c>
      <c r="C337" s="9" t="s">
        <v>6</v>
      </c>
      <c r="D337" s="9" t="s">
        <v>6</v>
      </c>
      <c r="E337" s="91" t="s">
        <v>46</v>
      </c>
      <c r="F337" s="108">
        <v>45886</v>
      </c>
    </row>
    <row r="338" spans="1:6" x14ac:dyDescent="0.25">
      <c r="A338" s="9">
        <v>157</v>
      </c>
      <c r="B338" s="40" t="s">
        <v>673</v>
      </c>
      <c r="C338" s="9" t="s">
        <v>6</v>
      </c>
      <c r="D338" s="9" t="s">
        <v>6</v>
      </c>
      <c r="E338" s="91" t="s">
        <v>153</v>
      </c>
      <c r="F338" s="108">
        <v>45886</v>
      </c>
    </row>
    <row r="339" spans="1:6" x14ac:dyDescent="0.25">
      <c r="A339" s="9">
        <v>158</v>
      </c>
      <c r="B339" s="40" t="s">
        <v>676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159</v>
      </c>
      <c r="B340" s="40" t="s">
        <v>677</v>
      </c>
      <c r="C340" s="9" t="s">
        <v>6</v>
      </c>
      <c r="D340" s="9" t="s">
        <v>6</v>
      </c>
      <c r="E340" s="91" t="s">
        <v>153</v>
      </c>
      <c r="F340" s="108">
        <v>45886</v>
      </c>
    </row>
    <row r="341" spans="1:6" x14ac:dyDescent="0.25">
      <c r="A341" s="9">
        <v>160</v>
      </c>
      <c r="B341" s="40" t="s">
        <v>678</v>
      </c>
      <c r="C341" s="9" t="s">
        <v>6</v>
      </c>
      <c r="D341" s="9" t="s">
        <v>6</v>
      </c>
      <c r="E341" s="91" t="s">
        <v>153</v>
      </c>
      <c r="F341" s="108">
        <v>45886</v>
      </c>
    </row>
    <row r="342" spans="1:6" x14ac:dyDescent="0.25">
      <c r="A342" s="9">
        <v>161</v>
      </c>
      <c r="B342" s="40" t="s">
        <v>679</v>
      </c>
      <c r="C342" s="9" t="s">
        <v>6</v>
      </c>
      <c r="D342" s="9" t="s">
        <v>6</v>
      </c>
      <c r="E342" s="91" t="s">
        <v>46</v>
      </c>
      <c r="F342" s="108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4" t="s">
        <v>40</v>
      </c>
      <c r="F344" s="108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4" t="s">
        <v>40</v>
      </c>
      <c r="F345" s="108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4" t="s">
        <v>40</v>
      </c>
      <c r="F346" s="108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4" t="s">
        <v>46</v>
      </c>
      <c r="F347" s="108">
        <v>45894</v>
      </c>
    </row>
    <row r="348" spans="1:6" x14ac:dyDescent="0.25">
      <c r="A348" s="9">
        <v>167</v>
      </c>
      <c r="B348" s="40" t="s">
        <v>660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168</v>
      </c>
      <c r="B349" s="40" t="s">
        <v>672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169</v>
      </c>
      <c r="B350" s="40" t="s">
        <v>692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170</v>
      </c>
      <c r="B351" s="40" t="s">
        <v>703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171</v>
      </c>
      <c r="B352" s="40" t="s">
        <v>749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172</v>
      </c>
      <c r="B353" s="40" t="s">
        <v>704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173</v>
      </c>
      <c r="B354" s="40" t="s">
        <v>711</v>
      </c>
      <c r="C354" s="9" t="s">
        <v>6</v>
      </c>
      <c r="D354" s="9" t="s">
        <v>6</v>
      </c>
      <c r="E354" s="91" t="s">
        <v>46</v>
      </c>
      <c r="F354" s="108">
        <v>45894</v>
      </c>
    </row>
    <row r="355" spans="1:6" x14ac:dyDescent="0.25">
      <c r="A355" s="9">
        <v>174</v>
      </c>
      <c r="B355" s="40" t="s">
        <v>709</v>
      </c>
      <c r="C355" s="9" t="s">
        <v>6</v>
      </c>
      <c r="D355" s="9" t="s">
        <v>6</v>
      </c>
      <c r="E355" s="91" t="s">
        <v>46</v>
      </c>
      <c r="F355" s="108">
        <v>45894</v>
      </c>
    </row>
    <row r="356" spans="1:6" x14ac:dyDescent="0.25">
      <c r="A356" s="9">
        <v>175</v>
      </c>
      <c r="B356" s="40" t="s">
        <v>717</v>
      </c>
      <c r="C356" s="9" t="s">
        <v>6</v>
      </c>
      <c r="D356" s="9" t="s">
        <v>6</v>
      </c>
      <c r="E356" s="91" t="s">
        <v>46</v>
      </c>
      <c r="F356" s="108">
        <v>45894</v>
      </c>
    </row>
    <row r="357" spans="1:6" x14ac:dyDescent="0.25">
      <c r="A357" s="9">
        <v>176</v>
      </c>
      <c r="B357" s="40" t="s">
        <v>718</v>
      </c>
      <c r="C357" s="9" t="s">
        <v>6</v>
      </c>
      <c r="D357" s="9" t="s">
        <v>6</v>
      </c>
      <c r="E357" s="91" t="s">
        <v>154</v>
      </c>
      <c r="F357" s="108">
        <v>45894</v>
      </c>
    </row>
    <row r="358" spans="1:6" x14ac:dyDescent="0.25">
      <c r="A358" s="9">
        <v>177</v>
      </c>
      <c r="B358" s="40" t="s">
        <v>719</v>
      </c>
      <c r="C358" s="9" t="s">
        <v>6</v>
      </c>
      <c r="D358" s="9" t="s">
        <v>6</v>
      </c>
      <c r="E358" s="91" t="s">
        <v>154</v>
      </c>
      <c r="F358" s="108">
        <v>45894</v>
      </c>
    </row>
    <row r="359" spans="1:6" x14ac:dyDescent="0.25">
      <c r="A359" s="9">
        <v>178</v>
      </c>
      <c r="B359" s="40" t="s">
        <v>720</v>
      </c>
      <c r="C359" s="9" t="s">
        <v>6</v>
      </c>
      <c r="D359" s="9" t="s">
        <v>6</v>
      </c>
      <c r="E359" s="91" t="s">
        <v>154</v>
      </c>
      <c r="F359" s="108">
        <v>45894</v>
      </c>
    </row>
    <row r="360" spans="1:6" x14ac:dyDescent="0.25">
      <c r="A360" s="9">
        <v>179</v>
      </c>
      <c r="B360" s="40" t="s">
        <v>721</v>
      </c>
      <c r="C360" s="9" t="s">
        <v>6</v>
      </c>
      <c r="D360" s="9" t="s">
        <v>6</v>
      </c>
      <c r="E360" s="91" t="s">
        <v>154</v>
      </c>
      <c r="F360" s="108">
        <v>45894</v>
      </c>
    </row>
    <row r="361" spans="1:6" x14ac:dyDescent="0.25">
      <c r="A361" s="9">
        <v>180</v>
      </c>
      <c r="B361" s="40" t="s">
        <v>722</v>
      </c>
      <c r="C361" s="9" t="s">
        <v>6</v>
      </c>
      <c r="D361" s="9" t="s">
        <v>6</v>
      </c>
      <c r="E361" s="91" t="s">
        <v>154</v>
      </c>
      <c r="F361" s="108">
        <v>45894</v>
      </c>
    </row>
    <row r="362" spans="1:6" x14ac:dyDescent="0.25">
      <c r="A362" s="9">
        <v>181</v>
      </c>
      <c r="B362" s="8" t="s">
        <v>784</v>
      </c>
      <c r="C362" s="9" t="s">
        <v>6</v>
      </c>
      <c r="D362" s="9" t="s">
        <v>6</v>
      </c>
      <c r="E362" s="94" t="s">
        <v>346</v>
      </c>
      <c r="F362" s="108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4" t="s">
        <v>43</v>
      </c>
      <c r="F363" s="108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4" t="s">
        <v>346</v>
      </c>
      <c r="F364" s="108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4" t="s">
        <v>40</v>
      </c>
      <c r="F365" s="108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4" t="s">
        <v>46</v>
      </c>
      <c r="F366" s="108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4" t="s">
        <v>46</v>
      </c>
      <c r="F367" s="108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1" t="s">
        <v>46</v>
      </c>
      <c r="F369" s="108">
        <v>45900</v>
      </c>
    </row>
    <row r="370" spans="1:6" x14ac:dyDescent="0.25">
      <c r="A370" s="9">
        <v>189</v>
      </c>
      <c r="B370" s="40" t="s">
        <v>787</v>
      </c>
      <c r="C370" s="9" t="s">
        <v>6</v>
      </c>
      <c r="D370" s="9" t="s">
        <v>6</v>
      </c>
      <c r="E370" s="91" t="s">
        <v>154</v>
      </c>
      <c r="F370" s="108">
        <v>45907</v>
      </c>
    </row>
    <row r="371" spans="1:6" x14ac:dyDescent="0.25">
      <c r="A371" s="9">
        <v>190</v>
      </c>
      <c r="B371" s="40" t="s">
        <v>710</v>
      </c>
      <c r="C371" s="9" t="s">
        <v>6</v>
      </c>
      <c r="D371" s="9" t="s">
        <v>6</v>
      </c>
      <c r="E371" s="91" t="s">
        <v>46</v>
      </c>
      <c r="F371" s="108">
        <v>45907</v>
      </c>
    </row>
    <row r="372" spans="1:6" x14ac:dyDescent="0.25">
      <c r="A372" s="9">
        <v>191</v>
      </c>
      <c r="B372" s="40" t="s">
        <v>735</v>
      </c>
      <c r="C372" s="9" t="s">
        <v>6</v>
      </c>
      <c r="D372" s="9" t="s">
        <v>6</v>
      </c>
      <c r="E372" s="91" t="s">
        <v>346</v>
      </c>
      <c r="F372" s="108">
        <v>45900</v>
      </c>
    </row>
    <row r="373" spans="1:6" x14ac:dyDescent="0.25">
      <c r="A373" s="9">
        <v>192</v>
      </c>
      <c r="B373" s="40" t="s">
        <v>736</v>
      </c>
      <c r="C373" s="9" t="s">
        <v>6</v>
      </c>
      <c r="D373" s="9" t="s">
        <v>6</v>
      </c>
      <c r="E373" s="91" t="s">
        <v>346</v>
      </c>
      <c r="F373" s="108">
        <v>45900</v>
      </c>
    </row>
    <row r="374" spans="1:6" x14ac:dyDescent="0.25">
      <c r="A374" s="9">
        <v>193</v>
      </c>
      <c r="B374" s="55" t="s">
        <v>730</v>
      </c>
      <c r="C374" s="9" t="s">
        <v>6</v>
      </c>
      <c r="D374" s="9" t="s">
        <v>6</v>
      </c>
      <c r="E374" s="91" t="s">
        <v>46</v>
      </c>
      <c r="F374" s="108">
        <v>45900</v>
      </c>
    </row>
    <row r="375" spans="1:6" x14ac:dyDescent="0.25">
      <c r="A375" s="9">
        <v>194</v>
      </c>
      <c r="B375" s="40" t="s">
        <v>747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195</v>
      </c>
      <c r="B376" s="40" t="s">
        <v>748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196</v>
      </c>
      <c r="B377" s="40" t="s">
        <v>746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197</v>
      </c>
      <c r="B378" s="40" t="s">
        <v>762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198</v>
      </c>
      <c r="B379" s="40" t="s">
        <v>763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199</v>
      </c>
      <c r="B380" s="40" t="s">
        <v>764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200</v>
      </c>
      <c r="B381" s="40" t="s">
        <v>765</v>
      </c>
      <c r="C381" s="9" t="s">
        <v>6</v>
      </c>
      <c r="D381" s="9" t="s">
        <v>6</v>
      </c>
      <c r="E381" s="91" t="s">
        <v>46</v>
      </c>
      <c r="F381" s="108">
        <v>45907</v>
      </c>
    </row>
    <row r="382" spans="1:6" x14ac:dyDescent="0.25">
      <c r="A382" s="9">
        <v>201</v>
      </c>
      <c r="B382" s="40" t="s">
        <v>766</v>
      </c>
      <c r="C382" s="9" t="s">
        <v>6</v>
      </c>
      <c r="D382" s="9" t="s">
        <v>6</v>
      </c>
      <c r="E382" s="91" t="s">
        <v>46</v>
      </c>
      <c r="F382" s="108">
        <v>45907</v>
      </c>
    </row>
    <row r="383" spans="1:6" x14ac:dyDescent="0.25">
      <c r="A383" s="9">
        <v>202</v>
      </c>
      <c r="B383" s="40" t="s">
        <v>788</v>
      </c>
      <c r="C383" s="9" t="s">
        <v>6</v>
      </c>
      <c r="D383" s="9" t="s">
        <v>6</v>
      </c>
      <c r="E383" s="91" t="s">
        <v>46</v>
      </c>
      <c r="F383" s="108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4" t="s">
        <v>151</v>
      </c>
      <c r="F384" s="108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4" t="s">
        <v>151</v>
      </c>
      <c r="F385" s="108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1" t="s">
        <v>40</v>
      </c>
      <c r="F386" s="108">
        <v>45914</v>
      </c>
    </row>
    <row r="387" spans="1:6" x14ac:dyDescent="0.25">
      <c r="A387" s="9">
        <v>206</v>
      </c>
      <c r="B387" s="8" t="s">
        <v>793</v>
      </c>
      <c r="C387" s="9" t="s">
        <v>6</v>
      </c>
      <c r="D387" s="9" t="s">
        <v>6</v>
      </c>
      <c r="E387" s="91" t="s">
        <v>46</v>
      </c>
      <c r="F387" s="108">
        <v>45914</v>
      </c>
    </row>
    <row r="388" spans="1:6" x14ac:dyDescent="0.25">
      <c r="A388" s="9">
        <v>207</v>
      </c>
      <c r="B388" s="8" t="s">
        <v>1292</v>
      </c>
      <c r="C388" s="9" t="s">
        <v>6</v>
      </c>
      <c r="D388" s="9" t="s">
        <v>6</v>
      </c>
      <c r="E388" s="94" t="s">
        <v>46</v>
      </c>
      <c r="F388" s="108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3" t="s">
        <v>346</v>
      </c>
      <c r="F389" s="108">
        <v>45929</v>
      </c>
    </row>
    <row r="390" spans="1:6" x14ac:dyDescent="0.25">
      <c r="A390" s="9">
        <v>209</v>
      </c>
      <c r="B390" s="19" t="s">
        <v>936</v>
      </c>
      <c r="C390" s="9" t="s">
        <v>6</v>
      </c>
      <c r="D390" s="9" t="s">
        <v>6</v>
      </c>
      <c r="E390" s="91" t="s">
        <v>346</v>
      </c>
      <c r="F390" s="108">
        <v>45929</v>
      </c>
    </row>
    <row r="391" spans="1:6" x14ac:dyDescent="0.25">
      <c r="A391" s="9">
        <v>210</v>
      </c>
      <c r="B391" s="40" t="s">
        <v>843</v>
      </c>
      <c r="C391" s="9" t="s">
        <v>6</v>
      </c>
      <c r="D391" s="9" t="s">
        <v>6</v>
      </c>
      <c r="E391" s="91" t="s">
        <v>154</v>
      </c>
      <c r="F391" s="108">
        <v>45929</v>
      </c>
    </row>
    <row r="392" spans="1:6" ht="14.25" customHeight="1" x14ac:dyDescent="0.25">
      <c r="A392" s="9">
        <v>211</v>
      </c>
      <c r="B392" s="40" t="s">
        <v>844</v>
      </c>
      <c r="C392" s="9" t="s">
        <v>6</v>
      </c>
      <c r="D392" s="9" t="s">
        <v>6</v>
      </c>
      <c r="E392" s="91" t="s">
        <v>154</v>
      </c>
      <c r="F392" s="108">
        <v>45922</v>
      </c>
    </row>
    <row r="393" spans="1:6" x14ac:dyDescent="0.25">
      <c r="A393" s="9">
        <v>212</v>
      </c>
      <c r="B393" s="40" t="s">
        <v>800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213</v>
      </c>
      <c r="B394" s="40" t="s">
        <v>813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214</v>
      </c>
      <c r="B395" s="55" t="s">
        <v>824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215</v>
      </c>
      <c r="B396" s="55" t="s">
        <v>829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216</v>
      </c>
      <c r="B397" s="55" t="s">
        <v>828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217</v>
      </c>
      <c r="B398" s="55" t="s">
        <v>827</v>
      </c>
      <c r="C398" s="9" t="s">
        <v>6</v>
      </c>
      <c r="D398" s="9" t="s">
        <v>6</v>
      </c>
      <c r="E398" s="91" t="s">
        <v>46</v>
      </c>
      <c r="F398" s="108">
        <v>45922</v>
      </c>
    </row>
    <row r="399" spans="1:6" x14ac:dyDescent="0.25">
      <c r="A399" s="9">
        <v>218</v>
      </c>
      <c r="B399" s="55" t="s">
        <v>840</v>
      </c>
      <c r="C399" s="9" t="s">
        <v>6</v>
      </c>
      <c r="D399" s="9" t="s">
        <v>6</v>
      </c>
      <c r="E399" s="91" t="s">
        <v>46</v>
      </c>
      <c r="F399" s="108">
        <v>45922</v>
      </c>
    </row>
    <row r="400" spans="1:6" x14ac:dyDescent="0.25">
      <c r="A400" s="9">
        <v>219</v>
      </c>
      <c r="B400" s="55" t="s">
        <v>841</v>
      </c>
      <c r="C400" s="9" t="s">
        <v>6</v>
      </c>
      <c r="D400" s="9" t="s">
        <v>6</v>
      </c>
      <c r="E400" s="91" t="s">
        <v>46</v>
      </c>
      <c r="F400" s="108">
        <v>45922</v>
      </c>
    </row>
    <row r="401" spans="1:6" x14ac:dyDescent="0.25">
      <c r="A401" s="9">
        <v>220</v>
      </c>
      <c r="B401" s="55" t="s">
        <v>948</v>
      </c>
      <c r="C401" s="9" t="s">
        <v>6</v>
      </c>
      <c r="D401" s="9" t="s">
        <v>6</v>
      </c>
      <c r="E401" s="91" t="s">
        <v>346</v>
      </c>
      <c r="F401" s="108">
        <v>45929</v>
      </c>
    </row>
    <row r="402" spans="1:6" x14ac:dyDescent="0.25">
      <c r="A402" s="9">
        <v>221</v>
      </c>
      <c r="B402" s="40" t="s">
        <v>857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222</v>
      </c>
      <c r="B403" s="40" t="s">
        <v>858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223</v>
      </c>
      <c r="B404" s="40" t="s">
        <v>861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224</v>
      </c>
      <c r="B405" s="40" t="s">
        <v>859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225</v>
      </c>
      <c r="B406" s="40" t="s">
        <v>877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226</v>
      </c>
      <c r="B407" s="40" t="s">
        <v>879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227</v>
      </c>
      <c r="B408" s="40" t="s">
        <v>880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228</v>
      </c>
      <c r="B409" s="40" t="s">
        <v>886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229</v>
      </c>
      <c r="B410" s="40" t="s">
        <v>933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230</v>
      </c>
      <c r="B411" s="40" t="s">
        <v>930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231</v>
      </c>
      <c r="B412" s="40" t="s">
        <v>931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232</v>
      </c>
      <c r="B413" s="40" t="s">
        <v>935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233</v>
      </c>
      <c r="B414" s="40" t="s">
        <v>934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234</v>
      </c>
      <c r="B415" s="40" t="s">
        <v>932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235</v>
      </c>
      <c r="B416" s="40" t="s">
        <v>937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236</v>
      </c>
      <c r="B417" s="40" t="s">
        <v>940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237</v>
      </c>
      <c r="B418" s="40" t="s">
        <v>944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238</v>
      </c>
      <c r="B419" s="40" t="s">
        <v>943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239</v>
      </c>
      <c r="B420" s="40" t="s">
        <v>942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240</v>
      </c>
      <c r="B421" s="40" t="s">
        <v>941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241</v>
      </c>
      <c r="B422" s="40" t="s">
        <v>947</v>
      </c>
      <c r="C422" s="9" t="s">
        <v>6</v>
      </c>
      <c r="D422" s="9" t="s">
        <v>6</v>
      </c>
      <c r="E422" s="91" t="s">
        <v>46</v>
      </c>
      <c r="F422" s="108">
        <v>45929</v>
      </c>
    </row>
    <row r="423" spans="1:6" x14ac:dyDescent="0.25">
      <c r="A423" s="9">
        <v>242</v>
      </c>
      <c r="B423" s="40" t="s">
        <v>946</v>
      </c>
      <c r="C423" s="9" t="s">
        <v>6</v>
      </c>
      <c r="D423" s="9" t="s">
        <v>6</v>
      </c>
      <c r="E423" s="91" t="s">
        <v>46</v>
      </c>
      <c r="F423" s="108">
        <v>45929</v>
      </c>
    </row>
    <row r="424" spans="1:6" x14ac:dyDescent="0.25">
      <c r="A424" s="9">
        <v>243</v>
      </c>
      <c r="B424" s="40" t="s">
        <v>945</v>
      </c>
      <c r="C424" s="9" t="s">
        <v>6</v>
      </c>
      <c r="D424" s="9" t="s">
        <v>6</v>
      </c>
      <c r="E424" s="91" t="s">
        <v>46</v>
      </c>
      <c r="F424" s="108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4" t="s">
        <v>40</v>
      </c>
      <c r="F425" s="108">
        <v>45935</v>
      </c>
    </row>
    <row r="426" spans="1:6" x14ac:dyDescent="0.25">
      <c r="A426" s="9">
        <v>245</v>
      </c>
      <c r="B426" s="8" t="s">
        <v>973</v>
      </c>
      <c r="C426" s="9" t="s">
        <v>6</v>
      </c>
      <c r="D426" s="9" t="s">
        <v>6</v>
      </c>
      <c r="E426" s="94" t="s">
        <v>346</v>
      </c>
      <c r="F426" s="108">
        <v>45935</v>
      </c>
    </row>
    <row r="427" spans="1:6" x14ac:dyDescent="0.25">
      <c r="A427" s="9">
        <v>246</v>
      </c>
      <c r="B427" s="8" t="s">
        <v>956</v>
      </c>
      <c r="C427" s="9" t="s">
        <v>6</v>
      </c>
      <c r="D427" s="9" t="s">
        <v>6</v>
      </c>
      <c r="E427" s="94" t="s">
        <v>46</v>
      </c>
      <c r="F427" s="108">
        <v>45935</v>
      </c>
    </row>
    <row r="428" spans="1:6" x14ac:dyDescent="0.25">
      <c r="A428" s="9">
        <v>247</v>
      </c>
      <c r="B428" s="8" t="s">
        <v>814</v>
      </c>
      <c r="C428" s="9" t="s">
        <v>6</v>
      </c>
      <c r="D428" s="9" t="s">
        <v>6</v>
      </c>
      <c r="E428" s="93" t="s">
        <v>45</v>
      </c>
      <c r="F428" s="108">
        <v>45935</v>
      </c>
    </row>
    <row r="429" spans="1:6" x14ac:dyDescent="0.25">
      <c r="A429" s="9">
        <v>248</v>
      </c>
      <c r="B429" s="8" t="s">
        <v>751</v>
      </c>
      <c r="C429" s="9" t="s">
        <v>6</v>
      </c>
      <c r="D429" s="9" t="s">
        <v>6</v>
      </c>
      <c r="E429" s="93" t="s">
        <v>153</v>
      </c>
      <c r="F429" s="108">
        <v>45935</v>
      </c>
    </row>
    <row r="430" spans="1:6" x14ac:dyDescent="0.25">
      <c r="A430" s="9">
        <v>249</v>
      </c>
      <c r="B430" s="8" t="s">
        <v>1321</v>
      </c>
      <c r="C430" s="9" t="s">
        <v>6</v>
      </c>
      <c r="D430" s="9" t="s">
        <v>6</v>
      </c>
      <c r="E430" s="94" t="s">
        <v>46</v>
      </c>
      <c r="F430" s="108">
        <v>46023</v>
      </c>
    </row>
    <row r="431" spans="1:6" x14ac:dyDescent="0.25">
      <c r="A431" s="9">
        <v>250</v>
      </c>
      <c r="B431" s="8" t="s">
        <v>1322</v>
      </c>
      <c r="C431" s="9" t="s">
        <v>6</v>
      </c>
      <c r="D431" s="9" t="s">
        <v>6</v>
      </c>
      <c r="E431" s="94" t="s">
        <v>346</v>
      </c>
      <c r="F431" s="108">
        <v>46023</v>
      </c>
    </row>
    <row r="432" spans="1:6" x14ac:dyDescent="0.25">
      <c r="A432" s="9">
        <v>251</v>
      </c>
      <c r="B432" s="19" t="s">
        <v>1398</v>
      </c>
      <c r="C432" s="9" t="s">
        <v>6</v>
      </c>
      <c r="D432" s="9" t="s">
        <v>6</v>
      </c>
      <c r="E432" s="94" t="s">
        <v>46</v>
      </c>
      <c r="F432" s="108">
        <v>46075</v>
      </c>
    </row>
    <row r="433" spans="1:6" x14ac:dyDescent="0.25">
      <c r="A433" s="9">
        <v>252</v>
      </c>
      <c r="B433" s="55" t="s">
        <v>842</v>
      </c>
      <c r="C433" s="9" t="s">
        <v>6</v>
      </c>
      <c r="D433" s="9" t="s">
        <v>6</v>
      </c>
      <c r="E433" s="91" t="s">
        <v>153</v>
      </c>
      <c r="F433" s="108">
        <v>45935</v>
      </c>
    </row>
    <row r="434" spans="1:6" x14ac:dyDescent="0.25">
      <c r="A434" s="9">
        <v>253</v>
      </c>
      <c r="B434" s="40" t="s">
        <v>860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254</v>
      </c>
      <c r="B435" s="40" t="s">
        <v>862</v>
      </c>
      <c r="C435" s="9" t="s">
        <v>6</v>
      </c>
      <c r="D435" s="9" t="s">
        <v>6</v>
      </c>
      <c r="E435" s="91" t="s">
        <v>153</v>
      </c>
      <c r="F435" s="108">
        <v>45935</v>
      </c>
    </row>
    <row r="436" spans="1:6" x14ac:dyDescent="0.25">
      <c r="A436" s="9">
        <v>255</v>
      </c>
      <c r="B436" s="40" t="s">
        <v>955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256</v>
      </c>
      <c r="B437" s="40" t="s">
        <v>965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257</v>
      </c>
      <c r="B438" s="40" t="s">
        <v>966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258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259</v>
      </c>
      <c r="B440" s="40" t="s">
        <v>974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260</v>
      </c>
      <c r="B441" s="40" t="s">
        <v>975</v>
      </c>
      <c r="C441" s="9" t="s">
        <v>6</v>
      </c>
      <c r="D441" s="9" t="s">
        <v>6</v>
      </c>
      <c r="E441" s="91" t="s">
        <v>46</v>
      </c>
      <c r="F441" s="108">
        <v>45935</v>
      </c>
    </row>
    <row r="442" spans="1:6" x14ac:dyDescent="0.25">
      <c r="A442" s="9">
        <v>261</v>
      </c>
      <c r="B442" s="40" t="s">
        <v>976</v>
      </c>
      <c r="C442" s="9" t="s">
        <v>6</v>
      </c>
      <c r="D442" s="9" t="s">
        <v>6</v>
      </c>
      <c r="E442" s="91" t="s">
        <v>46</v>
      </c>
      <c r="F442" s="108">
        <v>45935</v>
      </c>
    </row>
    <row r="443" spans="1:6" x14ac:dyDescent="0.25">
      <c r="A443" s="9">
        <v>262</v>
      </c>
      <c r="B443" s="40" t="s">
        <v>977</v>
      </c>
      <c r="C443" s="9" t="s">
        <v>6</v>
      </c>
      <c r="D443" s="9" t="s">
        <v>6</v>
      </c>
      <c r="E443" s="91" t="s">
        <v>46</v>
      </c>
      <c r="F443" s="108">
        <v>45935</v>
      </c>
    </row>
    <row r="444" spans="1:6" x14ac:dyDescent="0.25">
      <c r="A444" s="9">
        <v>263</v>
      </c>
      <c r="B444" s="8" t="s">
        <v>995</v>
      </c>
      <c r="C444" s="9" t="s">
        <v>6</v>
      </c>
      <c r="D444" s="9" t="s">
        <v>6</v>
      </c>
      <c r="E444" s="91" t="s">
        <v>46</v>
      </c>
      <c r="F444" s="108" t="s">
        <v>1046</v>
      </c>
    </row>
    <row r="445" spans="1:6" x14ac:dyDescent="0.25">
      <c r="A445" s="9">
        <v>264</v>
      </c>
      <c r="B445" s="8" t="s">
        <v>996</v>
      </c>
      <c r="C445" s="9" t="s">
        <v>6</v>
      </c>
      <c r="D445" s="9" t="s">
        <v>6</v>
      </c>
      <c r="E445" s="91" t="s">
        <v>46</v>
      </c>
      <c r="F445" s="108" t="s">
        <v>1046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1" t="s">
        <v>44</v>
      </c>
      <c r="F446" s="108" t="s">
        <v>1046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1" t="s">
        <v>40</v>
      </c>
      <c r="F447" s="108" t="s">
        <v>1046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1" t="s">
        <v>393</v>
      </c>
      <c r="F448" s="108" t="s">
        <v>1046</v>
      </c>
    </row>
    <row r="449" spans="1:6" x14ac:dyDescent="0.25">
      <c r="A449" s="9">
        <v>268</v>
      </c>
      <c r="B449" s="40" t="s">
        <v>812</v>
      </c>
      <c r="C449" s="9" t="s">
        <v>6</v>
      </c>
      <c r="D449" s="9" t="s">
        <v>6</v>
      </c>
      <c r="E449" s="91" t="s">
        <v>46</v>
      </c>
      <c r="F449" s="108" t="s">
        <v>1046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1" t="s">
        <v>46</v>
      </c>
      <c r="F450" s="108" t="s">
        <v>1046</v>
      </c>
    </row>
    <row r="451" spans="1:6" x14ac:dyDescent="0.25">
      <c r="A451" s="9">
        <v>270</v>
      </c>
      <c r="B451" s="40" t="s">
        <v>949</v>
      </c>
      <c r="C451" s="9" t="s">
        <v>6</v>
      </c>
      <c r="D451" s="9" t="s">
        <v>6</v>
      </c>
      <c r="E451" s="91" t="s">
        <v>46</v>
      </c>
      <c r="F451" s="108" t="s">
        <v>1046</v>
      </c>
    </row>
    <row r="452" spans="1:6" x14ac:dyDescent="0.25">
      <c r="A452" s="9">
        <v>271</v>
      </c>
      <c r="B452" s="40" t="s">
        <v>950</v>
      </c>
      <c r="C452" s="9" t="s">
        <v>6</v>
      </c>
      <c r="D452" s="9" t="s">
        <v>6</v>
      </c>
      <c r="E452" s="91" t="s">
        <v>46</v>
      </c>
      <c r="F452" s="108" t="s">
        <v>1046</v>
      </c>
    </row>
    <row r="453" spans="1:6" x14ac:dyDescent="0.25">
      <c r="A453" s="9">
        <v>272</v>
      </c>
      <c r="B453" s="40" t="s">
        <v>1001</v>
      </c>
      <c r="C453" s="9" t="s">
        <v>6</v>
      </c>
      <c r="D453" s="9" t="s">
        <v>6</v>
      </c>
      <c r="E453" s="91" t="s">
        <v>46</v>
      </c>
      <c r="F453" s="108" t="s">
        <v>1046</v>
      </c>
    </row>
    <row r="454" spans="1:6" x14ac:dyDescent="0.25">
      <c r="A454" s="9">
        <v>273</v>
      </c>
      <c r="B454" s="40" t="s">
        <v>1002</v>
      </c>
      <c r="C454" s="9" t="s">
        <v>6</v>
      </c>
      <c r="D454" s="9" t="s">
        <v>6</v>
      </c>
      <c r="E454" s="91" t="s">
        <v>46</v>
      </c>
      <c r="F454" s="108" t="s">
        <v>1046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4" t="s">
        <v>46</v>
      </c>
      <c r="F455" s="108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1" t="s">
        <v>346</v>
      </c>
      <c r="F456" s="108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3" t="s">
        <v>46</v>
      </c>
      <c r="F457" s="108">
        <v>45949</v>
      </c>
    </row>
    <row r="458" spans="1:6" x14ac:dyDescent="0.25">
      <c r="A458" s="9">
        <v>277</v>
      </c>
      <c r="B458" s="40" t="s">
        <v>1226</v>
      </c>
      <c r="C458" s="9" t="s">
        <v>6</v>
      </c>
      <c r="D458" s="9" t="s">
        <v>6</v>
      </c>
      <c r="E458" s="91" t="s">
        <v>46</v>
      </c>
      <c r="F458" s="108">
        <v>46075</v>
      </c>
    </row>
    <row r="459" spans="1:6" x14ac:dyDescent="0.25">
      <c r="A459" s="9">
        <v>278</v>
      </c>
      <c r="B459" s="40" t="s">
        <v>1022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279</v>
      </c>
      <c r="B460" s="40" t="s">
        <v>1021</v>
      </c>
      <c r="C460" s="9" t="s">
        <v>6</v>
      </c>
      <c r="D460" s="9" t="s">
        <v>6</v>
      </c>
      <c r="E460" s="91" t="s">
        <v>46</v>
      </c>
      <c r="F460" s="108">
        <v>45949</v>
      </c>
    </row>
    <row r="461" spans="1:6" x14ac:dyDescent="0.25">
      <c r="A461" s="9">
        <v>280</v>
      </c>
      <c r="B461" s="40" t="s">
        <v>1024</v>
      </c>
      <c r="C461" s="9" t="s">
        <v>6</v>
      </c>
      <c r="D461" s="9" t="s">
        <v>6</v>
      </c>
      <c r="E461" s="91" t="s">
        <v>46</v>
      </c>
      <c r="F461" s="108">
        <v>45949</v>
      </c>
    </row>
    <row r="462" spans="1:6" x14ac:dyDescent="0.25">
      <c r="A462" s="9">
        <v>281</v>
      </c>
      <c r="B462" s="40" t="s">
        <v>1026</v>
      </c>
      <c r="C462" s="9" t="s">
        <v>6</v>
      </c>
      <c r="D462" s="9" t="s">
        <v>6</v>
      </c>
      <c r="E462" s="91" t="s">
        <v>46</v>
      </c>
      <c r="F462" s="108">
        <v>45949</v>
      </c>
    </row>
    <row r="463" spans="1:6" x14ac:dyDescent="0.25">
      <c r="A463" s="9">
        <v>282</v>
      </c>
      <c r="B463" s="40" t="s">
        <v>1028</v>
      </c>
      <c r="C463" s="9" t="s">
        <v>6</v>
      </c>
      <c r="D463" s="9" t="s">
        <v>6</v>
      </c>
      <c r="E463" s="91" t="s">
        <v>46</v>
      </c>
      <c r="F463" s="108">
        <v>45949</v>
      </c>
    </row>
    <row r="464" spans="1:6" x14ac:dyDescent="0.25">
      <c r="A464" s="9">
        <v>283</v>
      </c>
      <c r="B464" s="8" t="s">
        <v>1075</v>
      </c>
      <c r="C464" s="9" t="s">
        <v>6</v>
      </c>
      <c r="D464" s="9" t="s">
        <v>6</v>
      </c>
      <c r="E464" s="94" t="s">
        <v>46</v>
      </c>
      <c r="F464" s="108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1" t="s">
        <v>346</v>
      </c>
      <c r="F465" s="108">
        <v>45956</v>
      </c>
    </row>
    <row r="466" spans="1:6" x14ac:dyDescent="0.25">
      <c r="A466" s="9">
        <v>285</v>
      </c>
      <c r="B466" s="8" t="s">
        <v>994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286</v>
      </c>
      <c r="B467" s="40" t="s">
        <v>1323</v>
      </c>
      <c r="C467" s="9" t="s">
        <v>6</v>
      </c>
      <c r="D467" s="9" t="s">
        <v>6</v>
      </c>
      <c r="E467" s="91" t="s">
        <v>46</v>
      </c>
      <c r="F467" s="108">
        <v>46023</v>
      </c>
    </row>
    <row r="468" spans="1:6" x14ac:dyDescent="0.25">
      <c r="A468" s="9">
        <v>287</v>
      </c>
      <c r="B468" s="40" t="s">
        <v>1025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288</v>
      </c>
      <c r="B469" s="40" t="s">
        <v>1056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289</v>
      </c>
      <c r="B470" s="40" t="s">
        <v>1069</v>
      </c>
      <c r="C470" s="9" t="s">
        <v>6</v>
      </c>
      <c r="D470" s="9" t="s">
        <v>6</v>
      </c>
      <c r="E470" s="91" t="s">
        <v>46</v>
      </c>
      <c r="F470" s="108">
        <v>45956</v>
      </c>
    </row>
    <row r="471" spans="1:6" x14ac:dyDescent="0.25">
      <c r="A471" s="9">
        <v>290</v>
      </c>
      <c r="B471" s="40" t="s">
        <v>1073</v>
      </c>
      <c r="C471" s="9" t="s">
        <v>6</v>
      </c>
      <c r="D471" s="9" t="s">
        <v>6</v>
      </c>
      <c r="E471" s="91" t="s">
        <v>46</v>
      </c>
      <c r="F471" s="108">
        <v>45956</v>
      </c>
    </row>
    <row r="472" spans="1:6" x14ac:dyDescent="0.25">
      <c r="A472" s="9">
        <v>291</v>
      </c>
      <c r="B472" s="40" t="s">
        <v>1076</v>
      </c>
      <c r="C472" s="9" t="s">
        <v>6</v>
      </c>
      <c r="D472" s="9" t="s">
        <v>6</v>
      </c>
      <c r="E472" s="91" t="s">
        <v>46</v>
      </c>
      <c r="F472" s="108">
        <v>45956</v>
      </c>
    </row>
    <row r="473" spans="1:6" x14ac:dyDescent="0.25">
      <c r="A473" s="9">
        <v>292</v>
      </c>
      <c r="B473" s="40" t="s">
        <v>1079</v>
      </c>
      <c r="C473" s="9" t="s">
        <v>6</v>
      </c>
      <c r="D473" s="9" t="s">
        <v>6</v>
      </c>
      <c r="E473" s="91" t="s">
        <v>46</v>
      </c>
      <c r="F473" s="108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1" t="s">
        <v>40</v>
      </c>
      <c r="F474" s="108">
        <v>45964</v>
      </c>
    </row>
    <row r="475" spans="1:6" x14ac:dyDescent="0.25">
      <c r="A475" s="9">
        <v>294</v>
      </c>
      <c r="B475" s="40" t="s">
        <v>752</v>
      </c>
      <c r="C475" s="9" t="s">
        <v>6</v>
      </c>
      <c r="D475" s="9" t="s">
        <v>6</v>
      </c>
      <c r="E475" s="91" t="s">
        <v>46</v>
      </c>
      <c r="F475" s="108">
        <v>45964</v>
      </c>
    </row>
    <row r="476" spans="1:6" x14ac:dyDescent="0.25">
      <c r="A476" s="9">
        <v>295</v>
      </c>
      <c r="B476" s="55" t="s">
        <v>1099</v>
      </c>
      <c r="C476" s="9" t="s">
        <v>6</v>
      </c>
      <c r="D476" s="9" t="s">
        <v>6</v>
      </c>
      <c r="E476" s="91" t="s">
        <v>46</v>
      </c>
      <c r="F476" s="108">
        <v>45964</v>
      </c>
    </row>
    <row r="477" spans="1:6" x14ac:dyDescent="0.25">
      <c r="A477" s="9">
        <v>296</v>
      </c>
      <c r="B477" s="40" t="s">
        <v>967</v>
      </c>
      <c r="C477" s="9" t="s">
        <v>6</v>
      </c>
      <c r="D477" s="9" t="s">
        <v>6</v>
      </c>
      <c r="E477" s="91" t="s">
        <v>46</v>
      </c>
      <c r="F477" s="108">
        <v>45964</v>
      </c>
    </row>
    <row r="478" spans="1:6" x14ac:dyDescent="0.25">
      <c r="A478" s="9">
        <v>297</v>
      </c>
      <c r="B478" s="36" t="s">
        <v>1044</v>
      </c>
      <c r="C478" s="9" t="s">
        <v>6</v>
      </c>
      <c r="D478" s="9" t="s">
        <v>6</v>
      </c>
      <c r="E478" s="91" t="s">
        <v>46</v>
      </c>
      <c r="F478" s="108">
        <v>45964</v>
      </c>
    </row>
    <row r="479" spans="1:6" x14ac:dyDescent="0.25">
      <c r="A479" s="9">
        <v>298</v>
      </c>
      <c r="B479" s="8" t="s">
        <v>1124</v>
      </c>
      <c r="C479" s="9" t="s">
        <v>6</v>
      </c>
      <c r="D479" s="9" t="s">
        <v>6</v>
      </c>
      <c r="E479" s="91" t="s">
        <v>41</v>
      </c>
      <c r="F479" s="108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300</v>
      </c>
      <c r="B481" s="40" t="s">
        <v>1120</v>
      </c>
      <c r="C481" s="9" t="s">
        <v>6</v>
      </c>
      <c r="D481" s="9" t="s">
        <v>6</v>
      </c>
      <c r="E481" s="91" t="s">
        <v>46</v>
      </c>
      <c r="F481" s="108">
        <v>45970</v>
      </c>
    </row>
    <row r="482" spans="1:6" x14ac:dyDescent="0.25">
      <c r="A482" s="9">
        <v>301</v>
      </c>
      <c r="B482" s="40" t="s">
        <v>1098</v>
      </c>
      <c r="C482" s="9" t="s">
        <v>6</v>
      </c>
      <c r="D482" s="9" t="s">
        <v>6</v>
      </c>
      <c r="E482" s="91" t="s">
        <v>46</v>
      </c>
      <c r="F482" s="108">
        <v>45970</v>
      </c>
    </row>
    <row r="483" spans="1:6" x14ac:dyDescent="0.25">
      <c r="A483" s="9">
        <v>302</v>
      </c>
      <c r="B483" s="40" t="s">
        <v>1119</v>
      </c>
      <c r="C483" s="9" t="s">
        <v>6</v>
      </c>
      <c r="D483" s="9" t="s">
        <v>6</v>
      </c>
      <c r="E483" s="91" t="s">
        <v>46</v>
      </c>
      <c r="F483" s="108">
        <v>45970</v>
      </c>
    </row>
    <row r="484" spans="1:6" x14ac:dyDescent="0.25">
      <c r="A484" s="9">
        <v>303</v>
      </c>
      <c r="B484" s="40" t="s">
        <v>1123</v>
      </c>
      <c r="C484" s="9" t="s">
        <v>6</v>
      </c>
      <c r="D484" s="9" t="s">
        <v>6</v>
      </c>
      <c r="E484" s="91" t="s">
        <v>46</v>
      </c>
      <c r="F484" s="108">
        <v>45970</v>
      </c>
    </row>
    <row r="485" spans="1:6" x14ac:dyDescent="0.25">
      <c r="A485" s="9">
        <v>304</v>
      </c>
      <c r="B485" s="8" t="s">
        <v>1171</v>
      </c>
      <c r="C485" s="9" t="s">
        <v>6</v>
      </c>
      <c r="D485" s="9" t="s">
        <v>6</v>
      </c>
      <c r="E485" s="93" t="s">
        <v>46</v>
      </c>
      <c r="F485" s="108">
        <v>45984</v>
      </c>
    </row>
    <row r="486" spans="1:6" x14ac:dyDescent="0.25">
      <c r="A486" s="9">
        <v>305</v>
      </c>
      <c r="B486" s="40" t="s">
        <v>1338</v>
      </c>
      <c r="C486" s="9" t="s">
        <v>6</v>
      </c>
      <c r="D486" s="9" t="s">
        <v>6</v>
      </c>
      <c r="E486" s="91" t="s">
        <v>154</v>
      </c>
      <c r="F486" s="108">
        <v>46040</v>
      </c>
    </row>
    <row r="487" spans="1:6" x14ac:dyDescent="0.25">
      <c r="A487" s="9">
        <v>306</v>
      </c>
      <c r="B487" s="40" t="s">
        <v>997</v>
      </c>
      <c r="C487" s="9" t="s">
        <v>6</v>
      </c>
      <c r="D487" s="9" t="s">
        <v>6</v>
      </c>
      <c r="E487" s="91" t="s">
        <v>46</v>
      </c>
      <c r="F487" s="108">
        <v>45984</v>
      </c>
    </row>
    <row r="488" spans="1:6" x14ac:dyDescent="0.25">
      <c r="A488" s="9">
        <v>307</v>
      </c>
      <c r="B488" s="40" t="s">
        <v>1031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308</v>
      </c>
      <c r="B489" s="40" t="s">
        <v>1108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309</v>
      </c>
      <c r="B490" s="40" t="s">
        <v>1135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310</v>
      </c>
      <c r="B491" s="40" t="s">
        <v>1136</v>
      </c>
      <c r="C491" s="9" t="s">
        <v>6</v>
      </c>
      <c r="D491" s="9" t="s">
        <v>6</v>
      </c>
      <c r="E491" s="91" t="s">
        <v>46</v>
      </c>
      <c r="F491" s="108">
        <v>45977</v>
      </c>
    </row>
    <row r="492" spans="1:6" x14ac:dyDescent="0.25">
      <c r="A492" s="9">
        <v>311</v>
      </c>
      <c r="B492" s="40" t="s">
        <v>1137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312</v>
      </c>
      <c r="B493" s="40" t="s">
        <v>1138</v>
      </c>
      <c r="C493" s="9" t="s">
        <v>6</v>
      </c>
      <c r="D493" s="9" t="s">
        <v>6</v>
      </c>
      <c r="E493" s="91" t="s">
        <v>46</v>
      </c>
      <c r="F493" s="108">
        <v>45977</v>
      </c>
    </row>
    <row r="494" spans="1:6" x14ac:dyDescent="0.25">
      <c r="A494" s="9">
        <v>313</v>
      </c>
      <c r="B494" s="40" t="s">
        <v>1140</v>
      </c>
      <c r="C494" s="9" t="s">
        <v>6</v>
      </c>
      <c r="D494" s="9" t="s">
        <v>6</v>
      </c>
      <c r="E494" s="91" t="s">
        <v>46</v>
      </c>
      <c r="F494" s="108">
        <v>45977</v>
      </c>
    </row>
    <row r="495" spans="1:6" x14ac:dyDescent="0.25">
      <c r="A495" s="9">
        <v>314</v>
      </c>
      <c r="B495" s="40" t="s">
        <v>1146</v>
      </c>
      <c r="C495" s="9" t="s">
        <v>6</v>
      </c>
      <c r="D495" s="9" t="s">
        <v>6</v>
      </c>
      <c r="E495" s="91" t="s">
        <v>46</v>
      </c>
      <c r="F495" s="108">
        <v>45992</v>
      </c>
    </row>
    <row r="496" spans="1:6" x14ac:dyDescent="0.25">
      <c r="A496" s="9">
        <v>315</v>
      </c>
      <c r="B496" s="40" t="s">
        <v>1147</v>
      </c>
      <c r="C496" s="9" t="s">
        <v>6</v>
      </c>
      <c r="D496" s="9" t="s">
        <v>6</v>
      </c>
      <c r="E496" s="91" t="s">
        <v>46</v>
      </c>
      <c r="F496" s="108">
        <v>45977</v>
      </c>
    </row>
    <row r="497" spans="1:6" x14ac:dyDescent="0.25">
      <c r="A497" s="9">
        <v>316</v>
      </c>
      <c r="B497" s="40" t="s">
        <v>1162</v>
      </c>
      <c r="C497" s="9" t="s">
        <v>6</v>
      </c>
      <c r="D497" s="9" t="s">
        <v>6</v>
      </c>
      <c r="E497" s="91" t="s">
        <v>46</v>
      </c>
      <c r="F497" s="108">
        <v>45984</v>
      </c>
    </row>
    <row r="498" spans="1:6" x14ac:dyDescent="0.25">
      <c r="A498" s="9">
        <v>317</v>
      </c>
      <c r="B498" s="40" t="s">
        <v>1163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318</v>
      </c>
      <c r="B499" s="40" t="s">
        <v>1165</v>
      </c>
      <c r="C499" s="9" t="s">
        <v>6</v>
      </c>
      <c r="D499" s="9" t="s">
        <v>6</v>
      </c>
      <c r="E499" s="91" t="s">
        <v>153</v>
      </c>
      <c r="F499" s="108">
        <v>45984</v>
      </c>
    </row>
    <row r="500" spans="1:6" x14ac:dyDescent="0.25">
      <c r="A500" s="9">
        <v>319</v>
      </c>
      <c r="B500" s="40" t="s">
        <v>1166</v>
      </c>
      <c r="C500" s="9" t="s">
        <v>6</v>
      </c>
      <c r="D500" s="9" t="s">
        <v>6</v>
      </c>
      <c r="E500" s="91" t="s">
        <v>153</v>
      </c>
      <c r="F500" s="108">
        <v>45984</v>
      </c>
    </row>
    <row r="501" spans="1:6" x14ac:dyDescent="0.25">
      <c r="A501" s="9">
        <v>320</v>
      </c>
      <c r="B501" s="40" t="s">
        <v>1167</v>
      </c>
      <c r="C501" s="9" t="s">
        <v>6</v>
      </c>
      <c r="D501" s="9" t="s">
        <v>6</v>
      </c>
      <c r="E501" s="91" t="s">
        <v>153</v>
      </c>
      <c r="F501" s="108">
        <v>45984</v>
      </c>
    </row>
    <row r="502" spans="1:6" x14ac:dyDescent="0.25">
      <c r="A502" s="9">
        <v>321</v>
      </c>
      <c r="B502" s="40" t="s">
        <v>1179</v>
      </c>
      <c r="C502" s="9" t="s">
        <v>6</v>
      </c>
      <c r="D502" s="9" t="s">
        <v>6</v>
      </c>
      <c r="E502" s="91" t="s">
        <v>46</v>
      </c>
      <c r="F502" s="108">
        <v>45984</v>
      </c>
    </row>
    <row r="503" spans="1:6" x14ac:dyDescent="0.25">
      <c r="A503" s="9">
        <v>322</v>
      </c>
      <c r="B503" s="55" t="s">
        <v>1341</v>
      </c>
      <c r="C503" s="9" t="s">
        <v>6</v>
      </c>
      <c r="D503" s="9" t="s">
        <v>6</v>
      </c>
      <c r="E503" s="91" t="s">
        <v>46</v>
      </c>
      <c r="F503" s="108">
        <v>46040</v>
      </c>
    </row>
    <row r="504" spans="1:6" x14ac:dyDescent="0.25">
      <c r="A504" s="9">
        <v>323</v>
      </c>
      <c r="B504" s="40" t="s">
        <v>1181</v>
      </c>
      <c r="C504" s="9" t="s">
        <v>6</v>
      </c>
      <c r="D504" s="9" t="s">
        <v>6</v>
      </c>
      <c r="E504" s="91" t="s">
        <v>153</v>
      </c>
      <c r="F504" s="108">
        <v>45984</v>
      </c>
    </row>
    <row r="505" spans="1:6" x14ac:dyDescent="0.25">
      <c r="A505" s="9">
        <v>324</v>
      </c>
      <c r="B505" s="40" t="s">
        <v>1182</v>
      </c>
      <c r="C505" s="9" t="s">
        <v>6</v>
      </c>
      <c r="D505" s="9" t="s">
        <v>6</v>
      </c>
      <c r="E505" s="91" t="s">
        <v>153</v>
      </c>
      <c r="F505" s="108">
        <v>45984</v>
      </c>
    </row>
    <row r="506" spans="1:6" x14ac:dyDescent="0.25">
      <c r="A506" s="9">
        <v>325</v>
      </c>
      <c r="B506" s="40" t="s">
        <v>1183</v>
      </c>
      <c r="C506" s="9" t="s">
        <v>6</v>
      </c>
      <c r="D506" s="9" t="s">
        <v>6</v>
      </c>
      <c r="E506" s="91" t="s">
        <v>153</v>
      </c>
      <c r="F506" s="108">
        <v>45984</v>
      </c>
    </row>
    <row r="507" spans="1:6" x14ac:dyDescent="0.25">
      <c r="A507" s="9">
        <v>326</v>
      </c>
      <c r="B507" s="40" t="s">
        <v>1180</v>
      </c>
      <c r="C507" s="9" t="s">
        <v>6</v>
      </c>
      <c r="D507" s="9" t="s">
        <v>6</v>
      </c>
      <c r="E507" s="91" t="s">
        <v>46</v>
      </c>
      <c r="F507" s="108">
        <v>45984</v>
      </c>
    </row>
    <row r="508" spans="1:6" x14ac:dyDescent="0.25">
      <c r="A508" s="9">
        <v>327</v>
      </c>
      <c r="B508" s="8" t="s">
        <v>1225</v>
      </c>
      <c r="C508" s="9" t="s">
        <v>6</v>
      </c>
      <c r="D508" s="9" t="s">
        <v>6</v>
      </c>
      <c r="E508" s="94" t="s">
        <v>46</v>
      </c>
      <c r="F508" s="108">
        <v>45998</v>
      </c>
    </row>
    <row r="509" spans="1:6" x14ac:dyDescent="0.25">
      <c r="A509" s="9">
        <v>328</v>
      </c>
      <c r="B509" s="55" t="s">
        <v>826</v>
      </c>
      <c r="C509" s="9" t="s">
        <v>6</v>
      </c>
      <c r="D509" s="9" t="s">
        <v>6</v>
      </c>
      <c r="E509" s="91" t="s">
        <v>46</v>
      </c>
      <c r="F509" s="108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4" t="s">
        <v>346</v>
      </c>
      <c r="F510" s="108">
        <v>46104</v>
      </c>
    </row>
    <row r="511" spans="1:6" x14ac:dyDescent="0.25">
      <c r="A511" s="9">
        <v>330</v>
      </c>
      <c r="B511" s="8" t="s">
        <v>1219</v>
      </c>
      <c r="C511" s="9" t="s">
        <v>6</v>
      </c>
      <c r="D511" s="9" t="s">
        <v>6</v>
      </c>
      <c r="E511" s="94" t="s">
        <v>346</v>
      </c>
      <c r="F511" s="108">
        <v>45992</v>
      </c>
    </row>
    <row r="512" spans="1:6" x14ac:dyDescent="0.25">
      <c r="A512" s="9">
        <v>331</v>
      </c>
      <c r="B512" s="8" t="s">
        <v>768</v>
      </c>
      <c r="C512" s="9" t="s">
        <v>6</v>
      </c>
      <c r="D512" s="9" t="s">
        <v>6</v>
      </c>
      <c r="E512" s="93" t="s">
        <v>46</v>
      </c>
      <c r="F512" s="108">
        <v>45992</v>
      </c>
    </row>
    <row r="513" spans="1:6" x14ac:dyDescent="0.25">
      <c r="A513" s="9">
        <v>332</v>
      </c>
      <c r="B513" s="19" t="s">
        <v>1196</v>
      </c>
      <c r="C513" s="9" t="s">
        <v>6</v>
      </c>
      <c r="D513" s="9" t="s">
        <v>6</v>
      </c>
      <c r="E513" s="94" t="s">
        <v>46</v>
      </c>
      <c r="F513" s="108">
        <v>45992</v>
      </c>
    </row>
    <row r="514" spans="1:6" x14ac:dyDescent="0.25">
      <c r="A514" s="9">
        <v>333</v>
      </c>
      <c r="B514" s="19" t="s">
        <v>1068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334</v>
      </c>
      <c r="B515" s="40" t="s">
        <v>1164</v>
      </c>
      <c r="C515" s="9" t="s">
        <v>6</v>
      </c>
      <c r="D515" s="9" t="s">
        <v>6</v>
      </c>
      <c r="E515" s="91" t="s">
        <v>46</v>
      </c>
      <c r="F515" s="108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2" t="s">
        <v>46</v>
      </c>
      <c r="F516" s="108">
        <v>45992</v>
      </c>
    </row>
    <row r="517" spans="1:6" x14ac:dyDescent="0.25">
      <c r="A517" s="9">
        <v>336</v>
      </c>
      <c r="B517" s="55" t="s">
        <v>825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1" t="s">
        <v>46</v>
      </c>
      <c r="F518" s="108">
        <v>46005</v>
      </c>
    </row>
    <row r="519" spans="1:6" x14ac:dyDescent="0.25">
      <c r="A519" s="9">
        <v>338</v>
      </c>
      <c r="B519" s="40" t="s">
        <v>1054</v>
      </c>
      <c r="C519" s="9" t="s">
        <v>6</v>
      </c>
      <c r="D519" s="9" t="s">
        <v>6</v>
      </c>
      <c r="E519" s="91" t="s">
        <v>46</v>
      </c>
      <c r="F519" s="108">
        <v>45998</v>
      </c>
    </row>
    <row r="520" spans="1:6" x14ac:dyDescent="0.25">
      <c r="A520" s="9">
        <v>339</v>
      </c>
      <c r="B520" s="40" t="s">
        <v>1055</v>
      </c>
      <c r="C520" s="9" t="s">
        <v>6</v>
      </c>
      <c r="D520" s="9" t="s">
        <v>6</v>
      </c>
      <c r="E520" s="91" t="s">
        <v>46</v>
      </c>
      <c r="F520" s="108">
        <v>45992</v>
      </c>
    </row>
    <row r="521" spans="1:6" x14ac:dyDescent="0.25">
      <c r="A521" s="9">
        <v>340</v>
      </c>
      <c r="B521" s="40" t="s">
        <v>1222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341</v>
      </c>
      <c r="B522" s="40" t="s">
        <v>1178</v>
      </c>
      <c r="C522" s="9" t="s">
        <v>6</v>
      </c>
      <c r="D522" s="9" t="s">
        <v>6</v>
      </c>
      <c r="E522" s="91" t="s">
        <v>153</v>
      </c>
      <c r="F522" s="108">
        <v>45992</v>
      </c>
    </row>
    <row r="523" spans="1:6" x14ac:dyDescent="0.25">
      <c r="A523" s="9">
        <v>342</v>
      </c>
      <c r="B523" s="40" t="s">
        <v>1187</v>
      </c>
      <c r="C523" s="9" t="s">
        <v>6</v>
      </c>
      <c r="D523" s="9" t="s">
        <v>6</v>
      </c>
      <c r="E523" s="91" t="s">
        <v>153</v>
      </c>
      <c r="F523" s="108">
        <v>45992</v>
      </c>
    </row>
    <row r="524" spans="1:6" x14ac:dyDescent="0.25">
      <c r="A524" s="9">
        <v>343</v>
      </c>
      <c r="B524" s="40" t="s">
        <v>1189</v>
      </c>
      <c r="C524" s="9" t="s">
        <v>6</v>
      </c>
      <c r="D524" s="9" t="s">
        <v>6</v>
      </c>
      <c r="E524" s="91" t="s">
        <v>153</v>
      </c>
      <c r="F524" s="108">
        <v>45992</v>
      </c>
    </row>
    <row r="525" spans="1:6" x14ac:dyDescent="0.25">
      <c r="A525" s="9">
        <v>344</v>
      </c>
      <c r="B525" s="40" t="s">
        <v>1191</v>
      </c>
      <c r="C525" s="9" t="s">
        <v>6</v>
      </c>
      <c r="D525" s="9" t="s">
        <v>6</v>
      </c>
      <c r="E525" s="91" t="s">
        <v>46</v>
      </c>
      <c r="F525" s="108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346</v>
      </c>
      <c r="B527" s="40" t="s">
        <v>1221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347</v>
      </c>
      <c r="B528" s="40" t="s">
        <v>1227</v>
      </c>
      <c r="C528" s="9" t="s">
        <v>6</v>
      </c>
      <c r="D528" s="9" t="s">
        <v>6</v>
      </c>
      <c r="E528" s="91" t="s">
        <v>46</v>
      </c>
      <c r="F528" s="108">
        <v>45998</v>
      </c>
    </row>
    <row r="529" spans="1:6" x14ac:dyDescent="0.25">
      <c r="A529" s="9">
        <v>348</v>
      </c>
      <c r="B529" s="40" t="s">
        <v>1241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349</v>
      </c>
      <c r="B530" s="40" t="s">
        <v>934</v>
      </c>
      <c r="C530" s="9" t="s">
        <v>6</v>
      </c>
      <c r="D530" s="9" t="s">
        <v>6</v>
      </c>
      <c r="E530" s="91" t="s">
        <v>46</v>
      </c>
      <c r="F530" s="108">
        <v>45998</v>
      </c>
    </row>
    <row r="531" spans="1:6" x14ac:dyDescent="0.25">
      <c r="A531" s="9">
        <v>350</v>
      </c>
      <c r="B531" s="40" t="s">
        <v>1242</v>
      </c>
      <c r="C531" s="9" t="s">
        <v>6</v>
      </c>
      <c r="D531" s="9" t="s">
        <v>6</v>
      </c>
      <c r="E531" s="91" t="s">
        <v>46</v>
      </c>
      <c r="F531" s="108">
        <v>45998</v>
      </c>
    </row>
    <row r="532" spans="1:6" x14ac:dyDescent="0.25">
      <c r="A532" s="9">
        <v>351</v>
      </c>
      <c r="B532" s="40" t="s">
        <v>740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352</v>
      </c>
      <c r="B533" s="40" t="s">
        <v>1244</v>
      </c>
      <c r="C533" s="9" t="s">
        <v>6</v>
      </c>
      <c r="D533" s="9" t="s">
        <v>6</v>
      </c>
      <c r="E533" s="91" t="s">
        <v>46</v>
      </c>
      <c r="F533" s="108">
        <v>45998</v>
      </c>
    </row>
    <row r="534" spans="1:6" x14ac:dyDescent="0.25">
      <c r="A534" s="9">
        <v>353</v>
      </c>
      <c r="B534" s="40" t="s">
        <v>1252</v>
      </c>
      <c r="C534" s="9" t="s">
        <v>6</v>
      </c>
      <c r="D534" s="9" t="s">
        <v>6</v>
      </c>
      <c r="E534" s="91" t="s">
        <v>46</v>
      </c>
      <c r="F534" s="108">
        <v>46005</v>
      </c>
    </row>
    <row r="535" spans="1:6" x14ac:dyDescent="0.25">
      <c r="A535" s="9">
        <v>354</v>
      </c>
      <c r="B535" s="40" t="s">
        <v>1253</v>
      </c>
      <c r="C535" s="9" t="s">
        <v>6</v>
      </c>
      <c r="D535" s="9" t="s">
        <v>6</v>
      </c>
      <c r="E535" s="91" t="s">
        <v>46</v>
      </c>
      <c r="F535" s="108">
        <v>46005</v>
      </c>
    </row>
    <row r="536" spans="1:6" x14ac:dyDescent="0.25">
      <c r="A536" s="9">
        <v>355</v>
      </c>
      <c r="B536" s="40" t="s">
        <v>1255</v>
      </c>
      <c r="C536" s="9" t="s">
        <v>6</v>
      </c>
      <c r="D536" s="9" t="s">
        <v>6</v>
      </c>
      <c r="E536" s="91" t="s">
        <v>46</v>
      </c>
      <c r="F536" s="108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1" t="s">
        <v>46</v>
      </c>
      <c r="F537" s="108">
        <v>46005</v>
      </c>
    </row>
    <row r="538" spans="1:6" x14ac:dyDescent="0.25">
      <c r="A538" s="9">
        <v>357</v>
      </c>
      <c r="B538" s="40" t="s">
        <v>1276</v>
      </c>
      <c r="C538" s="9" t="s">
        <v>6</v>
      </c>
      <c r="D538" s="9" t="s">
        <v>6</v>
      </c>
      <c r="E538" s="91" t="s">
        <v>46</v>
      </c>
      <c r="F538" s="108">
        <v>46012</v>
      </c>
    </row>
    <row r="539" spans="1:6" x14ac:dyDescent="0.25">
      <c r="A539" s="9">
        <v>358</v>
      </c>
      <c r="B539" s="40" t="s">
        <v>1278</v>
      </c>
      <c r="C539" s="9" t="s">
        <v>6</v>
      </c>
      <c r="D539" s="9" t="s">
        <v>6</v>
      </c>
      <c r="E539" s="91" t="s">
        <v>46</v>
      </c>
      <c r="F539" s="108">
        <v>46012</v>
      </c>
    </row>
    <row r="540" spans="1:6" x14ac:dyDescent="0.25">
      <c r="A540" s="9">
        <v>359</v>
      </c>
      <c r="B540" s="40" t="s">
        <v>1281</v>
      </c>
      <c r="C540" s="9" t="s">
        <v>6</v>
      </c>
      <c r="D540" s="9" t="s">
        <v>6</v>
      </c>
      <c r="E540" s="91" t="s">
        <v>46</v>
      </c>
      <c r="F540" s="108">
        <v>46012</v>
      </c>
    </row>
    <row r="541" spans="1:6" x14ac:dyDescent="0.25">
      <c r="A541" s="9">
        <v>360</v>
      </c>
      <c r="B541" s="40" t="s">
        <v>1282</v>
      </c>
      <c r="C541" s="9" t="s">
        <v>6</v>
      </c>
      <c r="D541" s="9" t="s">
        <v>6</v>
      </c>
      <c r="E541" s="91" t="s">
        <v>46</v>
      </c>
      <c r="F541" s="108">
        <v>46012</v>
      </c>
    </row>
    <row r="542" spans="1:6" x14ac:dyDescent="0.25">
      <c r="A542" s="9">
        <v>361</v>
      </c>
      <c r="B542" s="40" t="s">
        <v>1293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362</v>
      </c>
      <c r="B543" s="40" t="s">
        <v>1296</v>
      </c>
      <c r="C543" s="9" t="s">
        <v>6</v>
      </c>
      <c r="D543" s="9" t="s">
        <v>6</v>
      </c>
      <c r="E543" s="91" t="s">
        <v>46</v>
      </c>
      <c r="F543" s="108">
        <v>46023</v>
      </c>
    </row>
    <row r="544" spans="1:6" x14ac:dyDescent="0.25">
      <c r="A544" s="9">
        <v>363</v>
      </c>
      <c r="B544" s="40" t="s">
        <v>1300</v>
      </c>
      <c r="C544" s="9" t="s">
        <v>6</v>
      </c>
      <c r="D544" s="9" t="s">
        <v>6</v>
      </c>
      <c r="E544" s="91" t="s">
        <v>46</v>
      </c>
      <c r="F544" s="108">
        <v>46023</v>
      </c>
    </row>
    <row r="545" spans="1:6" x14ac:dyDescent="0.25">
      <c r="A545" s="9">
        <v>364</v>
      </c>
      <c r="B545" s="40" t="s">
        <v>1309</v>
      </c>
      <c r="C545" s="9" t="s">
        <v>6</v>
      </c>
      <c r="D545" s="9" t="s">
        <v>6</v>
      </c>
      <c r="E545" s="91" t="s">
        <v>46</v>
      </c>
      <c r="F545" s="108">
        <v>46023</v>
      </c>
    </row>
    <row r="546" spans="1:6" x14ac:dyDescent="0.25">
      <c r="A546" s="9">
        <v>365</v>
      </c>
      <c r="B546" s="40" t="s">
        <v>1320</v>
      </c>
      <c r="C546" s="9" t="s">
        <v>6</v>
      </c>
      <c r="D546" s="9" t="s">
        <v>6</v>
      </c>
      <c r="E546" s="91" t="s">
        <v>46</v>
      </c>
      <c r="F546" s="108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4" t="s">
        <v>41</v>
      </c>
      <c r="F547" s="108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4" t="s">
        <v>40</v>
      </c>
      <c r="F548" s="108">
        <v>46046</v>
      </c>
    </row>
    <row r="549" spans="1:6" x14ac:dyDescent="0.25">
      <c r="A549" s="9">
        <v>368</v>
      </c>
      <c r="B549" s="8" t="s">
        <v>76</v>
      </c>
      <c r="C549" s="9" t="s">
        <v>6</v>
      </c>
      <c r="D549" s="9" t="s">
        <v>6</v>
      </c>
      <c r="E549" s="94" t="s">
        <v>346</v>
      </c>
      <c r="F549" s="108">
        <v>46061</v>
      </c>
    </row>
    <row r="550" spans="1:6" x14ac:dyDescent="0.25">
      <c r="A550" s="9">
        <v>369</v>
      </c>
      <c r="B550" s="8" t="s">
        <v>790</v>
      </c>
      <c r="C550" s="9" t="s">
        <v>6</v>
      </c>
      <c r="D550" s="9" t="s">
        <v>6</v>
      </c>
      <c r="E550" s="94" t="s">
        <v>40</v>
      </c>
      <c r="F550" s="108">
        <v>46055</v>
      </c>
    </row>
    <row r="551" spans="1:6" x14ac:dyDescent="0.25">
      <c r="A551" s="9">
        <v>370</v>
      </c>
      <c r="B551" s="8" t="s">
        <v>1339</v>
      </c>
      <c r="C551" s="9" t="s">
        <v>6</v>
      </c>
      <c r="D551" s="9" t="s">
        <v>6</v>
      </c>
      <c r="E551" s="93" t="s">
        <v>346</v>
      </c>
      <c r="F551" s="108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1" t="s">
        <v>46</v>
      </c>
      <c r="F552" s="108">
        <v>46061</v>
      </c>
    </row>
    <row r="553" spans="1:6" x14ac:dyDescent="0.25">
      <c r="A553" s="9">
        <v>372</v>
      </c>
      <c r="B553" s="40" t="s">
        <v>1129</v>
      </c>
      <c r="C553" s="9" t="s">
        <v>6</v>
      </c>
      <c r="D553" s="9" t="s">
        <v>6</v>
      </c>
      <c r="E553" s="91" t="s">
        <v>46</v>
      </c>
      <c r="F553" s="108">
        <v>46061</v>
      </c>
    </row>
    <row r="554" spans="1:6" x14ac:dyDescent="0.25">
      <c r="A554" s="9">
        <v>373</v>
      </c>
      <c r="B554" s="40" t="s">
        <v>1350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374</v>
      </c>
      <c r="B555" s="40" t="s">
        <v>1349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375</v>
      </c>
      <c r="B556" s="40" t="s">
        <v>1359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376</v>
      </c>
      <c r="B557" s="40" t="s">
        <v>1360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377</v>
      </c>
      <c r="B558" s="40" t="s">
        <v>1357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378</v>
      </c>
      <c r="B559" s="40" t="s">
        <v>707</v>
      </c>
      <c r="C559" s="9" t="s">
        <v>6</v>
      </c>
      <c r="D559" s="9" t="s">
        <v>6</v>
      </c>
      <c r="E559" s="91" t="s">
        <v>46</v>
      </c>
      <c r="F559" s="108">
        <v>46046</v>
      </c>
    </row>
    <row r="560" spans="1:6" x14ac:dyDescent="0.25">
      <c r="A560" s="9">
        <v>379</v>
      </c>
      <c r="B560" s="40" t="s">
        <v>721</v>
      </c>
      <c r="C560" s="9" t="s">
        <v>6</v>
      </c>
      <c r="D560" s="9" t="s">
        <v>6</v>
      </c>
      <c r="E560" s="91" t="s">
        <v>46</v>
      </c>
      <c r="F560" s="108">
        <v>46046</v>
      </c>
    </row>
    <row r="561" spans="1:6" x14ac:dyDescent="0.25">
      <c r="A561" s="9">
        <v>380</v>
      </c>
      <c r="B561" s="40" t="s">
        <v>1362</v>
      </c>
      <c r="C561" s="9" t="s">
        <v>6</v>
      </c>
      <c r="D561" s="9" t="s">
        <v>6</v>
      </c>
      <c r="E561" s="91" t="s">
        <v>46</v>
      </c>
      <c r="F561" s="108">
        <v>46046</v>
      </c>
    </row>
    <row r="562" spans="1:6" x14ac:dyDescent="0.25">
      <c r="A562" s="9">
        <v>381</v>
      </c>
      <c r="B562" s="40" t="s">
        <v>1363</v>
      </c>
      <c r="C562" s="9" t="s">
        <v>6</v>
      </c>
      <c r="D562" s="9" t="s">
        <v>6</v>
      </c>
      <c r="E562" s="91" t="s">
        <v>46</v>
      </c>
      <c r="F562" s="108">
        <v>46046</v>
      </c>
    </row>
    <row r="563" spans="1:6" x14ac:dyDescent="0.25">
      <c r="A563" s="9">
        <v>382</v>
      </c>
      <c r="B563" s="40" t="s">
        <v>1364</v>
      </c>
      <c r="C563" s="9" t="s">
        <v>6</v>
      </c>
      <c r="D563" s="9" t="s">
        <v>6</v>
      </c>
      <c r="E563" s="91" t="s">
        <v>46</v>
      </c>
      <c r="F563" s="108">
        <v>46046</v>
      </c>
    </row>
    <row r="564" spans="1:6" x14ac:dyDescent="0.25">
      <c r="A564" s="9">
        <v>383</v>
      </c>
      <c r="B564" s="40" t="s">
        <v>1378</v>
      </c>
      <c r="C564" s="9" t="s">
        <v>6</v>
      </c>
      <c r="D564" s="9" t="s">
        <v>6</v>
      </c>
      <c r="E564" s="91" t="s">
        <v>153</v>
      </c>
      <c r="F564" s="108">
        <v>46055</v>
      </c>
    </row>
    <row r="565" spans="1:6" x14ac:dyDescent="0.25">
      <c r="A565" s="9">
        <v>384</v>
      </c>
      <c r="B565" s="40" t="s">
        <v>1380</v>
      </c>
      <c r="C565" s="9" t="s">
        <v>6</v>
      </c>
      <c r="D565" s="9" t="s">
        <v>6</v>
      </c>
      <c r="E565" s="91" t="s">
        <v>153</v>
      </c>
      <c r="F565" s="108">
        <v>46055</v>
      </c>
    </row>
    <row r="566" spans="1:6" x14ac:dyDescent="0.25">
      <c r="A566" s="9">
        <v>385</v>
      </c>
      <c r="B566" s="40" t="s">
        <v>1394</v>
      </c>
      <c r="C566" s="9" t="s">
        <v>6</v>
      </c>
      <c r="D566" s="9" t="s">
        <v>6</v>
      </c>
      <c r="E566" s="91" t="s">
        <v>153</v>
      </c>
      <c r="F566" s="108">
        <v>46055</v>
      </c>
    </row>
    <row r="567" spans="1:6" x14ac:dyDescent="0.25">
      <c r="A567" s="9">
        <v>386</v>
      </c>
      <c r="B567" s="40" t="s">
        <v>1426</v>
      </c>
      <c r="C567" s="9" t="s">
        <v>6</v>
      </c>
      <c r="D567" s="9" t="s">
        <v>6</v>
      </c>
      <c r="E567" s="94" t="s">
        <v>46</v>
      </c>
      <c r="F567" s="108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4" t="s">
        <v>46</v>
      </c>
      <c r="F568" s="108">
        <v>46061</v>
      </c>
    </row>
    <row r="569" spans="1:6" x14ac:dyDescent="0.25">
      <c r="A569" s="9">
        <v>388</v>
      </c>
      <c r="B569" s="40" t="s">
        <v>1435</v>
      </c>
      <c r="C569" s="9" t="s">
        <v>6</v>
      </c>
      <c r="D569" s="9" t="s">
        <v>6</v>
      </c>
      <c r="E569" s="94" t="s">
        <v>46</v>
      </c>
      <c r="F569" s="108">
        <v>46061</v>
      </c>
    </row>
    <row r="570" spans="1:6" x14ac:dyDescent="0.25">
      <c r="A570" s="9">
        <v>389</v>
      </c>
      <c r="B570" s="40" t="s">
        <v>1437</v>
      </c>
      <c r="C570" s="9" t="s">
        <v>6</v>
      </c>
      <c r="D570" s="9" t="s">
        <v>6</v>
      </c>
      <c r="E570" s="94" t="s">
        <v>46</v>
      </c>
      <c r="F570" s="108">
        <v>46061</v>
      </c>
    </row>
    <row r="571" spans="1:6" x14ac:dyDescent="0.25">
      <c r="A571" s="9">
        <v>390</v>
      </c>
      <c r="B571" s="40" t="s">
        <v>1438</v>
      </c>
      <c r="C571" s="9" t="s">
        <v>6</v>
      </c>
      <c r="D571" s="9" t="s">
        <v>6</v>
      </c>
      <c r="E571" s="94" t="s">
        <v>46</v>
      </c>
      <c r="F571" s="108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1" t="s">
        <v>346</v>
      </c>
      <c r="F572" s="108">
        <v>46075</v>
      </c>
    </row>
    <row r="573" spans="1:6" x14ac:dyDescent="0.25">
      <c r="A573" s="9">
        <v>392</v>
      </c>
      <c r="B573" s="40" t="s">
        <v>1448</v>
      </c>
      <c r="C573" s="9" t="s">
        <v>6</v>
      </c>
      <c r="D573" s="9" t="s">
        <v>6</v>
      </c>
      <c r="E573" s="91" t="s">
        <v>46</v>
      </c>
      <c r="F573" s="108">
        <v>46068</v>
      </c>
    </row>
    <row r="574" spans="1:6" x14ac:dyDescent="0.25">
      <c r="A574" s="9">
        <v>393</v>
      </c>
      <c r="B574" s="40" t="s">
        <v>1449</v>
      </c>
      <c r="C574" s="9" t="s">
        <v>6</v>
      </c>
      <c r="D574" s="9" t="s">
        <v>6</v>
      </c>
      <c r="E574" s="91" t="s">
        <v>46</v>
      </c>
      <c r="F574" s="108">
        <v>46068</v>
      </c>
    </row>
    <row r="575" spans="1:6" x14ac:dyDescent="0.25">
      <c r="A575" s="9">
        <v>394</v>
      </c>
      <c r="B575" s="40" t="s">
        <v>1450</v>
      </c>
      <c r="C575" s="9" t="s">
        <v>6</v>
      </c>
      <c r="D575" s="9" t="s">
        <v>6</v>
      </c>
      <c r="E575" s="94" t="s">
        <v>46</v>
      </c>
      <c r="F575" s="108">
        <v>46075</v>
      </c>
    </row>
    <row r="576" spans="1:6" x14ac:dyDescent="0.25">
      <c r="A576" s="9">
        <v>395</v>
      </c>
      <c r="B576" s="40" t="s">
        <v>1481</v>
      </c>
      <c r="C576" s="9" t="s">
        <v>6</v>
      </c>
      <c r="D576" s="9" t="s">
        <v>6</v>
      </c>
      <c r="E576" s="94" t="s">
        <v>46</v>
      </c>
      <c r="F576" s="108">
        <v>46075</v>
      </c>
    </row>
    <row r="577" spans="1:6" x14ac:dyDescent="0.25">
      <c r="A577" s="9">
        <v>396</v>
      </c>
      <c r="B577" s="40" t="s">
        <v>1482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397</v>
      </c>
      <c r="B578" s="40" t="s">
        <v>1420</v>
      </c>
      <c r="C578" s="9" t="s">
        <v>6</v>
      </c>
      <c r="D578" s="9" t="s">
        <v>6</v>
      </c>
      <c r="E578" s="94" t="s">
        <v>46</v>
      </c>
      <c r="F578" s="108">
        <v>46068</v>
      </c>
    </row>
    <row r="579" spans="1:6" x14ac:dyDescent="0.25">
      <c r="A579" s="9">
        <v>398</v>
      </c>
      <c r="B579" s="8" t="s">
        <v>737</v>
      </c>
      <c r="C579" s="9" t="s">
        <v>6</v>
      </c>
      <c r="D579" s="9" t="s">
        <v>6</v>
      </c>
      <c r="E579" s="93" t="s">
        <v>346</v>
      </c>
      <c r="F579" s="108">
        <v>46075</v>
      </c>
    </row>
    <row r="580" spans="1:6" x14ac:dyDescent="0.25">
      <c r="A580" s="9">
        <v>399</v>
      </c>
      <c r="B580" s="40" t="s">
        <v>1447</v>
      </c>
      <c r="C580" s="9" t="s">
        <v>6</v>
      </c>
      <c r="D580" s="9" t="s">
        <v>6</v>
      </c>
      <c r="E580" s="94" t="s">
        <v>46</v>
      </c>
      <c r="F580" s="108">
        <v>46068</v>
      </c>
    </row>
    <row r="581" spans="1:6" x14ac:dyDescent="0.25">
      <c r="A581" s="9">
        <v>400</v>
      </c>
      <c r="B581" s="40" t="s">
        <v>1456</v>
      </c>
      <c r="C581" s="9" t="s">
        <v>6</v>
      </c>
      <c r="D581" s="9" t="s">
        <v>6</v>
      </c>
      <c r="E581" s="94" t="s">
        <v>46</v>
      </c>
      <c r="F581" s="108">
        <v>46068</v>
      </c>
    </row>
    <row r="582" spans="1:6" x14ac:dyDescent="0.25">
      <c r="A582" s="9">
        <v>401</v>
      </c>
      <c r="B582" s="40" t="s">
        <v>1475</v>
      </c>
      <c r="C582" s="9" t="s">
        <v>6</v>
      </c>
      <c r="D582" s="9" t="s">
        <v>6</v>
      </c>
      <c r="E582" s="94" t="s">
        <v>46</v>
      </c>
      <c r="F582" s="108">
        <v>46075</v>
      </c>
    </row>
    <row r="583" spans="1:6" x14ac:dyDescent="0.25">
      <c r="A583" s="9">
        <v>402</v>
      </c>
      <c r="B583" s="40" t="s">
        <v>1478</v>
      </c>
      <c r="C583" s="9" t="s">
        <v>6</v>
      </c>
      <c r="D583" s="9" t="s">
        <v>6</v>
      </c>
      <c r="E583" s="94" t="s">
        <v>46</v>
      </c>
      <c r="F583" s="108">
        <v>46075</v>
      </c>
    </row>
    <row r="584" spans="1:6" x14ac:dyDescent="0.25">
      <c r="A584" s="9">
        <v>403</v>
      </c>
      <c r="B584" s="40" t="s">
        <v>1490</v>
      </c>
      <c r="C584" s="9" t="s">
        <v>6</v>
      </c>
      <c r="D584" s="9" t="s">
        <v>6</v>
      </c>
      <c r="E584" s="94" t="s">
        <v>46</v>
      </c>
      <c r="F584" s="108">
        <v>46075</v>
      </c>
    </row>
    <row r="585" spans="1:6" x14ac:dyDescent="0.25">
      <c r="A585" s="9">
        <v>404</v>
      </c>
      <c r="B585" s="40" t="s">
        <v>1492</v>
      </c>
      <c r="C585" s="9" t="s">
        <v>6</v>
      </c>
      <c r="D585" s="9" t="s">
        <v>6</v>
      </c>
      <c r="E585" s="94" t="s">
        <v>46</v>
      </c>
      <c r="F585" s="108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4" t="s">
        <v>46</v>
      </c>
      <c r="F586" s="108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4" t="s">
        <v>41</v>
      </c>
      <c r="F587" s="108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3" t="s">
        <v>40</v>
      </c>
      <c r="F588" s="108">
        <v>46095</v>
      </c>
    </row>
    <row r="589" spans="1:6" x14ac:dyDescent="0.25">
      <c r="A589" s="9">
        <v>408</v>
      </c>
      <c r="B589" s="8" t="s">
        <v>1536</v>
      </c>
      <c r="C589" s="9" t="s">
        <v>6</v>
      </c>
      <c r="D589" s="9" t="s">
        <v>6</v>
      </c>
      <c r="E589" s="93" t="s">
        <v>46</v>
      </c>
      <c r="F589" s="108">
        <v>46090</v>
      </c>
    </row>
    <row r="590" spans="1:6" x14ac:dyDescent="0.25">
      <c r="A590" s="9">
        <v>409</v>
      </c>
      <c r="B590" s="8" t="s">
        <v>1556</v>
      </c>
      <c r="C590" s="9" t="s">
        <v>6</v>
      </c>
      <c r="D590" s="9" t="s">
        <v>6</v>
      </c>
      <c r="E590" s="93"/>
      <c r="F590" s="108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1" t="s">
        <v>40</v>
      </c>
      <c r="F591" s="108">
        <v>46082</v>
      </c>
    </row>
    <row r="592" spans="1:6" x14ac:dyDescent="0.25">
      <c r="A592" s="9">
        <v>411</v>
      </c>
      <c r="B592" s="40" t="s">
        <v>1122</v>
      </c>
      <c r="C592" s="9" t="s">
        <v>6</v>
      </c>
      <c r="D592" s="9" t="s">
        <v>6</v>
      </c>
      <c r="E592" s="91" t="s">
        <v>46</v>
      </c>
      <c r="F592" s="108">
        <v>46095</v>
      </c>
    </row>
    <row r="593" spans="1:6" x14ac:dyDescent="0.25">
      <c r="A593" s="9">
        <v>412</v>
      </c>
      <c r="B593" s="19" t="s">
        <v>1342</v>
      </c>
      <c r="C593" s="9" t="s">
        <v>6</v>
      </c>
      <c r="D593" s="9" t="s">
        <v>6</v>
      </c>
      <c r="E593" s="94" t="s">
        <v>46</v>
      </c>
      <c r="F593" s="108">
        <v>46095</v>
      </c>
    </row>
    <row r="594" spans="1:6" x14ac:dyDescent="0.25">
      <c r="A594" s="9">
        <v>413</v>
      </c>
      <c r="B594" s="40" t="s">
        <v>1340</v>
      </c>
      <c r="C594" s="9" t="s">
        <v>6</v>
      </c>
      <c r="D594" s="9" t="s">
        <v>6</v>
      </c>
      <c r="E594" s="91" t="s">
        <v>346</v>
      </c>
      <c r="F594" s="108">
        <v>46082</v>
      </c>
    </row>
    <row r="595" spans="1:6" x14ac:dyDescent="0.25">
      <c r="A595" s="9">
        <v>414</v>
      </c>
      <c r="B595" s="40" t="s">
        <v>881</v>
      </c>
      <c r="C595" s="9" t="s">
        <v>6</v>
      </c>
      <c r="D595" s="9" t="s">
        <v>6</v>
      </c>
      <c r="E595" s="91" t="s">
        <v>46</v>
      </c>
      <c r="F595" s="108">
        <v>46082</v>
      </c>
    </row>
    <row r="596" spans="1:6" x14ac:dyDescent="0.25">
      <c r="A596" s="9">
        <v>415</v>
      </c>
      <c r="B596" s="40" t="s">
        <v>1251</v>
      </c>
      <c r="C596" s="9" t="s">
        <v>6</v>
      </c>
      <c r="D596" s="9" t="s">
        <v>6</v>
      </c>
      <c r="E596" s="91" t="s">
        <v>46</v>
      </c>
      <c r="F596" s="108">
        <v>46082</v>
      </c>
    </row>
    <row r="597" spans="1:6" x14ac:dyDescent="0.25">
      <c r="A597" s="9">
        <v>416</v>
      </c>
      <c r="B597" s="40" t="s">
        <v>1243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ht="15.75" x14ac:dyDescent="0.25">
      <c r="A598" s="9">
        <v>417</v>
      </c>
      <c r="B598" s="40" t="s">
        <v>1488</v>
      </c>
      <c r="C598" s="9" t="s">
        <v>6</v>
      </c>
      <c r="D598" s="9" t="s">
        <v>6</v>
      </c>
      <c r="E598" s="92" t="s">
        <v>46</v>
      </c>
      <c r="F598" s="108">
        <v>46095</v>
      </c>
    </row>
    <row r="599" spans="1:6" x14ac:dyDescent="0.25">
      <c r="A599" s="9">
        <v>418</v>
      </c>
      <c r="B599" s="40" t="s">
        <v>1489</v>
      </c>
      <c r="C599" s="9" t="s">
        <v>6</v>
      </c>
      <c r="D599" s="9" t="s">
        <v>6</v>
      </c>
      <c r="E599" s="91" t="s">
        <v>46</v>
      </c>
      <c r="F599" s="108">
        <v>46090</v>
      </c>
    </row>
    <row r="600" spans="1:6" x14ac:dyDescent="0.25">
      <c r="A600" s="9">
        <v>419</v>
      </c>
      <c r="B600" s="8" t="s">
        <v>792</v>
      </c>
      <c r="C600" s="9" t="s">
        <v>6</v>
      </c>
      <c r="D600" s="9" t="s">
        <v>6</v>
      </c>
      <c r="E600" s="94" t="s">
        <v>43</v>
      </c>
      <c r="F600" s="108">
        <v>46095</v>
      </c>
    </row>
    <row r="601" spans="1:6" x14ac:dyDescent="0.25">
      <c r="A601" s="9">
        <v>420</v>
      </c>
      <c r="B601" s="8" t="s">
        <v>791</v>
      </c>
      <c r="C601" s="9" t="s">
        <v>6</v>
      </c>
      <c r="D601" s="9" t="s">
        <v>6</v>
      </c>
      <c r="E601" s="94" t="s">
        <v>43</v>
      </c>
      <c r="F601" s="108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1" t="s">
        <v>46</v>
      </c>
      <c r="F602" s="108">
        <v>46082</v>
      </c>
    </row>
    <row r="603" spans="1:6" x14ac:dyDescent="0.25">
      <c r="A603" s="9">
        <v>422</v>
      </c>
      <c r="B603" s="40" t="s">
        <v>1491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423</v>
      </c>
      <c r="B604" s="40" t="s">
        <v>1477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424</v>
      </c>
      <c r="B605" s="40" t="s">
        <v>1503</v>
      </c>
      <c r="C605" s="9" t="s">
        <v>6</v>
      </c>
      <c r="D605" s="9" t="s">
        <v>6</v>
      </c>
      <c r="E605" s="94" t="s">
        <v>46</v>
      </c>
      <c r="F605" s="108">
        <v>46082</v>
      </c>
    </row>
    <row r="606" spans="1:6" x14ac:dyDescent="0.25">
      <c r="A606" s="9">
        <v>425</v>
      </c>
      <c r="B606" s="40" t="s">
        <v>1504</v>
      </c>
      <c r="C606" s="9" t="s">
        <v>6</v>
      </c>
      <c r="D606" s="9" t="s">
        <v>6</v>
      </c>
      <c r="E606" s="94" t="s">
        <v>46</v>
      </c>
      <c r="F606" s="108">
        <v>46082</v>
      </c>
    </row>
    <row r="607" spans="1:6" x14ac:dyDescent="0.25">
      <c r="A607" s="9">
        <v>426</v>
      </c>
      <c r="B607" s="40" t="s">
        <v>1542</v>
      </c>
      <c r="C607" s="9" t="s">
        <v>6</v>
      </c>
      <c r="D607" s="9" t="s">
        <v>6</v>
      </c>
      <c r="E607" s="94" t="s">
        <v>46</v>
      </c>
      <c r="F607" s="108">
        <v>46095</v>
      </c>
    </row>
    <row r="608" spans="1:6" x14ac:dyDescent="0.25">
      <c r="A608" s="9">
        <v>427</v>
      </c>
      <c r="B608" s="40" t="s">
        <v>1543</v>
      </c>
      <c r="C608" s="9" t="s">
        <v>6</v>
      </c>
      <c r="D608" s="9" t="s">
        <v>6</v>
      </c>
      <c r="E608" s="94" t="s">
        <v>46</v>
      </c>
      <c r="F608" s="108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4" t="s">
        <v>46</v>
      </c>
      <c r="F609" s="108">
        <v>46095</v>
      </c>
    </row>
    <row r="610" spans="1:10" x14ac:dyDescent="0.25">
      <c r="A610" s="9">
        <v>429</v>
      </c>
      <c r="B610" s="40" t="s">
        <v>1548</v>
      </c>
      <c r="C610" s="9" t="s">
        <v>6</v>
      </c>
      <c r="D610" s="9" t="s">
        <v>6</v>
      </c>
      <c r="E610" s="94" t="s">
        <v>46</v>
      </c>
      <c r="F610" s="108">
        <v>46095</v>
      </c>
    </row>
    <row r="611" spans="1:10" x14ac:dyDescent="0.25">
      <c r="A611" s="9">
        <v>430</v>
      </c>
      <c r="B611" s="40" t="s">
        <v>1551</v>
      </c>
      <c r="C611" s="9" t="s">
        <v>6</v>
      </c>
      <c r="D611" s="9" t="s">
        <v>6</v>
      </c>
      <c r="E611" s="94" t="s">
        <v>46</v>
      </c>
      <c r="F611" s="108">
        <v>46095</v>
      </c>
    </row>
    <row r="612" spans="1:10" x14ac:dyDescent="0.25">
      <c r="A612" s="9">
        <v>431</v>
      </c>
      <c r="B612" s="40" t="s">
        <v>1553</v>
      </c>
      <c r="C612" s="9" t="s">
        <v>6</v>
      </c>
      <c r="D612" s="9" t="s">
        <v>6</v>
      </c>
      <c r="E612" s="94" t="s">
        <v>46</v>
      </c>
      <c r="F612" s="108">
        <v>46095</v>
      </c>
    </row>
    <row r="613" spans="1:10" x14ac:dyDescent="0.25">
      <c r="A613" s="9">
        <v>432</v>
      </c>
      <c r="B613" s="8" t="s">
        <v>1744</v>
      </c>
      <c r="C613" s="9" t="s">
        <v>6</v>
      </c>
      <c r="D613" s="9" t="s">
        <v>6</v>
      </c>
      <c r="E613" s="15" t="s">
        <v>46</v>
      </c>
      <c r="F613" s="121">
        <v>46166</v>
      </c>
    </row>
    <row r="614" spans="1:10" x14ac:dyDescent="0.25">
      <c r="A614" s="9">
        <v>433</v>
      </c>
      <c r="B614" s="8" t="s">
        <v>1746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434</v>
      </c>
      <c r="B615" s="40" t="s">
        <v>1889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x14ac:dyDescent="0.25">
      <c r="A616" s="9">
        <v>435</v>
      </c>
      <c r="B616" s="8" t="s">
        <v>1890</v>
      </c>
      <c r="C616" s="9" t="s">
        <v>6</v>
      </c>
      <c r="D616" s="9" t="s">
        <v>6</v>
      </c>
      <c r="E616" s="15" t="s">
        <v>46</v>
      </c>
      <c r="F616" s="121">
        <v>46166</v>
      </c>
    </row>
    <row r="617" spans="1:10" x14ac:dyDescent="0.25">
      <c r="A617" s="9">
        <v>436</v>
      </c>
      <c r="B617" s="8" t="s">
        <v>1220</v>
      </c>
      <c r="C617" s="9" t="s">
        <v>6</v>
      </c>
      <c r="D617" s="9" t="s">
        <v>6</v>
      </c>
      <c r="E617" s="14" t="s">
        <v>46</v>
      </c>
      <c r="F617" s="121">
        <v>46166</v>
      </c>
    </row>
    <row r="618" spans="1:10" x14ac:dyDescent="0.25">
      <c r="A618" s="9">
        <v>437</v>
      </c>
      <c r="B618" s="40" t="s">
        <v>1723</v>
      </c>
      <c r="C618" s="9" t="s">
        <v>6</v>
      </c>
      <c r="D618" s="9" t="s">
        <v>6</v>
      </c>
      <c r="E618" s="14" t="s">
        <v>46</v>
      </c>
      <c r="F618" s="121">
        <v>46166</v>
      </c>
    </row>
    <row r="619" spans="1:10" x14ac:dyDescent="0.25">
      <c r="A619" s="9">
        <v>438</v>
      </c>
      <c r="B619" s="40" t="s">
        <v>1730</v>
      </c>
      <c r="C619" s="9" t="s">
        <v>6</v>
      </c>
      <c r="D619" s="9" t="s">
        <v>6</v>
      </c>
      <c r="E619" s="14" t="s">
        <v>46</v>
      </c>
      <c r="F619" s="121">
        <v>46166</v>
      </c>
    </row>
    <row r="620" spans="1:10" x14ac:dyDescent="0.25">
      <c r="A620" s="9">
        <v>439</v>
      </c>
      <c r="B620" s="40" t="s">
        <v>1631</v>
      </c>
      <c r="C620" s="9" t="s">
        <v>6</v>
      </c>
      <c r="D620" s="9" t="s">
        <v>6</v>
      </c>
      <c r="E620" s="14" t="s">
        <v>46</v>
      </c>
      <c r="F620" s="121">
        <v>46166</v>
      </c>
    </row>
    <row r="621" spans="1:10" x14ac:dyDescent="0.25">
      <c r="A621" s="9">
        <v>440</v>
      </c>
      <c r="B621" s="40" t="s">
        <v>1618</v>
      </c>
      <c r="C621" s="9" t="s">
        <v>6</v>
      </c>
      <c r="D621" s="9" t="s">
        <v>6</v>
      </c>
      <c r="E621" s="14" t="s">
        <v>46</v>
      </c>
      <c r="F621" s="121">
        <v>46166</v>
      </c>
    </row>
    <row r="622" spans="1:10" x14ac:dyDescent="0.25">
      <c r="A622" s="9">
        <v>441</v>
      </c>
      <c r="B622" s="40" t="s">
        <v>1745</v>
      </c>
      <c r="C622" s="9" t="s">
        <v>6</v>
      </c>
      <c r="D622" s="9" t="s">
        <v>6</v>
      </c>
      <c r="E622" s="22" t="s">
        <v>46</v>
      </c>
      <c r="F622" s="121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2">
        <v>46173</v>
      </c>
      <c r="I623" s="119"/>
      <c r="J623" s="119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445</v>
      </c>
      <c r="B626" s="8" t="s">
        <v>1765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446</v>
      </c>
      <c r="B627" s="8" t="s">
        <v>1695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2">
        <v>46173</v>
      </c>
      <c r="I628" s="119"/>
      <c r="J628" s="119"/>
    </row>
    <row r="629" spans="1:10" ht="15" customHeight="1" x14ac:dyDescent="0.25">
      <c r="A629" s="9">
        <v>448</v>
      </c>
      <c r="B629" s="55" t="s">
        <v>1763</v>
      </c>
      <c r="C629" s="9" t="s">
        <v>6</v>
      </c>
      <c r="D629" s="9" t="s">
        <v>6</v>
      </c>
      <c r="E629" s="22" t="s">
        <v>46</v>
      </c>
      <c r="F629" s="122">
        <v>46173</v>
      </c>
      <c r="I629" s="119"/>
      <c r="J629" s="119"/>
    </row>
    <row r="630" spans="1:10" ht="15" customHeight="1" x14ac:dyDescent="0.25">
      <c r="A630" s="9">
        <v>449</v>
      </c>
      <c r="B630" s="55" t="s">
        <v>830</v>
      </c>
      <c r="C630" s="9" t="s">
        <v>6</v>
      </c>
      <c r="D630" s="9" t="s">
        <v>6</v>
      </c>
      <c r="E630" s="22" t="s">
        <v>46</v>
      </c>
      <c r="F630" s="122">
        <v>46173</v>
      </c>
      <c r="I630" s="119"/>
      <c r="J630" s="119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2">
        <v>46173</v>
      </c>
      <c r="I631" s="119"/>
      <c r="J631" s="119"/>
    </row>
    <row r="632" spans="1:10" ht="15" customHeight="1" x14ac:dyDescent="0.25">
      <c r="A632" s="9">
        <v>451</v>
      </c>
      <c r="B632" s="40" t="s">
        <v>1393</v>
      </c>
      <c r="C632" s="9" t="s">
        <v>6</v>
      </c>
      <c r="D632" s="9" t="s">
        <v>6</v>
      </c>
      <c r="E632" s="22" t="s">
        <v>153</v>
      </c>
      <c r="F632" s="122">
        <v>46173</v>
      </c>
      <c r="I632" s="119"/>
      <c r="J632" s="119"/>
    </row>
    <row r="633" spans="1:10" ht="15" customHeight="1" x14ac:dyDescent="0.25">
      <c r="A633" s="9">
        <v>452</v>
      </c>
      <c r="B633" s="40" t="s">
        <v>1668</v>
      </c>
      <c r="C633" s="9" t="s">
        <v>6</v>
      </c>
      <c r="D633" s="9" t="s">
        <v>6</v>
      </c>
      <c r="E633" s="14" t="s">
        <v>46</v>
      </c>
      <c r="F633" s="122">
        <v>46173</v>
      </c>
      <c r="I633" s="119"/>
      <c r="J633" s="119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2">
        <v>46173</v>
      </c>
      <c r="I634" s="119"/>
      <c r="J634" s="119"/>
    </row>
    <row r="635" spans="1:10" ht="15" customHeight="1" x14ac:dyDescent="0.25">
      <c r="A635" s="9">
        <v>454</v>
      </c>
      <c r="B635" s="40" t="s">
        <v>1703</v>
      </c>
      <c r="C635" s="9" t="s">
        <v>6</v>
      </c>
      <c r="D635" s="9" t="s">
        <v>6</v>
      </c>
      <c r="E635" s="14" t="s">
        <v>46</v>
      </c>
      <c r="F635" s="122">
        <v>46173</v>
      </c>
      <c r="I635" s="119"/>
      <c r="J635" s="119"/>
    </row>
    <row r="636" spans="1:10" ht="15" customHeight="1" x14ac:dyDescent="0.25">
      <c r="A636" s="9">
        <v>455</v>
      </c>
      <c r="B636" s="40" t="s">
        <v>1727</v>
      </c>
      <c r="C636" s="9" t="s">
        <v>6</v>
      </c>
      <c r="D636" s="9" t="s">
        <v>6</v>
      </c>
      <c r="E636" s="14" t="s">
        <v>46</v>
      </c>
      <c r="F636" s="122">
        <v>46173</v>
      </c>
      <c r="I636" s="119"/>
      <c r="J636" s="119"/>
    </row>
    <row r="637" spans="1:10" ht="15" customHeight="1" x14ac:dyDescent="0.25">
      <c r="A637" s="9">
        <v>456</v>
      </c>
      <c r="B637" s="40" t="s">
        <v>1762</v>
      </c>
      <c r="C637" s="9" t="s">
        <v>6</v>
      </c>
      <c r="D637" s="9" t="s">
        <v>6</v>
      </c>
      <c r="E637" s="14" t="s">
        <v>46</v>
      </c>
      <c r="F637" s="122">
        <v>46173</v>
      </c>
      <c r="I637" s="119"/>
      <c r="J637" s="119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4" t="s">
        <v>46</v>
      </c>
      <c r="F638" s="108">
        <v>46110</v>
      </c>
    </row>
    <row r="639" spans="1:10" x14ac:dyDescent="0.25">
      <c r="A639" s="9">
        <v>458</v>
      </c>
      <c r="B639" s="40" t="s">
        <v>1549</v>
      </c>
      <c r="C639" s="9" t="s">
        <v>6</v>
      </c>
      <c r="D639" s="9" t="s">
        <v>6</v>
      </c>
      <c r="E639" s="91" t="s">
        <v>46</v>
      </c>
      <c r="F639" s="108">
        <v>46104</v>
      </c>
    </row>
    <row r="640" spans="1:10" x14ac:dyDescent="0.25">
      <c r="A640" s="9">
        <v>459</v>
      </c>
      <c r="B640" s="40" t="s">
        <v>1609</v>
      </c>
      <c r="C640" s="9" t="s">
        <v>6</v>
      </c>
      <c r="D640" s="9" t="s">
        <v>6</v>
      </c>
      <c r="E640" s="91" t="s">
        <v>46</v>
      </c>
      <c r="F640" s="108">
        <v>46104</v>
      </c>
    </row>
    <row r="641" spans="1:6" x14ac:dyDescent="0.25">
      <c r="A641" s="9">
        <v>460</v>
      </c>
      <c r="B641" s="40" t="s">
        <v>1358</v>
      </c>
      <c r="C641" s="9" t="s">
        <v>6</v>
      </c>
      <c r="D641" s="9" t="s">
        <v>6</v>
      </c>
      <c r="E641" s="91" t="s">
        <v>46</v>
      </c>
      <c r="F641" s="108">
        <v>46110</v>
      </c>
    </row>
    <row r="642" spans="1:6" x14ac:dyDescent="0.25">
      <c r="A642" s="9">
        <v>461</v>
      </c>
      <c r="B642" s="40" t="s">
        <v>1381</v>
      </c>
      <c r="C642" s="9" t="s">
        <v>6</v>
      </c>
      <c r="D642" s="9" t="s">
        <v>6</v>
      </c>
      <c r="E642" s="91" t="s">
        <v>153</v>
      </c>
      <c r="F642" s="108">
        <v>46110</v>
      </c>
    </row>
    <row r="643" spans="1:6" x14ac:dyDescent="0.25">
      <c r="A643" s="9">
        <v>462</v>
      </c>
      <c r="B643" s="40" t="s">
        <v>1550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463</v>
      </c>
      <c r="B644" s="40" t="s">
        <v>1479</v>
      </c>
      <c r="C644" s="9" t="s">
        <v>6</v>
      </c>
      <c r="D644" s="9" t="s">
        <v>6</v>
      </c>
      <c r="E644" s="94" t="s">
        <v>46</v>
      </c>
      <c r="F644" s="108">
        <v>46104</v>
      </c>
    </row>
    <row r="645" spans="1:6" x14ac:dyDescent="0.25">
      <c r="A645" s="9">
        <v>464</v>
      </c>
      <c r="B645" s="40" t="s">
        <v>1622</v>
      </c>
      <c r="C645" s="9" t="s">
        <v>6</v>
      </c>
      <c r="D645" s="9" t="s">
        <v>6</v>
      </c>
      <c r="E645" s="94" t="s">
        <v>46</v>
      </c>
      <c r="F645" s="108">
        <v>46110</v>
      </c>
    </row>
    <row r="646" spans="1:6" x14ac:dyDescent="0.25">
      <c r="A646" s="9">
        <v>465</v>
      </c>
      <c r="B646" s="40" t="s">
        <v>1596</v>
      </c>
      <c r="C646" s="9" t="s">
        <v>6</v>
      </c>
      <c r="D646" s="9" t="s">
        <v>6</v>
      </c>
      <c r="E646" s="94" t="s">
        <v>46</v>
      </c>
      <c r="F646" s="108">
        <v>46110</v>
      </c>
    </row>
    <row r="647" spans="1:6" x14ac:dyDescent="0.25">
      <c r="A647" s="9">
        <v>466</v>
      </c>
      <c r="B647" s="40" t="s">
        <v>1595</v>
      </c>
      <c r="C647" s="9" t="s">
        <v>6</v>
      </c>
      <c r="D647" s="9" t="s">
        <v>6</v>
      </c>
      <c r="E647" s="94" t="s">
        <v>46</v>
      </c>
      <c r="F647" s="108">
        <v>46104</v>
      </c>
    </row>
    <row r="648" spans="1:6" x14ac:dyDescent="0.25">
      <c r="A648" s="9">
        <v>467</v>
      </c>
      <c r="B648" s="40" t="s">
        <v>1607</v>
      </c>
      <c r="C648" s="9" t="s">
        <v>6</v>
      </c>
      <c r="D648" s="9" t="s">
        <v>6</v>
      </c>
      <c r="E648" s="94" t="s">
        <v>46</v>
      </c>
      <c r="F648" s="108">
        <v>46104</v>
      </c>
    </row>
    <row r="649" spans="1:6" x14ac:dyDescent="0.25">
      <c r="A649" s="9">
        <v>468</v>
      </c>
      <c r="B649" s="40" t="s">
        <v>1608</v>
      </c>
      <c r="C649" s="9" t="s">
        <v>6</v>
      </c>
      <c r="D649" s="9" t="s">
        <v>6</v>
      </c>
      <c r="E649" s="94" t="s">
        <v>46</v>
      </c>
      <c r="F649" s="108">
        <v>46104</v>
      </c>
    </row>
    <row r="650" spans="1:6" x14ac:dyDescent="0.25">
      <c r="A650" s="9">
        <v>469</v>
      </c>
      <c r="B650" s="40" t="s">
        <v>1621</v>
      </c>
      <c r="C650" s="9" t="s">
        <v>6</v>
      </c>
      <c r="D650" s="9" t="s">
        <v>6</v>
      </c>
      <c r="E650" s="94" t="s">
        <v>46</v>
      </c>
      <c r="F650" s="108">
        <v>46110</v>
      </c>
    </row>
    <row r="651" spans="1:6" x14ac:dyDescent="0.25">
      <c r="A651" s="9">
        <v>470</v>
      </c>
      <c r="B651" s="40" t="s">
        <v>1630</v>
      </c>
      <c r="C651" s="9" t="s">
        <v>6</v>
      </c>
      <c r="D651" s="9" t="s">
        <v>6</v>
      </c>
      <c r="E651" s="94" t="s">
        <v>46</v>
      </c>
      <c r="F651" s="108">
        <v>46110</v>
      </c>
    </row>
    <row r="652" spans="1:6" x14ac:dyDescent="0.25">
      <c r="A652" s="9">
        <v>471</v>
      </c>
      <c r="B652" s="40" t="s">
        <v>1632</v>
      </c>
      <c r="C652" s="9" t="s">
        <v>6</v>
      </c>
      <c r="D652" s="9" t="s">
        <v>6</v>
      </c>
      <c r="E652" s="94" t="s">
        <v>46</v>
      </c>
      <c r="F652" s="108">
        <v>46110</v>
      </c>
    </row>
    <row r="653" spans="1:6" x14ac:dyDescent="0.25">
      <c r="A653" s="9">
        <v>472</v>
      </c>
      <c r="B653" s="40" t="s">
        <v>1633</v>
      </c>
      <c r="C653" s="9" t="s">
        <v>6</v>
      </c>
      <c r="D653" s="9" t="s">
        <v>6</v>
      </c>
      <c r="E653" s="94" t="s">
        <v>46</v>
      </c>
      <c r="F653" s="108">
        <v>46110</v>
      </c>
    </row>
    <row r="654" spans="1:6" ht="14.25" customHeight="1" x14ac:dyDescent="0.25">
      <c r="A654" s="9">
        <v>473</v>
      </c>
      <c r="B654" s="8" t="s">
        <v>1665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1" t="s">
        <v>46</v>
      </c>
      <c r="F655" s="108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4" t="s">
        <v>346</v>
      </c>
      <c r="F656" s="108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1" t="s">
        <v>46</v>
      </c>
      <c r="F657" s="108">
        <v>46115</v>
      </c>
    </row>
    <row r="658" spans="1:6" x14ac:dyDescent="0.25">
      <c r="A658" s="9">
        <v>477</v>
      </c>
      <c r="B658" s="40" t="s">
        <v>1277</v>
      </c>
      <c r="C658" s="9" t="s">
        <v>6</v>
      </c>
      <c r="D658" s="9" t="s">
        <v>6</v>
      </c>
      <c r="E658" s="91" t="s">
        <v>46</v>
      </c>
      <c r="F658" s="108">
        <v>46131</v>
      </c>
    </row>
    <row r="659" spans="1:6" x14ac:dyDescent="0.25">
      <c r="A659" s="9">
        <v>478</v>
      </c>
      <c r="B659" s="40" t="s">
        <v>1676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479</v>
      </c>
      <c r="B660" s="40" t="s">
        <v>1675</v>
      </c>
      <c r="C660" s="9" t="s">
        <v>6</v>
      </c>
      <c r="D660" s="9" t="s">
        <v>6</v>
      </c>
      <c r="E660" s="94"/>
      <c r="F660" s="108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4" t="s">
        <v>46</v>
      </c>
      <c r="F661" s="108">
        <v>46115</v>
      </c>
    </row>
    <row r="662" spans="1:6" x14ac:dyDescent="0.25">
      <c r="A662" s="9">
        <v>481</v>
      </c>
      <c r="B662" s="40" t="s">
        <v>1644</v>
      </c>
      <c r="C662" s="9" t="s">
        <v>6</v>
      </c>
      <c r="D662" s="9" t="s">
        <v>6</v>
      </c>
      <c r="E662" s="94" t="s">
        <v>46</v>
      </c>
      <c r="F662" s="108">
        <v>46131</v>
      </c>
    </row>
    <row r="663" spans="1:6" x14ac:dyDescent="0.25">
      <c r="A663" s="9">
        <v>482</v>
      </c>
      <c r="B663" s="40" t="s">
        <v>1613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483</v>
      </c>
      <c r="B664" s="40" t="s">
        <v>1619</v>
      </c>
      <c r="C664" s="9" t="s">
        <v>6</v>
      </c>
      <c r="D664" s="9" t="s">
        <v>6</v>
      </c>
      <c r="E664" s="94" t="s">
        <v>46</v>
      </c>
      <c r="F664" s="108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4" t="s">
        <v>46</v>
      </c>
      <c r="F665" s="108">
        <v>46131</v>
      </c>
    </row>
    <row r="666" spans="1:6" x14ac:dyDescent="0.25">
      <c r="A666" s="9">
        <v>485</v>
      </c>
      <c r="B666" s="40" t="s">
        <v>1623</v>
      </c>
      <c r="C666" s="9" t="s">
        <v>6</v>
      </c>
      <c r="D666" s="9" t="s">
        <v>6</v>
      </c>
      <c r="E666" s="94" t="s">
        <v>46</v>
      </c>
      <c r="F666" s="108">
        <v>46131</v>
      </c>
    </row>
    <row r="667" spans="1:6" x14ac:dyDescent="0.25">
      <c r="A667" s="9">
        <v>486</v>
      </c>
      <c r="B667" s="40" t="s">
        <v>1645</v>
      </c>
      <c r="C667" s="9" t="s">
        <v>6</v>
      </c>
      <c r="D667" s="9" t="s">
        <v>6</v>
      </c>
      <c r="E667" s="94" t="s">
        <v>46</v>
      </c>
      <c r="F667" s="108">
        <v>46159</v>
      </c>
    </row>
    <row r="668" spans="1:6" x14ac:dyDescent="0.25">
      <c r="A668" s="9">
        <v>487</v>
      </c>
      <c r="B668" s="40" t="s">
        <v>1657</v>
      </c>
      <c r="C668" s="9" t="s">
        <v>6</v>
      </c>
      <c r="D668" s="9" t="s">
        <v>6</v>
      </c>
      <c r="E668" s="94" t="s">
        <v>46</v>
      </c>
      <c r="F668" s="108">
        <v>46131</v>
      </c>
    </row>
    <row r="669" spans="1:6" x14ac:dyDescent="0.25">
      <c r="A669" s="9">
        <v>488</v>
      </c>
      <c r="B669" s="40" t="s">
        <v>1658</v>
      </c>
      <c r="C669" s="9" t="s">
        <v>6</v>
      </c>
      <c r="D669" s="9" t="s">
        <v>6</v>
      </c>
      <c r="E669" s="94" t="s">
        <v>46</v>
      </c>
      <c r="F669" s="108">
        <v>46131</v>
      </c>
    </row>
    <row r="670" spans="1:6" x14ac:dyDescent="0.25">
      <c r="A670" s="9">
        <v>489</v>
      </c>
      <c r="B670" s="40" t="s">
        <v>1666</v>
      </c>
      <c r="C670" s="9" t="s">
        <v>6</v>
      </c>
      <c r="D670" s="9" t="s">
        <v>6</v>
      </c>
      <c r="E670" s="94" t="s">
        <v>46</v>
      </c>
      <c r="F670" s="108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4" t="s">
        <v>46</v>
      </c>
      <c r="F671" s="108">
        <v>46115</v>
      </c>
    </row>
    <row r="672" spans="1:6" x14ac:dyDescent="0.25">
      <c r="A672" s="9">
        <v>491</v>
      </c>
      <c r="B672" s="40" t="s">
        <v>1734</v>
      </c>
      <c r="C672" s="9" t="s">
        <v>6</v>
      </c>
      <c r="D672" s="9" t="s">
        <v>6</v>
      </c>
      <c r="E672" s="94" t="s">
        <v>46</v>
      </c>
      <c r="F672" s="108">
        <v>46131</v>
      </c>
    </row>
    <row r="673" spans="1:6" x14ac:dyDescent="0.25">
      <c r="A673" s="9">
        <v>492</v>
      </c>
      <c r="B673" s="40" t="s">
        <v>1665</v>
      </c>
      <c r="C673" s="9" t="s">
        <v>6</v>
      </c>
      <c r="D673" s="9" t="s">
        <v>6</v>
      </c>
      <c r="E673" s="94" t="s">
        <v>46</v>
      </c>
      <c r="F673" s="108">
        <v>46115</v>
      </c>
    </row>
    <row r="674" spans="1:6" x14ac:dyDescent="0.25">
      <c r="A674" s="9">
        <v>493</v>
      </c>
      <c r="B674" s="40" t="s">
        <v>1698</v>
      </c>
      <c r="C674" s="9" t="s">
        <v>6</v>
      </c>
      <c r="D674" s="9" t="s">
        <v>6</v>
      </c>
      <c r="E674" s="94" t="s">
        <v>46</v>
      </c>
      <c r="F674" s="108">
        <v>46115</v>
      </c>
    </row>
    <row r="675" spans="1:6" x14ac:dyDescent="0.25">
      <c r="A675" s="9">
        <v>494</v>
      </c>
      <c r="B675" s="40" t="s">
        <v>1699</v>
      </c>
      <c r="C675" s="9" t="s">
        <v>6</v>
      </c>
      <c r="D675" s="9" t="s">
        <v>6</v>
      </c>
      <c r="E675" s="94" t="s">
        <v>46</v>
      </c>
      <c r="F675" s="108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4" t="s">
        <v>46</v>
      </c>
      <c r="F676" s="108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t="shared" ref="F677:F689" ca="1" si="2">IF(AND(C677="NO",D677="NO"),IF(F677="",TODAY(),F677),"")</f>
        <v>46177</v>
      </c>
    </row>
    <row r="678" spans="1:6" x14ac:dyDescent="0.25">
      <c r="A678" s="9">
        <v>497</v>
      </c>
      <c r="B678" s="19" t="s">
        <v>797</v>
      </c>
      <c r="C678" s="9" t="s">
        <v>6</v>
      </c>
      <c r="D678" s="9" t="s">
        <v>6</v>
      </c>
      <c r="E678" s="97" t="s">
        <v>46</v>
      </c>
      <c r="F678" s="38">
        <f t="shared" ca="1" si="2"/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t="shared" ca="1" si="2"/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t="shared" ca="1" si="2"/>
        <v>46177</v>
      </c>
    </row>
    <row r="681" spans="1:6" x14ac:dyDescent="0.25">
      <c r="A681" s="9">
        <v>500</v>
      </c>
      <c r="B681" s="40" t="s">
        <v>1027</v>
      </c>
      <c r="C681" s="9" t="s">
        <v>6</v>
      </c>
      <c r="D681" s="9" t="s">
        <v>6</v>
      </c>
      <c r="E681" s="22" t="s">
        <v>46</v>
      </c>
      <c r="F681" s="38">
        <f t="shared" ca="1" si="2"/>
        <v>46177</v>
      </c>
    </row>
    <row r="682" spans="1:6" x14ac:dyDescent="0.25">
      <c r="A682" s="9">
        <v>501</v>
      </c>
      <c r="B682" s="40" t="s">
        <v>1418</v>
      </c>
      <c r="C682" s="9" t="s">
        <v>6</v>
      </c>
      <c r="D682" s="9" t="s">
        <v>6</v>
      </c>
      <c r="E682" s="14" t="s">
        <v>46</v>
      </c>
      <c r="F682" s="38">
        <f t="shared" ca="1" si="2"/>
        <v>46177</v>
      </c>
    </row>
    <row r="683" spans="1:6" x14ac:dyDescent="0.25">
      <c r="A683" s="9">
        <v>502</v>
      </c>
      <c r="B683" s="40" t="s">
        <v>1436</v>
      </c>
      <c r="C683" s="9" t="s">
        <v>6</v>
      </c>
      <c r="D683" s="9" t="s">
        <v>6</v>
      </c>
      <c r="E683" s="14" t="s">
        <v>46</v>
      </c>
      <c r="F683" s="38">
        <f t="shared" ca="1" si="2"/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t="shared" ca="1" si="2"/>
        <v>46177</v>
      </c>
    </row>
    <row r="685" spans="1:6" x14ac:dyDescent="0.25">
      <c r="A685" s="9">
        <v>504</v>
      </c>
      <c r="B685" s="8" t="s">
        <v>1766</v>
      </c>
      <c r="C685" s="9" t="s">
        <v>6</v>
      </c>
      <c r="D685" s="9" t="s">
        <v>6</v>
      </c>
      <c r="E685" s="14" t="s">
        <v>46</v>
      </c>
      <c r="F685" s="38">
        <f t="shared" ca="1" si="2"/>
        <v>46177</v>
      </c>
    </row>
    <row r="686" spans="1:6" x14ac:dyDescent="0.25">
      <c r="A686" s="9">
        <v>505</v>
      </c>
      <c r="B686" s="40" t="s">
        <v>1865</v>
      </c>
      <c r="C686" s="9" t="s">
        <v>6</v>
      </c>
      <c r="D686" s="9" t="s">
        <v>6</v>
      </c>
      <c r="E686" s="14" t="s">
        <v>46</v>
      </c>
      <c r="F686" s="38">
        <f t="shared" ca="1" si="2"/>
        <v>46177</v>
      </c>
    </row>
    <row r="687" spans="1:6" x14ac:dyDescent="0.25">
      <c r="A687" s="9">
        <v>506</v>
      </c>
      <c r="B687" s="40" t="s">
        <v>1867</v>
      </c>
      <c r="C687" s="9" t="s">
        <v>6</v>
      </c>
      <c r="D687" s="9" t="s">
        <v>6</v>
      </c>
      <c r="E687" s="14" t="s">
        <v>46</v>
      </c>
      <c r="F687" s="38">
        <f t="shared" ca="1" si="2"/>
        <v>46177</v>
      </c>
    </row>
    <row r="688" spans="1:6" x14ac:dyDescent="0.25">
      <c r="A688" s="9">
        <v>507</v>
      </c>
      <c r="B688" s="8" t="s">
        <v>693</v>
      </c>
      <c r="C688" s="9" t="s">
        <v>6</v>
      </c>
      <c r="D688" s="9" t="s">
        <v>6</v>
      </c>
      <c r="E688" s="14" t="s">
        <v>46</v>
      </c>
      <c r="F688" s="38">
        <f t="shared" ca="1" si="2"/>
        <v>46188</v>
      </c>
    </row>
    <row r="689" spans="1:6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t="shared" ca="1" si="2"/>
        <v>46188</v>
      </c>
    </row>
    <row r="690" spans="1:6" x14ac:dyDescent="0.25">
      <c r="A690" s="9">
        <v>509</v>
      </c>
      <c r="B690" s="8" t="s">
        <v>1839</v>
      </c>
      <c r="C690" s="9" t="s">
        <v>6</v>
      </c>
      <c r="D690" s="9" t="s">
        <v>6</v>
      </c>
      <c r="E690" s="14" t="s">
        <v>153</v>
      </c>
      <c r="F690" s="38">
        <f t="shared" ref="F690:F695" ca="1" si="3">IF(AND(C690="NO",D690="NO"),IF(F690="",TODAY(),F690),"")</f>
        <v>46195</v>
      </c>
    </row>
    <row r="691" spans="1:6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3"/>
        <v>46195</v>
      </c>
    </row>
    <row r="692" spans="1:6" x14ac:dyDescent="0.25">
      <c r="A692" s="9">
        <v>511</v>
      </c>
      <c r="B692" s="40" t="s">
        <v>1233</v>
      </c>
      <c r="C692" s="9" t="s">
        <v>6</v>
      </c>
      <c r="D692" s="9" t="s">
        <v>6</v>
      </c>
      <c r="E692" s="14" t="s">
        <v>46</v>
      </c>
      <c r="F692" s="38">
        <f t="shared" ca="1" si="3"/>
        <v>46195</v>
      </c>
    </row>
    <row r="693" spans="1:6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3"/>
        <v>46195</v>
      </c>
    </row>
    <row r="694" spans="1:6" x14ac:dyDescent="0.25">
      <c r="A694" s="9">
        <v>513</v>
      </c>
      <c r="B694" s="40" t="s">
        <v>1188</v>
      </c>
      <c r="C694" s="9" t="s">
        <v>6</v>
      </c>
      <c r="D694" s="9" t="s">
        <v>6</v>
      </c>
      <c r="E694" s="14" t="s">
        <v>153</v>
      </c>
      <c r="F694" s="38">
        <f t="shared" ca="1" si="3"/>
        <v>46195</v>
      </c>
    </row>
    <row r="695" spans="1:6" x14ac:dyDescent="0.25">
      <c r="A695" s="9">
        <v>514</v>
      </c>
      <c r="B695" s="40" t="s">
        <v>1700</v>
      </c>
      <c r="C695" s="9" t="s">
        <v>6</v>
      </c>
      <c r="D695" s="9" t="s">
        <v>6</v>
      </c>
      <c r="E695" s="14" t="s">
        <v>46</v>
      </c>
      <c r="F695" s="38">
        <f t="shared" ca="1" si="3"/>
        <v>46195</v>
      </c>
    </row>
    <row r="697" spans="1:6" x14ac:dyDescent="0.25">
      <c r="A697" s="106" t="s">
        <v>1369</v>
      </c>
    </row>
    <row r="698" spans="1:6" x14ac:dyDescent="0.25">
      <c r="A698" s="9">
        <v>1</v>
      </c>
      <c r="B698" s="19" t="s">
        <v>1696</v>
      </c>
      <c r="C698" s="21" t="s">
        <v>6</v>
      </c>
      <c r="D698" s="21" t="s">
        <v>6</v>
      </c>
      <c r="E698" s="94" t="s">
        <v>46</v>
      </c>
      <c r="F698" s="108">
        <v>46145</v>
      </c>
    </row>
    <row r="699" spans="1:6" x14ac:dyDescent="0.25">
      <c r="A699" s="9">
        <v>2</v>
      </c>
      <c r="B699" s="19" t="s">
        <v>1205</v>
      </c>
      <c r="C699" s="21" t="s">
        <v>6</v>
      </c>
      <c r="D699" s="21" t="s">
        <v>6</v>
      </c>
      <c r="E699" s="97" t="s">
        <v>46</v>
      </c>
      <c r="F699" s="109">
        <v>46152</v>
      </c>
    </row>
    <row r="700" spans="1:6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3" t="s">
        <v>44</v>
      </c>
      <c r="F700" s="109">
        <v>46152</v>
      </c>
    </row>
    <row r="701" spans="1:6" x14ac:dyDescent="0.25">
      <c r="A701" s="9">
        <v>4</v>
      </c>
      <c r="B701" s="19" t="s">
        <v>884</v>
      </c>
      <c r="C701" s="21" t="s">
        <v>6</v>
      </c>
      <c r="D701" s="21" t="s">
        <v>6</v>
      </c>
      <c r="E701" s="16" t="s">
        <v>46</v>
      </c>
      <c r="F701" s="122">
        <v>46166</v>
      </c>
    </row>
    <row r="702" spans="1:6" x14ac:dyDescent="0.25">
      <c r="A702" s="9">
        <v>5</v>
      </c>
      <c r="B702" s="19" t="s">
        <v>1740</v>
      </c>
      <c r="C702" s="21" t="s">
        <v>6</v>
      </c>
      <c r="D702" s="21" t="s">
        <v>6</v>
      </c>
      <c r="E702" s="14" t="s">
        <v>46</v>
      </c>
      <c r="F702" s="122">
        <v>46166</v>
      </c>
    </row>
    <row r="703" spans="1:6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23">
        <v>46173</v>
      </c>
    </row>
    <row r="704" spans="1:6" x14ac:dyDescent="0.25">
      <c r="A704" s="9">
        <v>7</v>
      </c>
      <c r="B704" s="8" t="s">
        <v>1767</v>
      </c>
      <c r="C704" s="21" t="s">
        <v>6</v>
      </c>
      <c r="D704" s="21" t="s">
        <v>6</v>
      </c>
      <c r="E704" s="15" t="s">
        <v>46</v>
      </c>
      <c r="F704" s="123">
        <v>46173</v>
      </c>
    </row>
    <row r="705" spans="1:6" x14ac:dyDescent="0.25">
      <c r="A705" s="9">
        <v>8</v>
      </c>
      <c r="B705" s="8" t="s">
        <v>1517</v>
      </c>
      <c r="C705" s="21" t="s">
        <v>6</v>
      </c>
      <c r="D705" s="21" t="s">
        <v>6</v>
      </c>
      <c r="E705" s="15" t="s">
        <v>46</v>
      </c>
      <c r="F705" s="123">
        <v>46173</v>
      </c>
    </row>
    <row r="706" spans="1:6" x14ac:dyDescent="0.25">
      <c r="A706" s="9">
        <v>9</v>
      </c>
      <c r="B706" s="8" t="s">
        <v>1759</v>
      </c>
      <c r="C706" s="21" t="s">
        <v>6</v>
      </c>
      <c r="D706" s="21" t="s">
        <v>6</v>
      </c>
      <c r="E706" s="14" t="s">
        <v>46</v>
      </c>
      <c r="F706" s="123">
        <v>46173</v>
      </c>
    </row>
    <row r="707" spans="1:6" x14ac:dyDescent="0.25">
      <c r="A707" s="9">
        <v>10</v>
      </c>
      <c r="B707" s="19" t="s">
        <v>1598</v>
      </c>
      <c r="C707" s="21" t="s">
        <v>6</v>
      </c>
      <c r="D707" s="21" t="s">
        <v>6</v>
      </c>
      <c r="E707" s="97" t="s">
        <v>46</v>
      </c>
      <c r="F707" s="109">
        <v>46152</v>
      </c>
    </row>
    <row r="708" spans="1:6" x14ac:dyDescent="0.25">
      <c r="A708" s="9">
        <v>11</v>
      </c>
      <c r="B708" s="40" t="s">
        <v>1718</v>
      </c>
      <c r="C708" s="21" t="s">
        <v>6</v>
      </c>
      <c r="D708" s="21" t="s">
        <v>6</v>
      </c>
      <c r="E708" s="91" t="s">
        <v>46</v>
      </c>
      <c r="F708" s="108">
        <v>46159</v>
      </c>
    </row>
    <row r="709" spans="1:6" x14ac:dyDescent="0.25">
      <c r="A709" s="9">
        <v>12</v>
      </c>
      <c r="B709" s="8" t="s">
        <v>1736</v>
      </c>
      <c r="C709" s="21" t="s">
        <v>6</v>
      </c>
      <c r="D709" s="21" t="s">
        <v>6</v>
      </c>
      <c r="E709" s="94" t="s">
        <v>46</v>
      </c>
      <c r="F709" s="108">
        <v>46159</v>
      </c>
    </row>
    <row r="710" spans="1:6" x14ac:dyDescent="0.25">
      <c r="A710" s="9">
        <v>13</v>
      </c>
      <c r="B710" s="8" t="s">
        <v>1737</v>
      </c>
      <c r="C710" s="21" t="s">
        <v>6</v>
      </c>
      <c r="D710" s="21" t="s">
        <v>6</v>
      </c>
      <c r="E710" s="94" t="s">
        <v>46</v>
      </c>
      <c r="F710" s="108">
        <v>46159</v>
      </c>
    </row>
    <row r="711" spans="1:6" x14ac:dyDescent="0.25">
      <c r="A711" s="9">
        <v>14</v>
      </c>
      <c r="B711" s="8" t="s">
        <v>1738</v>
      </c>
      <c r="C711" s="21" t="s">
        <v>6</v>
      </c>
      <c r="D711" s="21" t="s">
        <v>6</v>
      </c>
      <c r="E711" s="94" t="s">
        <v>46</v>
      </c>
      <c r="F711" s="108">
        <v>46159</v>
      </c>
    </row>
    <row r="712" spans="1:6" x14ac:dyDescent="0.25">
      <c r="A712" s="9">
        <v>15</v>
      </c>
      <c r="B712" s="8" t="s">
        <v>1739</v>
      </c>
      <c r="C712" s="21" t="s">
        <v>6</v>
      </c>
      <c r="D712" s="21" t="s">
        <v>6</v>
      </c>
      <c r="E712" s="94" t="s">
        <v>46</v>
      </c>
      <c r="F712" s="108">
        <v>46159</v>
      </c>
    </row>
    <row r="713" spans="1:6" x14ac:dyDescent="0.25">
      <c r="A713" s="9">
        <v>16</v>
      </c>
      <c r="B713" s="8" t="s">
        <v>1707</v>
      </c>
      <c r="C713" s="21" t="s">
        <v>6</v>
      </c>
      <c r="D713" s="21" t="s">
        <v>6</v>
      </c>
      <c r="E713" s="94"/>
      <c r="F713" s="109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4" t="s">
        <v>41</v>
      </c>
      <c r="F714" s="108">
        <v>46159</v>
      </c>
    </row>
    <row r="715" spans="1:6" x14ac:dyDescent="0.25">
      <c r="A715" s="9">
        <v>18</v>
      </c>
      <c r="B715" s="95" t="s">
        <v>423</v>
      </c>
      <c r="C715" s="88" t="s">
        <v>6</v>
      </c>
      <c r="D715" s="88" t="s">
        <v>6</v>
      </c>
      <c r="E715" s="96" t="s">
        <v>46</v>
      </c>
      <c r="F715" s="108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1" t="s">
        <v>46</v>
      </c>
      <c r="F716" s="108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1" t="s">
        <v>46</v>
      </c>
      <c r="F717" s="108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1" t="s">
        <v>153</v>
      </c>
      <c r="F718" s="108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3" t="s">
        <v>44</v>
      </c>
      <c r="F719" s="108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4" t="s">
        <v>46</v>
      </c>
      <c r="F720" s="108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3" t="s">
        <v>46</v>
      </c>
      <c r="F721" s="108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1" t="s">
        <v>46</v>
      </c>
      <c r="F722" s="108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1" t="s">
        <v>46</v>
      </c>
      <c r="F723" s="108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1" t="s">
        <v>46</v>
      </c>
      <c r="F724" s="108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1" t="s">
        <v>153</v>
      </c>
      <c r="F725" s="108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1" t="s">
        <v>46</v>
      </c>
      <c r="F726" s="108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4" t="s">
        <v>46</v>
      </c>
      <c r="F727" s="108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4" t="s">
        <v>46</v>
      </c>
      <c r="F728" s="108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4" t="s">
        <v>43</v>
      </c>
      <c r="F729" s="108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4" t="s">
        <v>43</v>
      </c>
      <c r="F730" s="108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3" t="s">
        <v>44</v>
      </c>
      <c r="F731" s="108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1" t="s">
        <v>46</v>
      </c>
      <c r="F732" s="108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1" t="s">
        <v>46</v>
      </c>
      <c r="F733" s="108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0" t="s">
        <v>43</v>
      </c>
      <c r="F734" s="108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0" t="s">
        <v>43</v>
      </c>
      <c r="F735" s="108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1" t="s">
        <v>40</v>
      </c>
      <c r="F736" s="108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1" t="s">
        <v>46</v>
      </c>
      <c r="F737" s="108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1" t="s">
        <v>46</v>
      </c>
      <c r="F738" s="108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1" t="s">
        <v>46</v>
      </c>
      <c r="F739" s="108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1" t="s">
        <v>46</v>
      </c>
      <c r="F740" s="108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1" t="s">
        <v>153</v>
      </c>
      <c r="F741" s="108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1" t="s">
        <v>153</v>
      </c>
      <c r="F742" s="108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1" t="s">
        <v>46</v>
      </c>
      <c r="F743" s="108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4" t="s">
        <v>40</v>
      </c>
      <c r="F744" s="109">
        <v>45886</v>
      </c>
    </row>
    <row r="745" spans="1:6" x14ac:dyDescent="0.25">
      <c r="A745" s="9">
        <v>48</v>
      </c>
      <c r="B745" s="8" t="s">
        <v>649</v>
      </c>
      <c r="C745" s="21" t="s">
        <v>6</v>
      </c>
      <c r="D745" s="21" t="s">
        <v>6</v>
      </c>
      <c r="E745" s="94" t="s">
        <v>46</v>
      </c>
      <c r="F745" s="109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3" t="s">
        <v>46</v>
      </c>
      <c r="F746" s="109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3" t="s">
        <v>46</v>
      </c>
      <c r="F747" s="109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3" t="s">
        <v>44</v>
      </c>
      <c r="F748" s="109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3" t="s">
        <v>44</v>
      </c>
      <c r="F749" s="109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3" t="s">
        <v>44</v>
      </c>
      <c r="F750" s="109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1" t="s">
        <v>46</v>
      </c>
      <c r="F751" s="108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1" t="s">
        <v>46</v>
      </c>
      <c r="F752" s="108">
        <v>45886</v>
      </c>
    </row>
    <row r="753" spans="1:6" x14ac:dyDescent="0.25">
      <c r="A753" s="9">
        <v>56</v>
      </c>
      <c r="B753" s="19" t="s">
        <v>650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1" t="s">
        <v>153</v>
      </c>
      <c r="F754" s="108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1" t="s">
        <v>46</v>
      </c>
      <c r="F755" s="108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1" t="s">
        <v>46</v>
      </c>
      <c r="F756" s="108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1" t="s">
        <v>46</v>
      </c>
      <c r="F757" s="108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1" t="s">
        <v>46</v>
      </c>
      <c r="F758" s="108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1" t="s">
        <v>153</v>
      </c>
      <c r="F759" s="108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1" t="s">
        <v>46</v>
      </c>
      <c r="F760" s="108">
        <v>45886</v>
      </c>
    </row>
    <row r="761" spans="1:6" x14ac:dyDescent="0.25">
      <c r="A761" s="9">
        <v>64</v>
      </c>
      <c r="B761" s="19" t="s">
        <v>651</v>
      </c>
      <c r="C761" s="21" t="s">
        <v>6</v>
      </c>
      <c r="D761" s="21" t="s">
        <v>6</v>
      </c>
      <c r="E761" s="91" t="s">
        <v>46</v>
      </c>
      <c r="F761" s="108">
        <v>45886</v>
      </c>
    </row>
    <row r="762" spans="1:6" x14ac:dyDescent="0.25">
      <c r="A762" s="9">
        <v>65</v>
      </c>
      <c r="B762" s="19" t="s">
        <v>653</v>
      </c>
      <c r="C762" s="21" t="s">
        <v>6</v>
      </c>
      <c r="D762" s="21" t="s">
        <v>6</v>
      </c>
      <c r="E762" s="91" t="s">
        <v>153</v>
      </c>
      <c r="F762" s="108">
        <v>45886</v>
      </c>
    </row>
    <row r="763" spans="1:6" x14ac:dyDescent="0.25">
      <c r="A763" s="9">
        <v>66</v>
      </c>
      <c r="B763" s="19" t="s">
        <v>654</v>
      </c>
      <c r="C763" s="21" t="s">
        <v>6</v>
      </c>
      <c r="D763" s="21" t="s">
        <v>6</v>
      </c>
      <c r="E763" s="91" t="s">
        <v>153</v>
      </c>
      <c r="F763" s="108">
        <v>45886</v>
      </c>
    </row>
    <row r="764" spans="1:6" x14ac:dyDescent="0.25">
      <c r="A764" s="9">
        <v>67</v>
      </c>
      <c r="B764" s="19" t="s">
        <v>685</v>
      </c>
      <c r="C764" s="21" t="s">
        <v>6</v>
      </c>
      <c r="D764" s="21" t="s">
        <v>6</v>
      </c>
      <c r="E764" s="93" t="s">
        <v>153</v>
      </c>
      <c r="F764" s="108">
        <v>45886</v>
      </c>
    </row>
    <row r="765" spans="1:6" x14ac:dyDescent="0.25">
      <c r="A765" s="9">
        <v>68</v>
      </c>
      <c r="B765" s="19" t="s">
        <v>674</v>
      </c>
      <c r="C765" s="21" t="s">
        <v>6</v>
      </c>
      <c r="D765" s="21" t="s">
        <v>6</v>
      </c>
      <c r="E765" s="91" t="s">
        <v>46</v>
      </c>
      <c r="F765" s="108">
        <v>45886</v>
      </c>
    </row>
    <row r="766" spans="1:6" x14ac:dyDescent="0.25">
      <c r="A766" s="9">
        <v>69</v>
      </c>
      <c r="B766" s="19" t="s">
        <v>687</v>
      </c>
      <c r="C766" s="21" t="s">
        <v>6</v>
      </c>
      <c r="D766" s="21" t="s">
        <v>6</v>
      </c>
      <c r="E766" s="91" t="s">
        <v>46</v>
      </c>
      <c r="F766" s="108">
        <v>45886</v>
      </c>
    </row>
    <row r="767" spans="1:6" x14ac:dyDescent="0.25">
      <c r="A767" s="9">
        <v>70</v>
      </c>
      <c r="B767" s="8" t="s">
        <v>781</v>
      </c>
      <c r="C767" s="21" t="s">
        <v>6</v>
      </c>
      <c r="D767" s="21" t="s">
        <v>6</v>
      </c>
      <c r="E767" s="94" t="s">
        <v>46</v>
      </c>
      <c r="F767" s="108">
        <v>45907</v>
      </c>
    </row>
    <row r="768" spans="1:6" x14ac:dyDescent="0.25">
      <c r="A768" s="9">
        <v>71</v>
      </c>
      <c r="B768" s="8" t="s">
        <v>741</v>
      </c>
      <c r="C768" s="21" t="s">
        <v>6</v>
      </c>
      <c r="D768" s="21" t="s">
        <v>6</v>
      </c>
      <c r="E768" s="94" t="s">
        <v>46</v>
      </c>
      <c r="F768" s="108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1" t="s">
        <v>46</v>
      </c>
      <c r="F769" s="108">
        <v>45907</v>
      </c>
    </row>
    <row r="770" spans="1:6" x14ac:dyDescent="0.25">
      <c r="A770" s="9">
        <v>73</v>
      </c>
      <c r="B770" s="56" t="s">
        <v>729</v>
      </c>
      <c r="C770" s="21" t="s">
        <v>6</v>
      </c>
      <c r="D770" s="21" t="s">
        <v>6</v>
      </c>
      <c r="E770" s="97" t="s">
        <v>46</v>
      </c>
      <c r="F770" s="108">
        <v>45900</v>
      </c>
    </row>
    <row r="771" spans="1:6" x14ac:dyDescent="0.25">
      <c r="A771" s="9">
        <v>74</v>
      </c>
      <c r="B771" s="56" t="s">
        <v>754</v>
      </c>
      <c r="C771" s="21" t="s">
        <v>6</v>
      </c>
      <c r="D771" s="21" t="s">
        <v>6</v>
      </c>
      <c r="E771" s="97" t="s">
        <v>46</v>
      </c>
      <c r="F771" s="108">
        <v>45907</v>
      </c>
    </row>
    <row r="772" spans="1:6" x14ac:dyDescent="0.25">
      <c r="A772" s="9">
        <v>75</v>
      </c>
      <c r="B772" s="56" t="s">
        <v>755</v>
      </c>
      <c r="C772" s="21" t="s">
        <v>6</v>
      </c>
      <c r="D772" s="21" t="s">
        <v>6</v>
      </c>
      <c r="E772" s="97" t="s">
        <v>46</v>
      </c>
      <c r="F772" s="108">
        <v>45907</v>
      </c>
    </row>
    <row r="773" spans="1:6" x14ac:dyDescent="0.25">
      <c r="A773" s="9">
        <v>76</v>
      </c>
      <c r="B773" s="56" t="s">
        <v>757</v>
      </c>
      <c r="C773" s="21" t="s">
        <v>6</v>
      </c>
      <c r="D773" s="21" t="s">
        <v>6</v>
      </c>
      <c r="E773" s="97" t="s">
        <v>46</v>
      </c>
      <c r="F773" s="108">
        <v>45907</v>
      </c>
    </row>
    <row r="774" spans="1:6" x14ac:dyDescent="0.25">
      <c r="A774" s="9">
        <v>77</v>
      </c>
      <c r="B774" s="56" t="s">
        <v>758</v>
      </c>
      <c r="C774" s="21" t="s">
        <v>6</v>
      </c>
      <c r="D774" s="21" t="s">
        <v>6</v>
      </c>
      <c r="E774" s="97" t="s">
        <v>46</v>
      </c>
      <c r="F774" s="108">
        <v>45907</v>
      </c>
    </row>
    <row r="775" spans="1:6" x14ac:dyDescent="0.25">
      <c r="A775" s="9">
        <v>78</v>
      </c>
      <c r="B775" s="56" t="s">
        <v>759</v>
      </c>
      <c r="C775" s="21" t="s">
        <v>6</v>
      </c>
      <c r="D775" s="21" t="s">
        <v>6</v>
      </c>
      <c r="E775" s="97" t="s">
        <v>153</v>
      </c>
      <c r="F775" s="108">
        <v>45907</v>
      </c>
    </row>
    <row r="776" spans="1:6" x14ac:dyDescent="0.25">
      <c r="A776" s="9">
        <v>79</v>
      </c>
      <c r="B776" s="56" t="s">
        <v>760</v>
      </c>
      <c r="C776" s="21" t="s">
        <v>6</v>
      </c>
      <c r="D776" s="21" t="s">
        <v>6</v>
      </c>
      <c r="E776" s="97" t="s">
        <v>153</v>
      </c>
      <c r="F776" s="108">
        <v>45907</v>
      </c>
    </row>
    <row r="777" spans="1:6" x14ac:dyDescent="0.25">
      <c r="A777" s="9">
        <v>80</v>
      </c>
      <c r="B777" s="56" t="s">
        <v>742</v>
      </c>
      <c r="C777" s="21" t="s">
        <v>6</v>
      </c>
      <c r="D777" s="21" t="s">
        <v>6</v>
      </c>
      <c r="E777" s="97" t="s">
        <v>46</v>
      </c>
      <c r="F777" s="108">
        <v>45900</v>
      </c>
    </row>
    <row r="778" spans="1:6" x14ac:dyDescent="0.25">
      <c r="A778" s="9">
        <v>81</v>
      </c>
      <c r="B778" s="19" t="s">
        <v>773</v>
      </c>
      <c r="C778" s="21" t="s">
        <v>6</v>
      </c>
      <c r="D778" s="21" t="s">
        <v>6</v>
      </c>
      <c r="E778" s="97" t="s">
        <v>46</v>
      </c>
      <c r="F778" s="108">
        <v>45907</v>
      </c>
    </row>
    <row r="779" spans="1:6" x14ac:dyDescent="0.25">
      <c r="A779" s="9">
        <v>82</v>
      </c>
      <c r="B779" s="19" t="s">
        <v>772</v>
      </c>
      <c r="C779" s="21" t="s">
        <v>6</v>
      </c>
      <c r="D779" s="21" t="s">
        <v>6</v>
      </c>
      <c r="E779" s="97" t="s">
        <v>46</v>
      </c>
      <c r="F779" s="108">
        <v>45907</v>
      </c>
    </row>
    <row r="780" spans="1:6" x14ac:dyDescent="0.25">
      <c r="A780" s="9">
        <v>83</v>
      </c>
      <c r="B780" s="19" t="s">
        <v>779</v>
      </c>
      <c r="C780" s="21" t="s">
        <v>6</v>
      </c>
      <c r="D780" s="21" t="s">
        <v>6</v>
      </c>
      <c r="E780" s="97" t="s">
        <v>46</v>
      </c>
      <c r="F780" s="108">
        <v>45907</v>
      </c>
    </row>
    <row r="781" spans="1:6" x14ac:dyDescent="0.25">
      <c r="A781" s="9">
        <v>84</v>
      </c>
      <c r="B781" s="19" t="s">
        <v>782</v>
      </c>
      <c r="C781" s="21" t="s">
        <v>6</v>
      </c>
      <c r="D781" s="21" t="s">
        <v>6</v>
      </c>
      <c r="E781" s="97" t="s">
        <v>46</v>
      </c>
      <c r="F781" s="108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4" t="s">
        <v>46</v>
      </c>
      <c r="F782" s="108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3" t="s">
        <v>46</v>
      </c>
      <c r="F783" s="108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3" t="s">
        <v>46</v>
      </c>
      <c r="F784" s="108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3" t="s">
        <v>46</v>
      </c>
      <c r="F785" s="108">
        <v>45914</v>
      </c>
    </row>
    <row r="786" spans="1:6" x14ac:dyDescent="0.25">
      <c r="A786" s="9">
        <v>89</v>
      </c>
      <c r="B786" s="8" t="s">
        <v>799</v>
      </c>
      <c r="C786" s="21" t="s">
        <v>6</v>
      </c>
      <c r="D786" s="21" t="s">
        <v>6</v>
      </c>
      <c r="E786" s="93" t="s">
        <v>45</v>
      </c>
      <c r="F786" s="108">
        <v>45914</v>
      </c>
    </row>
    <row r="787" spans="1:6" x14ac:dyDescent="0.25">
      <c r="A787" s="9">
        <v>90</v>
      </c>
      <c r="B787" s="19" t="s">
        <v>675</v>
      </c>
      <c r="C787" s="21" t="s">
        <v>6</v>
      </c>
      <c r="D787" s="21" t="s">
        <v>6</v>
      </c>
      <c r="E787" s="91" t="s">
        <v>46</v>
      </c>
      <c r="F787" s="108">
        <v>45914</v>
      </c>
    </row>
    <row r="788" spans="1:6" x14ac:dyDescent="0.25">
      <c r="A788" s="9">
        <v>91</v>
      </c>
      <c r="B788" s="19" t="s">
        <v>702</v>
      </c>
      <c r="C788" s="21" t="s">
        <v>6</v>
      </c>
      <c r="D788" s="21" t="s">
        <v>6</v>
      </c>
      <c r="E788" s="91" t="s">
        <v>46</v>
      </c>
      <c r="F788" s="108">
        <v>45914</v>
      </c>
    </row>
    <row r="789" spans="1:6" x14ac:dyDescent="0.25">
      <c r="A789" s="9">
        <v>92</v>
      </c>
      <c r="B789" s="56" t="s">
        <v>761</v>
      </c>
      <c r="C789" s="21" t="s">
        <v>6</v>
      </c>
      <c r="D789" s="21" t="s">
        <v>6</v>
      </c>
      <c r="E789" s="97" t="s">
        <v>153</v>
      </c>
      <c r="F789" s="108">
        <v>45914</v>
      </c>
    </row>
    <row r="790" spans="1:6" x14ac:dyDescent="0.25">
      <c r="A790" s="9">
        <v>93</v>
      </c>
      <c r="B790" s="19" t="s">
        <v>774</v>
      </c>
      <c r="C790" s="21" t="s">
        <v>6</v>
      </c>
      <c r="D790" s="21" t="s">
        <v>6</v>
      </c>
      <c r="E790" s="97" t="s">
        <v>46</v>
      </c>
      <c r="F790" s="108">
        <v>45914</v>
      </c>
    </row>
    <row r="791" spans="1:6" x14ac:dyDescent="0.25">
      <c r="A791" s="9">
        <v>94</v>
      </c>
      <c r="B791" s="19" t="s">
        <v>798</v>
      </c>
      <c r="C791" s="21" t="s">
        <v>6</v>
      </c>
      <c r="D791" s="21" t="s">
        <v>6</v>
      </c>
      <c r="E791" s="97" t="s">
        <v>46</v>
      </c>
      <c r="F791" s="108">
        <v>45914</v>
      </c>
    </row>
    <row r="792" spans="1:6" x14ac:dyDescent="0.25">
      <c r="A792" s="9">
        <v>95</v>
      </c>
      <c r="B792" s="19" t="s">
        <v>809</v>
      </c>
      <c r="C792" s="21" t="s">
        <v>6</v>
      </c>
      <c r="D792" s="21" t="s">
        <v>6</v>
      </c>
      <c r="E792" s="97" t="s">
        <v>46</v>
      </c>
      <c r="F792" s="108">
        <v>45914</v>
      </c>
    </row>
    <row r="793" spans="1:6" x14ac:dyDescent="0.25">
      <c r="A793" s="9">
        <v>96</v>
      </c>
      <c r="B793" s="19" t="s">
        <v>810</v>
      </c>
      <c r="C793" s="21" t="s">
        <v>6</v>
      </c>
      <c r="D793" s="21" t="s">
        <v>6</v>
      </c>
      <c r="E793" s="97" t="s">
        <v>46</v>
      </c>
      <c r="F793" s="108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4" t="s">
        <v>46</v>
      </c>
      <c r="F794" s="108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4" t="s">
        <v>46</v>
      </c>
      <c r="F795" s="108">
        <v>45922</v>
      </c>
    </row>
    <row r="796" spans="1:6" x14ac:dyDescent="0.25">
      <c r="A796" s="9">
        <v>99</v>
      </c>
      <c r="B796" s="8" t="s">
        <v>680</v>
      </c>
      <c r="C796" s="21" t="s">
        <v>6</v>
      </c>
      <c r="D796" s="21" t="s">
        <v>6</v>
      </c>
      <c r="E796" s="94" t="s">
        <v>46</v>
      </c>
      <c r="F796" s="108">
        <v>45922</v>
      </c>
    </row>
    <row r="797" spans="1:6" x14ac:dyDescent="0.25">
      <c r="A797" s="9">
        <v>100</v>
      </c>
      <c r="B797" s="8" t="s">
        <v>850</v>
      </c>
      <c r="C797" s="21" t="s">
        <v>6</v>
      </c>
      <c r="D797" s="21" t="s">
        <v>6</v>
      </c>
      <c r="E797" s="94" t="s">
        <v>153</v>
      </c>
      <c r="F797" s="108">
        <v>45922</v>
      </c>
    </row>
    <row r="798" spans="1:6" x14ac:dyDescent="0.25">
      <c r="A798" s="9">
        <v>101</v>
      </c>
      <c r="B798" s="8" t="s">
        <v>743</v>
      </c>
      <c r="C798" s="21" t="s">
        <v>6</v>
      </c>
      <c r="D798" s="21" t="s">
        <v>6</v>
      </c>
      <c r="E798" s="93" t="s">
        <v>46</v>
      </c>
      <c r="F798" s="108">
        <v>45907</v>
      </c>
    </row>
    <row r="799" spans="1:6" x14ac:dyDescent="0.25">
      <c r="A799" s="9">
        <v>102</v>
      </c>
      <c r="B799" s="8" t="s">
        <v>815</v>
      </c>
      <c r="C799" s="21" t="s">
        <v>6</v>
      </c>
      <c r="D799" s="21" t="s">
        <v>6</v>
      </c>
      <c r="E799" s="94" t="s">
        <v>153</v>
      </c>
      <c r="F799" s="108">
        <v>45929</v>
      </c>
    </row>
    <row r="800" spans="1:6" x14ac:dyDescent="0.25">
      <c r="A800" s="9">
        <v>103</v>
      </c>
      <c r="B800" s="8" t="s">
        <v>816</v>
      </c>
      <c r="C800" s="21" t="s">
        <v>6</v>
      </c>
      <c r="D800" s="21" t="s">
        <v>6</v>
      </c>
      <c r="E800" s="94" t="s">
        <v>153</v>
      </c>
      <c r="F800" s="108">
        <v>45929</v>
      </c>
    </row>
    <row r="801" spans="1:6" x14ac:dyDescent="0.25">
      <c r="A801" s="9">
        <v>104</v>
      </c>
      <c r="B801" s="8" t="s">
        <v>817</v>
      </c>
      <c r="C801" s="21" t="s">
        <v>6</v>
      </c>
      <c r="D801" s="21" t="s">
        <v>6</v>
      </c>
      <c r="E801" s="94" t="s">
        <v>45</v>
      </c>
      <c r="F801" s="108">
        <v>45922</v>
      </c>
    </row>
    <row r="802" spans="1:6" x14ac:dyDescent="0.25">
      <c r="A802" s="9">
        <v>105</v>
      </c>
      <c r="B802" s="19" t="s">
        <v>848</v>
      </c>
      <c r="C802" s="21" t="s">
        <v>6</v>
      </c>
      <c r="D802" s="21" t="s">
        <v>6</v>
      </c>
      <c r="E802" s="93" t="s">
        <v>346</v>
      </c>
      <c r="F802" s="108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1" t="s">
        <v>46</v>
      </c>
      <c r="F803" s="108">
        <v>45929</v>
      </c>
    </row>
    <row r="804" spans="1:6" x14ac:dyDescent="0.25">
      <c r="A804" s="9">
        <v>107</v>
      </c>
      <c r="B804" s="19" t="s">
        <v>686</v>
      </c>
      <c r="C804" s="21" t="s">
        <v>6</v>
      </c>
      <c r="D804" s="21" t="s">
        <v>6</v>
      </c>
      <c r="E804" s="93" t="s">
        <v>153</v>
      </c>
      <c r="F804" s="108">
        <v>45922</v>
      </c>
    </row>
    <row r="805" spans="1:6" x14ac:dyDescent="0.25">
      <c r="A805" s="9">
        <v>108</v>
      </c>
      <c r="B805" s="56" t="s">
        <v>822</v>
      </c>
      <c r="C805" s="21" t="s">
        <v>6</v>
      </c>
      <c r="D805" s="21" t="s">
        <v>6</v>
      </c>
      <c r="E805" s="97" t="s">
        <v>46</v>
      </c>
      <c r="F805" s="108">
        <v>45922</v>
      </c>
    </row>
    <row r="806" spans="1:6" x14ac:dyDescent="0.25">
      <c r="A806" s="9">
        <v>109</v>
      </c>
      <c r="B806" s="56" t="s">
        <v>823</v>
      </c>
      <c r="C806" s="21" t="s">
        <v>6</v>
      </c>
      <c r="D806" s="21" t="s">
        <v>6</v>
      </c>
      <c r="E806" s="97" t="s">
        <v>46</v>
      </c>
      <c r="F806" s="108">
        <v>45922</v>
      </c>
    </row>
    <row r="807" spans="1:6" x14ac:dyDescent="0.25">
      <c r="A807" s="9">
        <v>110</v>
      </c>
      <c r="B807" s="56" t="s">
        <v>823</v>
      </c>
      <c r="C807" s="21" t="s">
        <v>6</v>
      </c>
      <c r="D807" s="21" t="s">
        <v>6</v>
      </c>
      <c r="E807" s="97" t="s">
        <v>46</v>
      </c>
      <c r="F807" s="108">
        <v>45922</v>
      </c>
    </row>
    <row r="808" spans="1:6" x14ac:dyDescent="0.25">
      <c r="A808" s="9">
        <v>111</v>
      </c>
      <c r="B808" s="56" t="s">
        <v>835</v>
      </c>
      <c r="C808" s="21" t="s">
        <v>6</v>
      </c>
      <c r="D808" s="21" t="s">
        <v>6</v>
      </c>
      <c r="E808" s="97" t="s">
        <v>46</v>
      </c>
      <c r="F808" s="108">
        <v>45949</v>
      </c>
    </row>
    <row r="809" spans="1:6" x14ac:dyDescent="0.25">
      <c r="A809" s="9">
        <v>112</v>
      </c>
      <c r="B809" s="56" t="s">
        <v>834</v>
      </c>
      <c r="C809" s="21" t="s">
        <v>6</v>
      </c>
      <c r="D809" s="21" t="s">
        <v>6</v>
      </c>
      <c r="E809" s="97" t="s">
        <v>46</v>
      </c>
      <c r="F809" s="108">
        <v>45922</v>
      </c>
    </row>
    <row r="810" spans="1:6" x14ac:dyDescent="0.25">
      <c r="A810" s="9">
        <v>113</v>
      </c>
      <c r="B810" s="56" t="s">
        <v>823</v>
      </c>
      <c r="C810" s="21" t="s">
        <v>6</v>
      </c>
      <c r="D810" s="21" t="s">
        <v>6</v>
      </c>
      <c r="E810" s="97" t="s">
        <v>46</v>
      </c>
      <c r="F810" s="108">
        <v>45922</v>
      </c>
    </row>
    <row r="811" spans="1:6" x14ac:dyDescent="0.25">
      <c r="A811" s="9">
        <v>114</v>
      </c>
      <c r="B811" s="19" t="s">
        <v>882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115</v>
      </c>
      <c r="B812" s="19" t="s">
        <v>885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116</v>
      </c>
      <c r="B813" s="19" t="s">
        <v>899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117</v>
      </c>
      <c r="B814" s="19" t="s">
        <v>897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118</v>
      </c>
      <c r="B815" s="19" t="s">
        <v>898</v>
      </c>
      <c r="C815" s="21" t="s">
        <v>6</v>
      </c>
      <c r="D815" s="21" t="s">
        <v>6</v>
      </c>
      <c r="E815" s="97" t="s">
        <v>46</v>
      </c>
      <c r="F815" s="108">
        <v>45929</v>
      </c>
    </row>
    <row r="816" spans="1:6" x14ac:dyDescent="0.25">
      <c r="A816" s="9">
        <v>119</v>
      </c>
      <c r="B816" s="19" t="s">
        <v>883</v>
      </c>
      <c r="C816" s="21" t="s">
        <v>6</v>
      </c>
      <c r="D816" s="21" t="s">
        <v>6</v>
      </c>
      <c r="E816" s="97" t="s">
        <v>46</v>
      </c>
      <c r="F816" s="108">
        <v>45929</v>
      </c>
    </row>
    <row r="817" spans="1:6" x14ac:dyDescent="0.25">
      <c r="A817" s="9">
        <v>120</v>
      </c>
      <c r="B817" s="19" t="s">
        <v>902</v>
      </c>
      <c r="C817" s="21" t="s">
        <v>6</v>
      </c>
      <c r="D817" s="21" t="s">
        <v>6</v>
      </c>
      <c r="E817" s="97" t="s">
        <v>46</v>
      </c>
      <c r="F817" s="108">
        <v>45929</v>
      </c>
    </row>
    <row r="818" spans="1:6" x14ac:dyDescent="0.25">
      <c r="A818" s="9">
        <v>121</v>
      </c>
      <c r="B818" s="19" t="s">
        <v>903</v>
      </c>
      <c r="C818" s="21" t="s">
        <v>6</v>
      </c>
      <c r="D818" s="21" t="s">
        <v>6</v>
      </c>
      <c r="E818" s="97" t="s">
        <v>46</v>
      </c>
      <c r="F818" s="108">
        <v>45929</v>
      </c>
    </row>
    <row r="819" spans="1:6" x14ac:dyDescent="0.25">
      <c r="A819" s="9">
        <v>122</v>
      </c>
      <c r="B819" s="19" t="s">
        <v>904</v>
      </c>
      <c r="C819" s="21" t="s">
        <v>6</v>
      </c>
      <c r="D819" s="21" t="s">
        <v>6</v>
      </c>
      <c r="E819" s="97" t="s">
        <v>46</v>
      </c>
      <c r="F819" s="108">
        <v>45929</v>
      </c>
    </row>
    <row r="820" spans="1:6" x14ac:dyDescent="0.25">
      <c r="A820" s="9">
        <v>123</v>
      </c>
      <c r="B820" s="19" t="s">
        <v>905</v>
      </c>
      <c r="C820" s="21" t="s">
        <v>6</v>
      </c>
      <c r="D820" s="21" t="s">
        <v>6</v>
      </c>
      <c r="E820" s="97" t="s">
        <v>46</v>
      </c>
      <c r="F820" s="108">
        <v>45929</v>
      </c>
    </row>
    <row r="821" spans="1:6" x14ac:dyDescent="0.25">
      <c r="A821" s="9">
        <v>124</v>
      </c>
      <c r="B821" s="19" t="s">
        <v>909</v>
      </c>
      <c r="C821" s="21" t="s">
        <v>6</v>
      </c>
      <c r="D821" s="21" t="s">
        <v>6</v>
      </c>
      <c r="E821" s="97" t="s">
        <v>46</v>
      </c>
      <c r="F821" s="108">
        <v>45929</v>
      </c>
    </row>
    <row r="822" spans="1:6" x14ac:dyDescent="0.25">
      <c r="A822" s="9">
        <v>125</v>
      </c>
      <c r="B822" s="19" t="s">
        <v>908</v>
      </c>
      <c r="C822" s="21" t="s">
        <v>6</v>
      </c>
      <c r="D822" s="21" t="s">
        <v>6</v>
      </c>
      <c r="E822" s="97" t="s">
        <v>46</v>
      </c>
      <c r="F822" s="108">
        <v>45929</v>
      </c>
    </row>
    <row r="823" spans="1:6" x14ac:dyDescent="0.25">
      <c r="A823" s="9">
        <v>126</v>
      </c>
      <c r="B823" s="19" t="s">
        <v>921</v>
      </c>
      <c r="C823" s="21" t="s">
        <v>6</v>
      </c>
      <c r="D823" s="21" t="s">
        <v>6</v>
      </c>
      <c r="E823" s="97" t="s">
        <v>46</v>
      </c>
      <c r="F823" s="108">
        <v>45929</v>
      </c>
    </row>
    <row r="824" spans="1:6" x14ac:dyDescent="0.25">
      <c r="A824" s="9">
        <v>127</v>
      </c>
      <c r="B824" s="19" t="s">
        <v>924</v>
      </c>
      <c r="C824" s="21" t="s">
        <v>6</v>
      </c>
      <c r="D824" s="21" t="s">
        <v>6</v>
      </c>
      <c r="E824" s="97" t="s">
        <v>46</v>
      </c>
      <c r="F824" s="108">
        <v>45929</v>
      </c>
    </row>
    <row r="825" spans="1:6" x14ac:dyDescent="0.25">
      <c r="A825" s="9">
        <v>128</v>
      </c>
      <c r="B825" s="19" t="s">
        <v>926</v>
      </c>
      <c r="C825" s="21" t="s">
        <v>6</v>
      </c>
      <c r="D825" s="21" t="s">
        <v>6</v>
      </c>
      <c r="E825" s="97" t="s">
        <v>46</v>
      </c>
      <c r="F825" s="108">
        <v>45929</v>
      </c>
    </row>
    <row r="826" spans="1:6" x14ac:dyDescent="0.25">
      <c r="A826" s="9">
        <v>129</v>
      </c>
      <c r="B826" s="19" t="s">
        <v>928</v>
      </c>
      <c r="C826" s="21" t="s">
        <v>6</v>
      </c>
      <c r="D826" s="21" t="s">
        <v>6</v>
      </c>
      <c r="E826" s="97" t="s">
        <v>46</v>
      </c>
      <c r="F826" s="108">
        <v>45929</v>
      </c>
    </row>
    <row r="827" spans="1:6" x14ac:dyDescent="0.25">
      <c r="A827" s="9">
        <v>130</v>
      </c>
      <c r="B827" s="8" t="s">
        <v>878</v>
      </c>
      <c r="C827" s="21" t="s">
        <v>6</v>
      </c>
      <c r="D827" s="21" t="s">
        <v>6</v>
      </c>
      <c r="E827" s="94" t="s">
        <v>46</v>
      </c>
      <c r="F827" s="109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3" t="s">
        <v>40</v>
      </c>
      <c r="F828" s="109">
        <v>45935</v>
      </c>
    </row>
    <row r="829" spans="1:6" x14ac:dyDescent="0.25">
      <c r="A829" s="9">
        <v>132</v>
      </c>
      <c r="B829" s="8" t="s">
        <v>959</v>
      </c>
      <c r="C829" s="21" t="s">
        <v>6</v>
      </c>
      <c r="D829" s="21" t="s">
        <v>6</v>
      </c>
      <c r="E829" s="93" t="s">
        <v>46</v>
      </c>
      <c r="F829" s="109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4" t="s">
        <v>43</v>
      </c>
      <c r="F830" s="109">
        <v>45935</v>
      </c>
    </row>
    <row r="831" spans="1:6" x14ac:dyDescent="0.25">
      <c r="A831" s="9">
        <v>134</v>
      </c>
      <c r="B831" s="19" t="s">
        <v>978</v>
      </c>
      <c r="C831" s="21" t="s">
        <v>6</v>
      </c>
      <c r="D831" s="21" t="s">
        <v>6</v>
      </c>
      <c r="E831" s="91" t="s">
        <v>346</v>
      </c>
      <c r="F831" s="109">
        <v>45935</v>
      </c>
    </row>
    <row r="832" spans="1:6" x14ac:dyDescent="0.25">
      <c r="A832" s="9">
        <v>135</v>
      </c>
      <c r="B832" s="56" t="s">
        <v>731</v>
      </c>
      <c r="C832" s="21" t="s">
        <v>6</v>
      </c>
      <c r="D832" s="21" t="s">
        <v>6</v>
      </c>
      <c r="E832" s="97" t="s">
        <v>46</v>
      </c>
      <c r="F832" s="109">
        <v>45935</v>
      </c>
    </row>
    <row r="833" spans="1:6" x14ac:dyDescent="0.25">
      <c r="A833" s="9">
        <v>136</v>
      </c>
      <c r="B833" s="56" t="s">
        <v>849</v>
      </c>
      <c r="C833" s="21" t="s">
        <v>6</v>
      </c>
      <c r="D833" s="21" t="s">
        <v>6</v>
      </c>
      <c r="E833" s="97" t="s">
        <v>46</v>
      </c>
      <c r="F833" s="109">
        <v>45935</v>
      </c>
    </row>
    <row r="834" spans="1:6" x14ac:dyDescent="0.25">
      <c r="A834" s="9">
        <v>137</v>
      </c>
      <c r="B834" s="19" t="s">
        <v>960</v>
      </c>
      <c r="C834" s="21" t="s">
        <v>6</v>
      </c>
      <c r="D834" s="21" t="s">
        <v>6</v>
      </c>
      <c r="E834" s="97" t="s">
        <v>46</v>
      </c>
      <c r="F834" s="109">
        <v>45935</v>
      </c>
    </row>
    <row r="835" spans="1:6" x14ac:dyDescent="0.25">
      <c r="A835" s="9">
        <v>138</v>
      </c>
      <c r="B835" s="56" t="s">
        <v>906</v>
      </c>
      <c r="C835" s="21" t="s">
        <v>6</v>
      </c>
      <c r="D835" s="21" t="s">
        <v>6</v>
      </c>
      <c r="E835" s="97" t="s">
        <v>46</v>
      </c>
      <c r="F835" s="108">
        <v>45942</v>
      </c>
    </row>
    <row r="836" spans="1:6" x14ac:dyDescent="0.25">
      <c r="A836" s="9">
        <v>139</v>
      </c>
      <c r="B836" s="19" t="s">
        <v>1016</v>
      </c>
      <c r="C836" s="21" t="s">
        <v>6</v>
      </c>
      <c r="D836" s="21" t="s">
        <v>6</v>
      </c>
      <c r="E836" s="97" t="s">
        <v>346</v>
      </c>
      <c r="F836" s="108">
        <v>45942</v>
      </c>
    </row>
    <row r="837" spans="1:6" x14ac:dyDescent="0.25">
      <c r="A837" s="9">
        <v>140</v>
      </c>
      <c r="B837" s="19" t="s">
        <v>998</v>
      </c>
      <c r="C837" s="21" t="s">
        <v>6</v>
      </c>
      <c r="D837" s="21" t="s">
        <v>6</v>
      </c>
      <c r="E837" s="97" t="s">
        <v>46</v>
      </c>
      <c r="F837" s="108">
        <v>45942</v>
      </c>
    </row>
    <row r="838" spans="1:6" x14ac:dyDescent="0.25">
      <c r="A838" s="9">
        <v>141</v>
      </c>
      <c r="B838" s="19" t="s">
        <v>1012</v>
      </c>
      <c r="C838" s="21" t="s">
        <v>6</v>
      </c>
      <c r="D838" s="21" t="s">
        <v>6</v>
      </c>
      <c r="E838" s="97" t="s">
        <v>46</v>
      </c>
      <c r="F838" s="108">
        <v>45942</v>
      </c>
    </row>
    <row r="839" spans="1:6" x14ac:dyDescent="0.25">
      <c r="A839" s="9">
        <v>142</v>
      </c>
      <c r="B839" s="19" t="s">
        <v>1013</v>
      </c>
      <c r="C839" s="21" t="s">
        <v>6</v>
      </c>
      <c r="D839" s="21" t="s">
        <v>6</v>
      </c>
      <c r="E839" s="97" t="s">
        <v>46</v>
      </c>
      <c r="F839" s="108">
        <v>45942</v>
      </c>
    </row>
    <row r="840" spans="1:6" x14ac:dyDescent="0.25">
      <c r="A840" s="9">
        <v>143</v>
      </c>
      <c r="B840" s="19" t="s">
        <v>1015</v>
      </c>
      <c r="C840" s="21" t="s">
        <v>6</v>
      </c>
      <c r="D840" s="21" t="s">
        <v>6</v>
      </c>
      <c r="E840" s="97" t="s">
        <v>46</v>
      </c>
      <c r="F840" s="108">
        <v>45942</v>
      </c>
    </row>
    <row r="841" spans="1:6" x14ac:dyDescent="0.25">
      <c r="A841" s="9">
        <v>144</v>
      </c>
      <c r="B841" s="19" t="s">
        <v>1017</v>
      </c>
      <c r="C841" s="21" t="s">
        <v>6</v>
      </c>
      <c r="D841" s="21" t="s">
        <v>6</v>
      </c>
      <c r="E841" s="97" t="s">
        <v>46</v>
      </c>
      <c r="F841" s="108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3" t="s">
        <v>154</v>
      </c>
      <c r="F842" s="108">
        <v>45949</v>
      </c>
    </row>
    <row r="843" spans="1:6" x14ac:dyDescent="0.25">
      <c r="A843" s="9">
        <v>146</v>
      </c>
      <c r="B843" s="19" t="s">
        <v>778</v>
      </c>
      <c r="C843" s="21" t="s">
        <v>6</v>
      </c>
      <c r="D843" s="21" t="s">
        <v>6</v>
      </c>
      <c r="E843" s="97" t="s">
        <v>46</v>
      </c>
      <c r="F843" s="108">
        <v>45949</v>
      </c>
    </row>
    <row r="844" spans="1:6" x14ac:dyDescent="0.25">
      <c r="A844" s="9">
        <v>147</v>
      </c>
      <c r="B844" s="56" t="s">
        <v>847</v>
      </c>
      <c r="C844" s="21" t="s">
        <v>6</v>
      </c>
      <c r="D844" s="21" t="s">
        <v>6</v>
      </c>
      <c r="E844" s="97" t="s">
        <v>46</v>
      </c>
      <c r="F844" s="108">
        <v>45949</v>
      </c>
    </row>
    <row r="845" spans="1:6" x14ac:dyDescent="0.25">
      <c r="A845" s="9">
        <v>148</v>
      </c>
      <c r="B845" s="19" t="s">
        <v>927</v>
      </c>
      <c r="C845" s="21" t="s">
        <v>6</v>
      </c>
      <c r="D845" s="21" t="s">
        <v>6</v>
      </c>
      <c r="E845" s="97" t="s">
        <v>46</v>
      </c>
      <c r="F845" s="108">
        <v>45949</v>
      </c>
    </row>
    <row r="846" spans="1:6" x14ac:dyDescent="0.25">
      <c r="A846" s="9">
        <v>149</v>
      </c>
      <c r="B846" s="19" t="s">
        <v>980</v>
      </c>
      <c r="C846" s="21" t="s">
        <v>6</v>
      </c>
      <c r="D846" s="21" t="s">
        <v>6</v>
      </c>
      <c r="E846" s="97" t="s">
        <v>346</v>
      </c>
      <c r="F846" s="108">
        <v>45949</v>
      </c>
    </row>
    <row r="847" spans="1:6" x14ac:dyDescent="0.25">
      <c r="A847" s="9">
        <v>150</v>
      </c>
      <c r="B847" s="19" t="s">
        <v>1030</v>
      </c>
      <c r="C847" s="21" t="s">
        <v>6</v>
      </c>
      <c r="D847" s="21" t="s">
        <v>6</v>
      </c>
      <c r="E847" s="93" t="s">
        <v>153</v>
      </c>
      <c r="F847" s="108">
        <v>45949</v>
      </c>
    </row>
    <row r="848" spans="1:6" x14ac:dyDescent="0.25">
      <c r="A848" s="9">
        <v>151</v>
      </c>
      <c r="B848" s="19" t="s">
        <v>1047</v>
      </c>
      <c r="C848" s="21" t="s">
        <v>6</v>
      </c>
      <c r="D848" s="21" t="s">
        <v>6</v>
      </c>
      <c r="E848" s="97" t="s">
        <v>46</v>
      </c>
      <c r="F848" s="108">
        <v>45949</v>
      </c>
    </row>
    <row r="849" spans="1:6" x14ac:dyDescent="0.25">
      <c r="A849" s="9">
        <v>152</v>
      </c>
      <c r="B849" s="19" t="s">
        <v>984</v>
      </c>
      <c r="C849" s="21" t="s">
        <v>6</v>
      </c>
      <c r="D849" s="21" t="s">
        <v>6</v>
      </c>
      <c r="E849" s="97" t="s">
        <v>346</v>
      </c>
      <c r="F849" s="108">
        <v>45956</v>
      </c>
    </row>
    <row r="850" spans="1:6" x14ac:dyDescent="0.25">
      <c r="A850" s="9">
        <v>153</v>
      </c>
      <c r="B850" s="19" t="s">
        <v>1048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154</v>
      </c>
      <c r="B851" s="19" t="s">
        <v>1058</v>
      </c>
      <c r="C851" s="21" t="s">
        <v>6</v>
      </c>
      <c r="D851" s="21" t="s">
        <v>6</v>
      </c>
      <c r="E851" s="97" t="s">
        <v>46</v>
      </c>
      <c r="F851" s="108">
        <v>45956</v>
      </c>
    </row>
    <row r="852" spans="1:6" x14ac:dyDescent="0.25">
      <c r="A852" s="9">
        <v>155</v>
      </c>
      <c r="B852" s="19" t="s">
        <v>1059</v>
      </c>
      <c r="C852" s="21" t="s">
        <v>6</v>
      </c>
      <c r="D852" s="21" t="s">
        <v>6</v>
      </c>
      <c r="E852" s="97" t="s">
        <v>46</v>
      </c>
      <c r="F852" s="108">
        <v>45956</v>
      </c>
    </row>
    <row r="853" spans="1:6" x14ac:dyDescent="0.25">
      <c r="A853" s="9">
        <v>156</v>
      </c>
      <c r="B853" s="19" t="s">
        <v>1060</v>
      </c>
      <c r="C853" s="21" t="s">
        <v>6</v>
      </c>
      <c r="D853" s="21" t="s">
        <v>6</v>
      </c>
      <c r="E853" s="97" t="s">
        <v>46</v>
      </c>
      <c r="F853" s="108">
        <v>45956</v>
      </c>
    </row>
    <row r="854" spans="1:6" x14ac:dyDescent="0.25">
      <c r="A854" s="9">
        <v>157</v>
      </c>
      <c r="B854" s="19" t="s">
        <v>1062</v>
      </c>
      <c r="C854" s="21" t="s">
        <v>6</v>
      </c>
      <c r="D854" s="21" t="s">
        <v>6</v>
      </c>
      <c r="E854" s="97" t="s">
        <v>46</v>
      </c>
      <c r="F854" s="108">
        <v>45956</v>
      </c>
    </row>
    <row r="855" spans="1:6" x14ac:dyDescent="0.25">
      <c r="A855" s="9">
        <v>158</v>
      </c>
      <c r="B855" s="19" t="s">
        <v>1061</v>
      </c>
      <c r="C855" s="21" t="s">
        <v>6</v>
      </c>
      <c r="D855" s="21" t="s">
        <v>6</v>
      </c>
      <c r="E855" s="97" t="s">
        <v>46</v>
      </c>
      <c r="F855" s="108">
        <v>45956</v>
      </c>
    </row>
    <row r="856" spans="1:6" x14ac:dyDescent="0.25">
      <c r="A856" s="9">
        <v>159</v>
      </c>
      <c r="B856" s="19" t="s">
        <v>1063</v>
      </c>
      <c r="C856" s="21" t="s">
        <v>6</v>
      </c>
      <c r="D856" s="21" t="s">
        <v>6</v>
      </c>
      <c r="E856" s="97" t="s">
        <v>46</v>
      </c>
      <c r="F856" s="108">
        <v>45956</v>
      </c>
    </row>
    <row r="857" spans="1:6" x14ac:dyDescent="0.25">
      <c r="A857" s="9">
        <v>160</v>
      </c>
      <c r="B857" s="19" t="s">
        <v>1065</v>
      </c>
      <c r="C857" s="21" t="s">
        <v>6</v>
      </c>
      <c r="D857" s="21" t="s">
        <v>6</v>
      </c>
      <c r="E857" s="97" t="s">
        <v>46</v>
      </c>
      <c r="F857" s="108">
        <v>45956</v>
      </c>
    </row>
    <row r="858" spans="1:6" x14ac:dyDescent="0.25">
      <c r="A858" s="9">
        <v>161</v>
      </c>
      <c r="B858" s="19" t="s">
        <v>1066</v>
      </c>
      <c r="C858" s="21" t="s">
        <v>6</v>
      </c>
      <c r="D858" s="21" t="s">
        <v>6</v>
      </c>
      <c r="E858" s="97" t="s">
        <v>46</v>
      </c>
      <c r="F858" s="108">
        <v>45956</v>
      </c>
    </row>
    <row r="859" spans="1:6" x14ac:dyDescent="0.25">
      <c r="A859" s="9">
        <v>162</v>
      </c>
      <c r="B859" s="19" t="s">
        <v>1084</v>
      </c>
      <c r="C859" s="21" t="s">
        <v>6</v>
      </c>
      <c r="D859" s="21" t="s">
        <v>6</v>
      </c>
      <c r="E859" s="97" t="s">
        <v>46</v>
      </c>
      <c r="F859" s="108">
        <v>45956</v>
      </c>
    </row>
    <row r="860" spans="1:6" x14ac:dyDescent="0.25">
      <c r="A860" s="9">
        <v>163</v>
      </c>
      <c r="B860" s="19" t="s">
        <v>1085</v>
      </c>
      <c r="C860" s="21" t="s">
        <v>6</v>
      </c>
      <c r="D860" s="21" t="s">
        <v>6</v>
      </c>
      <c r="E860" s="97" t="s">
        <v>46</v>
      </c>
      <c r="F860" s="108">
        <v>45956</v>
      </c>
    </row>
    <row r="861" spans="1:6" x14ac:dyDescent="0.25">
      <c r="A861" s="9">
        <v>164</v>
      </c>
      <c r="B861" s="19" t="s">
        <v>1087</v>
      </c>
      <c r="C861" s="21" t="s">
        <v>6</v>
      </c>
      <c r="D861" s="21" t="s">
        <v>6</v>
      </c>
      <c r="E861" s="97" t="s">
        <v>46</v>
      </c>
      <c r="F861" s="108">
        <v>45956</v>
      </c>
    </row>
    <row r="862" spans="1:6" x14ac:dyDescent="0.25">
      <c r="A862" s="9">
        <v>165</v>
      </c>
      <c r="B862" s="19" t="s">
        <v>1090</v>
      </c>
      <c r="C862" s="21" t="s">
        <v>6</v>
      </c>
      <c r="D862" s="21" t="s">
        <v>6</v>
      </c>
      <c r="E862" s="97" t="s">
        <v>46</v>
      </c>
      <c r="F862" s="108">
        <v>45956</v>
      </c>
    </row>
    <row r="863" spans="1:6" x14ac:dyDescent="0.25">
      <c r="A863" s="9">
        <v>166</v>
      </c>
      <c r="B863" s="8" t="s">
        <v>1106</v>
      </c>
      <c r="C863" s="21" t="s">
        <v>6</v>
      </c>
      <c r="D863" s="21" t="s">
        <v>6</v>
      </c>
      <c r="E863" s="94" t="s">
        <v>46</v>
      </c>
      <c r="F863" s="108">
        <v>45964</v>
      </c>
    </row>
    <row r="864" spans="1:6" x14ac:dyDescent="0.25">
      <c r="A864" s="9">
        <v>167</v>
      </c>
      <c r="B864" s="8" t="s">
        <v>1111</v>
      </c>
      <c r="C864" s="21" t="s">
        <v>6</v>
      </c>
      <c r="D864" s="21" t="s">
        <v>6</v>
      </c>
      <c r="E864" s="94" t="s">
        <v>346</v>
      </c>
      <c r="F864" s="108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4" t="s">
        <v>43</v>
      </c>
      <c r="F865" s="108">
        <v>45964</v>
      </c>
    </row>
    <row r="866" spans="1:6" x14ac:dyDescent="0.25">
      <c r="A866" s="9">
        <v>169</v>
      </c>
      <c r="B866" s="19" t="s">
        <v>999</v>
      </c>
      <c r="C866" s="21" t="s">
        <v>6</v>
      </c>
      <c r="D866" s="21" t="s">
        <v>6</v>
      </c>
      <c r="E866" s="97" t="s">
        <v>46</v>
      </c>
      <c r="F866" s="108">
        <v>45964</v>
      </c>
    </row>
    <row r="867" spans="1:6" x14ac:dyDescent="0.25">
      <c r="A867" s="9">
        <v>170</v>
      </c>
      <c r="B867" s="19" t="s">
        <v>1014</v>
      </c>
      <c r="C867" s="21" t="s">
        <v>6</v>
      </c>
      <c r="D867" s="21" t="s">
        <v>6</v>
      </c>
      <c r="E867" s="97" t="s">
        <v>46</v>
      </c>
      <c r="F867" s="108">
        <v>45964</v>
      </c>
    </row>
    <row r="868" spans="1:6" x14ac:dyDescent="0.25">
      <c r="A868" s="9">
        <v>171</v>
      </c>
      <c r="B868" s="19" t="s">
        <v>1101</v>
      </c>
      <c r="C868" s="21" t="s">
        <v>6</v>
      </c>
      <c r="D868" s="21" t="s">
        <v>6</v>
      </c>
      <c r="E868" s="97" t="s">
        <v>46</v>
      </c>
      <c r="F868" s="108">
        <v>45964</v>
      </c>
    </row>
    <row r="869" spans="1:6" x14ac:dyDescent="0.25">
      <c r="A869" s="9">
        <v>172</v>
      </c>
      <c r="B869" s="8" t="s">
        <v>655</v>
      </c>
      <c r="C869" s="21" t="s">
        <v>6</v>
      </c>
      <c r="D869" s="21" t="s">
        <v>6</v>
      </c>
      <c r="E869" s="94" t="s">
        <v>46</v>
      </c>
      <c r="F869" s="108">
        <v>45970</v>
      </c>
    </row>
    <row r="870" spans="1:6" x14ac:dyDescent="0.25">
      <c r="A870" s="9">
        <v>173</v>
      </c>
      <c r="B870" s="8" t="s">
        <v>1130</v>
      </c>
      <c r="C870" s="21" t="s">
        <v>6</v>
      </c>
      <c r="D870" s="21" t="s">
        <v>6</v>
      </c>
      <c r="E870" s="94" t="s">
        <v>346</v>
      </c>
      <c r="F870" s="108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4" t="s">
        <v>45</v>
      </c>
      <c r="F871" s="108">
        <v>45970</v>
      </c>
    </row>
    <row r="872" spans="1:6" x14ac:dyDescent="0.25">
      <c r="A872" s="9">
        <v>175</v>
      </c>
      <c r="B872" s="19" t="s">
        <v>652</v>
      </c>
      <c r="C872" s="21" t="s">
        <v>6</v>
      </c>
      <c r="D872" s="21" t="s">
        <v>6</v>
      </c>
      <c r="E872" s="91" t="s">
        <v>46</v>
      </c>
      <c r="F872" s="108">
        <v>45970</v>
      </c>
    </row>
    <row r="873" spans="1:6" x14ac:dyDescent="0.25">
      <c r="A873" s="9">
        <v>176</v>
      </c>
      <c r="B873" s="19" t="s">
        <v>684</v>
      </c>
      <c r="C873" s="21" t="s">
        <v>6</v>
      </c>
      <c r="D873" s="21" t="s">
        <v>6</v>
      </c>
      <c r="E873" s="91" t="s">
        <v>46</v>
      </c>
      <c r="F873" s="108">
        <v>45970</v>
      </c>
    </row>
    <row r="874" spans="1:6" x14ac:dyDescent="0.25">
      <c r="A874" s="9">
        <v>177</v>
      </c>
      <c r="B874" s="56" t="s">
        <v>756</v>
      </c>
      <c r="C874" s="21" t="s">
        <v>6</v>
      </c>
      <c r="D874" s="21" t="s">
        <v>6</v>
      </c>
      <c r="E874" s="97" t="s">
        <v>46</v>
      </c>
      <c r="F874" s="108">
        <v>45970</v>
      </c>
    </row>
    <row r="875" spans="1:6" x14ac:dyDescent="0.25">
      <c r="A875" s="9">
        <v>178</v>
      </c>
      <c r="B875" s="19" t="s">
        <v>1125</v>
      </c>
      <c r="C875" s="21" t="s">
        <v>6</v>
      </c>
      <c r="D875" s="21" t="s">
        <v>6</v>
      </c>
      <c r="E875" s="97" t="s">
        <v>46</v>
      </c>
      <c r="F875" s="108">
        <v>45970</v>
      </c>
    </row>
    <row r="876" spans="1:6" x14ac:dyDescent="0.25">
      <c r="A876" s="9">
        <v>179</v>
      </c>
      <c r="B876" s="19" t="s">
        <v>1132</v>
      </c>
      <c r="C876" s="21" t="s">
        <v>6</v>
      </c>
      <c r="D876" s="21" t="s">
        <v>6</v>
      </c>
      <c r="E876" s="97" t="s">
        <v>46</v>
      </c>
      <c r="F876" s="108">
        <v>45970</v>
      </c>
    </row>
    <row r="877" spans="1:6" x14ac:dyDescent="0.25">
      <c r="A877" s="9">
        <v>180</v>
      </c>
      <c r="B877" s="19" t="s">
        <v>1133</v>
      </c>
      <c r="C877" s="21" t="s">
        <v>6</v>
      </c>
      <c r="D877" s="21" t="s">
        <v>6</v>
      </c>
      <c r="E877" s="97" t="s">
        <v>46</v>
      </c>
      <c r="F877" s="108">
        <v>45970</v>
      </c>
    </row>
    <row r="878" spans="1:6" x14ac:dyDescent="0.25">
      <c r="A878" s="9">
        <v>181</v>
      </c>
      <c r="B878" s="19" t="s">
        <v>1048</v>
      </c>
      <c r="C878" s="21" t="s">
        <v>6</v>
      </c>
      <c r="D878" s="21" t="s">
        <v>6</v>
      </c>
      <c r="E878" s="97" t="s">
        <v>46</v>
      </c>
      <c r="F878" s="108">
        <v>45970</v>
      </c>
    </row>
    <row r="879" spans="1:6" x14ac:dyDescent="0.25">
      <c r="A879" s="9">
        <v>182</v>
      </c>
      <c r="B879" s="8" t="s">
        <v>1139</v>
      </c>
      <c r="C879" s="21" t="s">
        <v>6</v>
      </c>
      <c r="D879" s="21" t="s">
        <v>6</v>
      </c>
      <c r="E879" s="94" t="s">
        <v>46</v>
      </c>
      <c r="F879" s="108">
        <v>45977</v>
      </c>
    </row>
    <row r="880" spans="1:6" x14ac:dyDescent="0.25">
      <c r="A880" s="9">
        <v>183</v>
      </c>
      <c r="B880" s="8" t="s">
        <v>1141</v>
      </c>
      <c r="C880" s="21" t="s">
        <v>6</v>
      </c>
      <c r="D880" s="21" t="s">
        <v>6</v>
      </c>
      <c r="E880" s="94" t="s">
        <v>46</v>
      </c>
      <c r="F880" s="108">
        <v>45977</v>
      </c>
    </row>
    <row r="881" spans="1:6" x14ac:dyDescent="0.25">
      <c r="A881" s="9">
        <v>184</v>
      </c>
      <c r="B881" s="8" t="s">
        <v>1154</v>
      </c>
      <c r="C881" s="21" t="s">
        <v>6</v>
      </c>
      <c r="D881" s="21" t="s">
        <v>6</v>
      </c>
      <c r="E881" s="94" t="s">
        <v>46</v>
      </c>
      <c r="F881" s="108">
        <v>45984</v>
      </c>
    </row>
    <row r="882" spans="1:6" x14ac:dyDescent="0.25">
      <c r="A882" s="9">
        <v>185</v>
      </c>
      <c r="B882" s="8" t="s">
        <v>1109</v>
      </c>
      <c r="C882" s="21" t="s">
        <v>6</v>
      </c>
      <c r="D882" s="21" t="s">
        <v>6</v>
      </c>
      <c r="E882" s="94" t="s">
        <v>43</v>
      </c>
      <c r="F882" s="108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3" t="s">
        <v>46</v>
      </c>
      <c r="F883" s="108">
        <v>45984</v>
      </c>
    </row>
    <row r="884" spans="1:6" x14ac:dyDescent="0.25">
      <c r="A884" s="9">
        <v>187</v>
      </c>
      <c r="B884" s="8" t="s">
        <v>1143</v>
      </c>
      <c r="C884" s="21" t="s">
        <v>6</v>
      </c>
      <c r="D884" s="21" t="s">
        <v>6</v>
      </c>
      <c r="E884" s="94" t="s">
        <v>46</v>
      </c>
      <c r="F884" s="108">
        <v>45984</v>
      </c>
    </row>
    <row r="885" spans="1:6" x14ac:dyDescent="0.25">
      <c r="A885" s="9">
        <v>188</v>
      </c>
      <c r="B885" s="56" t="s">
        <v>753</v>
      </c>
      <c r="C885" s="21" t="s">
        <v>6</v>
      </c>
      <c r="D885" s="21" t="s">
        <v>6</v>
      </c>
      <c r="E885" s="97" t="s">
        <v>46</v>
      </c>
      <c r="F885" s="108">
        <v>45984</v>
      </c>
    </row>
    <row r="886" spans="1:6" x14ac:dyDescent="0.25">
      <c r="A886" s="9">
        <v>189</v>
      </c>
      <c r="B886" s="19" t="s">
        <v>925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190</v>
      </c>
      <c r="B887" s="19" t="s">
        <v>979</v>
      </c>
      <c r="C887" s="21" t="s">
        <v>6</v>
      </c>
      <c r="D887" s="21" t="s">
        <v>6</v>
      </c>
      <c r="E887" s="97" t="s">
        <v>153</v>
      </c>
      <c r="F887" s="108">
        <v>45977</v>
      </c>
    </row>
    <row r="888" spans="1:6" x14ac:dyDescent="0.25">
      <c r="A888" s="9">
        <v>191</v>
      </c>
      <c r="B888" s="19" t="s">
        <v>1038</v>
      </c>
      <c r="C888" s="21" t="s">
        <v>6</v>
      </c>
      <c r="D888" s="21" t="s">
        <v>6</v>
      </c>
      <c r="E888" s="97" t="s">
        <v>46</v>
      </c>
      <c r="F888" s="108">
        <v>45977</v>
      </c>
    </row>
    <row r="889" spans="1:6" x14ac:dyDescent="0.25">
      <c r="A889" s="9">
        <v>192</v>
      </c>
      <c r="B889" s="19" t="s">
        <v>1089</v>
      </c>
      <c r="C889" s="21" t="s">
        <v>6</v>
      </c>
      <c r="D889" s="21" t="s">
        <v>6</v>
      </c>
      <c r="E889" s="97" t="s">
        <v>46</v>
      </c>
      <c r="F889" s="108">
        <v>45984</v>
      </c>
    </row>
    <row r="890" spans="1:6" x14ac:dyDescent="0.25">
      <c r="A890" s="9">
        <v>193</v>
      </c>
      <c r="B890" s="19" t="s">
        <v>1103</v>
      </c>
      <c r="C890" s="21" t="s">
        <v>6</v>
      </c>
      <c r="D890" s="21" t="s">
        <v>6</v>
      </c>
      <c r="E890" s="97" t="s">
        <v>46</v>
      </c>
      <c r="F890" s="108">
        <v>45977</v>
      </c>
    </row>
    <row r="891" spans="1:6" x14ac:dyDescent="0.25">
      <c r="A891" s="9">
        <v>194</v>
      </c>
      <c r="B891" s="19" t="s">
        <v>1153</v>
      </c>
      <c r="C891" s="21" t="s">
        <v>6</v>
      </c>
      <c r="D891" s="21" t="s">
        <v>6</v>
      </c>
      <c r="E891" s="97" t="s">
        <v>46</v>
      </c>
      <c r="F891" s="108">
        <v>45984</v>
      </c>
    </row>
    <row r="892" spans="1:6" x14ac:dyDescent="0.25">
      <c r="A892" s="9">
        <v>195</v>
      </c>
      <c r="B892" s="19" t="s">
        <v>1131</v>
      </c>
      <c r="C892" s="21" t="s">
        <v>6</v>
      </c>
      <c r="D892" s="21" t="s">
        <v>6</v>
      </c>
      <c r="E892" s="97" t="s">
        <v>46</v>
      </c>
      <c r="F892" s="108">
        <v>46005</v>
      </c>
    </row>
    <row r="893" spans="1:6" x14ac:dyDescent="0.25">
      <c r="A893" s="9">
        <v>196</v>
      </c>
      <c r="B893" s="19" t="s">
        <v>1142</v>
      </c>
      <c r="C893" s="21" t="s">
        <v>6</v>
      </c>
      <c r="D893" s="21" t="s">
        <v>6</v>
      </c>
      <c r="E893" s="97" t="s">
        <v>46</v>
      </c>
      <c r="F893" s="108">
        <v>45977</v>
      </c>
    </row>
    <row r="894" spans="1:6" x14ac:dyDescent="0.25">
      <c r="A894" s="9">
        <v>197</v>
      </c>
      <c r="B894" s="19" t="s">
        <v>1144</v>
      </c>
      <c r="C894" s="21" t="s">
        <v>6</v>
      </c>
      <c r="D894" s="21" t="s">
        <v>6</v>
      </c>
      <c r="E894" s="97" t="s">
        <v>46</v>
      </c>
      <c r="F894" s="108">
        <v>45977</v>
      </c>
    </row>
    <row r="895" spans="1:6" x14ac:dyDescent="0.25">
      <c r="A895" s="9">
        <v>198</v>
      </c>
      <c r="B895" s="19" t="s">
        <v>701</v>
      </c>
      <c r="C895" s="21" t="s">
        <v>6</v>
      </c>
      <c r="D895" s="21" t="s">
        <v>6</v>
      </c>
      <c r="E895" s="97" t="s">
        <v>46</v>
      </c>
      <c r="F895" s="108">
        <v>45977</v>
      </c>
    </row>
    <row r="896" spans="1:6" x14ac:dyDescent="0.25">
      <c r="A896" s="9">
        <v>199</v>
      </c>
      <c r="B896" s="19" t="s">
        <v>1172</v>
      </c>
      <c r="C896" s="21" t="s">
        <v>6</v>
      </c>
      <c r="D896" s="21" t="s">
        <v>6</v>
      </c>
      <c r="E896" s="97" t="s">
        <v>46</v>
      </c>
      <c r="F896" s="108">
        <v>45984</v>
      </c>
    </row>
    <row r="897" spans="1:6" x14ac:dyDescent="0.25">
      <c r="A897" s="9">
        <v>200</v>
      </c>
      <c r="B897" s="19" t="s">
        <v>1148</v>
      </c>
      <c r="C897" s="21" t="s">
        <v>6</v>
      </c>
      <c r="D897" s="21" t="s">
        <v>6</v>
      </c>
      <c r="E897" s="97" t="s">
        <v>46</v>
      </c>
      <c r="F897" s="108">
        <v>45984</v>
      </c>
    </row>
    <row r="898" spans="1:6" x14ac:dyDescent="0.25">
      <c r="A898" s="9">
        <v>201</v>
      </c>
      <c r="B898" s="19" t="s">
        <v>1150</v>
      </c>
      <c r="C898" s="21" t="s">
        <v>6</v>
      </c>
      <c r="D898" s="21" t="s">
        <v>6</v>
      </c>
      <c r="E898" s="97" t="s">
        <v>46</v>
      </c>
      <c r="F898" s="108">
        <v>45977</v>
      </c>
    </row>
    <row r="899" spans="1:6" x14ac:dyDescent="0.25">
      <c r="A899" s="9">
        <v>202</v>
      </c>
      <c r="B899" s="19" t="s">
        <v>1151</v>
      </c>
      <c r="C899" s="21" t="s">
        <v>6</v>
      </c>
      <c r="D899" s="21" t="s">
        <v>6</v>
      </c>
      <c r="E899" s="97" t="s">
        <v>46</v>
      </c>
      <c r="F899" s="108">
        <v>45977</v>
      </c>
    </row>
    <row r="900" spans="1:6" x14ac:dyDescent="0.25">
      <c r="A900" s="9">
        <v>203</v>
      </c>
      <c r="B900" s="19" t="s">
        <v>1155</v>
      </c>
      <c r="C900" s="21" t="s">
        <v>6</v>
      </c>
      <c r="D900" s="21" t="s">
        <v>6</v>
      </c>
      <c r="E900" s="97" t="s">
        <v>46</v>
      </c>
      <c r="F900" s="108">
        <v>45984</v>
      </c>
    </row>
    <row r="901" spans="1:6" x14ac:dyDescent="0.25">
      <c r="A901" s="9">
        <v>204</v>
      </c>
      <c r="B901" s="19" t="s">
        <v>1158</v>
      </c>
      <c r="C901" s="21" t="s">
        <v>6</v>
      </c>
      <c r="D901" s="21" t="s">
        <v>6</v>
      </c>
      <c r="E901" s="97" t="s">
        <v>46</v>
      </c>
      <c r="F901" s="108">
        <v>45984</v>
      </c>
    </row>
    <row r="902" spans="1:6" x14ac:dyDescent="0.25">
      <c r="A902" s="9">
        <v>205</v>
      </c>
      <c r="B902" s="19" t="s">
        <v>1184</v>
      </c>
      <c r="C902" s="21" t="s">
        <v>6</v>
      </c>
      <c r="D902" s="21" t="s">
        <v>6</v>
      </c>
      <c r="E902" s="93" t="s">
        <v>153</v>
      </c>
      <c r="F902" s="108">
        <v>45984</v>
      </c>
    </row>
    <row r="903" spans="1:6" x14ac:dyDescent="0.25">
      <c r="A903" s="9">
        <v>206</v>
      </c>
      <c r="B903" s="19" t="s">
        <v>1185</v>
      </c>
      <c r="C903" s="21" t="s">
        <v>6</v>
      </c>
      <c r="D903" s="21" t="s">
        <v>6</v>
      </c>
      <c r="E903" s="93" t="s">
        <v>153</v>
      </c>
      <c r="F903" s="108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4" t="s">
        <v>43</v>
      </c>
      <c r="F904" s="109">
        <v>45998</v>
      </c>
    </row>
    <row r="905" spans="1:6" x14ac:dyDescent="0.25">
      <c r="A905" s="9">
        <v>208</v>
      </c>
      <c r="B905" s="8" t="s">
        <v>1100</v>
      </c>
      <c r="C905" s="21" t="s">
        <v>6</v>
      </c>
      <c r="D905" s="21" t="s">
        <v>6</v>
      </c>
      <c r="E905" s="94" t="s">
        <v>46</v>
      </c>
      <c r="F905" s="109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4" t="s">
        <v>46</v>
      </c>
      <c r="F906" s="108">
        <v>45992</v>
      </c>
    </row>
    <row r="907" spans="1:6" x14ac:dyDescent="0.25">
      <c r="A907" s="9">
        <v>210</v>
      </c>
      <c r="B907" s="8" t="s">
        <v>923</v>
      </c>
      <c r="C907" s="21" t="s">
        <v>6</v>
      </c>
      <c r="D907" s="21" t="s">
        <v>6</v>
      </c>
      <c r="E907" s="93" t="s">
        <v>46</v>
      </c>
      <c r="F907" s="108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3" t="s">
        <v>153</v>
      </c>
      <c r="F908" s="108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0" t="s">
        <v>393</v>
      </c>
      <c r="F909" s="108">
        <v>45992</v>
      </c>
    </row>
    <row r="910" spans="1:6" x14ac:dyDescent="0.25">
      <c r="A910" s="9">
        <v>213</v>
      </c>
      <c r="B910" s="40" t="s">
        <v>929</v>
      </c>
      <c r="C910" s="21" t="s">
        <v>6</v>
      </c>
      <c r="D910" s="21" t="s">
        <v>6</v>
      </c>
      <c r="E910" s="91" t="s">
        <v>346</v>
      </c>
      <c r="F910" s="108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1" t="s">
        <v>46</v>
      </c>
      <c r="F911" s="108">
        <v>46005</v>
      </c>
    </row>
    <row r="912" spans="1:6" x14ac:dyDescent="0.25">
      <c r="A912" s="9">
        <v>215</v>
      </c>
      <c r="B912" s="40" t="s">
        <v>643</v>
      </c>
      <c r="C912" s="21" t="s">
        <v>6</v>
      </c>
      <c r="D912" s="21" t="s">
        <v>6</v>
      </c>
      <c r="E912" s="91" t="s">
        <v>46</v>
      </c>
      <c r="F912" s="108">
        <v>45992</v>
      </c>
    </row>
    <row r="913" spans="1:6" x14ac:dyDescent="0.25">
      <c r="A913" s="9">
        <v>216</v>
      </c>
      <c r="B913" s="56" t="s">
        <v>1192</v>
      </c>
      <c r="C913" s="21" t="s">
        <v>6</v>
      </c>
      <c r="D913" s="21" t="s">
        <v>6</v>
      </c>
      <c r="E913" s="97" t="s">
        <v>46</v>
      </c>
      <c r="F913" s="108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97" t="s">
        <v>46</v>
      </c>
      <c r="F914" s="108">
        <v>46005</v>
      </c>
    </row>
    <row r="915" spans="1:6" x14ac:dyDescent="0.25">
      <c r="A915" s="9">
        <v>218</v>
      </c>
      <c r="B915" s="56" t="s">
        <v>851</v>
      </c>
      <c r="C915" s="21" t="s">
        <v>6</v>
      </c>
      <c r="D915" s="21" t="s">
        <v>6</v>
      </c>
      <c r="E915" s="97" t="s">
        <v>46</v>
      </c>
      <c r="F915" s="108">
        <v>46005</v>
      </c>
    </row>
    <row r="916" spans="1:6" x14ac:dyDescent="0.25">
      <c r="A916" s="9">
        <v>219</v>
      </c>
      <c r="B916" s="19" t="s">
        <v>971</v>
      </c>
      <c r="C916" s="21" t="s">
        <v>6</v>
      </c>
      <c r="D916" s="21" t="s">
        <v>6</v>
      </c>
      <c r="E916" s="97" t="s">
        <v>153</v>
      </c>
      <c r="F916" s="109">
        <v>45998</v>
      </c>
    </row>
    <row r="917" spans="1:6" x14ac:dyDescent="0.25">
      <c r="A917" s="9">
        <v>220</v>
      </c>
      <c r="B917" s="19" t="s">
        <v>969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221</v>
      </c>
      <c r="B918" s="19" t="s">
        <v>970</v>
      </c>
      <c r="C918" s="21" t="s">
        <v>6</v>
      </c>
      <c r="D918" s="21" t="s">
        <v>6</v>
      </c>
      <c r="E918" s="97" t="s">
        <v>46</v>
      </c>
      <c r="F918" s="109">
        <v>45998</v>
      </c>
    </row>
    <row r="919" spans="1:6" x14ac:dyDescent="0.25">
      <c r="A919" s="9">
        <v>222</v>
      </c>
      <c r="B919" s="19" t="s">
        <v>1234</v>
      </c>
      <c r="C919" s="21" t="s">
        <v>6</v>
      </c>
      <c r="D919" s="21" t="s">
        <v>6</v>
      </c>
      <c r="E919" s="97" t="s">
        <v>46</v>
      </c>
      <c r="F919" s="109">
        <v>45998</v>
      </c>
    </row>
    <row r="920" spans="1:6" x14ac:dyDescent="0.25">
      <c r="A920" s="9">
        <v>223</v>
      </c>
      <c r="B920" s="19" t="s">
        <v>1102</v>
      </c>
      <c r="C920" s="21" t="s">
        <v>6</v>
      </c>
      <c r="D920" s="21" t="s">
        <v>6</v>
      </c>
      <c r="E920" s="97" t="s">
        <v>46</v>
      </c>
      <c r="F920" s="108">
        <v>45992</v>
      </c>
    </row>
    <row r="921" spans="1:6" x14ac:dyDescent="0.25">
      <c r="A921" s="9">
        <v>224</v>
      </c>
      <c r="B921" s="19" t="s">
        <v>1195</v>
      </c>
      <c r="C921" s="21" t="s">
        <v>6</v>
      </c>
      <c r="D921" s="21" t="s">
        <v>6</v>
      </c>
      <c r="E921" s="93" t="s">
        <v>153</v>
      </c>
      <c r="F921" s="108">
        <v>45992</v>
      </c>
    </row>
    <row r="922" spans="1:6" x14ac:dyDescent="0.25">
      <c r="A922" s="9">
        <v>225</v>
      </c>
      <c r="B922" s="19" t="s">
        <v>1198</v>
      </c>
      <c r="C922" s="21" t="s">
        <v>6</v>
      </c>
      <c r="D922" s="21" t="s">
        <v>6</v>
      </c>
      <c r="E922" s="97" t="s">
        <v>46</v>
      </c>
      <c r="F922" s="108">
        <v>45992</v>
      </c>
    </row>
    <row r="923" spans="1:6" x14ac:dyDescent="0.25">
      <c r="A923" s="9">
        <v>226</v>
      </c>
      <c r="B923" s="19" t="s">
        <v>1199</v>
      </c>
      <c r="C923" s="21" t="s">
        <v>6</v>
      </c>
      <c r="D923" s="21" t="s">
        <v>6</v>
      </c>
      <c r="E923" s="97" t="s">
        <v>46</v>
      </c>
      <c r="F923" s="108">
        <v>45992</v>
      </c>
    </row>
    <row r="924" spans="1:6" x14ac:dyDescent="0.25">
      <c r="A924" s="9">
        <v>227</v>
      </c>
      <c r="B924" s="19" t="s">
        <v>1201</v>
      </c>
      <c r="C924" s="21" t="s">
        <v>6</v>
      </c>
      <c r="D924" s="21" t="s">
        <v>6</v>
      </c>
      <c r="E924" s="97" t="s">
        <v>46</v>
      </c>
      <c r="F924" s="108">
        <v>45992</v>
      </c>
    </row>
    <row r="925" spans="1:6" x14ac:dyDescent="0.25">
      <c r="A925" s="9">
        <v>228</v>
      </c>
      <c r="B925" s="19" t="s">
        <v>1202</v>
      </c>
      <c r="C925" s="21" t="s">
        <v>6</v>
      </c>
      <c r="D925" s="21" t="s">
        <v>6</v>
      </c>
      <c r="E925" s="97" t="s">
        <v>46</v>
      </c>
      <c r="F925" s="108">
        <v>45992</v>
      </c>
    </row>
    <row r="926" spans="1:6" x14ac:dyDescent="0.25">
      <c r="A926" s="9">
        <v>229</v>
      </c>
      <c r="B926" s="19" t="s">
        <v>1203</v>
      </c>
      <c r="C926" s="21" t="s">
        <v>6</v>
      </c>
      <c r="D926" s="21" t="s">
        <v>6</v>
      </c>
      <c r="E926" s="97" t="s">
        <v>46</v>
      </c>
      <c r="F926" s="108">
        <v>46005</v>
      </c>
    </row>
    <row r="927" spans="1:6" x14ac:dyDescent="0.25">
      <c r="A927" s="9">
        <v>230</v>
      </c>
      <c r="B927" s="19" t="s">
        <v>1205</v>
      </c>
      <c r="C927" s="21" t="s">
        <v>6</v>
      </c>
      <c r="D927" s="21" t="s">
        <v>6</v>
      </c>
      <c r="E927" s="97" t="s">
        <v>46</v>
      </c>
      <c r="F927" s="108">
        <v>46012</v>
      </c>
    </row>
    <row r="928" spans="1:6" x14ac:dyDescent="0.25">
      <c r="A928" s="9">
        <v>231</v>
      </c>
      <c r="B928" s="19" t="s">
        <v>1228</v>
      </c>
      <c r="C928" s="21" t="s">
        <v>6</v>
      </c>
      <c r="D928" s="21" t="s">
        <v>6</v>
      </c>
      <c r="E928" s="97" t="s">
        <v>46</v>
      </c>
      <c r="F928" s="109">
        <v>45998</v>
      </c>
    </row>
    <row r="929" spans="1:6" x14ac:dyDescent="0.25">
      <c r="A929" s="9">
        <v>232</v>
      </c>
      <c r="B929" s="19" t="s">
        <v>1229</v>
      </c>
      <c r="C929" s="21" t="s">
        <v>6</v>
      </c>
      <c r="D929" s="21" t="s">
        <v>6</v>
      </c>
      <c r="E929" s="97" t="s">
        <v>46</v>
      </c>
      <c r="F929" s="109">
        <v>45998</v>
      </c>
    </row>
    <row r="930" spans="1:6" x14ac:dyDescent="0.25">
      <c r="A930" s="9">
        <v>233</v>
      </c>
      <c r="B930" s="19" t="s">
        <v>1230</v>
      </c>
      <c r="C930" s="21" t="s">
        <v>6</v>
      </c>
      <c r="D930" s="21" t="s">
        <v>6</v>
      </c>
      <c r="E930" s="97" t="s">
        <v>46</v>
      </c>
      <c r="F930" s="109">
        <v>45998</v>
      </c>
    </row>
    <row r="931" spans="1:6" x14ac:dyDescent="0.25">
      <c r="A931" s="9">
        <v>234</v>
      </c>
      <c r="B931" s="19" t="s">
        <v>1239</v>
      </c>
      <c r="C931" s="21" t="s">
        <v>6</v>
      </c>
      <c r="D931" s="21" t="s">
        <v>6</v>
      </c>
      <c r="E931" s="97" t="s">
        <v>46</v>
      </c>
      <c r="F931" s="109">
        <v>45998</v>
      </c>
    </row>
    <row r="932" spans="1:6" x14ac:dyDescent="0.25">
      <c r="A932" s="9">
        <v>235</v>
      </c>
      <c r="B932" s="19" t="s">
        <v>1264</v>
      </c>
      <c r="C932" s="21" t="s">
        <v>6</v>
      </c>
      <c r="D932" s="21" t="s">
        <v>6</v>
      </c>
      <c r="E932" s="97" t="s">
        <v>46</v>
      </c>
      <c r="F932" s="108">
        <v>46005</v>
      </c>
    </row>
    <row r="933" spans="1:6" x14ac:dyDescent="0.25">
      <c r="A933" s="9">
        <v>236</v>
      </c>
      <c r="B933" s="19" t="s">
        <v>1266</v>
      </c>
      <c r="C933" s="21" t="s">
        <v>6</v>
      </c>
      <c r="D933" s="21" t="s">
        <v>6</v>
      </c>
      <c r="E933" s="97" t="s">
        <v>46</v>
      </c>
      <c r="F933" s="108">
        <v>46005</v>
      </c>
    </row>
    <row r="934" spans="1:6" x14ac:dyDescent="0.25">
      <c r="A934" s="9">
        <v>237</v>
      </c>
      <c r="B934" s="19" t="s">
        <v>1267</v>
      </c>
      <c r="C934" s="21" t="s">
        <v>6</v>
      </c>
      <c r="D934" s="21" t="s">
        <v>6</v>
      </c>
      <c r="E934" s="97" t="s">
        <v>46</v>
      </c>
      <c r="F934" s="108">
        <v>46005</v>
      </c>
    </row>
    <row r="935" spans="1:6" x14ac:dyDescent="0.25">
      <c r="A935" s="9">
        <v>238</v>
      </c>
      <c r="B935" s="19" t="s">
        <v>1268</v>
      </c>
      <c r="C935" s="21" t="s">
        <v>6</v>
      </c>
      <c r="D935" s="21" t="s">
        <v>6</v>
      </c>
      <c r="E935" s="97" t="s">
        <v>46</v>
      </c>
      <c r="F935" s="108">
        <v>46012</v>
      </c>
    </row>
    <row r="936" spans="1:6" x14ac:dyDescent="0.25">
      <c r="A936" s="9">
        <v>239</v>
      </c>
      <c r="B936" s="19" t="s">
        <v>1283</v>
      </c>
      <c r="C936" s="21" t="s">
        <v>6</v>
      </c>
      <c r="D936" s="21" t="s">
        <v>6</v>
      </c>
      <c r="E936" s="97" t="s">
        <v>46</v>
      </c>
      <c r="F936" s="108">
        <v>46012</v>
      </c>
    </row>
    <row r="937" spans="1:6" x14ac:dyDescent="0.25">
      <c r="A937" s="9">
        <v>240</v>
      </c>
      <c r="B937" s="19" t="s">
        <v>1284</v>
      </c>
      <c r="C937" s="21" t="s">
        <v>6</v>
      </c>
      <c r="D937" s="21" t="s">
        <v>6</v>
      </c>
      <c r="E937" s="97" t="s">
        <v>46</v>
      </c>
      <c r="F937" s="108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1" t="s">
        <v>46</v>
      </c>
      <c r="F938" s="108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1" t="s">
        <v>153</v>
      </c>
      <c r="F939" s="109">
        <v>45998</v>
      </c>
    </row>
    <row r="940" spans="1:6" x14ac:dyDescent="0.25">
      <c r="A940" s="9">
        <v>243</v>
      </c>
      <c r="B940" s="8" t="s">
        <v>1325</v>
      </c>
      <c r="C940" s="21" t="s">
        <v>6</v>
      </c>
      <c r="D940" s="21" t="s">
        <v>6</v>
      </c>
      <c r="E940" s="94" t="s">
        <v>46</v>
      </c>
      <c r="F940" s="108">
        <v>46023</v>
      </c>
    </row>
    <row r="941" spans="1:6" x14ac:dyDescent="0.25">
      <c r="A941" s="9">
        <v>244</v>
      </c>
      <c r="B941" s="40" t="s">
        <v>1671</v>
      </c>
      <c r="C941" s="21" t="s">
        <v>6</v>
      </c>
      <c r="D941" s="21" t="s">
        <v>6</v>
      </c>
      <c r="E941" s="91" t="s">
        <v>46</v>
      </c>
      <c r="F941" s="109">
        <v>46131</v>
      </c>
    </row>
    <row r="942" spans="1:6" x14ac:dyDescent="0.25">
      <c r="A942" s="9">
        <v>245</v>
      </c>
      <c r="B942" s="8" t="s">
        <v>1326</v>
      </c>
      <c r="C942" s="21" t="s">
        <v>6</v>
      </c>
      <c r="D942" s="21" t="s">
        <v>6</v>
      </c>
      <c r="E942" s="93" t="s">
        <v>46</v>
      </c>
      <c r="F942" s="108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3" t="s">
        <v>44</v>
      </c>
      <c r="F943" s="108">
        <v>46023</v>
      </c>
    </row>
    <row r="944" spans="1:6" x14ac:dyDescent="0.25">
      <c r="A944" s="9">
        <v>247</v>
      </c>
      <c r="B944" s="8" t="s">
        <v>1257</v>
      </c>
      <c r="C944" s="21" t="s">
        <v>6</v>
      </c>
      <c r="D944" s="21" t="s">
        <v>6</v>
      </c>
      <c r="E944" s="93" t="s">
        <v>46</v>
      </c>
      <c r="F944" s="108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4" t="s">
        <v>154</v>
      </c>
      <c r="F945" s="108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0" t="s">
        <v>41</v>
      </c>
      <c r="F946" s="108">
        <v>46023</v>
      </c>
    </row>
    <row r="947" spans="1:6" x14ac:dyDescent="0.25">
      <c r="A947" s="9">
        <v>250</v>
      </c>
      <c r="B947" s="56" t="s">
        <v>836</v>
      </c>
      <c r="C947" s="21" t="s">
        <v>6</v>
      </c>
      <c r="D947" s="21" t="s">
        <v>6</v>
      </c>
      <c r="E947" s="97" t="s">
        <v>153</v>
      </c>
      <c r="F947" s="108">
        <v>46023</v>
      </c>
    </row>
    <row r="948" spans="1:6" x14ac:dyDescent="0.25">
      <c r="A948" s="9">
        <v>251</v>
      </c>
      <c r="B948" s="19" t="s">
        <v>1329</v>
      </c>
      <c r="C948" s="21" t="s">
        <v>6</v>
      </c>
      <c r="D948" s="21" t="s">
        <v>6</v>
      </c>
      <c r="E948" s="97" t="s">
        <v>46</v>
      </c>
      <c r="F948" s="108">
        <v>46040</v>
      </c>
    </row>
    <row r="949" spans="1:6" x14ac:dyDescent="0.25">
      <c r="A949" s="9">
        <v>252</v>
      </c>
      <c r="B949" s="8" t="s">
        <v>1302</v>
      </c>
      <c r="C949" s="21" t="s">
        <v>6</v>
      </c>
      <c r="D949" s="21" t="s">
        <v>6</v>
      </c>
      <c r="E949" s="94" t="s">
        <v>46</v>
      </c>
      <c r="F949" s="108">
        <v>46023</v>
      </c>
    </row>
    <row r="950" spans="1:6" x14ac:dyDescent="0.25">
      <c r="A950" s="9">
        <v>253</v>
      </c>
      <c r="B950" s="19" t="s">
        <v>1315</v>
      </c>
      <c r="C950" s="21" t="s">
        <v>6</v>
      </c>
      <c r="D950" s="21" t="s">
        <v>6</v>
      </c>
      <c r="E950" s="97" t="s">
        <v>46</v>
      </c>
      <c r="F950" s="108">
        <v>46023</v>
      </c>
    </row>
    <row r="951" spans="1:6" x14ac:dyDescent="0.25">
      <c r="A951" s="9">
        <v>254</v>
      </c>
      <c r="B951" s="19" t="s">
        <v>1343</v>
      </c>
      <c r="C951" s="21" t="s">
        <v>6</v>
      </c>
      <c r="D951" s="21" t="s">
        <v>6</v>
      </c>
      <c r="E951" s="97" t="s">
        <v>46</v>
      </c>
      <c r="F951" s="108">
        <v>46040</v>
      </c>
    </row>
    <row r="952" spans="1:6" x14ac:dyDescent="0.25">
      <c r="A952" s="9">
        <v>255</v>
      </c>
      <c r="B952" s="19" t="s">
        <v>1194</v>
      </c>
      <c r="C952" s="21" t="s">
        <v>6</v>
      </c>
      <c r="D952" s="21" t="s">
        <v>6</v>
      </c>
      <c r="E952" s="93" t="s">
        <v>153</v>
      </c>
      <c r="F952" s="108">
        <v>46023</v>
      </c>
    </row>
    <row r="953" spans="1:6" x14ac:dyDescent="0.25">
      <c r="A953" s="9">
        <v>256</v>
      </c>
      <c r="B953" s="19" t="s">
        <v>1256</v>
      </c>
      <c r="C953" s="21" t="s">
        <v>6</v>
      </c>
      <c r="D953" s="21" t="s">
        <v>6</v>
      </c>
      <c r="E953" s="97" t="s">
        <v>46</v>
      </c>
      <c r="F953" s="108">
        <v>46023</v>
      </c>
    </row>
    <row r="954" spans="1:6" x14ac:dyDescent="0.25">
      <c r="A954" s="9">
        <v>257</v>
      </c>
      <c r="B954" s="19" t="s">
        <v>1303</v>
      </c>
      <c r="C954" s="21" t="s">
        <v>6</v>
      </c>
      <c r="D954" s="21" t="s">
        <v>6</v>
      </c>
      <c r="E954" s="97" t="s">
        <v>46</v>
      </c>
      <c r="F954" s="108">
        <v>46023</v>
      </c>
    </row>
    <row r="955" spans="1:6" x14ac:dyDescent="0.25">
      <c r="A955" s="9">
        <v>258</v>
      </c>
      <c r="B955" s="8" t="s">
        <v>1457</v>
      </c>
      <c r="C955" s="21" t="s">
        <v>6</v>
      </c>
      <c r="D955" s="21" t="s">
        <v>6</v>
      </c>
      <c r="E955" s="94" t="s">
        <v>346</v>
      </c>
      <c r="F955" s="109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29" t="s">
        <v>6</v>
      </c>
      <c r="E956" s="14" t="s">
        <v>46</v>
      </c>
      <c r="F956" s="38">
        <f t="shared" ref="F956:F962" ca="1" si="4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29" t="s">
        <v>6</v>
      </c>
      <c r="E957" s="14" t="s">
        <v>46</v>
      </c>
      <c r="F957" s="38">
        <f t="shared" ca="1" si="4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29" t="s">
        <v>6</v>
      </c>
      <c r="E958" s="14" t="s">
        <v>46</v>
      </c>
      <c r="F958" s="38">
        <f t="shared" ca="1" si="4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29" t="s">
        <v>6</v>
      </c>
      <c r="E959" s="14" t="s">
        <v>46</v>
      </c>
      <c r="F959" s="38">
        <f t="shared" ca="1" si="4"/>
        <v>46195</v>
      </c>
    </row>
    <row r="960" spans="1:6" x14ac:dyDescent="0.25">
      <c r="A960" s="9">
        <v>263</v>
      </c>
      <c r="B960" s="19" t="s">
        <v>1706</v>
      </c>
      <c r="C960" s="21" t="s">
        <v>6</v>
      </c>
      <c r="D960" s="129" t="s">
        <v>6</v>
      </c>
      <c r="E960" s="14" t="s">
        <v>46</v>
      </c>
      <c r="F960" s="38">
        <f t="shared" ca="1" si="4"/>
        <v>46195</v>
      </c>
    </row>
    <row r="961" spans="1:6" x14ac:dyDescent="0.25">
      <c r="A961" s="9">
        <v>264</v>
      </c>
      <c r="B961" s="8" t="s">
        <v>1758</v>
      </c>
      <c r="C961" s="21" t="s">
        <v>6</v>
      </c>
      <c r="D961" s="129" t="s">
        <v>6</v>
      </c>
      <c r="E961" s="14" t="s">
        <v>46</v>
      </c>
      <c r="F961" s="38">
        <f t="shared" ca="1" si="4"/>
        <v>46195</v>
      </c>
    </row>
    <row r="962" spans="1:6" x14ac:dyDescent="0.25">
      <c r="A962" s="9">
        <v>265</v>
      </c>
      <c r="B962" s="8" t="s">
        <v>1811</v>
      </c>
      <c r="C962" s="21" t="s">
        <v>6</v>
      </c>
      <c r="D962" s="129" t="s">
        <v>6</v>
      </c>
      <c r="E962" s="14" t="s">
        <v>46</v>
      </c>
      <c r="F962" s="38">
        <f t="shared" ca="1" si="4"/>
        <v>46195</v>
      </c>
    </row>
    <row r="963" spans="1:6" ht="15.75" x14ac:dyDescent="0.25">
      <c r="A963" s="9">
        <v>266</v>
      </c>
      <c r="B963" s="8" t="s">
        <v>1404</v>
      </c>
      <c r="C963" s="21" t="s">
        <v>6</v>
      </c>
      <c r="D963" s="21" t="s">
        <v>6</v>
      </c>
      <c r="E963" s="90" t="s">
        <v>46</v>
      </c>
      <c r="F963" s="108">
        <v>46055</v>
      </c>
    </row>
    <row r="964" spans="1:6" x14ac:dyDescent="0.25">
      <c r="A964" s="9">
        <v>267</v>
      </c>
      <c r="B964" s="19" t="s">
        <v>1263</v>
      </c>
      <c r="C964" s="21" t="s">
        <v>6</v>
      </c>
      <c r="D964" s="21" t="s">
        <v>6</v>
      </c>
      <c r="E964" s="97" t="s">
        <v>46</v>
      </c>
      <c r="F964" s="108">
        <v>46055</v>
      </c>
    </row>
    <row r="965" spans="1:6" ht="15.75" x14ac:dyDescent="0.25">
      <c r="A965" s="9">
        <v>268</v>
      </c>
      <c r="B965" s="8" t="s">
        <v>1297</v>
      </c>
      <c r="C965" s="21" t="s">
        <v>6</v>
      </c>
      <c r="D965" s="21" t="s">
        <v>6</v>
      </c>
      <c r="E965" s="90" t="s">
        <v>46</v>
      </c>
      <c r="F965" s="108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1" t="s">
        <v>153</v>
      </c>
      <c r="F966" s="108">
        <v>46061</v>
      </c>
    </row>
    <row r="967" spans="1:6" x14ac:dyDescent="0.25">
      <c r="A967" s="9">
        <v>270</v>
      </c>
      <c r="B967" s="8" t="s">
        <v>1299</v>
      </c>
      <c r="C967" s="21" t="s">
        <v>6</v>
      </c>
      <c r="D967" s="21" t="s">
        <v>6</v>
      </c>
      <c r="E967" s="94"/>
      <c r="F967" s="108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1" t="s">
        <v>46</v>
      </c>
      <c r="F968" s="108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4"/>
      <c r="F969" s="108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4" t="s">
        <v>46</v>
      </c>
      <c r="F970" s="108">
        <v>46061</v>
      </c>
    </row>
    <row r="971" spans="1:6" x14ac:dyDescent="0.25">
      <c r="A971" s="9">
        <v>274</v>
      </c>
      <c r="B971" s="49" t="s">
        <v>1035</v>
      </c>
      <c r="C971" s="21" t="s">
        <v>6</v>
      </c>
      <c r="D971" s="21" t="s">
        <v>6</v>
      </c>
      <c r="E971" s="91" t="s">
        <v>46</v>
      </c>
      <c r="F971" s="108">
        <v>46061</v>
      </c>
    </row>
    <row r="972" spans="1:6" x14ac:dyDescent="0.25">
      <c r="A972" s="9">
        <v>275</v>
      </c>
      <c r="B972" s="8" t="s">
        <v>1402</v>
      </c>
      <c r="C972" s="21" t="s">
        <v>6</v>
      </c>
      <c r="D972" s="21" t="s">
        <v>6</v>
      </c>
      <c r="E972" s="93" t="s">
        <v>46</v>
      </c>
      <c r="F972" s="108">
        <v>46055</v>
      </c>
    </row>
    <row r="973" spans="1:6" x14ac:dyDescent="0.25">
      <c r="A973" s="9">
        <v>276</v>
      </c>
      <c r="B973" s="8" t="s">
        <v>1403</v>
      </c>
      <c r="C973" s="21" t="s">
        <v>6</v>
      </c>
      <c r="D973" s="21" t="s">
        <v>6</v>
      </c>
      <c r="E973" s="94" t="s">
        <v>46</v>
      </c>
      <c r="F973" s="108">
        <v>46055</v>
      </c>
    </row>
    <row r="974" spans="1:6" x14ac:dyDescent="0.25">
      <c r="A974" s="9">
        <v>277</v>
      </c>
      <c r="B974" s="19" t="s">
        <v>1020</v>
      </c>
      <c r="C974" s="21" t="s">
        <v>6</v>
      </c>
      <c r="D974" s="21" t="s">
        <v>6</v>
      </c>
      <c r="E974" s="97" t="s">
        <v>46</v>
      </c>
      <c r="F974" s="108">
        <v>46055</v>
      </c>
    </row>
    <row r="975" spans="1:6" x14ac:dyDescent="0.25">
      <c r="A975" s="9">
        <v>278</v>
      </c>
      <c r="B975" s="8" t="s">
        <v>1327</v>
      </c>
      <c r="C975" s="21" t="s">
        <v>6</v>
      </c>
      <c r="D975" s="21" t="s">
        <v>6</v>
      </c>
      <c r="E975" s="93" t="s">
        <v>46</v>
      </c>
      <c r="F975" s="108">
        <v>46046</v>
      </c>
    </row>
    <row r="976" spans="1:6" x14ac:dyDescent="0.25">
      <c r="A976" s="9">
        <v>279</v>
      </c>
      <c r="B976" s="8" t="s">
        <v>1405</v>
      </c>
      <c r="C976" s="21" t="s">
        <v>6</v>
      </c>
      <c r="D976" s="21" t="s">
        <v>6</v>
      </c>
      <c r="E976" s="93" t="s">
        <v>46</v>
      </c>
      <c r="F976" s="108">
        <v>46055</v>
      </c>
    </row>
    <row r="977" spans="1:6" x14ac:dyDescent="0.25">
      <c r="A977" s="9">
        <v>280</v>
      </c>
      <c r="B977" s="19" t="s">
        <v>1407</v>
      </c>
      <c r="C977" s="21" t="s">
        <v>6</v>
      </c>
      <c r="D977" s="21" t="s">
        <v>6</v>
      </c>
      <c r="E977" s="97" t="s">
        <v>46</v>
      </c>
      <c r="F977" s="108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97" t="s">
        <v>46</v>
      </c>
      <c r="F978" s="108">
        <v>46046</v>
      </c>
    </row>
    <row r="979" spans="1:6" x14ac:dyDescent="0.25">
      <c r="A979" s="9">
        <v>282</v>
      </c>
      <c r="B979" s="19" t="s">
        <v>1348</v>
      </c>
      <c r="C979" s="21" t="s">
        <v>6</v>
      </c>
      <c r="D979" s="21" t="s">
        <v>6</v>
      </c>
      <c r="E979" s="97" t="s">
        <v>46</v>
      </c>
      <c r="F979" s="108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97" t="s">
        <v>46</v>
      </c>
      <c r="F980" s="108">
        <v>46046</v>
      </c>
    </row>
    <row r="981" spans="1:6" x14ac:dyDescent="0.25">
      <c r="A981" s="9">
        <v>284</v>
      </c>
      <c r="B981" s="19" t="s">
        <v>1376</v>
      </c>
      <c r="C981" s="21" t="s">
        <v>6</v>
      </c>
      <c r="D981" s="21" t="s">
        <v>6</v>
      </c>
      <c r="E981" s="97" t="s">
        <v>46</v>
      </c>
      <c r="F981" s="108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1" t="s">
        <v>46</v>
      </c>
      <c r="F982" s="108">
        <v>46055</v>
      </c>
    </row>
    <row r="983" spans="1:6" x14ac:dyDescent="0.25">
      <c r="A983" s="9">
        <v>286</v>
      </c>
      <c r="B983" s="19" t="s">
        <v>1390</v>
      </c>
      <c r="C983" s="21" t="s">
        <v>6</v>
      </c>
      <c r="D983" s="21" t="s">
        <v>6</v>
      </c>
      <c r="E983" s="97" t="s">
        <v>46</v>
      </c>
      <c r="F983" s="108">
        <v>46055</v>
      </c>
    </row>
    <row r="984" spans="1:6" x14ac:dyDescent="0.25">
      <c r="A984" s="9">
        <v>287</v>
      </c>
      <c r="B984" s="19" t="s">
        <v>1391</v>
      </c>
      <c r="C984" s="21" t="s">
        <v>6</v>
      </c>
      <c r="D984" s="21" t="s">
        <v>6</v>
      </c>
      <c r="E984" s="97" t="s">
        <v>46</v>
      </c>
      <c r="F984" s="108">
        <v>46055</v>
      </c>
    </row>
    <row r="985" spans="1:6" x14ac:dyDescent="0.25">
      <c r="A985" s="9">
        <v>288</v>
      </c>
      <c r="B985" s="19" t="s">
        <v>1421</v>
      </c>
      <c r="C985" s="21" t="s">
        <v>6</v>
      </c>
      <c r="D985" s="21" t="s">
        <v>6</v>
      </c>
      <c r="E985" s="97" t="s">
        <v>46</v>
      </c>
      <c r="F985" s="108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97" t="s">
        <v>46</v>
      </c>
      <c r="F986" s="108">
        <v>46089</v>
      </c>
    </row>
    <row r="987" spans="1:6" x14ac:dyDescent="0.25">
      <c r="A987" s="9">
        <v>290</v>
      </c>
      <c r="B987" s="19" t="s">
        <v>1423</v>
      </c>
      <c r="C987" s="21" t="s">
        <v>6</v>
      </c>
      <c r="D987" s="21" t="s">
        <v>6</v>
      </c>
      <c r="E987" s="97" t="s">
        <v>46</v>
      </c>
      <c r="F987" s="108">
        <v>46061</v>
      </c>
    </row>
    <row r="988" spans="1:6" x14ac:dyDescent="0.25">
      <c r="A988" s="9">
        <v>291</v>
      </c>
      <c r="B988" s="19" t="s">
        <v>1424</v>
      </c>
      <c r="C988" s="21" t="s">
        <v>6</v>
      </c>
      <c r="D988" s="21" t="s">
        <v>6</v>
      </c>
      <c r="E988" s="97" t="s">
        <v>46</v>
      </c>
      <c r="F988" s="108">
        <v>46061</v>
      </c>
    </row>
    <row r="989" spans="1:6" x14ac:dyDescent="0.25">
      <c r="A989" s="9">
        <v>292</v>
      </c>
      <c r="B989" s="19" t="s">
        <v>1441</v>
      </c>
      <c r="C989" s="21" t="s">
        <v>6</v>
      </c>
      <c r="D989" s="21" t="s">
        <v>6</v>
      </c>
      <c r="E989" s="97" t="s">
        <v>46</v>
      </c>
      <c r="F989" s="108">
        <v>46061</v>
      </c>
    </row>
    <row r="990" spans="1:6" x14ac:dyDescent="0.25">
      <c r="A990" s="9">
        <v>293</v>
      </c>
      <c r="B990" s="56" t="s">
        <v>922</v>
      </c>
      <c r="C990" s="21" t="s">
        <v>6</v>
      </c>
      <c r="D990" s="21" t="s">
        <v>6</v>
      </c>
      <c r="E990" s="97" t="s">
        <v>46</v>
      </c>
      <c r="F990" s="108">
        <v>46061</v>
      </c>
    </row>
    <row r="991" spans="1:6" x14ac:dyDescent="0.25">
      <c r="A991" s="9">
        <v>294</v>
      </c>
      <c r="B991" s="19" t="s">
        <v>1134</v>
      </c>
      <c r="C991" s="21" t="s">
        <v>6</v>
      </c>
      <c r="D991" s="21" t="s">
        <v>6</v>
      </c>
      <c r="E991" s="97" t="s">
        <v>46</v>
      </c>
      <c r="F991" s="108">
        <v>46061</v>
      </c>
    </row>
    <row r="992" spans="1:6" x14ac:dyDescent="0.25">
      <c r="A992" s="9">
        <v>295</v>
      </c>
      <c r="B992" s="19" t="s">
        <v>1587</v>
      </c>
      <c r="C992" s="21" t="s">
        <v>6</v>
      </c>
      <c r="D992" s="21" t="s">
        <v>6</v>
      </c>
      <c r="E992" s="97" t="s">
        <v>46</v>
      </c>
      <c r="F992" s="108">
        <v>46061</v>
      </c>
    </row>
    <row r="993" spans="1:6" x14ac:dyDescent="0.25">
      <c r="A993" s="9">
        <v>296</v>
      </c>
      <c r="B993" s="19" t="s">
        <v>1617</v>
      </c>
      <c r="C993" s="21" t="s">
        <v>6</v>
      </c>
      <c r="D993" s="21" t="s">
        <v>6</v>
      </c>
      <c r="E993" s="97" t="s">
        <v>46</v>
      </c>
      <c r="F993" s="108">
        <v>46061</v>
      </c>
    </row>
    <row r="994" spans="1:6" x14ac:dyDescent="0.25">
      <c r="A994" s="9">
        <v>297</v>
      </c>
      <c r="B994" s="19" t="s">
        <v>1200</v>
      </c>
      <c r="C994" s="21" t="s">
        <v>6</v>
      </c>
      <c r="D994" s="21" t="s">
        <v>6</v>
      </c>
      <c r="E994" s="97" t="s">
        <v>46</v>
      </c>
      <c r="F994" s="109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1" t="s">
        <v>46</v>
      </c>
      <c r="F995" s="108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1" t="s">
        <v>46</v>
      </c>
      <c r="F996" s="108">
        <v>46082</v>
      </c>
    </row>
    <row r="997" spans="1:6" ht="15.75" x14ac:dyDescent="0.25">
      <c r="A997" s="9">
        <v>300</v>
      </c>
      <c r="B997" s="40" t="s">
        <v>1053</v>
      </c>
      <c r="C997" s="21" t="s">
        <v>6</v>
      </c>
      <c r="D997" s="21" t="s">
        <v>6</v>
      </c>
      <c r="E997" s="92" t="s">
        <v>46</v>
      </c>
      <c r="F997" s="108">
        <v>46089</v>
      </c>
    </row>
    <row r="998" spans="1:6" x14ac:dyDescent="0.25">
      <c r="A998" s="9">
        <v>301</v>
      </c>
      <c r="B998" s="8" t="s">
        <v>1406</v>
      </c>
      <c r="C998" s="21" t="s">
        <v>6</v>
      </c>
      <c r="D998" s="21" t="s">
        <v>6</v>
      </c>
      <c r="E998" s="94" t="s">
        <v>265</v>
      </c>
      <c r="F998" s="108">
        <v>46075</v>
      </c>
    </row>
    <row r="999" spans="1:6" x14ac:dyDescent="0.25">
      <c r="A999" s="9">
        <v>302</v>
      </c>
      <c r="B999" s="19" t="s">
        <v>1265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303</v>
      </c>
      <c r="B1000" s="8" t="s">
        <v>1458</v>
      </c>
      <c r="C1000" s="21" t="s">
        <v>6</v>
      </c>
      <c r="D1000" s="21" t="s">
        <v>6</v>
      </c>
      <c r="E1000" s="93" t="s">
        <v>46</v>
      </c>
      <c r="F1000" s="109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3" t="s">
        <v>46</v>
      </c>
      <c r="F1001" s="108">
        <v>46089</v>
      </c>
    </row>
    <row r="1002" spans="1:6" x14ac:dyDescent="0.25">
      <c r="A1002" s="9">
        <v>305</v>
      </c>
      <c r="B1002" s="8" t="s">
        <v>1501</v>
      </c>
      <c r="C1002" s="21" t="s">
        <v>6</v>
      </c>
      <c r="D1002" s="21" t="s">
        <v>6</v>
      </c>
      <c r="E1002" s="93" t="s">
        <v>153</v>
      </c>
      <c r="F1002" s="108">
        <v>46082</v>
      </c>
    </row>
    <row r="1003" spans="1:6" x14ac:dyDescent="0.25">
      <c r="A1003" s="9">
        <v>306</v>
      </c>
      <c r="B1003" s="8" t="s">
        <v>1515</v>
      </c>
      <c r="C1003" s="21" t="s">
        <v>6</v>
      </c>
      <c r="D1003" s="21" t="s">
        <v>6</v>
      </c>
      <c r="E1003" s="93" t="s">
        <v>46</v>
      </c>
      <c r="F1003" s="108">
        <v>46082</v>
      </c>
    </row>
    <row r="1004" spans="1:6" x14ac:dyDescent="0.25">
      <c r="A1004" s="9">
        <v>307</v>
      </c>
      <c r="B1004" s="8" t="s">
        <v>780</v>
      </c>
      <c r="C1004" s="21" t="s">
        <v>6</v>
      </c>
      <c r="D1004" s="21" t="s">
        <v>6</v>
      </c>
      <c r="E1004" s="93" t="s">
        <v>46</v>
      </c>
      <c r="F1004" s="108">
        <v>46082</v>
      </c>
    </row>
    <row r="1005" spans="1:6" x14ac:dyDescent="0.25">
      <c r="A1005" s="9">
        <v>308</v>
      </c>
      <c r="B1005" s="8" t="s">
        <v>1422</v>
      </c>
      <c r="C1005" s="21" t="s">
        <v>6</v>
      </c>
      <c r="D1005" s="21" t="s">
        <v>6</v>
      </c>
      <c r="E1005" s="93" t="s">
        <v>46</v>
      </c>
      <c r="F1005" s="109">
        <v>46068</v>
      </c>
    </row>
    <row r="1006" spans="1:6" x14ac:dyDescent="0.25">
      <c r="A1006" s="9">
        <v>309</v>
      </c>
      <c r="B1006" s="56" t="s">
        <v>1460</v>
      </c>
      <c r="C1006" s="21" t="s">
        <v>6</v>
      </c>
      <c r="D1006" s="21" t="s">
        <v>6</v>
      </c>
      <c r="E1006" s="97" t="s">
        <v>153</v>
      </c>
      <c r="F1006" s="109">
        <v>46068</v>
      </c>
    </row>
    <row r="1007" spans="1:6" x14ac:dyDescent="0.25">
      <c r="A1007" s="9">
        <v>310</v>
      </c>
      <c r="B1007" s="19" t="s">
        <v>883</v>
      </c>
      <c r="C1007" s="21" t="s">
        <v>6</v>
      </c>
      <c r="D1007" s="21" t="s">
        <v>6</v>
      </c>
      <c r="E1007" s="97" t="s">
        <v>46</v>
      </c>
      <c r="F1007" s="108">
        <v>46075</v>
      </c>
    </row>
    <row r="1008" spans="1:6" x14ac:dyDescent="0.25">
      <c r="A1008" s="9">
        <v>311</v>
      </c>
      <c r="B1008" s="8" t="s">
        <v>1513</v>
      </c>
      <c r="C1008" s="21" t="s">
        <v>6</v>
      </c>
      <c r="D1008" s="21" t="s">
        <v>6</v>
      </c>
      <c r="E1008" s="94" t="s">
        <v>46</v>
      </c>
      <c r="F1008" s="108">
        <v>46082</v>
      </c>
    </row>
    <row r="1009" spans="1:6" x14ac:dyDescent="0.25">
      <c r="A1009" s="9">
        <v>312</v>
      </c>
      <c r="B1009" s="8" t="s">
        <v>1495</v>
      </c>
      <c r="C1009" s="21" t="s">
        <v>6</v>
      </c>
      <c r="D1009" s="21" t="s">
        <v>6</v>
      </c>
      <c r="E1009" s="94" t="s">
        <v>46</v>
      </c>
      <c r="F1009" s="108">
        <v>46075</v>
      </c>
    </row>
    <row r="1010" spans="1:6" x14ac:dyDescent="0.25">
      <c r="A1010" s="9">
        <v>313</v>
      </c>
      <c r="B1010" s="8" t="s">
        <v>1459</v>
      </c>
      <c r="C1010" s="21" t="s">
        <v>6</v>
      </c>
      <c r="D1010" s="21" t="s">
        <v>6</v>
      </c>
      <c r="E1010" s="94" t="s">
        <v>46</v>
      </c>
      <c r="F1010" s="109">
        <v>46068</v>
      </c>
    </row>
    <row r="1011" spans="1:6" x14ac:dyDescent="0.25">
      <c r="A1011" s="9">
        <v>314</v>
      </c>
      <c r="B1011" s="19" t="s">
        <v>1204</v>
      </c>
      <c r="C1011" s="21" t="s">
        <v>6</v>
      </c>
      <c r="D1011" s="21" t="s">
        <v>6</v>
      </c>
      <c r="E1011" s="97" t="s">
        <v>346</v>
      </c>
      <c r="F1011" s="108">
        <v>46075</v>
      </c>
    </row>
    <row r="1012" spans="1:6" x14ac:dyDescent="0.25">
      <c r="A1012" s="9">
        <v>315</v>
      </c>
      <c r="B1012" s="19" t="s">
        <v>1091</v>
      </c>
      <c r="C1012" s="21" t="s">
        <v>6</v>
      </c>
      <c r="D1012" s="21" t="s">
        <v>6</v>
      </c>
      <c r="E1012" s="97" t="s">
        <v>46</v>
      </c>
      <c r="F1012" s="108">
        <v>46075</v>
      </c>
    </row>
    <row r="1013" spans="1:6" x14ac:dyDescent="0.25">
      <c r="A1013" s="9">
        <v>316</v>
      </c>
      <c r="B1013" s="19" t="s">
        <v>1451</v>
      </c>
      <c r="C1013" s="21" t="s">
        <v>6</v>
      </c>
      <c r="D1013" s="21" t="s">
        <v>6</v>
      </c>
      <c r="E1013" s="97" t="s">
        <v>1452</v>
      </c>
      <c r="F1013" s="109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97" t="s">
        <v>46</v>
      </c>
      <c r="F1014" s="108">
        <v>46089</v>
      </c>
    </row>
    <row r="1015" spans="1:6" x14ac:dyDescent="0.25">
      <c r="A1015" s="9">
        <v>318</v>
      </c>
      <c r="B1015" s="19" t="s">
        <v>1511</v>
      </c>
      <c r="C1015" s="21" t="s">
        <v>6</v>
      </c>
      <c r="D1015" s="21" t="s">
        <v>6</v>
      </c>
      <c r="E1015" s="97" t="s">
        <v>46</v>
      </c>
      <c r="F1015" s="108">
        <v>46104</v>
      </c>
    </row>
    <row r="1016" spans="1:6" x14ac:dyDescent="0.25">
      <c r="A1016" s="9">
        <v>319</v>
      </c>
      <c r="B1016" s="19" t="s">
        <v>1442</v>
      </c>
      <c r="C1016" s="21" t="s">
        <v>6</v>
      </c>
      <c r="D1016" s="21" t="s">
        <v>6</v>
      </c>
      <c r="E1016" s="97" t="s">
        <v>46</v>
      </c>
      <c r="F1016" s="109">
        <v>46068</v>
      </c>
    </row>
    <row r="1017" spans="1:6" x14ac:dyDescent="0.25">
      <c r="A1017" s="9">
        <v>320</v>
      </c>
      <c r="B1017" s="19" t="s">
        <v>1494</v>
      </c>
      <c r="C1017" s="21" t="s">
        <v>6</v>
      </c>
      <c r="D1017" s="21" t="s">
        <v>6</v>
      </c>
      <c r="E1017" s="97" t="s">
        <v>46</v>
      </c>
      <c r="F1017" s="108">
        <v>46082</v>
      </c>
    </row>
    <row r="1018" spans="1:6" x14ac:dyDescent="0.25">
      <c r="A1018" s="9">
        <v>321</v>
      </c>
      <c r="B1018" s="19" t="s">
        <v>1512</v>
      </c>
      <c r="C1018" s="21" t="s">
        <v>6</v>
      </c>
      <c r="D1018" s="21" t="s">
        <v>6</v>
      </c>
      <c r="E1018" s="97" t="s">
        <v>46</v>
      </c>
      <c r="F1018" s="108">
        <v>46082</v>
      </c>
    </row>
    <row r="1019" spans="1:6" x14ac:dyDescent="0.25">
      <c r="A1019" s="9">
        <v>322</v>
      </c>
      <c r="B1019" s="19" t="s">
        <v>1493</v>
      </c>
      <c r="C1019" s="21" t="s">
        <v>6</v>
      </c>
      <c r="D1019" s="21" t="s">
        <v>6</v>
      </c>
      <c r="E1019" s="97" t="s">
        <v>46</v>
      </c>
      <c r="F1019" s="108">
        <v>46089</v>
      </c>
    </row>
    <row r="1020" spans="1:6" x14ac:dyDescent="0.25">
      <c r="A1020" s="9">
        <v>323</v>
      </c>
      <c r="B1020" s="19" t="s">
        <v>1544</v>
      </c>
      <c r="C1020" s="21" t="s">
        <v>6</v>
      </c>
      <c r="D1020" s="21" t="s">
        <v>6</v>
      </c>
      <c r="E1020" s="97" t="s">
        <v>46</v>
      </c>
      <c r="F1020" s="108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4" t="s">
        <v>41</v>
      </c>
      <c r="F1021" s="108">
        <v>46138</v>
      </c>
    </row>
    <row r="1022" spans="1:6" x14ac:dyDescent="0.25">
      <c r="A1022" s="9">
        <v>325</v>
      </c>
      <c r="B1022" s="8" t="s">
        <v>1635</v>
      </c>
      <c r="C1022" s="21" t="s">
        <v>6</v>
      </c>
      <c r="D1022" s="21" t="s">
        <v>6</v>
      </c>
      <c r="E1022" s="93" t="s">
        <v>46</v>
      </c>
      <c r="F1022" s="109">
        <v>46131</v>
      </c>
    </row>
    <row r="1023" spans="1:6" x14ac:dyDescent="0.25">
      <c r="A1023" s="9">
        <v>326</v>
      </c>
      <c r="B1023" s="8" t="s">
        <v>1636</v>
      </c>
      <c r="C1023" s="21" t="s">
        <v>6</v>
      </c>
      <c r="D1023" s="21" t="s">
        <v>6</v>
      </c>
      <c r="E1023" s="93" t="s">
        <v>46</v>
      </c>
      <c r="F1023" s="109">
        <v>46131</v>
      </c>
    </row>
    <row r="1024" spans="1:6" x14ac:dyDescent="0.25">
      <c r="A1024" s="9">
        <v>327</v>
      </c>
      <c r="B1024" s="19" t="s">
        <v>701</v>
      </c>
      <c r="C1024" s="21" t="s">
        <v>6</v>
      </c>
      <c r="D1024" s="21" t="s">
        <v>6</v>
      </c>
      <c r="E1024" s="91" t="s">
        <v>46</v>
      </c>
      <c r="F1024" s="108">
        <v>46104</v>
      </c>
    </row>
    <row r="1025" spans="1:6" x14ac:dyDescent="0.25">
      <c r="A1025" s="9">
        <v>328</v>
      </c>
      <c r="B1025" s="19" t="s">
        <v>1641</v>
      </c>
      <c r="C1025" s="21" t="s">
        <v>6</v>
      </c>
      <c r="D1025" s="21" t="s">
        <v>6</v>
      </c>
      <c r="E1025" s="97" t="s">
        <v>46</v>
      </c>
      <c r="F1025" s="109">
        <v>46131</v>
      </c>
    </row>
    <row r="1026" spans="1:6" x14ac:dyDescent="0.25">
      <c r="A1026" s="9">
        <v>329</v>
      </c>
      <c r="B1026" s="19" t="s">
        <v>1585</v>
      </c>
      <c r="C1026" s="21" t="s">
        <v>6</v>
      </c>
      <c r="D1026" s="21" t="s">
        <v>6</v>
      </c>
      <c r="E1026" s="97" t="s">
        <v>46</v>
      </c>
      <c r="F1026" s="108">
        <v>46138</v>
      </c>
    </row>
    <row r="1027" spans="1:6" x14ac:dyDescent="0.25">
      <c r="A1027" s="9">
        <v>330</v>
      </c>
      <c r="B1027" s="19" t="s">
        <v>1586</v>
      </c>
      <c r="C1027" s="21" t="s">
        <v>6</v>
      </c>
      <c r="D1027" s="21" t="s">
        <v>6</v>
      </c>
      <c r="E1027" s="97" t="s">
        <v>46</v>
      </c>
      <c r="F1027" s="108">
        <v>46138</v>
      </c>
    </row>
    <row r="1028" spans="1:6" x14ac:dyDescent="0.25">
      <c r="A1028" s="9">
        <v>331</v>
      </c>
      <c r="B1028" s="19" t="s">
        <v>1670</v>
      </c>
      <c r="C1028" s="21" t="s">
        <v>6</v>
      </c>
      <c r="D1028" s="21" t="s">
        <v>6</v>
      </c>
      <c r="E1028" s="97" t="s">
        <v>46</v>
      </c>
      <c r="F1028" s="108">
        <v>46138</v>
      </c>
    </row>
    <row r="1029" spans="1:6" x14ac:dyDescent="0.25">
      <c r="A1029" s="9">
        <v>332</v>
      </c>
      <c r="B1029" s="19" t="s">
        <v>1588</v>
      </c>
      <c r="C1029" s="21" t="s">
        <v>6</v>
      </c>
      <c r="D1029" s="21" t="s">
        <v>6</v>
      </c>
      <c r="E1029" s="97" t="s">
        <v>46</v>
      </c>
      <c r="F1029" s="108">
        <v>46104</v>
      </c>
    </row>
    <row r="1030" spans="1:6" x14ac:dyDescent="0.25">
      <c r="A1030" s="9">
        <v>333</v>
      </c>
      <c r="B1030" s="19" t="s">
        <v>1655</v>
      </c>
      <c r="C1030" s="21" t="s">
        <v>6</v>
      </c>
      <c r="D1030" s="21" t="s">
        <v>6</v>
      </c>
      <c r="E1030" s="97" t="s">
        <v>46</v>
      </c>
      <c r="F1030" s="109">
        <v>46131</v>
      </c>
    </row>
    <row r="1031" spans="1:6" x14ac:dyDescent="0.25">
      <c r="A1031" s="9">
        <v>334</v>
      </c>
      <c r="B1031" s="19" t="s">
        <v>1677</v>
      </c>
      <c r="C1031" s="21" t="s">
        <v>6</v>
      </c>
      <c r="D1031" s="21" t="s">
        <v>6</v>
      </c>
      <c r="E1031" s="97" t="s">
        <v>46</v>
      </c>
      <c r="F1031" s="109">
        <v>46131</v>
      </c>
    </row>
    <row r="1032" spans="1:6" x14ac:dyDescent="0.25">
      <c r="A1032" s="9">
        <v>335</v>
      </c>
      <c r="B1032" s="19" t="s">
        <v>1678</v>
      </c>
      <c r="C1032" s="21" t="s">
        <v>6</v>
      </c>
      <c r="D1032" s="21" t="s">
        <v>6</v>
      </c>
      <c r="E1032" s="97" t="s">
        <v>46</v>
      </c>
      <c r="F1032" s="109">
        <v>46131</v>
      </c>
    </row>
    <row r="1033" spans="1:6" x14ac:dyDescent="0.25">
      <c r="A1033" s="9">
        <v>336</v>
      </c>
      <c r="B1033" s="19" t="s">
        <v>1240</v>
      </c>
      <c r="C1033" s="21" t="s">
        <v>6</v>
      </c>
      <c r="D1033" s="129" t="s">
        <v>6</v>
      </c>
      <c r="E1033" s="130" t="s">
        <v>46</v>
      </c>
      <c r="F1033" s="38">
        <f t="shared" ref="F1033:F1038" ca="1" si="5">IF(AND(C1033="NO",D1033="NO"),IF(F1033="",TODAY(),F1033),"")</f>
        <v>46177</v>
      </c>
    </row>
    <row r="1034" spans="1:6" x14ac:dyDescent="0.25">
      <c r="A1034" s="9">
        <v>337</v>
      </c>
      <c r="B1034" s="19" t="s">
        <v>1516</v>
      </c>
      <c r="C1034" s="21" t="s">
        <v>6</v>
      </c>
      <c r="D1034" s="129" t="s">
        <v>6</v>
      </c>
      <c r="E1034" s="130" t="s">
        <v>153</v>
      </c>
      <c r="F1034" s="38">
        <f t="shared" ca="1" si="5"/>
        <v>46177</v>
      </c>
    </row>
    <row r="1035" spans="1:6" x14ac:dyDescent="0.25">
      <c r="A1035" s="9">
        <v>338</v>
      </c>
      <c r="B1035" s="19" t="s">
        <v>1088</v>
      </c>
      <c r="C1035" s="21" t="s">
        <v>6</v>
      </c>
      <c r="D1035" s="129" t="s">
        <v>6</v>
      </c>
      <c r="E1035" s="130" t="s">
        <v>46</v>
      </c>
      <c r="F1035" s="38">
        <f t="shared" ca="1" si="5"/>
        <v>46188</v>
      </c>
    </row>
    <row r="1036" spans="1:6" x14ac:dyDescent="0.25">
      <c r="A1036" s="9">
        <v>339</v>
      </c>
      <c r="B1036" s="19" t="s">
        <v>294</v>
      </c>
      <c r="C1036" s="21" t="s">
        <v>6</v>
      </c>
      <c r="D1036" s="129" t="s">
        <v>6</v>
      </c>
      <c r="E1036" s="130" t="s">
        <v>46</v>
      </c>
      <c r="F1036" s="38">
        <f t="shared" ca="1" si="5"/>
        <v>46188</v>
      </c>
    </row>
    <row r="1037" spans="1:6" x14ac:dyDescent="0.25">
      <c r="A1037" s="9">
        <v>340</v>
      </c>
      <c r="B1037" s="8" t="s">
        <v>287</v>
      </c>
      <c r="C1037" s="21" t="s">
        <v>6</v>
      </c>
      <c r="D1037" s="129" t="s">
        <v>6</v>
      </c>
      <c r="E1037" s="131" t="s">
        <v>153</v>
      </c>
      <c r="F1037" s="38">
        <f t="shared" ca="1" si="5"/>
        <v>46188</v>
      </c>
    </row>
    <row r="1038" spans="1:6" x14ac:dyDescent="0.25">
      <c r="A1038" s="9">
        <v>341</v>
      </c>
      <c r="B1038" s="8" t="s">
        <v>1832</v>
      </c>
      <c r="C1038" s="21" t="s">
        <v>6</v>
      </c>
      <c r="D1038" s="129" t="s">
        <v>6</v>
      </c>
      <c r="E1038" s="133" t="s">
        <v>46</v>
      </c>
      <c r="F1038" s="38">
        <f t="shared" ca="1" si="5"/>
        <v>46188</v>
      </c>
    </row>
    <row r="1040" spans="1:6" x14ac:dyDescent="0.25">
      <c r="A1040" s="106" t="s">
        <v>1927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4" t="s">
        <v>40</v>
      </c>
      <c r="F1041" s="108">
        <v>46145</v>
      </c>
    </row>
    <row r="1042" spans="1:6" ht="15.75" x14ac:dyDescent="0.25">
      <c r="A1042" s="9">
        <v>2</v>
      </c>
      <c r="B1042" s="40" t="s">
        <v>1313</v>
      </c>
      <c r="C1042" s="21" t="s">
        <v>6</v>
      </c>
      <c r="D1042" s="21" t="s">
        <v>6</v>
      </c>
      <c r="E1042" s="92" t="s">
        <v>46</v>
      </c>
      <c r="F1042" s="108">
        <v>46145</v>
      </c>
    </row>
    <row r="1043" spans="1:6" x14ac:dyDescent="0.25">
      <c r="A1043" s="9">
        <v>3</v>
      </c>
      <c r="B1043" s="40" t="s">
        <v>1409</v>
      </c>
      <c r="C1043" s="21" t="s">
        <v>6</v>
      </c>
      <c r="D1043" s="21" t="s">
        <v>6</v>
      </c>
      <c r="E1043" s="91" t="s">
        <v>46</v>
      </c>
      <c r="F1043" s="108">
        <v>46152</v>
      </c>
    </row>
    <row r="1044" spans="1:6" ht="15.75" x14ac:dyDescent="0.25">
      <c r="A1044" s="9">
        <v>4</v>
      </c>
      <c r="B1044" s="40" t="s">
        <v>914</v>
      </c>
      <c r="C1044" s="21" t="s">
        <v>6</v>
      </c>
      <c r="D1044" s="21" t="s">
        <v>6</v>
      </c>
      <c r="E1044" s="92" t="s">
        <v>46</v>
      </c>
      <c r="F1044" s="108">
        <v>46152</v>
      </c>
    </row>
    <row r="1045" spans="1:6" x14ac:dyDescent="0.25">
      <c r="A1045" s="9">
        <v>5</v>
      </c>
      <c r="B1045" s="40" t="s">
        <v>1310</v>
      </c>
      <c r="C1045" s="21" t="s">
        <v>6</v>
      </c>
      <c r="D1045" s="21" t="s">
        <v>6</v>
      </c>
      <c r="E1045" s="91" t="s">
        <v>46</v>
      </c>
      <c r="F1045" s="108">
        <v>46152</v>
      </c>
    </row>
    <row r="1046" spans="1:6" x14ac:dyDescent="0.25">
      <c r="A1046" s="9">
        <v>6</v>
      </c>
      <c r="B1046" s="40" t="s">
        <v>1689</v>
      </c>
      <c r="C1046" s="21" t="s">
        <v>6</v>
      </c>
      <c r="D1046" s="21" t="s">
        <v>6</v>
      </c>
      <c r="E1046" s="94" t="s">
        <v>46</v>
      </c>
      <c r="F1046" s="108">
        <v>46152</v>
      </c>
    </row>
    <row r="1047" spans="1:6" x14ac:dyDescent="0.25">
      <c r="A1047" s="9">
        <v>7</v>
      </c>
      <c r="B1047" s="40" t="s">
        <v>1705</v>
      </c>
      <c r="C1047" s="21" t="s">
        <v>6</v>
      </c>
      <c r="D1047" s="21" t="s">
        <v>6</v>
      </c>
      <c r="E1047" s="94" t="s">
        <v>46</v>
      </c>
      <c r="F1047" s="108">
        <v>46152</v>
      </c>
    </row>
    <row r="1048" spans="1:6" x14ac:dyDescent="0.25">
      <c r="A1048" s="9">
        <v>8</v>
      </c>
      <c r="B1048" s="8" t="s">
        <v>1625</v>
      </c>
      <c r="C1048" s="21" t="s">
        <v>6</v>
      </c>
      <c r="D1048" s="21" t="s">
        <v>6</v>
      </c>
      <c r="E1048" s="94" t="s">
        <v>46</v>
      </c>
      <c r="F1048" s="108">
        <v>46159</v>
      </c>
    </row>
    <row r="1049" spans="1:6" ht="15.75" x14ac:dyDescent="0.25">
      <c r="A1049" s="9">
        <v>9</v>
      </c>
      <c r="B1049" s="40" t="s">
        <v>1312</v>
      </c>
      <c r="C1049" s="21" t="s">
        <v>6</v>
      </c>
      <c r="D1049" s="21" t="s">
        <v>6</v>
      </c>
      <c r="E1049" s="92" t="s">
        <v>46</v>
      </c>
      <c r="F1049" s="108">
        <v>46159</v>
      </c>
    </row>
    <row r="1050" spans="1:6" ht="15.75" x14ac:dyDescent="0.25">
      <c r="A1050" s="9">
        <v>10</v>
      </c>
      <c r="B1050" s="40" t="s">
        <v>985</v>
      </c>
      <c r="C1050" s="21" t="s">
        <v>6</v>
      </c>
      <c r="D1050" s="21" t="s">
        <v>6</v>
      </c>
      <c r="E1050" s="92" t="s">
        <v>46</v>
      </c>
      <c r="F1050" s="108">
        <v>46159</v>
      </c>
    </row>
    <row r="1051" spans="1:6" x14ac:dyDescent="0.25">
      <c r="A1051" s="9">
        <v>11</v>
      </c>
      <c r="B1051" s="40" t="s">
        <v>642</v>
      </c>
      <c r="C1051" s="21" t="s">
        <v>6</v>
      </c>
      <c r="D1051" s="21" t="s">
        <v>6</v>
      </c>
      <c r="E1051" s="91" t="s">
        <v>46</v>
      </c>
      <c r="F1051" s="108">
        <v>46159</v>
      </c>
    </row>
    <row r="1052" spans="1:6" ht="14.25" customHeight="1" x14ac:dyDescent="0.25">
      <c r="A1052" s="9">
        <v>12</v>
      </c>
      <c r="B1052" s="40" t="s">
        <v>1652</v>
      </c>
      <c r="C1052" s="21" t="s">
        <v>6</v>
      </c>
      <c r="D1052" s="21" t="s">
        <v>6</v>
      </c>
      <c r="E1052" s="91" t="s">
        <v>346</v>
      </c>
      <c r="F1052" s="108">
        <v>46159</v>
      </c>
    </row>
    <row r="1053" spans="1:6" x14ac:dyDescent="0.25">
      <c r="A1053" s="9">
        <v>13</v>
      </c>
      <c r="B1053" s="40" t="s">
        <v>1731</v>
      </c>
      <c r="C1053" s="21" t="s">
        <v>6</v>
      </c>
      <c r="D1053" s="21" t="s">
        <v>6</v>
      </c>
      <c r="E1053" s="94" t="s">
        <v>46</v>
      </c>
      <c r="F1053" s="108">
        <v>46159</v>
      </c>
    </row>
    <row r="1054" spans="1:6" x14ac:dyDescent="0.25">
      <c r="A1054" s="9">
        <v>14</v>
      </c>
      <c r="B1054" s="40" t="s">
        <v>1733</v>
      </c>
      <c r="C1054" s="21" t="s">
        <v>6</v>
      </c>
      <c r="D1054" s="21" t="s">
        <v>6</v>
      </c>
      <c r="E1054" s="94" t="s">
        <v>46</v>
      </c>
      <c r="F1054" s="108">
        <v>46159</v>
      </c>
    </row>
    <row r="1055" spans="1:6" ht="15.75" x14ac:dyDescent="0.25">
      <c r="A1055" s="9">
        <v>15</v>
      </c>
      <c r="B1055" s="87" t="s">
        <v>422</v>
      </c>
      <c r="C1055" s="88" t="s">
        <v>6</v>
      </c>
      <c r="D1055" s="88" t="s">
        <v>6</v>
      </c>
      <c r="E1055" s="89" t="s">
        <v>46</v>
      </c>
      <c r="F1055" s="108">
        <v>45837</v>
      </c>
    </row>
    <row r="1056" spans="1:6" ht="15.75" x14ac:dyDescent="0.25">
      <c r="A1056" s="9">
        <v>16</v>
      </c>
      <c r="B1056" s="19" t="s">
        <v>349</v>
      </c>
      <c r="C1056" s="21" t="s">
        <v>6</v>
      </c>
      <c r="D1056" s="21" t="s">
        <v>6</v>
      </c>
      <c r="E1056" s="90" t="s">
        <v>40</v>
      </c>
      <c r="F1056" s="108">
        <v>45837</v>
      </c>
    </row>
    <row r="1057" spans="1:6" x14ac:dyDescent="0.25">
      <c r="A1057" s="9">
        <v>17</v>
      </c>
      <c r="B1057" s="19" t="s">
        <v>331</v>
      </c>
      <c r="C1057" s="21" t="s">
        <v>6</v>
      </c>
      <c r="D1057" s="21" t="s">
        <v>6</v>
      </c>
      <c r="E1057" s="91" t="s">
        <v>44</v>
      </c>
      <c r="F1057" s="108">
        <v>45837</v>
      </c>
    </row>
    <row r="1058" spans="1:6" ht="15.75" x14ac:dyDescent="0.25">
      <c r="A1058" s="9">
        <v>18</v>
      </c>
      <c r="B1058" s="40" t="s">
        <v>471</v>
      </c>
      <c r="C1058" s="21" t="s">
        <v>6</v>
      </c>
      <c r="D1058" s="21" t="s">
        <v>6</v>
      </c>
      <c r="E1058" s="92" t="s">
        <v>46</v>
      </c>
      <c r="F1058" s="108">
        <v>45845</v>
      </c>
    </row>
    <row r="1059" spans="1:6" ht="15.75" x14ac:dyDescent="0.25">
      <c r="A1059" s="9">
        <v>19</v>
      </c>
      <c r="B1059" s="40" t="s">
        <v>474</v>
      </c>
      <c r="C1059" s="21" t="s">
        <v>6</v>
      </c>
      <c r="D1059" s="21" t="s">
        <v>6</v>
      </c>
      <c r="E1059" s="92" t="s">
        <v>46</v>
      </c>
      <c r="F1059" s="108">
        <v>45845</v>
      </c>
    </row>
    <row r="1060" spans="1:6" ht="15.75" x14ac:dyDescent="0.25">
      <c r="A1060" s="9">
        <v>20</v>
      </c>
      <c r="B1060" s="40" t="s">
        <v>476</v>
      </c>
      <c r="C1060" s="21" t="s">
        <v>6</v>
      </c>
      <c r="D1060" s="21" t="s">
        <v>6</v>
      </c>
      <c r="E1060" s="92" t="s">
        <v>46</v>
      </c>
      <c r="F1060" s="108">
        <v>45845</v>
      </c>
    </row>
    <row r="1061" spans="1:6" x14ac:dyDescent="0.25">
      <c r="A1061" s="9">
        <v>21</v>
      </c>
      <c r="B1061" s="40" t="s">
        <v>507</v>
      </c>
      <c r="C1061" s="21" t="s">
        <v>6</v>
      </c>
      <c r="D1061" s="21" t="s">
        <v>6</v>
      </c>
      <c r="E1061" s="93" t="s">
        <v>154</v>
      </c>
      <c r="F1061" s="108">
        <v>45845</v>
      </c>
    </row>
    <row r="1062" spans="1:6" x14ac:dyDescent="0.25">
      <c r="A1062" s="9">
        <v>22</v>
      </c>
      <c r="B1062" s="8" t="s">
        <v>239</v>
      </c>
      <c r="C1062" s="21" t="s">
        <v>6</v>
      </c>
      <c r="D1062" s="21" t="s">
        <v>6</v>
      </c>
      <c r="E1062" s="94" t="s">
        <v>44</v>
      </c>
      <c r="F1062" s="108">
        <v>45866</v>
      </c>
    </row>
    <row r="1063" spans="1:6" x14ac:dyDescent="0.25">
      <c r="A1063" s="9">
        <v>23</v>
      </c>
      <c r="B1063" s="19" t="s">
        <v>323</v>
      </c>
      <c r="C1063" s="21" t="s">
        <v>6</v>
      </c>
      <c r="D1063" s="21" t="s">
        <v>6</v>
      </c>
      <c r="E1063" s="91" t="s">
        <v>44</v>
      </c>
      <c r="F1063" s="108">
        <v>45859</v>
      </c>
    </row>
    <row r="1064" spans="1:6" ht="15.75" x14ac:dyDescent="0.25">
      <c r="A1064" s="9">
        <v>24</v>
      </c>
      <c r="B1064" s="40" t="s">
        <v>401</v>
      </c>
      <c r="C1064" s="21" t="s">
        <v>6</v>
      </c>
      <c r="D1064" s="21" t="s">
        <v>6</v>
      </c>
      <c r="E1064" s="92" t="s">
        <v>46</v>
      </c>
      <c r="F1064" s="108">
        <v>45859</v>
      </c>
    </row>
    <row r="1065" spans="1:6" ht="15.75" x14ac:dyDescent="0.25">
      <c r="A1065" s="9">
        <v>25</v>
      </c>
      <c r="B1065" s="40" t="s">
        <v>472</v>
      </c>
      <c r="C1065" s="21" t="s">
        <v>6</v>
      </c>
      <c r="D1065" s="21" t="s">
        <v>6</v>
      </c>
      <c r="E1065" s="92" t="s">
        <v>46</v>
      </c>
      <c r="F1065" s="108">
        <v>45859</v>
      </c>
    </row>
    <row r="1066" spans="1:6" x14ac:dyDescent="0.25">
      <c r="A1066" s="9">
        <v>26</v>
      </c>
      <c r="B1066" s="40" t="s">
        <v>508</v>
      </c>
      <c r="C1066" s="21" t="s">
        <v>6</v>
      </c>
      <c r="D1066" s="21" t="s">
        <v>6</v>
      </c>
      <c r="E1066" s="93" t="s">
        <v>154</v>
      </c>
      <c r="F1066" s="108">
        <v>45859</v>
      </c>
    </row>
    <row r="1067" spans="1:6" ht="15.75" x14ac:dyDescent="0.25">
      <c r="A1067" s="9">
        <v>27</v>
      </c>
      <c r="B1067" s="40" t="s">
        <v>606</v>
      </c>
      <c r="C1067" s="21" t="s">
        <v>6</v>
      </c>
      <c r="D1067" s="21" t="s">
        <v>6</v>
      </c>
      <c r="E1067" s="92" t="s">
        <v>46</v>
      </c>
      <c r="F1067" s="108">
        <v>45866</v>
      </c>
    </row>
    <row r="1068" spans="1:6" x14ac:dyDescent="0.25">
      <c r="A1068" s="9">
        <v>28</v>
      </c>
      <c r="B1068" s="40" t="s">
        <v>389</v>
      </c>
      <c r="C1068" s="21" t="s">
        <v>6</v>
      </c>
      <c r="D1068" s="21" t="s">
        <v>6</v>
      </c>
      <c r="E1068" s="91" t="s">
        <v>46</v>
      </c>
      <c r="F1068" s="108">
        <v>45866</v>
      </c>
    </row>
    <row r="1069" spans="1:6" x14ac:dyDescent="0.25">
      <c r="A1069" s="9">
        <v>29</v>
      </c>
      <c r="B1069" s="8" t="s">
        <v>583</v>
      </c>
      <c r="C1069" s="21" t="s">
        <v>6</v>
      </c>
      <c r="D1069" s="21" t="s">
        <v>6</v>
      </c>
      <c r="E1069" s="94" t="s">
        <v>561</v>
      </c>
      <c r="F1069" s="108">
        <v>45866</v>
      </c>
    </row>
    <row r="1070" spans="1:6" x14ac:dyDescent="0.25">
      <c r="A1070" s="9">
        <v>30</v>
      </c>
      <c r="B1070" s="40" t="s">
        <v>511</v>
      </c>
      <c r="C1070" s="21" t="s">
        <v>6</v>
      </c>
      <c r="D1070" s="21" t="s">
        <v>6</v>
      </c>
      <c r="E1070" s="93" t="s">
        <v>154</v>
      </c>
      <c r="F1070" s="108">
        <v>45859</v>
      </c>
    </row>
    <row r="1071" spans="1:6" ht="15.75" x14ac:dyDescent="0.25">
      <c r="A1071" s="9">
        <v>31</v>
      </c>
      <c r="B1071" s="40" t="s">
        <v>523</v>
      </c>
      <c r="C1071" s="21" t="s">
        <v>6</v>
      </c>
      <c r="D1071" s="21" t="s">
        <v>6</v>
      </c>
      <c r="E1071" s="92" t="s">
        <v>46</v>
      </c>
      <c r="F1071" s="108">
        <v>45859</v>
      </c>
    </row>
    <row r="1072" spans="1:6" ht="15.75" x14ac:dyDescent="0.25">
      <c r="A1072" s="9">
        <v>32</v>
      </c>
      <c r="B1072" s="40" t="s">
        <v>556</v>
      </c>
      <c r="C1072" s="21" t="s">
        <v>6</v>
      </c>
      <c r="D1072" s="21" t="s">
        <v>6</v>
      </c>
      <c r="E1072" s="92" t="s">
        <v>46</v>
      </c>
      <c r="F1072" s="108">
        <v>45866</v>
      </c>
    </row>
    <row r="1073" spans="1:6" ht="15.75" x14ac:dyDescent="0.25">
      <c r="A1073" s="9">
        <v>33</v>
      </c>
      <c r="B1073" s="40" t="s">
        <v>981</v>
      </c>
      <c r="C1073" s="21" t="s">
        <v>6</v>
      </c>
      <c r="D1073" s="21" t="s">
        <v>6</v>
      </c>
      <c r="E1073" s="92" t="s">
        <v>46</v>
      </c>
      <c r="F1073" s="108">
        <v>46023</v>
      </c>
    </row>
    <row r="1074" spans="1:6" x14ac:dyDescent="0.25">
      <c r="A1074" s="9">
        <v>34</v>
      </c>
      <c r="B1074" s="8" t="s">
        <v>39</v>
      </c>
      <c r="C1074" s="21" t="s">
        <v>6</v>
      </c>
      <c r="D1074" s="21" t="s">
        <v>6</v>
      </c>
      <c r="E1074" s="93" t="s">
        <v>346</v>
      </c>
      <c r="F1074" s="108">
        <v>45886</v>
      </c>
    </row>
    <row r="1075" spans="1:6" x14ac:dyDescent="0.25">
      <c r="A1075" s="9">
        <v>35</v>
      </c>
      <c r="B1075" s="40" t="s">
        <v>468</v>
      </c>
      <c r="C1075" s="21" t="s">
        <v>6</v>
      </c>
      <c r="D1075" s="21" t="s">
        <v>6</v>
      </c>
      <c r="E1075" s="91" t="s">
        <v>40</v>
      </c>
      <c r="F1075" s="108">
        <v>45886</v>
      </c>
    </row>
    <row r="1076" spans="1:6" x14ac:dyDescent="0.25">
      <c r="A1076" s="9">
        <v>36</v>
      </c>
      <c r="B1076" s="40" t="s">
        <v>308</v>
      </c>
      <c r="C1076" s="21" t="s">
        <v>6</v>
      </c>
      <c r="D1076" s="21" t="s">
        <v>6</v>
      </c>
      <c r="E1076" s="94" t="s">
        <v>40</v>
      </c>
      <c r="F1076" s="108">
        <v>45886</v>
      </c>
    </row>
    <row r="1077" spans="1:6" ht="15.75" x14ac:dyDescent="0.25">
      <c r="A1077" s="9">
        <v>37</v>
      </c>
      <c r="B1077" s="40" t="s">
        <v>558</v>
      </c>
      <c r="C1077" s="21" t="s">
        <v>6</v>
      </c>
      <c r="D1077" s="21" t="s">
        <v>6</v>
      </c>
      <c r="E1077" s="92" t="s">
        <v>46</v>
      </c>
      <c r="F1077" s="108">
        <v>45886</v>
      </c>
    </row>
    <row r="1078" spans="1:6" ht="15.75" x14ac:dyDescent="0.25">
      <c r="A1078" s="9">
        <v>38</v>
      </c>
      <c r="B1078" s="40" t="s">
        <v>559</v>
      </c>
      <c r="C1078" s="21" t="s">
        <v>6</v>
      </c>
      <c r="D1078" s="21" t="s">
        <v>6</v>
      </c>
      <c r="E1078" s="92" t="s">
        <v>46</v>
      </c>
      <c r="F1078" s="108">
        <v>45886</v>
      </c>
    </row>
    <row r="1079" spans="1:6" ht="15.75" x14ac:dyDescent="0.25">
      <c r="A1079" s="9">
        <v>39</v>
      </c>
      <c r="B1079" s="40" t="s">
        <v>625</v>
      </c>
      <c r="C1079" s="21" t="s">
        <v>6</v>
      </c>
      <c r="D1079" s="21" t="s">
        <v>6</v>
      </c>
      <c r="E1079" s="92" t="s">
        <v>46</v>
      </c>
      <c r="F1079" s="108">
        <v>45886</v>
      </c>
    </row>
    <row r="1080" spans="1:6" ht="15.75" x14ac:dyDescent="0.25">
      <c r="A1080" s="9">
        <v>40</v>
      </c>
      <c r="B1080" s="40" t="s">
        <v>630</v>
      </c>
      <c r="C1080" s="21" t="s">
        <v>6</v>
      </c>
      <c r="D1080" s="21" t="s">
        <v>6</v>
      </c>
      <c r="E1080" s="92" t="s">
        <v>46</v>
      </c>
      <c r="F1080" s="108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2" t="s">
        <v>46</v>
      </c>
      <c r="F1081" s="108">
        <v>45886</v>
      </c>
    </row>
    <row r="1082" spans="1:6" ht="15.75" x14ac:dyDescent="0.25">
      <c r="A1082" s="9">
        <v>42</v>
      </c>
      <c r="B1082" s="40" t="s">
        <v>648</v>
      </c>
      <c r="C1082" s="21" t="s">
        <v>6</v>
      </c>
      <c r="D1082" s="21" t="s">
        <v>6</v>
      </c>
      <c r="E1082" s="92" t="s">
        <v>46</v>
      </c>
      <c r="F1082" s="108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2" t="s">
        <v>46</v>
      </c>
      <c r="F1083" s="108">
        <v>45886</v>
      </c>
    </row>
    <row r="1084" spans="1:6" ht="15.75" x14ac:dyDescent="0.25">
      <c r="A1084" s="9">
        <v>44</v>
      </c>
      <c r="B1084" s="40" t="s">
        <v>663</v>
      </c>
      <c r="C1084" s="21" t="s">
        <v>6</v>
      </c>
      <c r="D1084" s="21" t="s">
        <v>6</v>
      </c>
      <c r="E1084" s="92" t="s">
        <v>46</v>
      </c>
      <c r="F1084" s="108">
        <v>45886</v>
      </c>
    </row>
    <row r="1085" spans="1:6" ht="15.75" x14ac:dyDescent="0.25">
      <c r="A1085" s="9">
        <v>45</v>
      </c>
      <c r="B1085" s="40" t="s">
        <v>665</v>
      </c>
      <c r="C1085" s="21" t="s">
        <v>6</v>
      </c>
      <c r="D1085" s="21" t="s">
        <v>6</v>
      </c>
      <c r="E1085" s="92" t="s">
        <v>46</v>
      </c>
      <c r="F1085" s="108">
        <v>45886</v>
      </c>
    </row>
    <row r="1086" spans="1:6" ht="15.75" x14ac:dyDescent="0.25">
      <c r="A1086" s="9">
        <v>46</v>
      </c>
      <c r="B1086" s="40" t="s">
        <v>691</v>
      </c>
      <c r="C1086" s="21" t="s">
        <v>6</v>
      </c>
      <c r="D1086" s="21" t="s">
        <v>6</v>
      </c>
      <c r="E1086" s="92" t="s">
        <v>153</v>
      </c>
      <c r="F1086" s="108">
        <v>45886</v>
      </c>
    </row>
    <row r="1087" spans="1:6" x14ac:dyDescent="0.25">
      <c r="A1087" s="9">
        <v>47</v>
      </c>
      <c r="B1087" s="19" t="s">
        <v>388</v>
      </c>
      <c r="C1087" s="21" t="s">
        <v>6</v>
      </c>
      <c r="D1087" s="21" t="s">
        <v>6</v>
      </c>
      <c r="E1087" s="93" t="s">
        <v>44</v>
      </c>
      <c r="F1087" s="108">
        <v>45894</v>
      </c>
    </row>
    <row r="1088" spans="1:6" x14ac:dyDescent="0.25">
      <c r="A1088" s="9">
        <v>48</v>
      </c>
      <c r="B1088" s="19" t="s">
        <v>683</v>
      </c>
      <c r="C1088" s="21" t="s">
        <v>6</v>
      </c>
      <c r="D1088" s="21" t="s">
        <v>6</v>
      </c>
      <c r="E1088" s="91" t="s">
        <v>46</v>
      </c>
      <c r="F1088" s="108">
        <v>45894</v>
      </c>
    </row>
    <row r="1089" spans="1:6" x14ac:dyDescent="0.25">
      <c r="A1089" s="9">
        <v>49</v>
      </c>
      <c r="B1089" s="19" t="s">
        <v>712</v>
      </c>
      <c r="C1089" s="21" t="s">
        <v>6</v>
      </c>
      <c r="D1089" s="21" t="s">
        <v>6</v>
      </c>
      <c r="E1089" s="91" t="s">
        <v>46</v>
      </c>
      <c r="F1089" s="108">
        <v>45894</v>
      </c>
    </row>
    <row r="1090" spans="1:6" x14ac:dyDescent="0.25">
      <c r="A1090" s="9">
        <v>50</v>
      </c>
      <c r="B1090" s="19" t="s">
        <v>714</v>
      </c>
      <c r="C1090" s="21" t="s">
        <v>6</v>
      </c>
      <c r="D1090" s="21" t="s">
        <v>6</v>
      </c>
      <c r="E1090" s="91" t="s">
        <v>46</v>
      </c>
      <c r="F1090" s="108">
        <v>45894</v>
      </c>
    </row>
    <row r="1091" spans="1:6" x14ac:dyDescent="0.25">
      <c r="A1091" s="9">
        <v>51</v>
      </c>
      <c r="B1091" s="19" t="s">
        <v>716</v>
      </c>
      <c r="C1091" s="21" t="s">
        <v>6</v>
      </c>
      <c r="D1091" s="21" t="s">
        <v>6</v>
      </c>
      <c r="E1091" s="91" t="s">
        <v>46</v>
      </c>
      <c r="F1091" s="108">
        <v>45894</v>
      </c>
    </row>
    <row r="1092" spans="1:6" ht="15.75" x14ac:dyDescent="0.25">
      <c r="A1092" s="9">
        <v>52</v>
      </c>
      <c r="B1092" s="40" t="s">
        <v>666</v>
      </c>
      <c r="C1092" s="21" t="s">
        <v>6</v>
      </c>
      <c r="D1092" s="21" t="s">
        <v>6</v>
      </c>
      <c r="E1092" s="92" t="s">
        <v>46</v>
      </c>
      <c r="F1092" s="108">
        <v>45900</v>
      </c>
    </row>
    <row r="1093" spans="1:6" ht="15.75" x14ac:dyDescent="0.25">
      <c r="A1093" s="9">
        <v>53</v>
      </c>
      <c r="B1093" s="40" t="s">
        <v>699</v>
      </c>
      <c r="C1093" s="21" t="s">
        <v>6</v>
      </c>
      <c r="D1093" s="21" t="s">
        <v>6</v>
      </c>
      <c r="E1093" s="92" t="s">
        <v>46</v>
      </c>
      <c r="F1093" s="108">
        <v>45894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2" t="s">
        <v>46</v>
      </c>
      <c r="F1094" s="108">
        <v>45900</v>
      </c>
    </row>
    <row r="1095" spans="1:6" ht="15.75" x14ac:dyDescent="0.25">
      <c r="A1095" s="9">
        <v>55</v>
      </c>
      <c r="B1095" s="55" t="s">
        <v>727</v>
      </c>
      <c r="C1095" s="21" t="s">
        <v>6</v>
      </c>
      <c r="D1095" s="21" t="s">
        <v>6</v>
      </c>
      <c r="E1095" s="92" t="s">
        <v>46</v>
      </c>
      <c r="F1095" s="108">
        <v>45900</v>
      </c>
    </row>
    <row r="1096" spans="1:6" x14ac:dyDescent="0.25">
      <c r="A1096" s="9">
        <v>56</v>
      </c>
      <c r="B1096" s="8" t="s">
        <v>807</v>
      </c>
      <c r="C1096" s="21" t="s">
        <v>6</v>
      </c>
      <c r="D1096" s="21" t="s">
        <v>6</v>
      </c>
      <c r="E1096" s="94" t="s">
        <v>41</v>
      </c>
      <c r="F1096" s="108">
        <v>45914</v>
      </c>
    </row>
    <row r="1097" spans="1:6" ht="15.75" x14ac:dyDescent="0.25">
      <c r="A1097" s="9">
        <v>57</v>
      </c>
      <c r="B1097" s="40" t="s">
        <v>303</v>
      </c>
      <c r="C1097" s="21" t="s">
        <v>6</v>
      </c>
      <c r="D1097" s="21" t="s">
        <v>6</v>
      </c>
      <c r="E1097" s="92" t="s">
        <v>46</v>
      </c>
      <c r="F1097" s="108">
        <v>45914</v>
      </c>
    </row>
    <row r="1098" spans="1:6" ht="15.75" x14ac:dyDescent="0.25">
      <c r="A1098" s="9">
        <v>58</v>
      </c>
      <c r="B1098" s="40" t="s">
        <v>629</v>
      </c>
      <c r="C1098" s="21" t="s">
        <v>6</v>
      </c>
      <c r="D1098" s="21" t="s">
        <v>6</v>
      </c>
      <c r="E1098" s="92" t="s">
        <v>46</v>
      </c>
      <c r="F1098" s="108">
        <v>45914</v>
      </c>
    </row>
    <row r="1099" spans="1:6" ht="15.75" x14ac:dyDescent="0.25">
      <c r="A1099" s="9">
        <v>59</v>
      </c>
      <c r="B1099" s="40" t="s">
        <v>700</v>
      </c>
      <c r="C1099" s="21" t="s">
        <v>6</v>
      </c>
      <c r="D1099" s="21" t="s">
        <v>6</v>
      </c>
      <c r="E1099" s="92" t="s">
        <v>46</v>
      </c>
      <c r="F1099" s="108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2" t="s">
        <v>46</v>
      </c>
      <c r="F1100" s="108">
        <v>45914</v>
      </c>
    </row>
    <row r="1101" spans="1:6" ht="15.75" x14ac:dyDescent="0.25">
      <c r="A1101" s="9">
        <v>61</v>
      </c>
      <c r="B1101" s="40" t="s">
        <v>745</v>
      </c>
      <c r="C1101" s="21" t="s">
        <v>6</v>
      </c>
      <c r="D1101" s="21" t="s">
        <v>6</v>
      </c>
      <c r="E1101" s="92" t="s">
        <v>46</v>
      </c>
      <c r="F1101" s="108">
        <v>45914</v>
      </c>
    </row>
    <row r="1102" spans="1:6" ht="15.75" x14ac:dyDescent="0.25">
      <c r="A1102" s="9">
        <v>62</v>
      </c>
      <c r="B1102" s="40" t="s">
        <v>301</v>
      </c>
      <c r="C1102" s="21" t="s">
        <v>6</v>
      </c>
      <c r="D1102" s="21" t="s">
        <v>6</v>
      </c>
      <c r="E1102" s="92" t="s">
        <v>46</v>
      </c>
      <c r="F1102" s="108">
        <v>45914</v>
      </c>
    </row>
    <row r="1103" spans="1:6" ht="15.75" x14ac:dyDescent="0.25">
      <c r="A1103" s="9">
        <v>63</v>
      </c>
      <c r="B1103" s="40" t="s">
        <v>750</v>
      </c>
      <c r="C1103" s="21" t="s">
        <v>6</v>
      </c>
      <c r="D1103" s="21" t="s">
        <v>6</v>
      </c>
      <c r="E1103" s="92" t="s">
        <v>46</v>
      </c>
      <c r="F1103" s="108">
        <v>45914</v>
      </c>
    </row>
    <row r="1104" spans="1:6" x14ac:dyDescent="0.25">
      <c r="A1104" s="9">
        <v>64</v>
      </c>
      <c r="B1104" s="8" t="s">
        <v>863</v>
      </c>
      <c r="C1104" s="21" t="s">
        <v>6</v>
      </c>
      <c r="D1104" s="21" t="s">
        <v>6</v>
      </c>
      <c r="E1104" s="94" t="s">
        <v>46</v>
      </c>
      <c r="F1104" s="108">
        <v>45929</v>
      </c>
    </row>
    <row r="1105" spans="1:6" ht="15.75" x14ac:dyDescent="0.25">
      <c r="A1105" s="9">
        <v>65</v>
      </c>
      <c r="B1105" s="8" t="s">
        <v>400</v>
      </c>
      <c r="C1105" s="21" t="s">
        <v>6</v>
      </c>
      <c r="D1105" s="21" t="s">
        <v>6</v>
      </c>
      <c r="E1105" s="90" t="s">
        <v>153</v>
      </c>
      <c r="F1105" s="108">
        <v>45922</v>
      </c>
    </row>
    <row r="1106" spans="1:6" x14ac:dyDescent="0.25">
      <c r="A1106" s="9">
        <v>66</v>
      </c>
      <c r="B1106" s="8" t="s">
        <v>876</v>
      </c>
      <c r="C1106" s="21" t="s">
        <v>6</v>
      </c>
      <c r="D1106" s="21" t="s">
        <v>6</v>
      </c>
      <c r="E1106" s="94" t="s">
        <v>153</v>
      </c>
      <c r="F1106" s="108">
        <v>45929</v>
      </c>
    </row>
    <row r="1107" spans="1:6" ht="15.75" x14ac:dyDescent="0.25">
      <c r="A1107" s="9">
        <v>67</v>
      </c>
      <c r="B1107" s="40" t="s">
        <v>864</v>
      </c>
      <c r="C1107" s="21" t="s">
        <v>6</v>
      </c>
      <c r="D1107" s="21" t="s">
        <v>6</v>
      </c>
      <c r="E1107" s="92" t="s">
        <v>46</v>
      </c>
      <c r="F1107" s="108">
        <v>45929</v>
      </c>
    </row>
    <row r="1108" spans="1:6" ht="15.75" x14ac:dyDescent="0.25">
      <c r="A1108" s="9">
        <v>68</v>
      </c>
      <c r="B1108" s="40" t="s">
        <v>695</v>
      </c>
      <c r="C1108" s="21" t="s">
        <v>6</v>
      </c>
      <c r="D1108" s="21" t="s">
        <v>6</v>
      </c>
      <c r="E1108" s="92" t="s">
        <v>46</v>
      </c>
      <c r="F1108" s="108">
        <v>45929</v>
      </c>
    </row>
    <row r="1109" spans="1:6" ht="15.75" x14ac:dyDescent="0.25">
      <c r="A1109" s="9">
        <v>69</v>
      </c>
      <c r="B1109" s="55" t="s">
        <v>724</v>
      </c>
      <c r="C1109" s="21" t="s">
        <v>6</v>
      </c>
      <c r="D1109" s="21" t="s">
        <v>6</v>
      </c>
      <c r="E1109" s="92" t="s">
        <v>46</v>
      </c>
      <c r="F1109" s="108">
        <v>45922</v>
      </c>
    </row>
    <row r="1110" spans="1:6" ht="15.75" x14ac:dyDescent="0.25">
      <c r="A1110" s="9">
        <v>70</v>
      </c>
      <c r="B1110" s="55" t="s">
        <v>723</v>
      </c>
      <c r="C1110" s="21" t="s">
        <v>6</v>
      </c>
      <c r="D1110" s="21" t="s">
        <v>6</v>
      </c>
      <c r="E1110" s="92" t="s">
        <v>46</v>
      </c>
      <c r="F1110" s="108">
        <v>45922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2" t="s">
        <v>46</v>
      </c>
      <c r="F1111" s="108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2" t="s">
        <v>46</v>
      </c>
      <c r="F1112" s="108">
        <v>45929</v>
      </c>
    </row>
    <row r="1113" spans="1:6" ht="15.75" x14ac:dyDescent="0.25">
      <c r="A1113" s="9">
        <v>73</v>
      </c>
      <c r="B1113" s="55" t="s">
        <v>821</v>
      </c>
      <c r="C1113" s="21" t="s">
        <v>6</v>
      </c>
      <c r="D1113" s="21" t="s">
        <v>6</v>
      </c>
      <c r="E1113" s="92" t="s">
        <v>46</v>
      </c>
      <c r="F1113" s="108">
        <v>45922</v>
      </c>
    </row>
    <row r="1114" spans="1:6" ht="15.75" x14ac:dyDescent="0.25">
      <c r="A1114" s="9">
        <v>74</v>
      </c>
      <c r="B1114" s="55" t="s">
        <v>510</v>
      </c>
      <c r="C1114" s="21" t="s">
        <v>6</v>
      </c>
      <c r="D1114" s="21" t="s">
        <v>6</v>
      </c>
      <c r="E1114" s="92" t="s">
        <v>46</v>
      </c>
      <c r="F1114" s="108">
        <v>45929</v>
      </c>
    </row>
    <row r="1115" spans="1:6" ht="15.75" x14ac:dyDescent="0.25">
      <c r="A1115" s="9">
        <v>75</v>
      </c>
      <c r="B1115" s="55" t="s">
        <v>845</v>
      </c>
      <c r="C1115" s="21" t="s">
        <v>6</v>
      </c>
      <c r="D1115" s="21" t="s">
        <v>6</v>
      </c>
      <c r="E1115" s="92" t="s">
        <v>46</v>
      </c>
      <c r="F1115" s="108">
        <v>45922</v>
      </c>
    </row>
    <row r="1116" spans="1:6" ht="15.75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2" t="s">
        <v>46</v>
      </c>
      <c r="F1116" s="108">
        <v>45929</v>
      </c>
    </row>
    <row r="1117" spans="1:6" x14ac:dyDescent="0.25">
      <c r="A1117" s="9">
        <v>77</v>
      </c>
      <c r="B1117" s="40" t="s">
        <v>854</v>
      </c>
      <c r="C1117" s="21" t="s">
        <v>6</v>
      </c>
      <c r="D1117" s="21" t="s">
        <v>6</v>
      </c>
      <c r="E1117" s="94" t="s">
        <v>43</v>
      </c>
      <c r="F1117" s="108">
        <v>45929</v>
      </c>
    </row>
    <row r="1118" spans="1:6" x14ac:dyDescent="0.25">
      <c r="A1118" s="9">
        <v>78</v>
      </c>
      <c r="B1118" s="40" t="s">
        <v>856</v>
      </c>
      <c r="C1118" s="21" t="s">
        <v>6</v>
      </c>
      <c r="D1118" s="21" t="s">
        <v>6</v>
      </c>
      <c r="E1118" s="94" t="s">
        <v>43</v>
      </c>
      <c r="F1118" s="108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2" t="s">
        <v>46</v>
      </c>
      <c r="F1119" s="108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2" t="s">
        <v>46</v>
      </c>
      <c r="F1120" s="108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2" t="s">
        <v>46</v>
      </c>
      <c r="F1121" s="108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2" t="s">
        <v>46</v>
      </c>
      <c r="F1122" s="108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2" t="s">
        <v>46</v>
      </c>
      <c r="F1123" s="108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2" t="s">
        <v>46</v>
      </c>
      <c r="F1124" s="108">
        <v>45929</v>
      </c>
    </row>
    <row r="1125" spans="1:6" ht="15.75" x14ac:dyDescent="0.25">
      <c r="A1125" s="9">
        <v>85</v>
      </c>
      <c r="B1125" s="40" t="s">
        <v>871</v>
      </c>
      <c r="C1125" s="21" t="s">
        <v>6</v>
      </c>
      <c r="D1125" s="21" t="s">
        <v>6</v>
      </c>
      <c r="E1125" s="92" t="s">
        <v>46</v>
      </c>
      <c r="F1125" s="108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2" t="s">
        <v>46</v>
      </c>
      <c r="F1126" s="108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2" t="s">
        <v>46</v>
      </c>
      <c r="F1127" s="108">
        <v>45929</v>
      </c>
    </row>
    <row r="1128" spans="1:6" ht="15.75" x14ac:dyDescent="0.25">
      <c r="A1128" s="9">
        <v>88</v>
      </c>
      <c r="B1128" s="40" t="s">
        <v>875</v>
      </c>
      <c r="C1128" s="21" t="s">
        <v>6</v>
      </c>
      <c r="D1128" s="21" t="s">
        <v>6</v>
      </c>
      <c r="E1128" s="92" t="s">
        <v>46</v>
      </c>
      <c r="F1128" s="108">
        <v>45929</v>
      </c>
    </row>
    <row r="1129" spans="1:6" ht="15.75" x14ac:dyDescent="0.25">
      <c r="A1129" s="9">
        <v>89</v>
      </c>
      <c r="B1129" s="40" t="s">
        <v>912</v>
      </c>
      <c r="C1129" s="21" t="s">
        <v>6</v>
      </c>
      <c r="D1129" s="21" t="s">
        <v>6</v>
      </c>
      <c r="E1129" s="92" t="s">
        <v>46</v>
      </c>
      <c r="F1129" s="108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4" t="s">
        <v>43</v>
      </c>
      <c r="F1130" s="108">
        <v>45929</v>
      </c>
    </row>
    <row r="1131" spans="1:6" x14ac:dyDescent="0.25">
      <c r="A1131" s="9">
        <v>91</v>
      </c>
      <c r="B1131" s="40" t="s">
        <v>916</v>
      </c>
      <c r="C1131" s="21" t="s">
        <v>6</v>
      </c>
      <c r="D1131" s="21" t="s">
        <v>6</v>
      </c>
      <c r="E1131" s="94" t="s">
        <v>43</v>
      </c>
      <c r="F1131" s="108">
        <v>45929</v>
      </c>
    </row>
    <row r="1132" spans="1:6" x14ac:dyDescent="0.25">
      <c r="A1132" s="9">
        <v>92</v>
      </c>
      <c r="B1132" s="8" t="s">
        <v>236</v>
      </c>
      <c r="C1132" s="21" t="s">
        <v>6</v>
      </c>
      <c r="D1132" s="21" t="s">
        <v>6</v>
      </c>
      <c r="E1132" s="94" t="s">
        <v>40</v>
      </c>
      <c r="F1132" s="108">
        <v>45935</v>
      </c>
    </row>
    <row r="1133" spans="1:6" ht="15.75" x14ac:dyDescent="0.25">
      <c r="A1133" s="9">
        <v>93</v>
      </c>
      <c r="B1133" s="40" t="s">
        <v>696</v>
      </c>
      <c r="C1133" s="21" t="s">
        <v>6</v>
      </c>
      <c r="D1133" s="21" t="s">
        <v>6</v>
      </c>
      <c r="E1133" s="92" t="s">
        <v>46</v>
      </c>
      <c r="F1133" s="108">
        <v>45935</v>
      </c>
    </row>
    <row r="1134" spans="1:6" ht="15.75" x14ac:dyDescent="0.25">
      <c r="A1134" s="9">
        <v>94</v>
      </c>
      <c r="B1134" s="40" t="s">
        <v>957</v>
      </c>
      <c r="C1134" s="21" t="s">
        <v>6</v>
      </c>
      <c r="D1134" s="21" t="s">
        <v>6</v>
      </c>
      <c r="E1134" s="92" t="s">
        <v>46</v>
      </c>
      <c r="F1134" s="108">
        <v>45935</v>
      </c>
    </row>
    <row r="1135" spans="1:6" x14ac:dyDescent="0.25">
      <c r="A1135" s="9">
        <v>95</v>
      </c>
      <c r="B1135" s="40" t="s">
        <v>852</v>
      </c>
      <c r="C1135" s="21" t="s">
        <v>6</v>
      </c>
      <c r="D1135" s="21" t="s">
        <v>6</v>
      </c>
      <c r="E1135" s="94" t="s">
        <v>43</v>
      </c>
      <c r="F1135" s="108">
        <v>45935</v>
      </c>
    </row>
    <row r="1136" spans="1:6" ht="15.75" x14ac:dyDescent="0.25">
      <c r="A1136" s="9">
        <v>96</v>
      </c>
      <c r="B1136" s="40" t="s">
        <v>872</v>
      </c>
      <c r="C1136" s="21" t="s">
        <v>6</v>
      </c>
      <c r="D1136" s="21" t="s">
        <v>6</v>
      </c>
      <c r="E1136" s="92" t="s">
        <v>46</v>
      </c>
      <c r="F1136" s="108">
        <v>45935</v>
      </c>
    </row>
    <row r="1137" spans="1:6" ht="15.75" x14ac:dyDescent="0.25">
      <c r="A1137" s="9">
        <v>97</v>
      </c>
      <c r="B1137" s="40" t="s">
        <v>953</v>
      </c>
      <c r="C1137" s="21" t="s">
        <v>6</v>
      </c>
      <c r="D1137" s="21" t="s">
        <v>6</v>
      </c>
      <c r="E1137" s="92" t="s">
        <v>46</v>
      </c>
      <c r="F1137" s="108">
        <v>45935</v>
      </c>
    </row>
    <row r="1138" spans="1:6" x14ac:dyDescent="0.25">
      <c r="A1138" s="9">
        <v>98</v>
      </c>
      <c r="B1138" s="8" t="s">
        <v>1008</v>
      </c>
      <c r="C1138" s="21" t="s">
        <v>6</v>
      </c>
      <c r="D1138" s="21" t="s">
        <v>6</v>
      </c>
      <c r="E1138" s="94" t="s">
        <v>46</v>
      </c>
      <c r="F1138" s="108">
        <v>45942</v>
      </c>
    </row>
    <row r="1139" spans="1:6" x14ac:dyDescent="0.25">
      <c r="A1139" s="9">
        <v>99</v>
      </c>
      <c r="B1139" s="19" t="s">
        <v>481</v>
      </c>
      <c r="C1139" s="21" t="s">
        <v>6</v>
      </c>
      <c r="D1139" s="21" t="s">
        <v>6</v>
      </c>
      <c r="E1139" s="91" t="s">
        <v>46</v>
      </c>
      <c r="F1139" s="108">
        <v>45942</v>
      </c>
    </row>
    <row r="1140" spans="1:6" ht="15.75" x14ac:dyDescent="0.25">
      <c r="A1140" s="9">
        <v>100</v>
      </c>
      <c r="B1140" s="40" t="s">
        <v>952</v>
      </c>
      <c r="C1140" s="21" t="s">
        <v>6</v>
      </c>
      <c r="D1140" s="21" t="s">
        <v>6</v>
      </c>
      <c r="E1140" s="92" t="s">
        <v>46</v>
      </c>
      <c r="F1140" s="108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2" t="s">
        <v>46</v>
      </c>
      <c r="F1141" s="108">
        <v>45942</v>
      </c>
    </row>
    <row r="1142" spans="1:6" ht="15.75" x14ac:dyDescent="0.25">
      <c r="A1142" s="9">
        <v>102</v>
      </c>
      <c r="B1142" s="40" t="s">
        <v>988</v>
      </c>
      <c r="C1142" s="21" t="s">
        <v>6</v>
      </c>
      <c r="D1142" s="21" t="s">
        <v>6</v>
      </c>
      <c r="E1142" s="92" t="s">
        <v>46</v>
      </c>
      <c r="F1142" s="108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2" t="s">
        <v>46</v>
      </c>
      <c r="F1143" s="108">
        <v>45942</v>
      </c>
    </row>
    <row r="1144" spans="1:6" ht="15.75" x14ac:dyDescent="0.25">
      <c r="A1144" s="9">
        <v>104</v>
      </c>
      <c r="B1144" s="40" t="s">
        <v>991</v>
      </c>
      <c r="C1144" s="21" t="s">
        <v>6</v>
      </c>
      <c r="D1144" s="21" t="s">
        <v>6</v>
      </c>
      <c r="E1144" s="92" t="s">
        <v>46</v>
      </c>
      <c r="F1144" s="108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2" t="s">
        <v>46</v>
      </c>
      <c r="F1145" s="108">
        <v>45942</v>
      </c>
    </row>
    <row r="1146" spans="1:6" ht="15.75" x14ac:dyDescent="0.25">
      <c r="A1146" s="9">
        <v>106</v>
      </c>
      <c r="B1146" s="40" t="s">
        <v>1010</v>
      </c>
      <c r="C1146" s="21" t="s">
        <v>6</v>
      </c>
      <c r="D1146" s="21" t="s">
        <v>6</v>
      </c>
      <c r="E1146" s="92" t="s">
        <v>46</v>
      </c>
      <c r="F1146" s="108">
        <v>45942</v>
      </c>
    </row>
    <row r="1147" spans="1:6" x14ac:dyDescent="0.25">
      <c r="A1147" s="9">
        <v>107</v>
      </c>
      <c r="B1147" s="8" t="s">
        <v>228</v>
      </c>
      <c r="C1147" s="21" t="s">
        <v>6</v>
      </c>
      <c r="D1147" s="21" t="s">
        <v>6</v>
      </c>
      <c r="E1147" s="94" t="s">
        <v>40</v>
      </c>
      <c r="F1147" s="108">
        <v>45949</v>
      </c>
    </row>
    <row r="1148" spans="1:6" ht="15.75" x14ac:dyDescent="0.25">
      <c r="A1148" s="9">
        <v>108</v>
      </c>
      <c r="B1148" s="40" t="s">
        <v>1037</v>
      </c>
      <c r="C1148" s="21" t="s">
        <v>6</v>
      </c>
      <c r="D1148" s="21" t="s">
        <v>6</v>
      </c>
      <c r="E1148" s="92" t="s">
        <v>46</v>
      </c>
      <c r="F1148" s="108">
        <v>45949</v>
      </c>
    </row>
    <row r="1149" spans="1:6" x14ac:dyDescent="0.25">
      <c r="A1149" s="9">
        <v>109</v>
      </c>
      <c r="B1149" s="8" t="s">
        <v>728</v>
      </c>
      <c r="C1149" s="21" t="s">
        <v>6</v>
      </c>
      <c r="D1149" s="21" t="s">
        <v>6</v>
      </c>
      <c r="E1149" s="94" t="s">
        <v>46</v>
      </c>
      <c r="F1149" s="108">
        <v>45956</v>
      </c>
    </row>
    <row r="1150" spans="1:6" ht="15.75" x14ac:dyDescent="0.25">
      <c r="A1150" s="9">
        <v>110</v>
      </c>
      <c r="B1150" s="55" t="s">
        <v>725</v>
      </c>
      <c r="C1150" s="21" t="s">
        <v>6</v>
      </c>
      <c r="D1150" s="21" t="s">
        <v>6</v>
      </c>
      <c r="E1150" s="92" t="s">
        <v>46</v>
      </c>
      <c r="F1150" s="108">
        <v>45956</v>
      </c>
    </row>
    <row r="1151" spans="1:6" ht="15.75" x14ac:dyDescent="0.25">
      <c r="A1151" s="9">
        <v>111</v>
      </c>
      <c r="B1151" s="55" t="s">
        <v>818</v>
      </c>
      <c r="C1151" s="21" t="s">
        <v>6</v>
      </c>
      <c r="D1151" s="21" t="s">
        <v>6</v>
      </c>
      <c r="E1151" s="92" t="s">
        <v>46</v>
      </c>
      <c r="F1151" s="108">
        <v>45956</v>
      </c>
    </row>
    <row r="1152" spans="1:6" ht="15.75" x14ac:dyDescent="0.25">
      <c r="A1152" s="9">
        <v>112</v>
      </c>
      <c r="B1152" s="40" t="s">
        <v>1072</v>
      </c>
      <c r="C1152" s="21" t="s">
        <v>6</v>
      </c>
      <c r="D1152" s="21" t="s">
        <v>6</v>
      </c>
      <c r="E1152" s="92" t="s">
        <v>346</v>
      </c>
      <c r="F1152" s="108">
        <v>45956</v>
      </c>
    </row>
    <row r="1153" spans="1:6" ht="15.75" x14ac:dyDescent="0.25">
      <c r="A1153" s="9">
        <v>113</v>
      </c>
      <c r="B1153" s="40" t="s">
        <v>477</v>
      </c>
      <c r="C1153" s="21" t="s">
        <v>6</v>
      </c>
      <c r="D1153" s="21" t="s">
        <v>6</v>
      </c>
      <c r="E1153" s="92" t="s">
        <v>46</v>
      </c>
      <c r="F1153" s="108">
        <v>45956</v>
      </c>
    </row>
    <row r="1154" spans="1:6" ht="15.75" x14ac:dyDescent="0.25">
      <c r="A1154" s="9">
        <v>114</v>
      </c>
      <c r="B1154" s="40" t="s">
        <v>913</v>
      </c>
      <c r="C1154" s="21" t="s">
        <v>6</v>
      </c>
      <c r="D1154" s="21" t="s">
        <v>6</v>
      </c>
      <c r="E1154" s="92" t="s">
        <v>46</v>
      </c>
      <c r="F1154" s="108">
        <v>45956</v>
      </c>
    </row>
    <row r="1155" spans="1:6" ht="15.75" x14ac:dyDescent="0.25">
      <c r="A1155" s="9">
        <v>115</v>
      </c>
      <c r="B1155" s="40" t="s">
        <v>951</v>
      </c>
      <c r="C1155" s="21" t="s">
        <v>6</v>
      </c>
      <c r="D1155" s="21" t="s">
        <v>6</v>
      </c>
      <c r="E1155" s="92" t="s">
        <v>46</v>
      </c>
      <c r="F1155" s="108">
        <v>45956</v>
      </c>
    </row>
    <row r="1156" spans="1:6" ht="15.75" x14ac:dyDescent="0.25">
      <c r="A1156" s="9">
        <v>116</v>
      </c>
      <c r="B1156" s="40" t="s">
        <v>1071</v>
      </c>
      <c r="C1156" s="21" t="s">
        <v>6</v>
      </c>
      <c r="D1156" s="21" t="s">
        <v>6</v>
      </c>
      <c r="E1156" s="92" t="s">
        <v>346</v>
      </c>
      <c r="F1156" s="108">
        <v>45956</v>
      </c>
    </row>
    <row r="1157" spans="1:6" x14ac:dyDescent="0.25">
      <c r="A1157" s="9">
        <v>117</v>
      </c>
      <c r="B1157" s="8" t="s">
        <v>229</v>
      </c>
      <c r="C1157" s="21" t="s">
        <v>6</v>
      </c>
      <c r="D1157" s="21" t="s">
        <v>6</v>
      </c>
      <c r="E1157" s="94" t="s">
        <v>40</v>
      </c>
      <c r="F1157" s="108">
        <v>45964</v>
      </c>
    </row>
    <row r="1158" spans="1:6" x14ac:dyDescent="0.25">
      <c r="A1158" s="9">
        <v>118</v>
      </c>
      <c r="B1158" s="8" t="s">
        <v>1018</v>
      </c>
      <c r="C1158" s="21" t="s">
        <v>6</v>
      </c>
      <c r="D1158" s="21" t="s">
        <v>6</v>
      </c>
      <c r="E1158" s="94" t="s">
        <v>46</v>
      </c>
      <c r="F1158" s="108">
        <v>45964</v>
      </c>
    </row>
    <row r="1159" spans="1:6" ht="15.75" x14ac:dyDescent="0.25">
      <c r="A1159" s="9">
        <v>119</v>
      </c>
      <c r="B1159" s="40" t="s">
        <v>694</v>
      </c>
      <c r="C1159" s="21" t="s">
        <v>6</v>
      </c>
      <c r="D1159" s="21" t="s">
        <v>6</v>
      </c>
      <c r="E1159" s="92" t="s">
        <v>46</v>
      </c>
      <c r="F1159" s="108">
        <v>45964</v>
      </c>
    </row>
    <row r="1160" spans="1:6" ht="15.75" x14ac:dyDescent="0.25">
      <c r="A1160" s="9">
        <v>120</v>
      </c>
      <c r="B1160" s="40" t="s">
        <v>1070</v>
      </c>
      <c r="C1160" s="21" t="s">
        <v>6</v>
      </c>
      <c r="D1160" s="21" t="s">
        <v>6</v>
      </c>
      <c r="E1160" s="92" t="s">
        <v>153</v>
      </c>
      <c r="F1160" s="108">
        <v>45964</v>
      </c>
    </row>
    <row r="1161" spans="1:6" ht="15.75" x14ac:dyDescent="0.25">
      <c r="A1161" s="9">
        <v>121</v>
      </c>
      <c r="B1161" s="40" t="s">
        <v>1096</v>
      </c>
      <c r="C1161" s="21" t="s">
        <v>6</v>
      </c>
      <c r="D1161" s="21" t="s">
        <v>6</v>
      </c>
      <c r="E1161" s="92" t="s">
        <v>46</v>
      </c>
      <c r="F1161" s="108">
        <v>45964</v>
      </c>
    </row>
    <row r="1162" spans="1:6" ht="15.75" x14ac:dyDescent="0.25">
      <c r="A1162" s="9">
        <v>122</v>
      </c>
      <c r="B1162" s="40" t="s">
        <v>1095</v>
      </c>
      <c r="C1162" s="21" t="s">
        <v>6</v>
      </c>
      <c r="D1162" s="21" t="s">
        <v>6</v>
      </c>
      <c r="E1162" s="92" t="s">
        <v>153</v>
      </c>
      <c r="F1162" s="108">
        <v>45964</v>
      </c>
    </row>
    <row r="1163" spans="1:6" ht="15.75" x14ac:dyDescent="0.25">
      <c r="A1163" s="9">
        <v>123</v>
      </c>
      <c r="B1163" s="40" t="s">
        <v>1094</v>
      </c>
      <c r="C1163" s="21" t="s">
        <v>6</v>
      </c>
      <c r="D1163" s="21" t="s">
        <v>6</v>
      </c>
      <c r="E1163" s="92" t="s">
        <v>153</v>
      </c>
      <c r="F1163" s="108">
        <v>45964</v>
      </c>
    </row>
    <row r="1164" spans="1:6" ht="15.75" x14ac:dyDescent="0.25">
      <c r="A1164" s="9">
        <v>124</v>
      </c>
      <c r="B1164" s="40" t="s">
        <v>1107</v>
      </c>
      <c r="C1164" s="21" t="s">
        <v>6</v>
      </c>
      <c r="D1164" s="21" t="s">
        <v>6</v>
      </c>
      <c r="E1164" s="92" t="s">
        <v>46</v>
      </c>
      <c r="F1164" s="108">
        <v>45964</v>
      </c>
    </row>
    <row r="1165" spans="1:6" ht="15.75" x14ac:dyDescent="0.25">
      <c r="A1165" s="9">
        <v>125</v>
      </c>
      <c r="B1165" s="40" t="s">
        <v>972</v>
      </c>
      <c r="C1165" s="21" t="s">
        <v>6</v>
      </c>
      <c r="D1165" s="21" t="s">
        <v>6</v>
      </c>
      <c r="E1165" s="92" t="s">
        <v>46</v>
      </c>
      <c r="F1165" s="108">
        <v>45970</v>
      </c>
    </row>
    <row r="1166" spans="1:6" ht="15.75" x14ac:dyDescent="0.25">
      <c r="A1166" s="9">
        <v>126</v>
      </c>
      <c r="B1166" s="40" t="s">
        <v>992</v>
      </c>
      <c r="C1166" s="21" t="s">
        <v>6</v>
      </c>
      <c r="D1166" s="21" t="s">
        <v>6</v>
      </c>
      <c r="E1166" s="92" t="s">
        <v>46</v>
      </c>
      <c r="F1166" s="108">
        <v>45970</v>
      </c>
    </row>
    <row r="1167" spans="1:6" ht="15.75" x14ac:dyDescent="0.25">
      <c r="A1167" s="9">
        <v>127</v>
      </c>
      <c r="B1167" s="40" t="s">
        <v>1051</v>
      </c>
      <c r="C1167" s="21" t="s">
        <v>6</v>
      </c>
      <c r="D1167" s="21" t="s">
        <v>6</v>
      </c>
      <c r="E1167" s="92" t="s">
        <v>153</v>
      </c>
      <c r="F1167" s="108">
        <v>45970</v>
      </c>
    </row>
    <row r="1168" spans="1:6" ht="15.75" x14ac:dyDescent="0.25">
      <c r="A1168" s="9">
        <v>128</v>
      </c>
      <c r="B1168" s="40" t="s">
        <v>1114</v>
      </c>
      <c r="C1168" s="21" t="s">
        <v>6</v>
      </c>
      <c r="D1168" s="21" t="s">
        <v>6</v>
      </c>
      <c r="E1168" s="92" t="s">
        <v>46</v>
      </c>
      <c r="F1168" s="108">
        <v>45970</v>
      </c>
    </row>
    <row r="1169" spans="1:6" ht="15.75" x14ac:dyDescent="0.25">
      <c r="A1169" s="9">
        <v>129</v>
      </c>
      <c r="B1169" s="40" t="s">
        <v>1113</v>
      </c>
      <c r="C1169" s="21" t="s">
        <v>6</v>
      </c>
      <c r="D1169" s="21" t="s">
        <v>6</v>
      </c>
      <c r="E1169" s="92" t="s">
        <v>46</v>
      </c>
      <c r="F1169" s="108">
        <v>45970</v>
      </c>
    </row>
    <row r="1170" spans="1:6" ht="15.75" x14ac:dyDescent="0.25">
      <c r="A1170" s="9">
        <v>130</v>
      </c>
      <c r="B1170" s="40" t="s">
        <v>1115</v>
      </c>
      <c r="C1170" s="21" t="s">
        <v>6</v>
      </c>
      <c r="D1170" s="21" t="s">
        <v>6</v>
      </c>
      <c r="E1170" s="92" t="s">
        <v>46</v>
      </c>
      <c r="F1170" s="108">
        <v>45970</v>
      </c>
    </row>
    <row r="1171" spans="1:6" ht="15.75" x14ac:dyDescent="0.25">
      <c r="A1171" s="9">
        <v>131</v>
      </c>
      <c r="B1171" s="40" t="s">
        <v>1128</v>
      </c>
      <c r="C1171" s="21" t="s">
        <v>6</v>
      </c>
      <c r="D1171" s="21" t="s">
        <v>6</v>
      </c>
      <c r="E1171" s="92" t="s">
        <v>46</v>
      </c>
      <c r="F1171" s="108">
        <v>45970</v>
      </c>
    </row>
    <row r="1172" spans="1:6" x14ac:dyDescent="0.25">
      <c r="A1172" s="9">
        <v>132</v>
      </c>
      <c r="B1172" s="8" t="s">
        <v>238</v>
      </c>
      <c r="C1172" s="21" t="s">
        <v>6</v>
      </c>
      <c r="D1172" s="21" t="s">
        <v>6</v>
      </c>
      <c r="E1172" s="94" t="s">
        <v>393</v>
      </c>
      <c r="F1172" s="108">
        <v>45977</v>
      </c>
    </row>
    <row r="1173" spans="1:6" x14ac:dyDescent="0.25">
      <c r="A1173" s="9">
        <v>133</v>
      </c>
      <c r="B1173" s="8" t="s">
        <v>1174</v>
      </c>
      <c r="C1173" s="21" t="s">
        <v>6</v>
      </c>
      <c r="D1173" s="21" t="s">
        <v>6</v>
      </c>
      <c r="E1173" s="94" t="s">
        <v>346</v>
      </c>
      <c r="F1173" s="108">
        <v>45984</v>
      </c>
    </row>
    <row r="1174" spans="1:6" x14ac:dyDescent="0.25">
      <c r="A1174" s="9">
        <v>134</v>
      </c>
      <c r="B1174" s="40" t="s">
        <v>512</v>
      </c>
      <c r="C1174" s="21" t="s">
        <v>6</v>
      </c>
      <c r="D1174" s="21" t="s">
        <v>6</v>
      </c>
      <c r="E1174" s="94" t="s">
        <v>40</v>
      </c>
      <c r="F1174" s="108">
        <v>45977</v>
      </c>
    </row>
    <row r="1175" spans="1:6" ht="15.75" x14ac:dyDescent="0.25">
      <c r="A1175" s="9">
        <v>135</v>
      </c>
      <c r="B1175" s="40" t="s">
        <v>986</v>
      </c>
      <c r="C1175" s="21" t="s">
        <v>6</v>
      </c>
      <c r="D1175" s="21" t="s">
        <v>6</v>
      </c>
      <c r="E1175" s="92" t="s">
        <v>46</v>
      </c>
      <c r="F1175" s="108">
        <v>45977</v>
      </c>
    </row>
    <row r="1176" spans="1:6" ht="15.75" x14ac:dyDescent="0.25">
      <c r="A1176" s="9">
        <v>136</v>
      </c>
      <c r="B1176" s="40" t="s">
        <v>1127</v>
      </c>
      <c r="C1176" s="21" t="s">
        <v>6</v>
      </c>
      <c r="D1176" s="21" t="s">
        <v>6</v>
      </c>
      <c r="E1176" s="92" t="s">
        <v>46</v>
      </c>
      <c r="F1176" s="108">
        <v>45984</v>
      </c>
    </row>
    <row r="1177" spans="1:6" ht="15.75" x14ac:dyDescent="0.25">
      <c r="A1177" s="9">
        <v>137</v>
      </c>
      <c r="B1177" s="40" t="s">
        <v>1145</v>
      </c>
      <c r="C1177" s="21" t="s">
        <v>6</v>
      </c>
      <c r="D1177" s="21" t="s">
        <v>6</v>
      </c>
      <c r="E1177" s="92" t="s">
        <v>46</v>
      </c>
      <c r="F1177" s="108">
        <v>45977</v>
      </c>
    </row>
    <row r="1178" spans="1:6" ht="15.75" x14ac:dyDescent="0.25">
      <c r="A1178" s="9">
        <v>138</v>
      </c>
      <c r="B1178" s="40" t="s">
        <v>1152</v>
      </c>
      <c r="C1178" s="21" t="s">
        <v>6</v>
      </c>
      <c r="D1178" s="21" t="s">
        <v>6</v>
      </c>
      <c r="E1178" s="92" t="s">
        <v>46</v>
      </c>
      <c r="F1178" s="108">
        <v>45984</v>
      </c>
    </row>
    <row r="1179" spans="1:6" ht="15.75" x14ac:dyDescent="0.25">
      <c r="A1179" s="9">
        <v>139</v>
      </c>
      <c r="B1179" s="40" t="s">
        <v>1173</v>
      </c>
      <c r="C1179" s="21" t="s">
        <v>6</v>
      </c>
      <c r="D1179" s="21" t="s">
        <v>6</v>
      </c>
      <c r="E1179" s="92" t="s">
        <v>46</v>
      </c>
      <c r="F1179" s="108">
        <v>45984</v>
      </c>
    </row>
    <row r="1180" spans="1:6" ht="15.75" x14ac:dyDescent="0.25">
      <c r="A1180" s="9">
        <v>140</v>
      </c>
      <c r="B1180" s="40" t="s">
        <v>1175</v>
      </c>
      <c r="C1180" s="21" t="s">
        <v>6</v>
      </c>
      <c r="D1180" s="21" t="s">
        <v>6</v>
      </c>
      <c r="E1180" s="92" t="s">
        <v>46</v>
      </c>
      <c r="F1180" s="108">
        <v>45984</v>
      </c>
    </row>
    <row r="1181" spans="1:6" ht="15.75" x14ac:dyDescent="0.25">
      <c r="A1181" s="9">
        <v>141</v>
      </c>
      <c r="B1181" s="40" t="s">
        <v>1177</v>
      </c>
      <c r="C1181" s="21" t="s">
        <v>6</v>
      </c>
      <c r="D1181" s="21" t="s">
        <v>6</v>
      </c>
      <c r="E1181" s="92" t="s">
        <v>46</v>
      </c>
      <c r="F1181" s="108">
        <v>45984</v>
      </c>
    </row>
    <row r="1182" spans="1:6" x14ac:dyDescent="0.25">
      <c r="A1182" s="9">
        <v>142</v>
      </c>
      <c r="B1182" s="8" t="s">
        <v>1224</v>
      </c>
      <c r="C1182" s="21" t="s">
        <v>6</v>
      </c>
      <c r="D1182" s="21" t="s">
        <v>6</v>
      </c>
      <c r="E1182" s="94" t="s">
        <v>46</v>
      </c>
      <c r="F1182" s="108">
        <v>45998</v>
      </c>
    </row>
    <row r="1183" spans="1:6" x14ac:dyDescent="0.25">
      <c r="A1183" s="9">
        <v>143</v>
      </c>
      <c r="B1183" s="8" t="s">
        <v>392</v>
      </c>
      <c r="C1183" s="21" t="s">
        <v>6</v>
      </c>
      <c r="D1183" s="21" t="s">
        <v>6</v>
      </c>
      <c r="E1183" s="94" t="s">
        <v>152</v>
      </c>
      <c r="F1183" s="108">
        <v>46012</v>
      </c>
    </row>
    <row r="1184" spans="1:6" x14ac:dyDescent="0.25">
      <c r="A1184" s="9">
        <v>144</v>
      </c>
      <c r="B1184" s="8" t="s">
        <v>697</v>
      </c>
      <c r="C1184" s="21" t="s">
        <v>6</v>
      </c>
      <c r="D1184" s="21" t="s">
        <v>6</v>
      </c>
      <c r="E1184" s="94" t="s">
        <v>561</v>
      </c>
      <c r="F1184" s="108">
        <v>45998</v>
      </c>
    </row>
    <row r="1185" spans="1:6" x14ac:dyDescent="0.25">
      <c r="A1185" s="9">
        <v>145</v>
      </c>
      <c r="B1185" s="8" t="s">
        <v>1275</v>
      </c>
      <c r="C1185" s="21" t="s">
        <v>6</v>
      </c>
      <c r="D1185" s="21" t="s">
        <v>6</v>
      </c>
      <c r="E1185" s="94" t="s">
        <v>46</v>
      </c>
      <c r="F1185" s="108">
        <v>46012</v>
      </c>
    </row>
    <row r="1186" spans="1:6" ht="15.75" x14ac:dyDescent="0.25">
      <c r="A1186" s="9">
        <v>146</v>
      </c>
      <c r="B1186" s="51" t="s">
        <v>1186</v>
      </c>
      <c r="C1186" s="21" t="s">
        <v>6</v>
      </c>
      <c r="D1186" s="21" t="s">
        <v>6</v>
      </c>
      <c r="E1186" s="90" t="s">
        <v>153</v>
      </c>
      <c r="F1186" s="108">
        <v>45992</v>
      </c>
    </row>
    <row r="1187" spans="1:6" ht="15.75" x14ac:dyDescent="0.25">
      <c r="A1187" s="9">
        <v>147</v>
      </c>
      <c r="B1187" s="40" t="s">
        <v>1333</v>
      </c>
      <c r="C1187" s="21" t="s">
        <v>6</v>
      </c>
      <c r="D1187" s="21" t="s">
        <v>6</v>
      </c>
      <c r="E1187" s="92" t="s">
        <v>153</v>
      </c>
      <c r="F1187" s="108">
        <v>46040</v>
      </c>
    </row>
    <row r="1188" spans="1:6" ht="15.75" x14ac:dyDescent="0.25">
      <c r="A1188" s="9">
        <v>148</v>
      </c>
      <c r="B1188" s="40" t="s">
        <v>954</v>
      </c>
      <c r="C1188" s="21" t="s">
        <v>6</v>
      </c>
      <c r="D1188" s="21" t="s">
        <v>6</v>
      </c>
      <c r="E1188" s="92" t="s">
        <v>46</v>
      </c>
      <c r="F1188" s="108">
        <v>46005</v>
      </c>
    </row>
    <row r="1189" spans="1:6" ht="15.75" x14ac:dyDescent="0.25">
      <c r="A1189" s="9">
        <v>149</v>
      </c>
      <c r="B1189" s="40" t="s">
        <v>1274</v>
      </c>
      <c r="C1189" s="21" t="s">
        <v>6</v>
      </c>
      <c r="D1189" s="21" t="s">
        <v>6</v>
      </c>
      <c r="E1189" s="92" t="s">
        <v>46</v>
      </c>
      <c r="F1189" s="108">
        <v>46012</v>
      </c>
    </row>
    <row r="1190" spans="1:6" ht="15.75" x14ac:dyDescent="0.25">
      <c r="A1190" s="9">
        <v>150</v>
      </c>
      <c r="B1190" s="40" t="s">
        <v>1332</v>
      </c>
      <c r="C1190" s="21" t="s">
        <v>6</v>
      </c>
      <c r="D1190" s="21" t="s">
        <v>6</v>
      </c>
      <c r="E1190" s="92" t="s">
        <v>153</v>
      </c>
      <c r="F1190" s="108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1" t="s">
        <v>46</v>
      </c>
      <c r="F1191" s="108">
        <v>46040</v>
      </c>
    </row>
    <row r="1192" spans="1:6" x14ac:dyDescent="0.25">
      <c r="A1192" s="9">
        <v>152</v>
      </c>
      <c r="B1192" s="40" t="s">
        <v>1335</v>
      </c>
      <c r="C1192" s="21" t="s">
        <v>6</v>
      </c>
      <c r="D1192" s="21" t="s">
        <v>6</v>
      </c>
      <c r="E1192" s="91" t="s">
        <v>46</v>
      </c>
      <c r="F1192" s="108">
        <v>46040</v>
      </c>
    </row>
    <row r="1193" spans="1:6" ht="15.75" x14ac:dyDescent="0.25">
      <c r="A1193" s="9">
        <v>153</v>
      </c>
      <c r="B1193" s="40" t="s">
        <v>1011</v>
      </c>
      <c r="C1193" s="21" t="s">
        <v>6</v>
      </c>
      <c r="D1193" s="21" t="s">
        <v>6</v>
      </c>
      <c r="E1193" s="92" t="s">
        <v>346</v>
      </c>
      <c r="F1193" s="108">
        <v>45992</v>
      </c>
    </row>
    <row r="1194" spans="1:6" ht="15.75" x14ac:dyDescent="0.25">
      <c r="A1194" s="9">
        <v>154</v>
      </c>
      <c r="B1194" s="40" t="s">
        <v>1176</v>
      </c>
      <c r="C1194" s="21" t="s">
        <v>6</v>
      </c>
      <c r="D1194" s="21" t="s">
        <v>6</v>
      </c>
      <c r="E1194" s="92" t="s">
        <v>346</v>
      </c>
      <c r="F1194" s="108">
        <v>45992</v>
      </c>
    </row>
    <row r="1195" spans="1:6" ht="15.75" x14ac:dyDescent="0.25">
      <c r="A1195" s="9">
        <v>155</v>
      </c>
      <c r="B1195" s="40" t="s">
        <v>1116</v>
      </c>
      <c r="C1195" s="21" t="s">
        <v>6</v>
      </c>
      <c r="D1195" s="21" t="s">
        <v>6</v>
      </c>
      <c r="E1195" s="92" t="s">
        <v>46</v>
      </c>
      <c r="F1195" s="108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2" t="s">
        <v>46</v>
      </c>
      <c r="F1196" s="108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2" t="s">
        <v>46</v>
      </c>
      <c r="F1197" s="108">
        <v>45992</v>
      </c>
    </row>
    <row r="1198" spans="1:6" ht="15.75" x14ac:dyDescent="0.25">
      <c r="A1198" s="9">
        <v>158</v>
      </c>
      <c r="B1198" s="40" t="s">
        <v>1208</v>
      </c>
      <c r="C1198" s="21" t="s">
        <v>6</v>
      </c>
      <c r="D1198" s="21" t="s">
        <v>6</v>
      </c>
      <c r="E1198" s="92" t="s">
        <v>46</v>
      </c>
      <c r="F1198" s="108">
        <v>45992</v>
      </c>
    </row>
    <row r="1199" spans="1:6" ht="15.75" x14ac:dyDescent="0.25">
      <c r="A1199" s="9">
        <v>159</v>
      </c>
      <c r="B1199" s="40" t="s">
        <v>1211</v>
      </c>
      <c r="C1199" s="21" t="s">
        <v>6</v>
      </c>
      <c r="D1199" s="21" t="s">
        <v>6</v>
      </c>
      <c r="E1199" s="92" t="s">
        <v>46</v>
      </c>
      <c r="F1199" s="108">
        <v>45992</v>
      </c>
    </row>
    <row r="1200" spans="1:6" ht="15.75" x14ac:dyDescent="0.25">
      <c r="A1200" s="9">
        <v>160</v>
      </c>
      <c r="B1200" s="40" t="s">
        <v>1210</v>
      </c>
      <c r="C1200" s="21" t="s">
        <v>6</v>
      </c>
      <c r="D1200" s="21" t="s">
        <v>6</v>
      </c>
      <c r="E1200" s="92" t="s">
        <v>46</v>
      </c>
      <c r="F1200" s="108">
        <v>45992</v>
      </c>
    </row>
    <row r="1201" spans="1:6" ht="15.75" x14ac:dyDescent="0.25">
      <c r="A1201" s="9">
        <v>161</v>
      </c>
      <c r="B1201" s="40" t="s">
        <v>1209</v>
      </c>
      <c r="C1201" s="21" t="s">
        <v>6</v>
      </c>
      <c r="D1201" s="21" t="s">
        <v>6</v>
      </c>
      <c r="E1201" s="92" t="s">
        <v>46</v>
      </c>
      <c r="F1201" s="108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2" t="s">
        <v>46</v>
      </c>
      <c r="F1202" s="108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2" t="s">
        <v>46</v>
      </c>
      <c r="F1203" s="108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2" t="s">
        <v>46</v>
      </c>
      <c r="F1204" s="108">
        <v>45992</v>
      </c>
    </row>
    <row r="1205" spans="1:6" ht="15.75" x14ac:dyDescent="0.25">
      <c r="A1205" s="9">
        <v>165</v>
      </c>
      <c r="B1205" s="40" t="s">
        <v>1215</v>
      </c>
      <c r="C1205" s="21" t="s">
        <v>6</v>
      </c>
      <c r="D1205" s="21" t="s">
        <v>6</v>
      </c>
      <c r="E1205" s="92" t="s">
        <v>46</v>
      </c>
      <c r="F1205" s="108">
        <v>45992</v>
      </c>
    </row>
    <row r="1206" spans="1:6" ht="15.75" x14ac:dyDescent="0.25">
      <c r="A1206" s="9">
        <v>166</v>
      </c>
      <c r="B1206" s="51" t="s">
        <v>273</v>
      </c>
      <c r="C1206" s="21" t="s">
        <v>6</v>
      </c>
      <c r="D1206" s="21" t="s">
        <v>6</v>
      </c>
      <c r="E1206" s="90" t="s">
        <v>41</v>
      </c>
      <c r="F1206" s="108">
        <v>46005</v>
      </c>
    </row>
    <row r="1207" spans="1:6" ht="15.75" x14ac:dyDescent="0.25">
      <c r="A1207" s="9">
        <v>167</v>
      </c>
      <c r="B1207" s="51" t="s">
        <v>705</v>
      </c>
      <c r="C1207" s="21" t="s">
        <v>6</v>
      </c>
      <c r="D1207" s="21" t="s">
        <v>6</v>
      </c>
      <c r="E1207" s="90" t="s">
        <v>46</v>
      </c>
      <c r="F1207" s="108">
        <v>46005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2" t="s">
        <v>46</v>
      </c>
      <c r="F1208" s="108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2" t="s">
        <v>46</v>
      </c>
      <c r="F1209" s="108">
        <v>45992</v>
      </c>
    </row>
    <row r="1210" spans="1:6" ht="15.75" x14ac:dyDescent="0.25">
      <c r="A1210" s="9">
        <v>170</v>
      </c>
      <c r="B1210" s="40" t="s">
        <v>1218</v>
      </c>
      <c r="C1210" s="21" t="s">
        <v>6</v>
      </c>
      <c r="D1210" s="21" t="s">
        <v>6</v>
      </c>
      <c r="E1210" s="92" t="s">
        <v>46</v>
      </c>
      <c r="F1210" s="108">
        <v>45992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2" t="s">
        <v>46</v>
      </c>
      <c r="F1211" s="108">
        <v>45998</v>
      </c>
    </row>
    <row r="1212" spans="1:6" ht="15.75" x14ac:dyDescent="0.25">
      <c r="A1212" s="9">
        <v>172</v>
      </c>
      <c r="B1212" s="40" t="s">
        <v>1236</v>
      </c>
      <c r="C1212" s="21" t="s">
        <v>6</v>
      </c>
      <c r="D1212" s="21" t="s">
        <v>6</v>
      </c>
      <c r="E1212" s="92" t="s">
        <v>46</v>
      </c>
      <c r="F1212" s="108">
        <v>45998</v>
      </c>
    </row>
    <row r="1213" spans="1:6" x14ac:dyDescent="0.25">
      <c r="A1213" s="9">
        <v>173</v>
      </c>
      <c r="B1213" s="8" t="s">
        <v>1454</v>
      </c>
      <c r="C1213" s="21" t="s">
        <v>6</v>
      </c>
      <c r="D1213" s="21" t="s">
        <v>6</v>
      </c>
      <c r="E1213" s="94" t="s">
        <v>46</v>
      </c>
      <c r="F1213" s="108">
        <v>46068</v>
      </c>
    </row>
    <row r="1214" spans="1:6" ht="15.75" x14ac:dyDescent="0.25">
      <c r="A1214" s="9">
        <v>174</v>
      </c>
      <c r="B1214" s="40" t="s">
        <v>1246</v>
      </c>
      <c r="C1214" s="21" t="s">
        <v>6</v>
      </c>
      <c r="D1214" s="21" t="s">
        <v>6</v>
      </c>
      <c r="E1214" s="92" t="s">
        <v>46</v>
      </c>
      <c r="F1214" s="108">
        <v>46005</v>
      </c>
    </row>
    <row r="1215" spans="1:6" x14ac:dyDescent="0.25">
      <c r="A1215" s="9">
        <v>175</v>
      </c>
      <c r="B1215" s="40" t="s">
        <v>1345</v>
      </c>
      <c r="C1215" s="21" t="s">
        <v>6</v>
      </c>
      <c r="D1215" s="21" t="s">
        <v>6</v>
      </c>
      <c r="E1215" s="91" t="s">
        <v>46</v>
      </c>
      <c r="F1215" s="108">
        <v>46068</v>
      </c>
    </row>
    <row r="1216" spans="1:6" ht="15.75" x14ac:dyDescent="0.25">
      <c r="A1216" s="9">
        <v>176</v>
      </c>
      <c r="B1216" s="40" t="s">
        <v>1248</v>
      </c>
      <c r="C1216" s="21" t="s">
        <v>6</v>
      </c>
      <c r="D1216" s="21" t="s">
        <v>6</v>
      </c>
      <c r="E1216" s="92" t="s">
        <v>46</v>
      </c>
      <c r="F1216" s="108">
        <v>46005</v>
      </c>
    </row>
    <row r="1217" spans="1:6" ht="15.75" x14ac:dyDescent="0.25">
      <c r="A1217" s="9">
        <v>177</v>
      </c>
      <c r="B1217" s="40" t="s">
        <v>1260</v>
      </c>
      <c r="C1217" s="21" t="s">
        <v>6</v>
      </c>
      <c r="D1217" s="21" t="s">
        <v>6</v>
      </c>
      <c r="E1217" s="92" t="s">
        <v>46</v>
      </c>
      <c r="F1217" s="108">
        <v>46005</v>
      </c>
    </row>
    <row r="1218" spans="1:6" ht="15.75" x14ac:dyDescent="0.25">
      <c r="A1218" s="9">
        <v>178</v>
      </c>
      <c r="B1218" s="40" t="s">
        <v>1270</v>
      </c>
      <c r="C1218" s="21" t="s">
        <v>6</v>
      </c>
      <c r="D1218" s="21" t="s">
        <v>6</v>
      </c>
      <c r="E1218" s="92" t="s">
        <v>46</v>
      </c>
      <c r="F1218" s="108">
        <v>46012</v>
      </c>
    </row>
    <row r="1219" spans="1:6" x14ac:dyDescent="0.25">
      <c r="A1219" s="9">
        <v>179</v>
      </c>
      <c r="B1219" s="40" t="s">
        <v>1365</v>
      </c>
      <c r="C1219" s="21" t="s">
        <v>6</v>
      </c>
      <c r="D1219" s="21" t="s">
        <v>6</v>
      </c>
      <c r="E1219" s="91" t="s">
        <v>46</v>
      </c>
      <c r="F1219" s="108">
        <v>46068</v>
      </c>
    </row>
    <row r="1220" spans="1:6" x14ac:dyDescent="0.25">
      <c r="A1220" s="9">
        <v>180</v>
      </c>
      <c r="B1220" s="8" t="s">
        <v>1316</v>
      </c>
      <c r="C1220" s="21" t="s">
        <v>6</v>
      </c>
      <c r="D1220" s="21" t="s">
        <v>6</v>
      </c>
      <c r="E1220" s="94" t="s">
        <v>346</v>
      </c>
      <c r="F1220" s="108">
        <v>46023</v>
      </c>
    </row>
    <row r="1221" spans="1:6" x14ac:dyDescent="0.25">
      <c r="A1221" s="9">
        <v>181</v>
      </c>
      <c r="B1221" s="40" t="s">
        <v>1387</v>
      </c>
      <c r="C1221" s="21" t="s">
        <v>6</v>
      </c>
      <c r="D1221" s="21" t="s">
        <v>6</v>
      </c>
      <c r="E1221" s="91" t="s">
        <v>46</v>
      </c>
      <c r="F1221" s="108">
        <v>46075</v>
      </c>
    </row>
    <row r="1222" spans="1:6" x14ac:dyDescent="0.25">
      <c r="A1222" s="9">
        <v>182</v>
      </c>
      <c r="B1222" s="8" t="s">
        <v>531</v>
      </c>
      <c r="C1222" s="21" t="s">
        <v>6</v>
      </c>
      <c r="D1222" s="21" t="s">
        <v>6</v>
      </c>
      <c r="E1222" s="94" t="s">
        <v>46</v>
      </c>
      <c r="F1222" s="108">
        <v>46023</v>
      </c>
    </row>
    <row r="1223" spans="1:6" ht="15.75" x14ac:dyDescent="0.25">
      <c r="A1223" s="9">
        <v>183</v>
      </c>
      <c r="B1223" s="40" t="s">
        <v>1319</v>
      </c>
      <c r="C1223" s="21" t="s">
        <v>6</v>
      </c>
      <c r="D1223" s="21" t="s">
        <v>6</v>
      </c>
      <c r="E1223" s="92" t="s">
        <v>346</v>
      </c>
      <c r="F1223" s="108">
        <v>46040</v>
      </c>
    </row>
    <row r="1224" spans="1:6" x14ac:dyDescent="0.25">
      <c r="A1224" s="9">
        <v>184</v>
      </c>
      <c r="B1224" s="40" t="s">
        <v>1389</v>
      </c>
      <c r="C1224" s="21" t="s">
        <v>6</v>
      </c>
      <c r="D1224" s="21" t="s">
        <v>6</v>
      </c>
      <c r="E1224" s="91" t="s">
        <v>46</v>
      </c>
      <c r="F1224" s="108">
        <v>46075</v>
      </c>
    </row>
    <row r="1225" spans="1:6" ht="15.75" x14ac:dyDescent="0.25">
      <c r="A1225" s="9">
        <v>185</v>
      </c>
      <c r="B1225" s="40" t="s">
        <v>1112</v>
      </c>
      <c r="C1225" s="21" t="s">
        <v>6</v>
      </c>
      <c r="D1225" s="21" t="s">
        <v>6</v>
      </c>
      <c r="E1225" s="92" t="s">
        <v>346</v>
      </c>
      <c r="F1225" s="108">
        <v>46023</v>
      </c>
    </row>
    <row r="1226" spans="1:6" x14ac:dyDescent="0.25">
      <c r="A1226" s="9">
        <v>186</v>
      </c>
      <c r="B1226" s="40" t="s">
        <v>1331</v>
      </c>
      <c r="C1226" s="21" t="s">
        <v>6</v>
      </c>
      <c r="D1226" s="21" t="s">
        <v>6</v>
      </c>
      <c r="E1226" s="91" t="s">
        <v>46</v>
      </c>
      <c r="F1226" s="108">
        <v>46040</v>
      </c>
    </row>
    <row r="1227" spans="1:6" x14ac:dyDescent="0.25">
      <c r="A1227" s="9">
        <v>187</v>
      </c>
      <c r="B1227" s="40" t="s">
        <v>1397</v>
      </c>
      <c r="C1227" s="21" t="s">
        <v>6</v>
      </c>
      <c r="D1227" s="21" t="s">
        <v>6</v>
      </c>
      <c r="E1227" s="91" t="s">
        <v>46</v>
      </c>
      <c r="F1227" s="108">
        <v>46068</v>
      </c>
    </row>
    <row r="1228" spans="1:6" x14ac:dyDescent="0.25">
      <c r="A1228" s="9">
        <v>188</v>
      </c>
      <c r="B1228" s="40" t="s">
        <v>1463</v>
      </c>
      <c r="C1228" s="21" t="s">
        <v>6</v>
      </c>
      <c r="D1228" s="21" t="s">
        <v>6</v>
      </c>
      <c r="E1228" s="91" t="s">
        <v>46</v>
      </c>
      <c r="F1228" s="108">
        <v>46068</v>
      </c>
    </row>
    <row r="1229" spans="1:6" x14ac:dyDescent="0.25">
      <c r="A1229" s="9">
        <v>189</v>
      </c>
      <c r="B1229" s="8" t="s">
        <v>1318</v>
      </c>
      <c r="C1229" s="21" t="s">
        <v>6</v>
      </c>
      <c r="D1229" s="21" t="s">
        <v>6</v>
      </c>
      <c r="E1229" s="94" t="s">
        <v>346</v>
      </c>
      <c r="F1229" s="108">
        <v>46023</v>
      </c>
    </row>
    <row r="1230" spans="1:6" x14ac:dyDescent="0.25">
      <c r="A1230" s="9">
        <v>190</v>
      </c>
      <c r="B1230" s="40" t="s">
        <v>1467</v>
      </c>
      <c r="C1230" s="21" t="s">
        <v>6</v>
      </c>
      <c r="D1230" s="21" t="s">
        <v>6</v>
      </c>
      <c r="E1230" s="91" t="s">
        <v>46</v>
      </c>
      <c r="F1230" s="108">
        <v>46075</v>
      </c>
    </row>
    <row r="1231" spans="1:6" x14ac:dyDescent="0.25">
      <c r="A1231" s="9">
        <v>191</v>
      </c>
      <c r="B1231" s="40" t="s">
        <v>1468</v>
      </c>
      <c r="C1231" s="21" t="s">
        <v>6</v>
      </c>
      <c r="D1231" s="21" t="s">
        <v>6</v>
      </c>
      <c r="E1231" s="91" t="s">
        <v>46</v>
      </c>
      <c r="F1231" s="108">
        <v>46075</v>
      </c>
    </row>
    <row r="1232" spans="1:6" ht="15.75" x14ac:dyDescent="0.25">
      <c r="A1232" s="9">
        <v>192</v>
      </c>
      <c r="B1232" s="40" t="s">
        <v>1271</v>
      </c>
      <c r="C1232" s="21" t="s">
        <v>6</v>
      </c>
      <c r="D1232" s="21" t="s">
        <v>6</v>
      </c>
      <c r="E1232" s="92" t="s">
        <v>46</v>
      </c>
      <c r="F1232" s="108">
        <v>46023</v>
      </c>
    </row>
    <row r="1233" spans="1:6" ht="15.75" x14ac:dyDescent="0.25">
      <c r="A1233" s="9">
        <v>193</v>
      </c>
      <c r="B1233" s="40" t="s">
        <v>1311</v>
      </c>
      <c r="C1233" s="21" t="s">
        <v>6</v>
      </c>
      <c r="D1233" s="21" t="s">
        <v>6</v>
      </c>
      <c r="E1233" s="92" t="s">
        <v>46</v>
      </c>
      <c r="F1233" s="108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2" t="s">
        <v>46</v>
      </c>
      <c r="F1234" s="108">
        <v>46023</v>
      </c>
    </row>
    <row r="1235" spans="1:6" ht="15.75" x14ac:dyDescent="0.25">
      <c r="A1235" s="9">
        <v>195</v>
      </c>
      <c r="B1235" s="40" t="s">
        <v>1288</v>
      </c>
      <c r="C1235" s="21" t="s">
        <v>6</v>
      </c>
      <c r="D1235" s="21" t="s">
        <v>6</v>
      </c>
      <c r="E1235" s="92" t="s">
        <v>46</v>
      </c>
      <c r="F1235" s="108">
        <v>46023</v>
      </c>
    </row>
    <row r="1236" spans="1:6" ht="15.75" x14ac:dyDescent="0.25">
      <c r="A1236" s="9">
        <v>196</v>
      </c>
      <c r="B1236" s="40" t="s">
        <v>1290</v>
      </c>
      <c r="C1236" s="21" t="s">
        <v>6</v>
      </c>
      <c r="D1236" s="21" t="s">
        <v>6</v>
      </c>
      <c r="E1236" s="92" t="s">
        <v>46</v>
      </c>
      <c r="F1236" s="108">
        <v>46023</v>
      </c>
    </row>
    <row r="1237" spans="1:6" ht="15.75" x14ac:dyDescent="0.25">
      <c r="A1237" s="9">
        <v>197</v>
      </c>
      <c r="B1237" s="40" t="s">
        <v>1289</v>
      </c>
      <c r="C1237" s="21" t="s">
        <v>6</v>
      </c>
      <c r="D1237" s="21" t="s">
        <v>6</v>
      </c>
      <c r="E1237" s="92" t="s">
        <v>46</v>
      </c>
      <c r="F1237" s="108">
        <v>46023</v>
      </c>
    </row>
    <row r="1238" spans="1:6" ht="15.75" x14ac:dyDescent="0.25">
      <c r="A1238" s="9">
        <v>198</v>
      </c>
      <c r="B1238" s="40" t="s">
        <v>1291</v>
      </c>
      <c r="C1238" s="21" t="s">
        <v>6</v>
      </c>
      <c r="D1238" s="21" t="s">
        <v>6</v>
      </c>
      <c r="E1238" s="92" t="s">
        <v>46</v>
      </c>
      <c r="F1238" s="108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2" t="s">
        <v>46</v>
      </c>
      <c r="F1239" s="108">
        <v>46023</v>
      </c>
    </row>
    <row r="1240" spans="1:6" ht="15.75" x14ac:dyDescent="0.25">
      <c r="A1240" s="9">
        <v>200</v>
      </c>
      <c r="B1240" s="40" t="s">
        <v>1295</v>
      </c>
      <c r="C1240" s="21" t="s">
        <v>6</v>
      </c>
      <c r="D1240" s="21" t="s">
        <v>6</v>
      </c>
      <c r="E1240" s="92" t="s">
        <v>46</v>
      </c>
      <c r="F1240" s="108">
        <v>46023</v>
      </c>
    </row>
    <row r="1241" spans="1:6" ht="15.75" x14ac:dyDescent="0.25">
      <c r="A1241" s="9">
        <v>201</v>
      </c>
      <c r="B1241" s="40" t="s">
        <v>1314</v>
      </c>
      <c r="C1241" s="21" t="s">
        <v>6</v>
      </c>
      <c r="D1241" s="21" t="s">
        <v>6</v>
      </c>
      <c r="E1241" s="92" t="s">
        <v>46</v>
      </c>
      <c r="F1241" s="108">
        <v>46023</v>
      </c>
    </row>
    <row r="1242" spans="1:6" ht="15.75" x14ac:dyDescent="0.25">
      <c r="A1242" s="9">
        <v>202</v>
      </c>
      <c r="B1242" s="40" t="s">
        <v>279</v>
      </c>
      <c r="C1242" s="21" t="s">
        <v>6</v>
      </c>
      <c r="D1242" s="21" t="s">
        <v>6</v>
      </c>
      <c r="E1242" s="92" t="s">
        <v>46</v>
      </c>
      <c r="F1242" s="108">
        <v>46023</v>
      </c>
    </row>
    <row r="1243" spans="1:6" ht="15.75" x14ac:dyDescent="0.25">
      <c r="A1243" s="9">
        <v>203</v>
      </c>
      <c r="B1243" s="40" t="s">
        <v>1317</v>
      </c>
      <c r="C1243" s="21" t="s">
        <v>6</v>
      </c>
      <c r="D1243" s="21" t="s">
        <v>6</v>
      </c>
      <c r="E1243" s="92" t="s">
        <v>346</v>
      </c>
      <c r="F1243" s="108">
        <v>46023</v>
      </c>
    </row>
    <row r="1244" spans="1:6" ht="15.75" x14ac:dyDescent="0.25">
      <c r="A1244" s="9">
        <v>204</v>
      </c>
      <c r="B1244" s="40" t="s">
        <v>1250</v>
      </c>
      <c r="C1244" s="21" t="s">
        <v>6</v>
      </c>
      <c r="D1244" s="21" t="s">
        <v>6</v>
      </c>
      <c r="E1244" s="92" t="s">
        <v>46</v>
      </c>
      <c r="F1244" s="108">
        <v>46055</v>
      </c>
    </row>
    <row r="1245" spans="1:6" ht="15.75" x14ac:dyDescent="0.25">
      <c r="A1245" s="9">
        <v>205</v>
      </c>
      <c r="B1245" s="40" t="s">
        <v>1330</v>
      </c>
      <c r="C1245" s="21" t="s">
        <v>6</v>
      </c>
      <c r="D1245" s="21" t="s">
        <v>6</v>
      </c>
      <c r="E1245" s="92" t="s">
        <v>46</v>
      </c>
      <c r="F1245" s="108">
        <v>46061</v>
      </c>
    </row>
    <row r="1246" spans="1:6" ht="15.75" x14ac:dyDescent="0.25">
      <c r="A1246" s="9">
        <v>206</v>
      </c>
      <c r="B1246" s="40" t="s">
        <v>989</v>
      </c>
      <c r="C1246" s="21" t="s">
        <v>6</v>
      </c>
      <c r="D1246" s="21" t="s">
        <v>6</v>
      </c>
      <c r="E1246" s="92" t="s">
        <v>46</v>
      </c>
      <c r="F1246" s="108">
        <v>46046</v>
      </c>
    </row>
    <row r="1247" spans="1:6" x14ac:dyDescent="0.25">
      <c r="A1247" s="9">
        <v>207</v>
      </c>
      <c r="B1247" s="17" t="s">
        <v>560</v>
      </c>
      <c r="C1247" s="21" t="s">
        <v>6</v>
      </c>
      <c r="D1247" s="21" t="s">
        <v>6</v>
      </c>
      <c r="E1247" s="14" t="s">
        <v>46</v>
      </c>
      <c r="F1247" s="122">
        <v>46166</v>
      </c>
    </row>
    <row r="1248" spans="1:6" x14ac:dyDescent="0.25">
      <c r="A1248" s="9">
        <v>208</v>
      </c>
      <c r="B1248" s="40" t="s">
        <v>1747</v>
      </c>
      <c r="C1248" s="21" t="s">
        <v>6</v>
      </c>
      <c r="D1248" s="21" t="s">
        <v>6</v>
      </c>
      <c r="E1248" s="22" t="s">
        <v>46</v>
      </c>
      <c r="F1248" s="122">
        <v>46166</v>
      </c>
    </row>
    <row r="1249" spans="1:6" x14ac:dyDescent="0.25">
      <c r="A1249" s="9">
        <v>209</v>
      </c>
      <c r="B1249" s="17" t="s">
        <v>1261</v>
      </c>
      <c r="C1249" s="21" t="s">
        <v>6</v>
      </c>
      <c r="D1249" s="21" t="s">
        <v>6</v>
      </c>
      <c r="E1249" s="14" t="s">
        <v>46</v>
      </c>
      <c r="F1249" s="122">
        <v>46173</v>
      </c>
    </row>
    <row r="1250" spans="1:6" ht="15.75" x14ac:dyDescent="0.25">
      <c r="A1250" s="9">
        <v>210</v>
      </c>
      <c r="B1250" s="40" t="s">
        <v>1258</v>
      </c>
      <c r="C1250" s="21" t="s">
        <v>6</v>
      </c>
      <c r="D1250" s="21" t="s">
        <v>6</v>
      </c>
      <c r="E1250" s="43" t="s">
        <v>46</v>
      </c>
      <c r="F1250" s="122">
        <v>46173</v>
      </c>
    </row>
    <row r="1251" spans="1:6" x14ac:dyDescent="0.25">
      <c r="A1251" s="9">
        <v>211</v>
      </c>
      <c r="B1251" s="40" t="s">
        <v>1896</v>
      </c>
      <c r="C1251" s="21" t="s">
        <v>6</v>
      </c>
      <c r="D1251" s="21" t="s">
        <v>6</v>
      </c>
      <c r="E1251" s="22" t="s">
        <v>153</v>
      </c>
      <c r="F1251" s="122">
        <v>46173</v>
      </c>
    </row>
    <row r="1252" spans="1:6" x14ac:dyDescent="0.25">
      <c r="A1252" s="9">
        <v>212</v>
      </c>
      <c r="B1252" s="40" t="s">
        <v>524</v>
      </c>
      <c r="C1252" s="21" t="s">
        <v>6</v>
      </c>
      <c r="D1252" s="21" t="s">
        <v>6</v>
      </c>
      <c r="E1252" s="22" t="s">
        <v>46</v>
      </c>
      <c r="F1252" s="122">
        <v>46173</v>
      </c>
    </row>
    <row r="1253" spans="1:6" x14ac:dyDescent="0.25">
      <c r="A1253" s="9">
        <v>213</v>
      </c>
      <c r="B1253" s="40" t="s">
        <v>1509</v>
      </c>
      <c r="C1253" s="21" t="s">
        <v>6</v>
      </c>
      <c r="D1253" s="21" t="s">
        <v>6</v>
      </c>
      <c r="E1253" s="22" t="s">
        <v>46</v>
      </c>
      <c r="F1253" s="122">
        <v>46173</v>
      </c>
    </row>
    <row r="1254" spans="1:6" x14ac:dyDescent="0.25">
      <c r="A1254" s="9">
        <v>214</v>
      </c>
      <c r="B1254" s="40" t="s">
        <v>1688</v>
      </c>
      <c r="C1254" s="21" t="s">
        <v>6</v>
      </c>
      <c r="D1254" s="21" t="s">
        <v>6</v>
      </c>
      <c r="E1254" s="14" t="s">
        <v>46</v>
      </c>
      <c r="F1254" s="122">
        <v>46173</v>
      </c>
    </row>
    <row r="1255" spans="1:6" x14ac:dyDescent="0.25">
      <c r="A1255" s="9">
        <v>215</v>
      </c>
      <c r="B1255" s="40" t="s">
        <v>1750</v>
      </c>
      <c r="C1255" s="21" t="s">
        <v>6</v>
      </c>
      <c r="D1255" s="21" t="s">
        <v>6</v>
      </c>
      <c r="E1255" s="14" t="s">
        <v>46</v>
      </c>
      <c r="F1255" s="122">
        <v>46173</v>
      </c>
    </row>
    <row r="1256" spans="1:6" x14ac:dyDescent="0.25">
      <c r="A1256" s="9">
        <v>216</v>
      </c>
      <c r="B1256" s="40" t="s">
        <v>1753</v>
      </c>
      <c r="C1256" s="21" t="s">
        <v>6</v>
      </c>
      <c r="D1256" s="21" t="s">
        <v>6</v>
      </c>
      <c r="E1256" s="14" t="s">
        <v>46</v>
      </c>
      <c r="F1256" s="122">
        <v>46173</v>
      </c>
    </row>
    <row r="1257" spans="1:6" x14ac:dyDescent="0.25">
      <c r="A1257" s="9">
        <v>217</v>
      </c>
      <c r="B1257" s="8" t="s">
        <v>1428</v>
      </c>
      <c r="C1257" s="21" t="s">
        <v>6</v>
      </c>
      <c r="D1257" s="21" t="s">
        <v>6</v>
      </c>
      <c r="E1257" s="94" t="s">
        <v>346</v>
      </c>
      <c r="F1257" s="108">
        <v>46061</v>
      </c>
    </row>
    <row r="1258" spans="1:6" x14ac:dyDescent="0.25">
      <c r="A1258" s="9">
        <v>218</v>
      </c>
      <c r="B1258" s="8" t="s">
        <v>1430</v>
      </c>
      <c r="C1258" s="21" t="s">
        <v>6</v>
      </c>
      <c r="D1258" s="21" t="s">
        <v>6</v>
      </c>
      <c r="E1258" s="94" t="s">
        <v>346</v>
      </c>
      <c r="F1258" s="108">
        <v>46061</v>
      </c>
    </row>
    <row r="1259" spans="1:6" x14ac:dyDescent="0.25">
      <c r="A1259" s="9">
        <v>219</v>
      </c>
      <c r="B1259" s="8" t="s">
        <v>1429</v>
      </c>
      <c r="C1259" s="21" t="s">
        <v>6</v>
      </c>
      <c r="D1259" s="21" t="s">
        <v>6</v>
      </c>
      <c r="E1259" s="94" t="s">
        <v>346</v>
      </c>
      <c r="F1259" s="108">
        <v>46061</v>
      </c>
    </row>
    <row r="1260" spans="1:6" ht="15.75" x14ac:dyDescent="0.25">
      <c r="A1260" s="9">
        <v>220</v>
      </c>
      <c r="B1260" s="40" t="s">
        <v>1353</v>
      </c>
      <c r="C1260" s="21" t="s">
        <v>6</v>
      </c>
      <c r="D1260" s="21" t="s">
        <v>6</v>
      </c>
      <c r="E1260" s="92" t="s">
        <v>46</v>
      </c>
      <c r="F1260" s="108">
        <v>46046</v>
      </c>
    </row>
    <row r="1261" spans="1:6" ht="15.75" x14ac:dyDescent="0.25">
      <c r="A1261" s="9">
        <v>221</v>
      </c>
      <c r="B1261" s="40" t="s">
        <v>1269</v>
      </c>
      <c r="C1261" s="21" t="s">
        <v>6</v>
      </c>
      <c r="D1261" s="21" t="s">
        <v>6</v>
      </c>
      <c r="E1261" s="92" t="s">
        <v>46</v>
      </c>
      <c r="F1261" s="108">
        <v>46046</v>
      </c>
    </row>
    <row r="1262" spans="1:6" ht="15.75" x14ac:dyDescent="0.25">
      <c r="A1262" s="9">
        <v>222</v>
      </c>
      <c r="B1262" s="40" t="s">
        <v>1273</v>
      </c>
      <c r="C1262" s="21" t="s">
        <v>6</v>
      </c>
      <c r="D1262" s="21" t="s">
        <v>6</v>
      </c>
      <c r="E1262" s="92" t="s">
        <v>46</v>
      </c>
      <c r="F1262" s="108">
        <v>46046</v>
      </c>
    </row>
    <row r="1263" spans="1:6" ht="15.75" x14ac:dyDescent="0.25">
      <c r="A1263" s="9">
        <v>223</v>
      </c>
      <c r="B1263" s="8" t="s">
        <v>275</v>
      </c>
      <c r="C1263" s="21" t="s">
        <v>6</v>
      </c>
      <c r="D1263" s="21" t="s">
        <v>6</v>
      </c>
      <c r="E1263" s="90" t="s">
        <v>41</v>
      </c>
      <c r="F1263" s="108">
        <v>46046</v>
      </c>
    </row>
    <row r="1264" spans="1:6" x14ac:dyDescent="0.25">
      <c r="A1264" s="9">
        <v>224</v>
      </c>
      <c r="B1264" s="40" t="s">
        <v>1366</v>
      </c>
      <c r="C1264" s="21" t="s">
        <v>6</v>
      </c>
      <c r="D1264" s="21" t="s">
        <v>6</v>
      </c>
      <c r="E1264" s="91" t="s">
        <v>46</v>
      </c>
      <c r="F1264" s="108">
        <v>46055</v>
      </c>
    </row>
    <row r="1265" spans="1:6" x14ac:dyDescent="0.25">
      <c r="A1265" s="9">
        <v>225</v>
      </c>
      <c r="B1265" s="40" t="s">
        <v>1483</v>
      </c>
      <c r="C1265" s="21" t="s">
        <v>6</v>
      </c>
      <c r="D1265" s="21" t="s">
        <v>6</v>
      </c>
      <c r="E1265" s="91" t="s">
        <v>46</v>
      </c>
      <c r="F1265" s="108">
        <v>46075</v>
      </c>
    </row>
    <row r="1266" spans="1:6" x14ac:dyDescent="0.25">
      <c r="A1266" s="9">
        <v>226</v>
      </c>
      <c r="B1266" s="40" t="s">
        <v>1346</v>
      </c>
      <c r="C1266" s="21" t="s">
        <v>6</v>
      </c>
      <c r="D1266" s="21" t="s">
        <v>6</v>
      </c>
      <c r="E1266" s="91" t="s">
        <v>46</v>
      </c>
      <c r="F1266" s="108">
        <v>46055</v>
      </c>
    </row>
    <row r="1267" spans="1:6" x14ac:dyDescent="0.25">
      <c r="A1267" s="9">
        <v>227</v>
      </c>
      <c r="B1267" s="40" t="s">
        <v>1347</v>
      </c>
      <c r="C1267" s="21" t="s">
        <v>6</v>
      </c>
      <c r="D1267" s="21" t="s">
        <v>6</v>
      </c>
      <c r="E1267" s="91" t="s">
        <v>46</v>
      </c>
      <c r="F1267" s="108">
        <v>46046</v>
      </c>
    </row>
    <row r="1268" spans="1:6" x14ac:dyDescent="0.25">
      <c r="A1268" s="9">
        <v>228</v>
      </c>
      <c r="B1268" s="40" t="s">
        <v>1351</v>
      </c>
      <c r="C1268" s="21" t="s">
        <v>6</v>
      </c>
      <c r="D1268" s="21" t="s">
        <v>6</v>
      </c>
      <c r="E1268" s="91" t="s">
        <v>46</v>
      </c>
      <c r="F1268" s="108">
        <v>46046</v>
      </c>
    </row>
    <row r="1269" spans="1:6" x14ac:dyDescent="0.25">
      <c r="A1269" s="9">
        <v>229</v>
      </c>
      <c r="B1269" s="40" t="s">
        <v>1354</v>
      </c>
      <c r="C1269" s="21" t="s">
        <v>6</v>
      </c>
      <c r="D1269" s="21" t="s">
        <v>6</v>
      </c>
      <c r="E1269" s="91" t="s">
        <v>46</v>
      </c>
      <c r="F1269" s="108">
        <v>46046</v>
      </c>
    </row>
    <row r="1270" spans="1:6" ht="15.75" x14ac:dyDescent="0.25">
      <c r="A1270" s="9">
        <v>230</v>
      </c>
      <c r="B1270" s="40" t="s">
        <v>475</v>
      </c>
      <c r="C1270" s="21" t="s">
        <v>6</v>
      </c>
      <c r="D1270" s="21" t="s">
        <v>6</v>
      </c>
      <c r="E1270" s="92" t="s">
        <v>46</v>
      </c>
      <c r="F1270" s="108">
        <v>46055</v>
      </c>
    </row>
    <row r="1271" spans="1:6" x14ac:dyDescent="0.25">
      <c r="A1271" s="9">
        <v>231</v>
      </c>
      <c r="B1271" s="40" t="s">
        <v>1367</v>
      </c>
      <c r="C1271" s="21" t="s">
        <v>6</v>
      </c>
      <c r="D1271" s="21" t="s">
        <v>6</v>
      </c>
      <c r="E1271" s="91" t="s">
        <v>46</v>
      </c>
      <c r="F1271" s="108">
        <v>46046</v>
      </c>
    </row>
    <row r="1272" spans="1:6" x14ac:dyDescent="0.25">
      <c r="A1272" s="9">
        <v>232</v>
      </c>
      <c r="B1272" s="40" t="s">
        <v>1368</v>
      </c>
      <c r="C1272" s="21" t="s">
        <v>6</v>
      </c>
      <c r="D1272" s="21" t="s">
        <v>6</v>
      </c>
      <c r="E1272" s="91" t="s">
        <v>46</v>
      </c>
      <c r="F1272" s="108">
        <v>46046</v>
      </c>
    </row>
    <row r="1273" spans="1:6" ht="15.75" x14ac:dyDescent="0.25">
      <c r="A1273" s="9">
        <v>233</v>
      </c>
      <c r="B1273" s="40" t="s">
        <v>1373</v>
      </c>
      <c r="C1273" s="21" t="s">
        <v>6</v>
      </c>
      <c r="D1273" s="21" t="s">
        <v>6</v>
      </c>
      <c r="E1273" s="92" t="s">
        <v>153</v>
      </c>
      <c r="F1273" s="108">
        <v>46055</v>
      </c>
    </row>
    <row r="1274" spans="1:6" x14ac:dyDescent="0.25">
      <c r="A1274" s="9">
        <v>234</v>
      </c>
      <c r="B1274" s="40" t="s">
        <v>1386</v>
      </c>
      <c r="C1274" s="21" t="s">
        <v>6</v>
      </c>
      <c r="D1274" s="21" t="s">
        <v>6</v>
      </c>
      <c r="E1274" s="91" t="s">
        <v>46</v>
      </c>
      <c r="F1274" s="108">
        <v>46055</v>
      </c>
    </row>
    <row r="1275" spans="1:6" x14ac:dyDescent="0.25">
      <c r="A1275" s="9">
        <v>235</v>
      </c>
      <c r="B1275" s="40" t="s">
        <v>1371</v>
      </c>
      <c r="C1275" s="21" t="s">
        <v>6</v>
      </c>
      <c r="D1275" s="21" t="s">
        <v>6</v>
      </c>
      <c r="E1275" s="91" t="s">
        <v>46</v>
      </c>
      <c r="F1275" s="108">
        <v>46055</v>
      </c>
    </row>
    <row r="1276" spans="1:6" x14ac:dyDescent="0.25">
      <c r="A1276" s="9">
        <v>236</v>
      </c>
      <c r="B1276" s="40" t="s">
        <v>1372</v>
      </c>
      <c r="C1276" s="21" t="s">
        <v>6</v>
      </c>
      <c r="D1276" s="21" t="s">
        <v>6</v>
      </c>
      <c r="E1276" s="91" t="s">
        <v>46</v>
      </c>
      <c r="F1276" s="108">
        <v>46055</v>
      </c>
    </row>
    <row r="1277" spans="1:6" x14ac:dyDescent="0.25">
      <c r="A1277" s="9">
        <v>237</v>
      </c>
      <c r="B1277" s="40" t="s">
        <v>1370</v>
      </c>
      <c r="C1277" s="21" t="s">
        <v>6</v>
      </c>
      <c r="D1277" s="21" t="s">
        <v>6</v>
      </c>
      <c r="E1277" s="91" t="s">
        <v>46</v>
      </c>
      <c r="F1277" s="108">
        <v>46055</v>
      </c>
    </row>
    <row r="1278" spans="1:6" ht="15.75" x14ac:dyDescent="0.25">
      <c r="A1278" s="9">
        <v>238</v>
      </c>
      <c r="B1278" s="40" t="s">
        <v>231</v>
      </c>
      <c r="C1278" s="21" t="s">
        <v>6</v>
      </c>
      <c r="D1278" s="21" t="s">
        <v>6</v>
      </c>
      <c r="E1278" s="92" t="s">
        <v>46</v>
      </c>
      <c r="F1278" s="108">
        <v>46061</v>
      </c>
    </row>
    <row r="1279" spans="1:6" x14ac:dyDescent="0.25">
      <c r="A1279" s="9">
        <v>239</v>
      </c>
      <c r="B1279" s="40" t="s">
        <v>1388</v>
      </c>
      <c r="C1279" s="21" t="s">
        <v>6</v>
      </c>
      <c r="D1279" s="21" t="s">
        <v>6</v>
      </c>
      <c r="E1279" s="91" t="s">
        <v>46</v>
      </c>
      <c r="F1279" s="108">
        <v>46055</v>
      </c>
    </row>
    <row r="1280" spans="1:6" x14ac:dyDescent="0.25">
      <c r="A1280" s="9">
        <v>240</v>
      </c>
      <c r="B1280" s="8" t="s">
        <v>247</v>
      </c>
      <c r="C1280" s="21" t="s">
        <v>6</v>
      </c>
      <c r="D1280" s="21" t="s">
        <v>6</v>
      </c>
      <c r="E1280" s="94" t="s">
        <v>46</v>
      </c>
      <c r="F1280" s="108">
        <v>46061</v>
      </c>
    </row>
    <row r="1281" spans="1:6" x14ac:dyDescent="0.25">
      <c r="A1281" s="9">
        <v>241</v>
      </c>
      <c r="B1281" s="40" t="s">
        <v>1395</v>
      </c>
      <c r="C1281" s="21" t="s">
        <v>6</v>
      </c>
      <c r="D1281" s="21" t="s">
        <v>6</v>
      </c>
      <c r="E1281" s="91" t="s">
        <v>46</v>
      </c>
      <c r="F1281" s="108">
        <v>46055</v>
      </c>
    </row>
    <row r="1282" spans="1:6" x14ac:dyDescent="0.25">
      <c r="A1282" s="9">
        <v>242</v>
      </c>
      <c r="B1282" s="40" t="s">
        <v>1396</v>
      </c>
      <c r="C1282" s="21" t="s">
        <v>6</v>
      </c>
      <c r="D1282" s="21" t="s">
        <v>6</v>
      </c>
      <c r="E1282" s="91" t="s">
        <v>46</v>
      </c>
      <c r="F1282" s="108">
        <v>46055</v>
      </c>
    </row>
    <row r="1283" spans="1:6" x14ac:dyDescent="0.25">
      <c r="A1283" s="9">
        <v>243</v>
      </c>
      <c r="B1283" s="40" t="s">
        <v>1416</v>
      </c>
      <c r="C1283" s="21" t="s">
        <v>6</v>
      </c>
      <c r="D1283" s="21" t="s">
        <v>6</v>
      </c>
      <c r="E1283" s="91" t="s">
        <v>46</v>
      </c>
      <c r="F1283" s="108">
        <v>46061</v>
      </c>
    </row>
    <row r="1284" spans="1:6" x14ac:dyDescent="0.25">
      <c r="A1284" s="9">
        <v>244</v>
      </c>
      <c r="B1284" s="40" t="s">
        <v>1415</v>
      </c>
      <c r="C1284" s="21" t="s">
        <v>6</v>
      </c>
      <c r="D1284" s="21" t="s">
        <v>6</v>
      </c>
      <c r="E1284" s="91" t="s">
        <v>46</v>
      </c>
      <c r="F1284" s="108">
        <v>46061</v>
      </c>
    </row>
    <row r="1285" spans="1:6" x14ac:dyDescent="0.25">
      <c r="A1285" s="9">
        <v>245</v>
      </c>
      <c r="B1285" s="40" t="s">
        <v>1417</v>
      </c>
      <c r="C1285" s="21" t="s">
        <v>6</v>
      </c>
      <c r="D1285" s="21" t="s">
        <v>6</v>
      </c>
      <c r="E1285" s="91" t="s">
        <v>46</v>
      </c>
      <c r="F1285" s="108">
        <v>46061</v>
      </c>
    </row>
    <row r="1286" spans="1:6" x14ac:dyDescent="0.25">
      <c r="A1286" s="9">
        <v>246</v>
      </c>
      <c r="B1286" s="40" t="s">
        <v>291</v>
      </c>
      <c r="C1286" s="21" t="s">
        <v>6</v>
      </c>
      <c r="D1286" s="21" t="s">
        <v>6</v>
      </c>
      <c r="E1286" s="91" t="s">
        <v>46</v>
      </c>
      <c r="F1286" s="108">
        <v>46061</v>
      </c>
    </row>
    <row r="1287" spans="1:6" x14ac:dyDescent="0.25">
      <c r="A1287" s="9">
        <v>247</v>
      </c>
      <c r="B1287" s="40" t="s">
        <v>1462</v>
      </c>
      <c r="C1287" s="21" t="s">
        <v>6</v>
      </c>
      <c r="D1287" s="21" t="s">
        <v>6</v>
      </c>
      <c r="E1287" s="91" t="s">
        <v>46</v>
      </c>
      <c r="F1287" s="108">
        <v>46068</v>
      </c>
    </row>
    <row r="1288" spans="1:6" x14ac:dyDescent="0.25">
      <c r="A1288" s="9">
        <v>248</v>
      </c>
      <c r="B1288" s="40" t="s">
        <v>1464</v>
      </c>
      <c r="C1288" s="21" t="s">
        <v>6</v>
      </c>
      <c r="D1288" s="21" t="s">
        <v>6</v>
      </c>
      <c r="E1288" s="91" t="s">
        <v>46</v>
      </c>
      <c r="F1288" s="108">
        <v>46068</v>
      </c>
    </row>
    <row r="1289" spans="1:6" x14ac:dyDescent="0.25">
      <c r="A1289" s="9">
        <v>249</v>
      </c>
      <c r="B1289" s="40" t="s">
        <v>1465</v>
      </c>
      <c r="C1289" s="21" t="s">
        <v>6</v>
      </c>
      <c r="D1289" s="21" t="s">
        <v>6</v>
      </c>
      <c r="E1289" s="91" t="s">
        <v>46</v>
      </c>
      <c r="F1289" s="108">
        <v>46075</v>
      </c>
    </row>
    <row r="1290" spans="1:6" x14ac:dyDescent="0.25">
      <c r="A1290" s="9">
        <v>250</v>
      </c>
      <c r="B1290" s="40" t="s">
        <v>1469</v>
      </c>
      <c r="C1290" s="21" t="s">
        <v>6</v>
      </c>
      <c r="D1290" s="21" t="s">
        <v>6</v>
      </c>
      <c r="E1290" s="91" t="s">
        <v>46</v>
      </c>
      <c r="F1290" s="108">
        <v>46075</v>
      </c>
    </row>
    <row r="1291" spans="1:6" x14ac:dyDescent="0.25">
      <c r="A1291" s="9">
        <v>251</v>
      </c>
      <c r="B1291" s="40" t="s">
        <v>1470</v>
      </c>
      <c r="C1291" s="21" t="s">
        <v>6</v>
      </c>
      <c r="D1291" s="21" t="s">
        <v>6</v>
      </c>
      <c r="E1291" s="91" t="s">
        <v>46</v>
      </c>
      <c r="F1291" s="108">
        <v>46075</v>
      </c>
    </row>
    <row r="1292" spans="1:6" x14ac:dyDescent="0.25">
      <c r="A1292" s="9">
        <v>252</v>
      </c>
      <c r="B1292" s="40" t="s">
        <v>1471</v>
      </c>
      <c r="C1292" s="21" t="s">
        <v>6</v>
      </c>
      <c r="D1292" s="21" t="s">
        <v>6</v>
      </c>
      <c r="E1292" s="91" t="s">
        <v>46</v>
      </c>
      <c r="F1292" s="108">
        <v>46075</v>
      </c>
    </row>
    <row r="1293" spans="1:6" x14ac:dyDescent="0.25">
      <c r="A1293" s="9">
        <v>253</v>
      </c>
      <c r="B1293" s="40" t="s">
        <v>1472</v>
      </c>
      <c r="C1293" s="21" t="s">
        <v>6</v>
      </c>
      <c r="D1293" s="21" t="s">
        <v>6</v>
      </c>
      <c r="E1293" s="91" t="s">
        <v>46</v>
      </c>
      <c r="F1293" s="108">
        <v>46075</v>
      </c>
    </row>
    <row r="1294" spans="1:6" x14ac:dyDescent="0.25">
      <c r="A1294" s="9">
        <v>254</v>
      </c>
      <c r="B1294" s="40" t="s">
        <v>698</v>
      </c>
      <c r="C1294" s="21" t="s">
        <v>6</v>
      </c>
      <c r="D1294" s="21" t="s">
        <v>6</v>
      </c>
      <c r="E1294" s="91" t="s">
        <v>46</v>
      </c>
      <c r="F1294" s="108">
        <v>46095</v>
      </c>
    </row>
    <row r="1295" spans="1:6" x14ac:dyDescent="0.25">
      <c r="A1295" s="9">
        <v>255</v>
      </c>
      <c r="B1295" s="40" t="s">
        <v>1461</v>
      </c>
      <c r="C1295" s="21" t="s">
        <v>6</v>
      </c>
      <c r="D1295" s="21" t="s">
        <v>6</v>
      </c>
      <c r="E1295" s="91" t="s">
        <v>46</v>
      </c>
      <c r="F1295" s="108">
        <v>46089</v>
      </c>
    </row>
    <row r="1296" spans="1:6" x14ac:dyDescent="0.25">
      <c r="A1296" s="9">
        <v>256</v>
      </c>
      <c r="B1296" s="8" t="s">
        <v>690</v>
      </c>
      <c r="C1296" s="21" t="s">
        <v>6</v>
      </c>
      <c r="D1296" s="21" t="s">
        <v>6</v>
      </c>
      <c r="E1296" s="93" t="s">
        <v>346</v>
      </c>
      <c r="F1296" s="108">
        <v>46082</v>
      </c>
    </row>
    <row r="1297" spans="1:6" x14ac:dyDescent="0.25">
      <c r="A1297" s="9">
        <v>257</v>
      </c>
      <c r="B1297" s="40" t="s">
        <v>1337</v>
      </c>
      <c r="C1297" s="21" t="s">
        <v>6</v>
      </c>
      <c r="D1297" s="21" t="s">
        <v>6</v>
      </c>
      <c r="E1297" s="91" t="s">
        <v>46</v>
      </c>
      <c r="F1297" s="108">
        <v>46095</v>
      </c>
    </row>
    <row r="1298" spans="1:6" x14ac:dyDescent="0.25">
      <c r="A1298" s="9">
        <v>258</v>
      </c>
      <c r="B1298" s="40" t="s">
        <v>1336</v>
      </c>
      <c r="C1298" s="21" t="s">
        <v>6</v>
      </c>
      <c r="D1298" s="21" t="s">
        <v>6</v>
      </c>
      <c r="E1298" s="91" t="s">
        <v>46</v>
      </c>
      <c r="F1298" s="108">
        <v>46095</v>
      </c>
    </row>
    <row r="1299" spans="1:6" x14ac:dyDescent="0.25">
      <c r="A1299" s="9">
        <v>259</v>
      </c>
      <c r="B1299" s="40" t="s">
        <v>1446</v>
      </c>
      <c r="C1299" s="21" t="s">
        <v>6</v>
      </c>
      <c r="D1299" s="21" t="s">
        <v>6</v>
      </c>
      <c r="E1299" s="91" t="s">
        <v>46</v>
      </c>
      <c r="F1299" s="108">
        <v>46082</v>
      </c>
    </row>
    <row r="1300" spans="1:6" x14ac:dyDescent="0.25">
      <c r="A1300" s="9">
        <v>260</v>
      </c>
      <c r="B1300" s="40" t="s">
        <v>1466</v>
      </c>
      <c r="C1300" s="21" t="s">
        <v>6</v>
      </c>
      <c r="D1300" s="21" t="s">
        <v>6</v>
      </c>
      <c r="E1300" s="91" t="s">
        <v>46</v>
      </c>
      <c r="F1300" s="108">
        <v>46082</v>
      </c>
    </row>
    <row r="1301" spans="1:6" x14ac:dyDescent="0.25">
      <c r="A1301" s="9">
        <v>261</v>
      </c>
      <c r="B1301" s="40" t="s">
        <v>1498</v>
      </c>
      <c r="C1301" s="21" t="s">
        <v>6</v>
      </c>
      <c r="D1301" s="21" t="s">
        <v>6</v>
      </c>
      <c r="E1301" s="91" t="s">
        <v>46</v>
      </c>
      <c r="F1301" s="108">
        <v>46095</v>
      </c>
    </row>
    <row r="1302" spans="1:6" x14ac:dyDescent="0.25">
      <c r="A1302" s="9">
        <v>262</v>
      </c>
      <c r="B1302" s="40" t="s">
        <v>1537</v>
      </c>
      <c r="C1302" s="21" t="s">
        <v>6</v>
      </c>
      <c r="D1302" s="21" t="s">
        <v>6</v>
      </c>
      <c r="E1302" s="91" t="s">
        <v>1538</v>
      </c>
      <c r="F1302" s="108">
        <v>46089</v>
      </c>
    </row>
    <row r="1303" spans="1:6" x14ac:dyDescent="0.25">
      <c r="A1303" s="9">
        <v>263</v>
      </c>
      <c r="B1303" s="40" t="s">
        <v>1499</v>
      </c>
      <c r="C1303" s="21" t="s">
        <v>6</v>
      </c>
      <c r="D1303" s="21" t="s">
        <v>6</v>
      </c>
      <c r="E1303" s="91" t="s">
        <v>46</v>
      </c>
      <c r="F1303" s="108">
        <v>46095</v>
      </c>
    </row>
    <row r="1304" spans="1:6" x14ac:dyDescent="0.25">
      <c r="A1304" s="9">
        <v>264</v>
      </c>
      <c r="B1304" s="81" t="s">
        <v>1519</v>
      </c>
      <c r="C1304" s="21" t="s">
        <v>6</v>
      </c>
      <c r="D1304" s="21" t="s">
        <v>6</v>
      </c>
      <c r="E1304" s="91" t="s">
        <v>46</v>
      </c>
      <c r="F1304" s="108">
        <v>46082</v>
      </c>
    </row>
    <row r="1305" spans="1:6" x14ac:dyDescent="0.25">
      <c r="A1305" s="9">
        <v>265</v>
      </c>
      <c r="B1305" s="40" t="s">
        <v>1520</v>
      </c>
      <c r="C1305" s="21" t="s">
        <v>6</v>
      </c>
      <c r="D1305" s="21" t="s">
        <v>6</v>
      </c>
      <c r="E1305" s="91" t="s">
        <v>46</v>
      </c>
      <c r="F1305" s="108">
        <v>46082</v>
      </c>
    </row>
    <row r="1306" spans="1:6" x14ac:dyDescent="0.25">
      <c r="A1306" s="9">
        <v>266</v>
      </c>
      <c r="B1306" s="40" t="s">
        <v>1521</v>
      </c>
      <c r="C1306" s="21" t="s">
        <v>6</v>
      </c>
      <c r="D1306" s="21" t="s">
        <v>6</v>
      </c>
      <c r="E1306" s="91" t="s">
        <v>46</v>
      </c>
      <c r="F1306" s="108">
        <v>46082</v>
      </c>
    </row>
    <row r="1307" spans="1:6" x14ac:dyDescent="0.25">
      <c r="A1307" s="9">
        <v>267</v>
      </c>
      <c r="B1307" s="40" t="s">
        <v>1522</v>
      </c>
      <c r="C1307" s="21" t="s">
        <v>6</v>
      </c>
      <c r="D1307" s="21" t="s">
        <v>6</v>
      </c>
      <c r="E1307" s="91" t="s">
        <v>46</v>
      </c>
      <c r="F1307" s="108">
        <v>46082</v>
      </c>
    </row>
    <row r="1308" spans="1:6" x14ac:dyDescent="0.25">
      <c r="A1308" s="9">
        <v>268</v>
      </c>
      <c r="B1308" s="40" t="s">
        <v>1523</v>
      </c>
      <c r="C1308" s="21" t="s">
        <v>6</v>
      </c>
      <c r="D1308" s="21" t="s">
        <v>6</v>
      </c>
      <c r="E1308" s="91" t="s">
        <v>46</v>
      </c>
      <c r="F1308" s="108">
        <v>46082</v>
      </c>
    </row>
    <row r="1309" spans="1:6" x14ac:dyDescent="0.25">
      <c r="A1309" s="9">
        <v>269</v>
      </c>
      <c r="B1309" s="40" t="s">
        <v>1524</v>
      </c>
      <c r="C1309" s="21" t="s">
        <v>6</v>
      </c>
      <c r="D1309" s="21" t="s">
        <v>6</v>
      </c>
      <c r="E1309" s="91" t="s">
        <v>46</v>
      </c>
      <c r="F1309" s="108">
        <v>46082</v>
      </c>
    </row>
    <row r="1310" spans="1:6" x14ac:dyDescent="0.25">
      <c r="A1310" s="9">
        <v>270</v>
      </c>
      <c r="B1310" s="40" t="s">
        <v>1525</v>
      </c>
      <c r="C1310" s="21" t="s">
        <v>6</v>
      </c>
      <c r="D1310" s="21" t="s">
        <v>6</v>
      </c>
      <c r="E1310" s="91" t="s">
        <v>46</v>
      </c>
      <c r="F1310" s="108">
        <v>46082</v>
      </c>
    </row>
    <row r="1311" spans="1:6" x14ac:dyDescent="0.25">
      <c r="A1311" s="9">
        <v>271</v>
      </c>
      <c r="B1311" s="40" t="s">
        <v>1526</v>
      </c>
      <c r="C1311" s="21" t="s">
        <v>6</v>
      </c>
      <c r="D1311" s="21" t="s">
        <v>6</v>
      </c>
      <c r="E1311" s="91" t="s">
        <v>46</v>
      </c>
      <c r="F1311" s="108">
        <v>46082</v>
      </c>
    </row>
    <row r="1312" spans="1:6" x14ac:dyDescent="0.25">
      <c r="A1312" s="9">
        <v>272</v>
      </c>
      <c r="B1312" s="40" t="s">
        <v>1527</v>
      </c>
      <c r="C1312" s="21" t="s">
        <v>6</v>
      </c>
      <c r="D1312" s="21" t="s">
        <v>6</v>
      </c>
      <c r="E1312" s="91" t="s">
        <v>46</v>
      </c>
      <c r="F1312" s="108">
        <v>46082</v>
      </c>
    </row>
    <row r="1313" spans="1:6" x14ac:dyDescent="0.25">
      <c r="A1313" s="9">
        <v>273</v>
      </c>
      <c r="B1313" s="40" t="s">
        <v>1528</v>
      </c>
      <c r="C1313" s="21" t="s">
        <v>6</v>
      </c>
      <c r="D1313" s="21" t="s">
        <v>6</v>
      </c>
      <c r="E1313" s="91" t="s">
        <v>46</v>
      </c>
      <c r="F1313" s="108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1" t="s">
        <v>46</v>
      </c>
      <c r="F1314" s="108">
        <v>46082</v>
      </c>
    </row>
    <row r="1315" spans="1:6" x14ac:dyDescent="0.25">
      <c r="A1315" s="9">
        <v>275</v>
      </c>
      <c r="B1315" s="40" t="s">
        <v>1530</v>
      </c>
      <c r="C1315" s="21" t="s">
        <v>6</v>
      </c>
      <c r="D1315" s="21" t="s">
        <v>6</v>
      </c>
      <c r="E1315" s="91" t="s">
        <v>46</v>
      </c>
      <c r="F1315" s="108">
        <v>46082</v>
      </c>
    </row>
    <row r="1316" spans="1:6" x14ac:dyDescent="0.25">
      <c r="A1316" s="9">
        <v>276</v>
      </c>
      <c r="B1316" s="40" t="s">
        <v>289</v>
      </c>
      <c r="C1316" s="21" t="s">
        <v>6</v>
      </c>
      <c r="D1316" s="21" t="s">
        <v>6</v>
      </c>
      <c r="E1316" s="91" t="s">
        <v>46</v>
      </c>
      <c r="F1316" s="108">
        <v>46082</v>
      </c>
    </row>
    <row r="1317" spans="1:6" x14ac:dyDescent="0.25">
      <c r="A1317" s="9">
        <v>277</v>
      </c>
      <c r="B1317" s="40" t="s">
        <v>1508</v>
      </c>
      <c r="C1317" s="21" t="s">
        <v>6</v>
      </c>
      <c r="D1317" s="21" t="s">
        <v>6</v>
      </c>
      <c r="E1317" s="91" t="s">
        <v>46</v>
      </c>
      <c r="F1317" s="108">
        <v>46082</v>
      </c>
    </row>
    <row r="1318" spans="1:6" x14ac:dyDescent="0.25">
      <c r="A1318" s="9">
        <v>278</v>
      </c>
      <c r="B1318" s="40" t="s">
        <v>1506</v>
      </c>
      <c r="C1318" s="21" t="s">
        <v>6</v>
      </c>
      <c r="D1318" s="21" t="s">
        <v>6</v>
      </c>
      <c r="E1318" s="91" t="s">
        <v>46</v>
      </c>
      <c r="F1318" s="108">
        <v>46082</v>
      </c>
    </row>
    <row r="1319" spans="1:6" x14ac:dyDescent="0.25">
      <c r="A1319" s="9">
        <v>279</v>
      </c>
      <c r="B1319" s="40" t="s">
        <v>1507</v>
      </c>
      <c r="C1319" s="21" t="s">
        <v>6</v>
      </c>
      <c r="D1319" s="21" t="s">
        <v>6</v>
      </c>
      <c r="E1319" s="91" t="s">
        <v>46</v>
      </c>
      <c r="F1319" s="108">
        <v>46089</v>
      </c>
    </row>
    <row r="1320" spans="1:6" x14ac:dyDescent="0.25">
      <c r="A1320" s="9">
        <v>280</v>
      </c>
      <c r="B1320" s="40" t="s">
        <v>1506</v>
      </c>
      <c r="C1320" s="21" t="s">
        <v>6</v>
      </c>
      <c r="D1320" s="21" t="s">
        <v>6</v>
      </c>
      <c r="E1320" s="91" t="s">
        <v>46</v>
      </c>
      <c r="F1320" s="108">
        <v>46082</v>
      </c>
    </row>
    <row r="1321" spans="1:6" x14ac:dyDescent="0.25">
      <c r="A1321" s="9">
        <v>281</v>
      </c>
      <c r="B1321" s="40" t="s">
        <v>1510</v>
      </c>
      <c r="C1321" s="21" t="s">
        <v>6</v>
      </c>
      <c r="D1321" s="21" t="s">
        <v>6</v>
      </c>
      <c r="E1321" s="91" t="s">
        <v>46</v>
      </c>
      <c r="F1321" s="108">
        <v>46082</v>
      </c>
    </row>
    <row r="1322" spans="1:6" x14ac:dyDescent="0.25">
      <c r="A1322" s="9">
        <v>282</v>
      </c>
      <c r="B1322" s="40" t="s">
        <v>243</v>
      </c>
      <c r="C1322" s="21" t="s">
        <v>6</v>
      </c>
      <c r="D1322" s="21" t="s">
        <v>6</v>
      </c>
      <c r="E1322" s="91" t="s">
        <v>46</v>
      </c>
      <c r="F1322" s="108">
        <v>46095</v>
      </c>
    </row>
    <row r="1323" spans="1:6" x14ac:dyDescent="0.25">
      <c r="A1323" s="9">
        <v>283</v>
      </c>
      <c r="B1323" s="8" t="s">
        <v>1565</v>
      </c>
      <c r="C1323" s="21" t="s">
        <v>6</v>
      </c>
      <c r="D1323" s="21" t="s">
        <v>6</v>
      </c>
      <c r="E1323" s="94" t="s">
        <v>46</v>
      </c>
      <c r="F1323" s="108">
        <v>46104</v>
      </c>
    </row>
    <row r="1324" spans="1:6" x14ac:dyDescent="0.25">
      <c r="A1324" s="9">
        <v>284</v>
      </c>
      <c r="B1324" s="8" t="s">
        <v>1566</v>
      </c>
      <c r="C1324" s="21" t="s">
        <v>6</v>
      </c>
      <c r="D1324" s="21" t="s">
        <v>6</v>
      </c>
      <c r="E1324" s="94"/>
      <c r="F1324" s="108">
        <v>46104</v>
      </c>
    </row>
    <row r="1325" spans="1:6" x14ac:dyDescent="0.25">
      <c r="A1325" s="9">
        <v>285</v>
      </c>
      <c r="B1325" s="40" t="s">
        <v>557</v>
      </c>
      <c r="C1325" s="21" t="s">
        <v>6</v>
      </c>
      <c r="D1325" s="21" t="s">
        <v>6</v>
      </c>
      <c r="E1325" s="94" t="s">
        <v>46</v>
      </c>
      <c r="F1325" s="108">
        <v>46104</v>
      </c>
    </row>
    <row r="1326" spans="1:6" ht="15.75" x14ac:dyDescent="0.25">
      <c r="A1326" s="9">
        <v>286</v>
      </c>
      <c r="B1326" s="40" t="s">
        <v>1247</v>
      </c>
      <c r="C1326" s="21" t="s">
        <v>6</v>
      </c>
      <c r="D1326" s="21" t="s">
        <v>6</v>
      </c>
      <c r="E1326" s="92" t="s">
        <v>46</v>
      </c>
      <c r="F1326" s="108">
        <v>46104</v>
      </c>
    </row>
    <row r="1327" spans="1:6" ht="15.75" x14ac:dyDescent="0.25">
      <c r="A1327" s="9">
        <v>287</v>
      </c>
      <c r="B1327" s="40" t="s">
        <v>1272</v>
      </c>
      <c r="C1327" s="21" t="s">
        <v>6</v>
      </c>
      <c r="D1327" s="21" t="s">
        <v>6</v>
      </c>
      <c r="E1327" s="92" t="s">
        <v>46</v>
      </c>
      <c r="F1327" s="108">
        <v>46104</v>
      </c>
    </row>
    <row r="1328" spans="1:6" ht="15.75" x14ac:dyDescent="0.25">
      <c r="A1328" s="9">
        <v>288</v>
      </c>
      <c r="B1328" s="40" t="s">
        <v>1245</v>
      </c>
      <c r="C1328" s="21" t="s">
        <v>6</v>
      </c>
      <c r="D1328" s="21" t="s">
        <v>6</v>
      </c>
      <c r="E1328" s="92" t="s">
        <v>46</v>
      </c>
      <c r="F1328" s="108">
        <v>46104</v>
      </c>
    </row>
    <row r="1329" spans="1:6" ht="15.75" x14ac:dyDescent="0.25">
      <c r="A1329" s="9">
        <v>289</v>
      </c>
      <c r="B1329" s="40" t="s">
        <v>1052</v>
      </c>
      <c r="C1329" s="21" t="s">
        <v>6</v>
      </c>
      <c r="D1329" s="21" t="s">
        <v>6</v>
      </c>
      <c r="E1329" s="92" t="s">
        <v>153</v>
      </c>
      <c r="F1329" s="108">
        <v>46104</v>
      </c>
    </row>
    <row r="1330" spans="1:6" x14ac:dyDescent="0.25">
      <c r="A1330" s="9">
        <v>290</v>
      </c>
      <c r="B1330" s="40" t="s">
        <v>1118</v>
      </c>
      <c r="C1330" s="21" t="s">
        <v>6</v>
      </c>
      <c r="D1330" s="21" t="s">
        <v>6</v>
      </c>
      <c r="E1330" s="91" t="s">
        <v>46</v>
      </c>
      <c r="F1330" s="108">
        <v>46104</v>
      </c>
    </row>
    <row r="1331" spans="1:6" ht="15.75" x14ac:dyDescent="0.25">
      <c r="A1331" s="9">
        <v>291</v>
      </c>
      <c r="B1331" s="8" t="s">
        <v>268</v>
      </c>
      <c r="C1331" s="21" t="s">
        <v>6</v>
      </c>
      <c r="D1331" s="21" t="s">
        <v>6</v>
      </c>
      <c r="E1331" s="90" t="s">
        <v>41</v>
      </c>
      <c r="F1331" s="108">
        <v>46104</v>
      </c>
    </row>
    <row r="1332" spans="1:6" x14ac:dyDescent="0.25">
      <c r="A1332" s="9">
        <v>22</v>
      </c>
      <c r="B1332" s="40" t="s">
        <v>982</v>
      </c>
      <c r="C1332" s="21" t="s">
        <v>6</v>
      </c>
      <c r="D1332" s="21" t="s">
        <v>6</v>
      </c>
      <c r="E1332" s="14" t="s">
        <v>46</v>
      </c>
      <c r="F1332" s="38">
        <f t="shared" ref="F1332:F1337" ca="1" si="6">IF(AND(C1332="NO",D1332="NO"),IF(F1332="",TODAY(),F1332),"")</f>
        <v>46195</v>
      </c>
    </row>
    <row r="1333" spans="1:6" x14ac:dyDescent="0.25">
      <c r="A1333" s="9">
        <v>57</v>
      </c>
      <c r="B1333" s="40" t="s">
        <v>1796</v>
      </c>
      <c r="C1333" s="21" t="s">
        <v>6</v>
      </c>
      <c r="D1333" s="21" t="s">
        <v>6</v>
      </c>
      <c r="E1333" s="14" t="s">
        <v>46</v>
      </c>
      <c r="F1333" s="38">
        <f t="shared" ca="1" si="6"/>
        <v>46195</v>
      </c>
    </row>
    <row r="1334" spans="1:6" x14ac:dyDescent="0.25">
      <c r="A1334" s="9">
        <v>63</v>
      </c>
      <c r="B1334" s="8" t="s">
        <v>846</v>
      </c>
      <c r="C1334" s="21" t="s">
        <v>6</v>
      </c>
      <c r="D1334" s="21" t="s">
        <v>6</v>
      </c>
      <c r="E1334" s="14" t="s">
        <v>346</v>
      </c>
      <c r="F1334" s="38">
        <f t="shared" ca="1" si="6"/>
        <v>46195</v>
      </c>
    </row>
    <row r="1335" spans="1:6" x14ac:dyDescent="0.25">
      <c r="A1335" s="9">
        <v>83</v>
      </c>
      <c r="B1335" s="40" t="s">
        <v>1474</v>
      </c>
      <c r="C1335" s="21" t="s">
        <v>6</v>
      </c>
      <c r="D1335" s="21" t="s">
        <v>6</v>
      </c>
      <c r="E1335" s="14" t="s">
        <v>46</v>
      </c>
      <c r="F1335" s="38">
        <f t="shared" ca="1" si="6"/>
        <v>46195</v>
      </c>
    </row>
    <row r="1336" spans="1:6" x14ac:dyDescent="0.25">
      <c r="A1336" s="9">
        <v>95</v>
      </c>
      <c r="B1336" s="40" t="s">
        <v>1797</v>
      </c>
      <c r="C1336" s="21" t="s">
        <v>6</v>
      </c>
      <c r="D1336" s="21" t="s">
        <v>6</v>
      </c>
      <c r="E1336" s="14" t="s">
        <v>46</v>
      </c>
      <c r="F1336" s="38">
        <f t="shared" ca="1" si="6"/>
        <v>46195</v>
      </c>
    </row>
    <row r="1337" spans="1:6" x14ac:dyDescent="0.25">
      <c r="A1337" s="9">
        <v>101</v>
      </c>
      <c r="B1337" s="40" t="s">
        <v>1845</v>
      </c>
      <c r="C1337" s="21" t="s">
        <v>6</v>
      </c>
      <c r="D1337" s="21" t="s">
        <v>6</v>
      </c>
      <c r="E1337" s="14" t="s">
        <v>46</v>
      </c>
      <c r="F1337" s="38">
        <f t="shared" ca="1" si="6"/>
        <v>46195</v>
      </c>
    </row>
    <row r="1338" spans="1:6" x14ac:dyDescent="0.25">
      <c r="A1338" s="9">
        <v>293</v>
      </c>
      <c r="B1338" s="19" t="s">
        <v>255</v>
      </c>
      <c r="C1338" s="21" t="s">
        <v>6</v>
      </c>
      <c r="D1338" s="21" t="s">
        <v>6</v>
      </c>
      <c r="E1338" s="91" t="s">
        <v>40</v>
      </c>
      <c r="F1338" s="108">
        <v>46104</v>
      </c>
    </row>
    <row r="1339" spans="1:6" x14ac:dyDescent="0.25">
      <c r="A1339" s="9">
        <v>294</v>
      </c>
      <c r="B1339" s="19" t="s">
        <v>254</v>
      </c>
      <c r="C1339" s="21" t="s">
        <v>6</v>
      </c>
      <c r="D1339" s="21" t="s">
        <v>6</v>
      </c>
      <c r="E1339" s="91" t="s">
        <v>40</v>
      </c>
      <c r="F1339" s="108">
        <v>46104</v>
      </c>
    </row>
    <row r="1340" spans="1:6" ht="15.75" x14ac:dyDescent="0.25">
      <c r="A1340" s="9">
        <v>295</v>
      </c>
      <c r="B1340" s="40" t="s">
        <v>689</v>
      </c>
      <c r="C1340" s="21" t="s">
        <v>6</v>
      </c>
      <c r="D1340" s="21" t="s">
        <v>6</v>
      </c>
      <c r="E1340" s="92" t="s">
        <v>46</v>
      </c>
      <c r="F1340" s="108">
        <v>46104</v>
      </c>
    </row>
    <row r="1341" spans="1:6" x14ac:dyDescent="0.25">
      <c r="A1341" s="9">
        <v>296</v>
      </c>
      <c r="B1341" s="40" t="s">
        <v>1445</v>
      </c>
      <c r="C1341" s="21" t="s">
        <v>6</v>
      </c>
      <c r="D1341" s="21" t="s">
        <v>6</v>
      </c>
      <c r="E1341" s="91" t="s">
        <v>46</v>
      </c>
      <c r="F1341" s="108">
        <v>46104</v>
      </c>
    </row>
    <row r="1342" spans="1:6" x14ac:dyDescent="0.25">
      <c r="A1342" s="9">
        <v>297</v>
      </c>
      <c r="B1342" s="40" t="s">
        <v>1606</v>
      </c>
      <c r="C1342" s="21" t="s">
        <v>6</v>
      </c>
      <c r="D1342" s="21" t="s">
        <v>6</v>
      </c>
      <c r="E1342" s="91" t="s">
        <v>46</v>
      </c>
      <c r="F1342" s="108">
        <v>46104</v>
      </c>
    </row>
    <row r="1343" spans="1:6" x14ac:dyDescent="0.25">
      <c r="A1343" s="9">
        <v>298</v>
      </c>
      <c r="B1343" s="40" t="s">
        <v>1473</v>
      </c>
      <c r="C1343" s="21" t="s">
        <v>6</v>
      </c>
      <c r="D1343" s="21" t="s">
        <v>6</v>
      </c>
      <c r="E1343" s="91" t="s">
        <v>46</v>
      </c>
      <c r="F1343" s="108">
        <v>46104</v>
      </c>
    </row>
    <row r="1344" spans="1:6" x14ac:dyDescent="0.25">
      <c r="A1344" s="9">
        <v>299</v>
      </c>
      <c r="B1344" s="40" t="s">
        <v>1558</v>
      </c>
      <c r="C1344" s="21" t="s">
        <v>6</v>
      </c>
      <c r="D1344" s="21" t="s">
        <v>6</v>
      </c>
      <c r="E1344" s="91" t="s">
        <v>46</v>
      </c>
      <c r="F1344" s="108">
        <v>46104</v>
      </c>
    </row>
    <row r="1345" spans="1:6" x14ac:dyDescent="0.25">
      <c r="A1345" s="9">
        <v>300</v>
      </c>
      <c r="B1345" s="40" t="s">
        <v>1559</v>
      </c>
      <c r="C1345" s="21" t="s">
        <v>6</v>
      </c>
      <c r="D1345" s="21" t="s">
        <v>6</v>
      </c>
      <c r="E1345" s="91" t="s">
        <v>46</v>
      </c>
      <c r="F1345" s="108"/>
    </row>
    <row r="1346" spans="1:6" x14ac:dyDescent="0.25">
      <c r="A1346" s="9">
        <v>301</v>
      </c>
      <c r="B1346" s="40" t="s">
        <v>1560</v>
      </c>
      <c r="C1346" s="21" t="s">
        <v>6</v>
      </c>
      <c r="D1346" s="21" t="s">
        <v>6</v>
      </c>
      <c r="E1346" s="91" t="s">
        <v>46</v>
      </c>
      <c r="F1346" s="108">
        <v>46104</v>
      </c>
    </row>
    <row r="1347" spans="1:6" x14ac:dyDescent="0.25">
      <c r="A1347" s="9">
        <v>302</v>
      </c>
      <c r="B1347" s="40" t="s">
        <v>1561</v>
      </c>
      <c r="C1347" s="21" t="s">
        <v>6</v>
      </c>
      <c r="D1347" s="21" t="s">
        <v>6</v>
      </c>
      <c r="E1347" s="91" t="s">
        <v>46</v>
      </c>
      <c r="F1347" s="108">
        <v>46104</v>
      </c>
    </row>
    <row r="1348" spans="1:6" x14ac:dyDescent="0.25">
      <c r="A1348" s="9">
        <v>303</v>
      </c>
      <c r="B1348" s="40" t="s">
        <v>1626</v>
      </c>
      <c r="C1348" s="21" t="s">
        <v>6</v>
      </c>
      <c r="D1348" s="21" t="s">
        <v>6</v>
      </c>
      <c r="E1348" s="91" t="s">
        <v>46</v>
      </c>
      <c r="F1348" s="108">
        <v>46104</v>
      </c>
    </row>
    <row r="1349" spans="1:6" x14ac:dyDescent="0.25">
      <c r="A1349" s="9">
        <v>304</v>
      </c>
      <c r="B1349" s="40" t="s">
        <v>1629</v>
      </c>
      <c r="C1349" s="21" t="s">
        <v>6</v>
      </c>
      <c r="D1349" s="21" t="s">
        <v>6</v>
      </c>
      <c r="E1349" s="91" t="s">
        <v>46</v>
      </c>
      <c r="F1349" s="108">
        <v>46104</v>
      </c>
    </row>
    <row r="1350" spans="1:6" x14ac:dyDescent="0.25">
      <c r="A1350" s="9">
        <v>305</v>
      </c>
      <c r="B1350" s="40" t="s">
        <v>1628</v>
      </c>
      <c r="C1350" s="21" t="s">
        <v>6</v>
      </c>
      <c r="D1350" s="21" t="s">
        <v>6</v>
      </c>
      <c r="E1350" s="91" t="s">
        <v>46</v>
      </c>
      <c r="F1350" s="108">
        <v>46104</v>
      </c>
    </row>
    <row r="1351" spans="1:6" x14ac:dyDescent="0.25">
      <c r="A1351" s="9">
        <v>306</v>
      </c>
      <c r="B1351" s="40" t="s">
        <v>1627</v>
      </c>
      <c r="C1351" s="21" t="s">
        <v>6</v>
      </c>
      <c r="D1351" s="21" t="s">
        <v>6</v>
      </c>
      <c r="E1351" s="91" t="s">
        <v>46</v>
      </c>
      <c r="F1351" s="108">
        <v>46104</v>
      </c>
    </row>
    <row r="1352" spans="1:6" x14ac:dyDescent="0.25">
      <c r="A1352" s="9">
        <v>307</v>
      </c>
      <c r="B1352" s="8" t="s">
        <v>280</v>
      </c>
      <c r="C1352" s="21" t="s">
        <v>6</v>
      </c>
      <c r="D1352" s="21" t="s">
        <v>6</v>
      </c>
      <c r="E1352" s="94" t="s">
        <v>46</v>
      </c>
      <c r="F1352" s="108">
        <v>46131</v>
      </c>
    </row>
    <row r="1353" spans="1:6" ht="15.75" x14ac:dyDescent="0.25">
      <c r="A1353" s="9">
        <v>308</v>
      </c>
      <c r="B1353" s="40" t="s">
        <v>1637</v>
      </c>
      <c r="C1353" s="21" t="s">
        <v>6</v>
      </c>
      <c r="D1353" s="21" t="s">
        <v>6</v>
      </c>
      <c r="E1353" s="92" t="s">
        <v>46</v>
      </c>
      <c r="F1353" s="108">
        <v>46131</v>
      </c>
    </row>
    <row r="1354" spans="1:6" ht="15.75" x14ac:dyDescent="0.25">
      <c r="A1354" s="9">
        <v>309</v>
      </c>
      <c r="B1354" s="40" t="s">
        <v>667</v>
      </c>
      <c r="C1354" s="21" t="s">
        <v>6</v>
      </c>
      <c r="D1354" s="21" t="s">
        <v>6</v>
      </c>
      <c r="E1354" s="92" t="s">
        <v>46</v>
      </c>
      <c r="F1354" s="108">
        <v>46131</v>
      </c>
    </row>
    <row r="1355" spans="1:6" ht="15.75" x14ac:dyDescent="0.25">
      <c r="A1355" s="9">
        <v>310</v>
      </c>
      <c r="B1355" s="40" t="s">
        <v>1093</v>
      </c>
      <c r="C1355" s="21" t="s">
        <v>6</v>
      </c>
      <c r="D1355" s="21" t="s">
        <v>6</v>
      </c>
      <c r="E1355" s="92" t="s">
        <v>46</v>
      </c>
      <c r="F1355" s="108">
        <v>46131</v>
      </c>
    </row>
    <row r="1356" spans="1:6" x14ac:dyDescent="0.25">
      <c r="A1356" s="9">
        <v>311</v>
      </c>
      <c r="B1356" s="8" t="s">
        <v>1624</v>
      </c>
      <c r="C1356" s="21" t="s">
        <v>6</v>
      </c>
      <c r="D1356" s="21" t="s">
        <v>6</v>
      </c>
      <c r="E1356" s="94" t="s">
        <v>46</v>
      </c>
      <c r="F1356" s="108">
        <v>46131</v>
      </c>
    </row>
    <row r="1357" spans="1:6" x14ac:dyDescent="0.25">
      <c r="A1357" s="9">
        <v>312</v>
      </c>
      <c r="B1357" s="40" t="s">
        <v>1331</v>
      </c>
      <c r="C1357" s="21" t="s">
        <v>6</v>
      </c>
      <c r="D1357" s="21" t="s">
        <v>6</v>
      </c>
      <c r="E1357" s="91" t="s">
        <v>46</v>
      </c>
      <c r="F1357" s="108">
        <v>46131</v>
      </c>
    </row>
    <row r="1358" spans="1:6" ht="15.75" x14ac:dyDescent="0.25">
      <c r="A1358" s="9">
        <v>313</v>
      </c>
      <c r="B1358" s="40" t="s">
        <v>910</v>
      </c>
      <c r="C1358" s="21" t="s">
        <v>6</v>
      </c>
      <c r="D1358" s="21" t="s">
        <v>6</v>
      </c>
      <c r="E1358" s="92" t="s">
        <v>46</v>
      </c>
      <c r="F1358" s="108">
        <v>46131</v>
      </c>
    </row>
    <row r="1359" spans="1:6" ht="15.75" x14ac:dyDescent="0.25">
      <c r="A1359" s="9">
        <v>314</v>
      </c>
      <c r="B1359" s="40" t="s">
        <v>1259</v>
      </c>
      <c r="C1359" s="21" t="s">
        <v>6</v>
      </c>
      <c r="D1359" s="21" t="s">
        <v>6</v>
      </c>
      <c r="E1359" s="92" t="s">
        <v>46</v>
      </c>
      <c r="F1359" s="108">
        <v>46131</v>
      </c>
    </row>
    <row r="1360" spans="1:6" ht="15.75" x14ac:dyDescent="0.25">
      <c r="A1360" s="9">
        <v>315</v>
      </c>
      <c r="B1360" s="40" t="s">
        <v>1286</v>
      </c>
      <c r="C1360" s="21" t="s">
        <v>6</v>
      </c>
      <c r="D1360" s="21" t="s">
        <v>6</v>
      </c>
      <c r="E1360" s="92" t="s">
        <v>46</v>
      </c>
      <c r="F1360" s="108">
        <v>46131</v>
      </c>
    </row>
    <row r="1361" spans="1:6" x14ac:dyDescent="0.25">
      <c r="A1361" s="9">
        <v>316</v>
      </c>
      <c r="B1361" s="40" t="s">
        <v>1356</v>
      </c>
      <c r="C1361" s="21" t="s">
        <v>6</v>
      </c>
      <c r="D1361" s="21" t="s">
        <v>6</v>
      </c>
      <c r="E1361" s="91" t="s">
        <v>46</v>
      </c>
      <c r="F1361" s="108">
        <v>46131</v>
      </c>
    </row>
    <row r="1362" spans="1:6" x14ac:dyDescent="0.25">
      <c r="A1362" s="9">
        <v>317</v>
      </c>
      <c r="B1362" s="40" t="s">
        <v>1552</v>
      </c>
      <c r="C1362" s="21" t="s">
        <v>6</v>
      </c>
      <c r="D1362" s="21" t="s">
        <v>6</v>
      </c>
      <c r="E1362" s="94" t="s">
        <v>46</v>
      </c>
      <c r="F1362" s="108">
        <v>46131</v>
      </c>
    </row>
    <row r="1363" spans="1:6" x14ac:dyDescent="0.25">
      <c r="A1363" s="9">
        <v>318</v>
      </c>
      <c r="B1363" s="40" t="s">
        <v>1355</v>
      </c>
      <c r="C1363" s="21" t="s">
        <v>6</v>
      </c>
      <c r="D1363" s="21" t="s">
        <v>6</v>
      </c>
      <c r="E1363" s="91" t="s">
        <v>46</v>
      </c>
      <c r="F1363" s="108">
        <v>46131</v>
      </c>
    </row>
    <row r="1364" spans="1:6" x14ac:dyDescent="0.25">
      <c r="A1364" s="9">
        <v>319</v>
      </c>
      <c r="B1364" s="40" t="s">
        <v>531</v>
      </c>
      <c r="C1364" s="21" t="s">
        <v>6</v>
      </c>
      <c r="D1364" s="21" t="s">
        <v>6</v>
      </c>
      <c r="E1364" s="91" t="s">
        <v>46</v>
      </c>
      <c r="F1364" s="108">
        <v>46131</v>
      </c>
    </row>
    <row r="1365" spans="1:6" x14ac:dyDescent="0.25">
      <c r="A1365" s="9">
        <v>320</v>
      </c>
      <c r="B1365" s="40" t="s">
        <v>1653</v>
      </c>
      <c r="C1365" s="21" t="s">
        <v>6</v>
      </c>
      <c r="D1365" s="21" t="s">
        <v>6</v>
      </c>
      <c r="E1365" s="91" t="s">
        <v>46</v>
      </c>
      <c r="F1365" s="108">
        <v>46131</v>
      </c>
    </row>
    <row r="1366" spans="1:6" x14ac:dyDescent="0.25">
      <c r="A1366" s="9">
        <v>321</v>
      </c>
      <c r="B1366" s="40" t="s">
        <v>1654</v>
      </c>
      <c r="C1366" s="21" t="s">
        <v>6</v>
      </c>
      <c r="D1366" s="21" t="s">
        <v>6</v>
      </c>
      <c r="E1366" s="91" t="s">
        <v>46</v>
      </c>
      <c r="F1366" s="108">
        <v>46131</v>
      </c>
    </row>
    <row r="1367" spans="1:6" x14ac:dyDescent="0.25">
      <c r="A1367" s="9">
        <v>322</v>
      </c>
      <c r="B1367" s="40" t="s">
        <v>1661</v>
      </c>
      <c r="C1367" s="21" t="s">
        <v>6</v>
      </c>
      <c r="D1367" s="21" t="s">
        <v>6</v>
      </c>
      <c r="E1367" s="91" t="s">
        <v>46</v>
      </c>
      <c r="F1367" s="108">
        <v>46131</v>
      </c>
    </row>
    <row r="1368" spans="1:6" x14ac:dyDescent="0.25">
      <c r="A1368" s="9">
        <v>323</v>
      </c>
      <c r="B1368" s="40" t="s">
        <v>1660</v>
      </c>
      <c r="C1368" s="21" t="s">
        <v>6</v>
      </c>
      <c r="D1368" s="21" t="s">
        <v>6</v>
      </c>
      <c r="E1368" s="91" t="s">
        <v>46</v>
      </c>
      <c r="F1368" s="108">
        <v>46131</v>
      </c>
    </row>
    <row r="1369" spans="1:6" x14ac:dyDescent="0.25">
      <c r="A1369" s="9">
        <v>324</v>
      </c>
      <c r="B1369" s="40" t="s">
        <v>1662</v>
      </c>
      <c r="C1369" s="21" t="s">
        <v>6</v>
      </c>
      <c r="D1369" s="21" t="s">
        <v>6</v>
      </c>
      <c r="E1369" s="91" t="s">
        <v>46</v>
      </c>
      <c r="F1369" s="108">
        <v>46131</v>
      </c>
    </row>
    <row r="1370" spans="1:6" x14ac:dyDescent="0.25">
      <c r="A1370" s="9">
        <v>325</v>
      </c>
      <c r="B1370" s="40" t="s">
        <v>1673</v>
      </c>
      <c r="C1370" s="21" t="s">
        <v>6</v>
      </c>
      <c r="D1370" s="21" t="s">
        <v>6</v>
      </c>
      <c r="E1370" s="91" t="s">
        <v>46</v>
      </c>
      <c r="F1370" s="108">
        <v>46131</v>
      </c>
    </row>
    <row r="1371" spans="1:6" x14ac:dyDescent="0.25">
      <c r="A1371" s="9">
        <v>326</v>
      </c>
      <c r="B1371" s="40" t="s">
        <v>1672</v>
      </c>
      <c r="C1371" s="21" t="s">
        <v>6</v>
      </c>
      <c r="D1371" s="21" t="s">
        <v>6</v>
      </c>
      <c r="E1371" s="91" t="s">
        <v>46</v>
      </c>
      <c r="F1371" s="108">
        <v>46131</v>
      </c>
    </row>
    <row r="1372" spans="1:6" ht="15.75" x14ac:dyDescent="0.25">
      <c r="A1372" s="9">
        <v>327</v>
      </c>
      <c r="B1372" s="40" t="s">
        <v>983</v>
      </c>
      <c r="C1372" s="21" t="s">
        <v>6</v>
      </c>
      <c r="D1372" s="21" t="s">
        <v>6</v>
      </c>
      <c r="E1372" s="43" t="s">
        <v>46</v>
      </c>
      <c r="F1372" s="120">
        <v>46166</v>
      </c>
    </row>
    <row r="1373" spans="1:6" x14ac:dyDescent="0.25">
      <c r="A1373" s="9">
        <v>328</v>
      </c>
      <c r="B1373" s="40" t="s">
        <v>1768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46177</v>
      </c>
    </row>
    <row r="1374" spans="1:6" x14ac:dyDescent="0.25">
      <c r="A1374" s="9">
        <v>329</v>
      </c>
      <c r="B1374" s="40" t="s">
        <v>1754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330</v>
      </c>
      <c r="B1375" s="40" t="s">
        <v>1798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331</v>
      </c>
      <c r="B1376" s="40" t="s">
        <v>1799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7" spans="1:6" x14ac:dyDescent="0.25">
      <c r="A1377" s="9">
        <v>332</v>
      </c>
      <c r="B1377" s="40" t="s">
        <v>1801</v>
      </c>
      <c r="C1377" s="21" t="s">
        <v>6</v>
      </c>
      <c r="D1377" s="21" t="s">
        <v>6</v>
      </c>
      <c r="E1377" s="14" t="s">
        <v>46</v>
      </c>
      <c r="F1377" s="38">
        <f ca="1">IF(AND(C1377="NO",D1377="NO"),IF(F1377="",TODAY(),F1377),"")</f>
        <v>46188</v>
      </c>
    </row>
    <row r="1379" spans="1:6" x14ac:dyDescent="0.25">
      <c r="A1379" s="106" t="s">
        <v>1344</v>
      </c>
    </row>
    <row r="1380" spans="1:6" x14ac:dyDescent="0.25">
      <c r="A1380" s="9">
        <v>1</v>
      </c>
      <c r="B1380" s="19" t="s">
        <v>1292</v>
      </c>
      <c r="C1380" s="21" t="s">
        <v>6</v>
      </c>
      <c r="D1380" s="21" t="s">
        <v>6</v>
      </c>
      <c r="E1380" s="94" t="s">
        <v>46</v>
      </c>
      <c r="F1380" s="108">
        <v>46145</v>
      </c>
    </row>
    <row r="1381" spans="1:6" x14ac:dyDescent="0.25">
      <c r="A1381" s="9">
        <v>2</v>
      </c>
      <c r="B1381" s="19" t="s">
        <v>1594</v>
      </c>
      <c r="C1381" s="21" t="s">
        <v>6</v>
      </c>
      <c r="D1381" s="21" t="s">
        <v>6</v>
      </c>
      <c r="E1381" s="91" t="s">
        <v>46</v>
      </c>
      <c r="F1381" s="108">
        <v>46152</v>
      </c>
    </row>
    <row r="1382" spans="1:6" x14ac:dyDescent="0.25">
      <c r="A1382" s="9">
        <v>3</v>
      </c>
      <c r="B1382" s="19" t="s">
        <v>1545</v>
      </c>
      <c r="C1382" s="21" t="s">
        <v>6</v>
      </c>
      <c r="D1382" s="21" t="s">
        <v>6</v>
      </c>
      <c r="E1382" s="94" t="s">
        <v>46</v>
      </c>
      <c r="F1382" s="108">
        <v>46152</v>
      </c>
    </row>
    <row r="1383" spans="1:6" x14ac:dyDescent="0.25">
      <c r="A1383" s="9">
        <v>4</v>
      </c>
      <c r="B1383" s="19" t="s">
        <v>1156</v>
      </c>
      <c r="C1383" s="21" t="s">
        <v>6</v>
      </c>
      <c r="D1383" s="21" t="s">
        <v>6</v>
      </c>
      <c r="E1383" s="97" t="s">
        <v>46</v>
      </c>
      <c r="F1383" s="108">
        <v>46159</v>
      </c>
    </row>
    <row r="1384" spans="1:6" x14ac:dyDescent="0.25">
      <c r="A1384" s="9">
        <v>5</v>
      </c>
      <c r="B1384" s="19" t="s">
        <v>1155</v>
      </c>
      <c r="C1384" s="21" t="s">
        <v>6</v>
      </c>
      <c r="D1384" s="21" t="s">
        <v>6</v>
      </c>
      <c r="E1384" s="94" t="s">
        <v>46</v>
      </c>
      <c r="F1384" s="108">
        <v>46159</v>
      </c>
    </row>
    <row r="1385" spans="1:6" x14ac:dyDescent="0.25">
      <c r="A1385" s="9">
        <v>6</v>
      </c>
      <c r="B1385" s="8" t="s">
        <v>1057</v>
      </c>
      <c r="C1385" s="21" t="s">
        <v>6</v>
      </c>
      <c r="D1385" s="21" t="s">
        <v>6</v>
      </c>
      <c r="E1385" s="113" t="s">
        <v>46</v>
      </c>
      <c r="F1385" s="108">
        <v>46046</v>
      </c>
    </row>
    <row r="1386" spans="1:6" x14ac:dyDescent="0.25">
      <c r="A1386" s="9">
        <v>7</v>
      </c>
      <c r="B1386" s="8" t="s">
        <v>573</v>
      </c>
      <c r="C1386" s="21" t="s">
        <v>6</v>
      </c>
      <c r="D1386" s="21" t="s">
        <v>6</v>
      </c>
      <c r="E1386" s="93" t="s">
        <v>46</v>
      </c>
      <c r="F1386" s="108">
        <v>46075</v>
      </c>
    </row>
    <row r="1387" spans="1:6" x14ac:dyDescent="0.25">
      <c r="A1387" s="9">
        <v>8</v>
      </c>
      <c r="B1387" s="19" t="s">
        <v>1104</v>
      </c>
      <c r="C1387" s="21" t="s">
        <v>6</v>
      </c>
      <c r="D1387" s="21" t="s">
        <v>6</v>
      </c>
      <c r="E1387" s="97" t="s">
        <v>46</v>
      </c>
      <c r="F1387" s="108">
        <v>46061</v>
      </c>
    </row>
    <row r="1388" spans="1:6" x14ac:dyDescent="0.25">
      <c r="A1388" s="9">
        <v>9</v>
      </c>
      <c r="B1388" s="19" t="s">
        <v>1064</v>
      </c>
      <c r="C1388" s="21" t="s">
        <v>6</v>
      </c>
      <c r="D1388" s="21" t="s">
        <v>6</v>
      </c>
      <c r="E1388" s="97" t="s">
        <v>46</v>
      </c>
      <c r="F1388" s="108">
        <v>46075</v>
      </c>
    </row>
    <row r="1389" spans="1:6" x14ac:dyDescent="0.25">
      <c r="A1389" s="9">
        <v>10</v>
      </c>
      <c r="B1389" s="49" t="s">
        <v>1301</v>
      </c>
      <c r="C1389" s="21" t="s">
        <v>6</v>
      </c>
      <c r="D1389" s="21" t="s">
        <v>6</v>
      </c>
      <c r="E1389" s="91" t="s">
        <v>46</v>
      </c>
      <c r="F1389" s="108">
        <v>46075</v>
      </c>
    </row>
    <row r="1390" spans="1:6" x14ac:dyDescent="0.25">
      <c r="A1390" s="9">
        <v>11</v>
      </c>
      <c r="B1390" s="19" t="s">
        <v>1592</v>
      </c>
      <c r="C1390" s="21" t="s">
        <v>6</v>
      </c>
      <c r="D1390" s="21" t="s">
        <v>6</v>
      </c>
      <c r="E1390" s="97" t="s">
        <v>46</v>
      </c>
      <c r="F1390" s="108">
        <v>46104</v>
      </c>
    </row>
    <row r="1391" spans="1:6" x14ac:dyDescent="0.25">
      <c r="A1391" s="9">
        <v>12</v>
      </c>
      <c r="B1391" s="19" t="s">
        <v>1193</v>
      </c>
      <c r="C1391" s="21" t="s">
        <v>6</v>
      </c>
      <c r="D1391" s="21" t="s">
        <v>6</v>
      </c>
      <c r="E1391" s="97" t="s">
        <v>46</v>
      </c>
      <c r="F1391" s="108">
        <v>46075</v>
      </c>
    </row>
    <row r="1392" spans="1:6" x14ac:dyDescent="0.25">
      <c r="A1392" s="9">
        <v>13</v>
      </c>
      <c r="B1392" s="19" t="s">
        <v>1455</v>
      </c>
      <c r="C1392" s="21" t="s">
        <v>6</v>
      </c>
      <c r="D1392" s="21" t="s">
        <v>6</v>
      </c>
      <c r="E1392" s="91" t="s">
        <v>46</v>
      </c>
      <c r="F1392" s="108">
        <v>46075</v>
      </c>
    </row>
    <row r="1393" spans="1:6" x14ac:dyDescent="0.25">
      <c r="A1393" s="9">
        <v>14</v>
      </c>
      <c r="B1393" s="8" t="s">
        <v>143</v>
      </c>
      <c r="C1393" s="21" t="s">
        <v>6</v>
      </c>
      <c r="D1393" s="21" t="s">
        <v>6</v>
      </c>
      <c r="E1393" s="93" t="s">
        <v>44</v>
      </c>
      <c r="F1393" s="108">
        <v>46075</v>
      </c>
    </row>
    <row r="1394" spans="1:6" x14ac:dyDescent="0.25">
      <c r="A1394" s="9">
        <v>15</v>
      </c>
      <c r="B1394" s="19" t="s">
        <v>836</v>
      </c>
      <c r="C1394" s="21" t="s">
        <v>6</v>
      </c>
      <c r="D1394" s="21" t="s">
        <v>6</v>
      </c>
      <c r="E1394" s="91" t="s">
        <v>46</v>
      </c>
      <c r="F1394" s="108">
        <v>46068</v>
      </c>
    </row>
    <row r="1395" spans="1:6" x14ac:dyDescent="0.25">
      <c r="A1395" s="9">
        <v>16</v>
      </c>
      <c r="B1395" s="19" t="s">
        <v>1058</v>
      </c>
      <c r="C1395" s="21" t="s">
        <v>6</v>
      </c>
      <c r="D1395" s="21" t="s">
        <v>6</v>
      </c>
      <c r="E1395" s="91" t="s">
        <v>46</v>
      </c>
      <c r="F1395" s="108">
        <v>46075</v>
      </c>
    </row>
    <row r="1396" spans="1:6" x14ac:dyDescent="0.25">
      <c r="A1396" s="9">
        <v>17</v>
      </c>
      <c r="B1396" s="19" t="s">
        <v>681</v>
      </c>
      <c r="C1396" s="21" t="s">
        <v>6</v>
      </c>
      <c r="D1396" s="21" t="s">
        <v>6</v>
      </c>
      <c r="E1396" s="91" t="s">
        <v>46</v>
      </c>
      <c r="F1396" s="108">
        <v>46095</v>
      </c>
    </row>
    <row r="1397" spans="1:6" x14ac:dyDescent="0.25">
      <c r="A1397" s="9">
        <v>18</v>
      </c>
      <c r="B1397" s="19" t="s">
        <v>1444</v>
      </c>
      <c r="C1397" s="21" t="s">
        <v>6</v>
      </c>
      <c r="D1397" s="21" t="s">
        <v>6</v>
      </c>
      <c r="E1397" s="91" t="s">
        <v>46</v>
      </c>
      <c r="F1397" s="108">
        <v>46089</v>
      </c>
    </row>
    <row r="1398" spans="1:6" x14ac:dyDescent="0.25">
      <c r="A1398" s="9">
        <v>19</v>
      </c>
      <c r="B1398" s="56" t="s">
        <v>1533</v>
      </c>
      <c r="C1398" s="21" t="s">
        <v>6</v>
      </c>
      <c r="D1398" s="21" t="s">
        <v>6</v>
      </c>
      <c r="E1398" s="97" t="s">
        <v>46</v>
      </c>
      <c r="F1398" s="108">
        <v>46089</v>
      </c>
    </row>
    <row r="1399" spans="1:6" x14ac:dyDescent="0.25">
      <c r="A1399" s="9">
        <v>20</v>
      </c>
      <c r="B1399" s="56" t="s">
        <v>1534</v>
      </c>
      <c r="C1399" s="21" t="s">
        <v>6</v>
      </c>
      <c r="D1399" s="21" t="s">
        <v>6</v>
      </c>
      <c r="E1399" s="97" t="s">
        <v>46</v>
      </c>
      <c r="F1399" s="108">
        <v>46089</v>
      </c>
    </row>
    <row r="1400" spans="1:6" x14ac:dyDescent="0.25">
      <c r="A1400" s="9">
        <v>21</v>
      </c>
      <c r="B1400" s="56" t="s">
        <v>1535</v>
      </c>
      <c r="C1400" s="21" t="s">
        <v>6</v>
      </c>
      <c r="D1400" s="21" t="s">
        <v>6</v>
      </c>
      <c r="E1400" s="97" t="s">
        <v>46</v>
      </c>
      <c r="F1400" s="108">
        <v>46089</v>
      </c>
    </row>
    <row r="1401" spans="1:6" x14ac:dyDescent="0.25">
      <c r="A1401" s="9">
        <v>22</v>
      </c>
      <c r="B1401" s="19" t="s">
        <v>1505</v>
      </c>
      <c r="C1401" s="21" t="s">
        <v>6</v>
      </c>
      <c r="D1401" s="21" t="s">
        <v>6</v>
      </c>
      <c r="E1401" s="91" t="s">
        <v>46</v>
      </c>
      <c r="F1401" s="108">
        <v>46089</v>
      </c>
    </row>
    <row r="1402" spans="1:6" x14ac:dyDescent="0.25">
      <c r="A1402" s="9">
        <v>23</v>
      </c>
      <c r="B1402" s="19" t="s">
        <v>1155</v>
      </c>
      <c r="C1402" s="21" t="s">
        <v>6</v>
      </c>
      <c r="D1402" s="21" t="s">
        <v>6</v>
      </c>
      <c r="E1402" s="91" t="s">
        <v>46</v>
      </c>
      <c r="F1402" s="108">
        <v>46095</v>
      </c>
    </row>
    <row r="1403" spans="1:6" x14ac:dyDescent="0.25">
      <c r="A1403" s="9">
        <v>24</v>
      </c>
      <c r="B1403" s="19" t="s">
        <v>1518</v>
      </c>
      <c r="C1403" s="21" t="s">
        <v>6</v>
      </c>
      <c r="D1403" s="21" t="s">
        <v>6</v>
      </c>
      <c r="E1403" s="91" t="s">
        <v>46</v>
      </c>
      <c r="F1403" s="108">
        <v>46095</v>
      </c>
    </row>
    <row r="1404" spans="1:6" x14ac:dyDescent="0.25">
      <c r="A1404" s="9">
        <v>25</v>
      </c>
      <c r="B1404" s="19" t="s">
        <v>1413</v>
      </c>
      <c r="C1404" s="21" t="s">
        <v>6</v>
      </c>
      <c r="D1404" s="21" t="s">
        <v>6</v>
      </c>
      <c r="E1404" s="91" t="s">
        <v>46</v>
      </c>
      <c r="F1404" s="108">
        <v>46104</v>
      </c>
    </row>
    <row r="1405" spans="1:6" x14ac:dyDescent="0.25">
      <c r="A1405" s="9">
        <v>26</v>
      </c>
      <c r="B1405" s="8" t="s">
        <v>300</v>
      </c>
      <c r="C1405" s="21" t="s">
        <v>6</v>
      </c>
      <c r="D1405" s="21" t="s">
        <v>6</v>
      </c>
      <c r="E1405" s="93" t="s">
        <v>46</v>
      </c>
      <c r="F1405" s="108">
        <v>46104</v>
      </c>
    </row>
    <row r="1406" spans="1:6" x14ac:dyDescent="0.25">
      <c r="A1406" s="9">
        <v>27</v>
      </c>
      <c r="B1406" s="19" t="s">
        <v>1195</v>
      </c>
      <c r="C1406" s="21" t="s">
        <v>6</v>
      </c>
      <c r="D1406" s="21" t="s">
        <v>6</v>
      </c>
      <c r="E1406" s="91" t="s">
        <v>46</v>
      </c>
      <c r="F1406" s="108">
        <v>46104</v>
      </c>
    </row>
    <row r="1407" spans="1:6" x14ac:dyDescent="0.25">
      <c r="A1407" s="9">
        <v>28</v>
      </c>
      <c r="B1407" s="19" t="s">
        <v>1192</v>
      </c>
      <c r="C1407" s="21" t="s">
        <v>6</v>
      </c>
      <c r="D1407" s="21" t="s">
        <v>6</v>
      </c>
      <c r="E1407" s="91" t="s">
        <v>46</v>
      </c>
      <c r="F1407" s="108">
        <v>46104</v>
      </c>
    </row>
    <row r="1408" spans="1:6" x14ac:dyDescent="0.25">
      <c r="A1408" s="9">
        <v>29</v>
      </c>
      <c r="B1408" s="19" t="s">
        <v>1563</v>
      </c>
      <c r="C1408" s="21" t="s">
        <v>6</v>
      </c>
      <c r="D1408" s="21" t="s">
        <v>6</v>
      </c>
      <c r="E1408" s="91" t="s">
        <v>46</v>
      </c>
      <c r="F1408" s="108">
        <v>46104</v>
      </c>
    </row>
    <row r="1409" spans="1:6" x14ac:dyDescent="0.25">
      <c r="A1409" s="9">
        <v>30</v>
      </c>
      <c r="B1409" s="19" t="s">
        <v>262</v>
      </c>
      <c r="C1409" s="21" t="s">
        <v>6</v>
      </c>
      <c r="D1409" s="21" t="s">
        <v>6</v>
      </c>
      <c r="E1409" s="91" t="s">
        <v>46</v>
      </c>
      <c r="F1409" s="108">
        <v>46104</v>
      </c>
    </row>
    <row r="1410" spans="1:6" x14ac:dyDescent="0.25">
      <c r="A1410" s="9">
        <v>31</v>
      </c>
      <c r="B1410" s="19" t="s">
        <v>1532</v>
      </c>
      <c r="C1410" s="21" t="s">
        <v>6</v>
      </c>
      <c r="D1410" s="21" t="s">
        <v>6</v>
      </c>
      <c r="E1410" s="91" t="s">
        <v>46</v>
      </c>
      <c r="F1410" s="108">
        <v>46104</v>
      </c>
    </row>
    <row r="1411" spans="1:6" x14ac:dyDescent="0.25">
      <c r="A1411" s="9">
        <v>32</v>
      </c>
      <c r="B1411" s="19" t="s">
        <v>1593</v>
      </c>
      <c r="C1411" s="21" t="s">
        <v>6</v>
      </c>
      <c r="D1411" s="21" t="s">
        <v>6</v>
      </c>
      <c r="E1411" s="91" t="s">
        <v>46</v>
      </c>
      <c r="F1411" s="108">
        <v>46104</v>
      </c>
    </row>
    <row r="1412" spans="1:6" x14ac:dyDescent="0.25">
      <c r="A1412" s="9">
        <v>33</v>
      </c>
      <c r="B1412" s="19" t="s">
        <v>1610</v>
      </c>
      <c r="C1412" s="21" t="s">
        <v>6</v>
      </c>
      <c r="D1412" s="21" t="s">
        <v>6</v>
      </c>
      <c r="E1412" s="91" t="s">
        <v>46</v>
      </c>
      <c r="F1412" s="108">
        <v>46104</v>
      </c>
    </row>
    <row r="1413" spans="1:6" x14ac:dyDescent="0.25">
      <c r="A1413" s="9">
        <v>34</v>
      </c>
      <c r="B1413" s="19" t="s">
        <v>1611</v>
      </c>
      <c r="C1413" s="21" t="s">
        <v>6</v>
      </c>
      <c r="D1413" s="21" t="s">
        <v>6</v>
      </c>
      <c r="E1413" s="91" t="s">
        <v>46</v>
      </c>
      <c r="F1413" s="108">
        <v>46104</v>
      </c>
    </row>
    <row r="1414" spans="1:6" x14ac:dyDescent="0.25">
      <c r="A1414" s="9">
        <v>35</v>
      </c>
      <c r="B1414" s="19" t="s">
        <v>1684</v>
      </c>
      <c r="C1414" s="21" t="s">
        <v>6</v>
      </c>
      <c r="D1414" s="21" t="s">
        <v>6</v>
      </c>
      <c r="E1414" s="91" t="s">
        <v>46</v>
      </c>
      <c r="F1414" s="108">
        <v>46131</v>
      </c>
    </row>
    <row r="1415" spans="1:6" x14ac:dyDescent="0.25">
      <c r="A1415" s="9">
        <v>36</v>
      </c>
      <c r="B1415" s="19" t="s">
        <v>1414</v>
      </c>
      <c r="C1415" s="21" t="s">
        <v>6</v>
      </c>
      <c r="D1415" s="21" t="s">
        <v>6</v>
      </c>
      <c r="E1415" s="91" t="s">
        <v>46</v>
      </c>
      <c r="F1415" s="108">
        <v>46131</v>
      </c>
    </row>
    <row r="1416" spans="1:6" x14ac:dyDescent="0.25">
      <c r="A1416" s="9">
        <v>37</v>
      </c>
      <c r="B1416" s="8" t="s">
        <v>384</v>
      </c>
      <c r="C1416" s="21" t="s">
        <v>6</v>
      </c>
      <c r="D1416" s="21" t="s">
        <v>6</v>
      </c>
      <c r="E1416" s="94" t="s">
        <v>46</v>
      </c>
      <c r="F1416" s="108">
        <v>46131</v>
      </c>
    </row>
    <row r="1417" spans="1:6" x14ac:dyDescent="0.25">
      <c r="A1417" s="9">
        <v>38</v>
      </c>
      <c r="B1417" s="8" t="s">
        <v>958</v>
      </c>
      <c r="C1417" s="21" t="s">
        <v>6</v>
      </c>
      <c r="D1417" s="21" t="s">
        <v>6</v>
      </c>
      <c r="E1417" s="94" t="s">
        <v>46</v>
      </c>
      <c r="F1417" s="108">
        <v>46131</v>
      </c>
    </row>
    <row r="1418" spans="1:6" x14ac:dyDescent="0.25">
      <c r="A1418" s="9">
        <v>39</v>
      </c>
      <c r="B1418" s="19" t="s">
        <v>1485</v>
      </c>
      <c r="C1418" s="21" t="s">
        <v>6</v>
      </c>
      <c r="D1418" s="21" t="s">
        <v>6</v>
      </c>
      <c r="E1418" s="91" t="s">
        <v>46</v>
      </c>
      <c r="F1418" s="108">
        <v>46131</v>
      </c>
    </row>
    <row r="1419" spans="1:6" x14ac:dyDescent="0.25">
      <c r="A1419" s="9">
        <v>40</v>
      </c>
      <c r="B1419" s="19" t="s">
        <v>1484</v>
      </c>
      <c r="C1419" s="21" t="s">
        <v>6</v>
      </c>
      <c r="D1419" s="21" t="s">
        <v>6</v>
      </c>
      <c r="E1419" s="91" t="s">
        <v>46</v>
      </c>
      <c r="F1419" s="108">
        <v>46131</v>
      </c>
    </row>
    <row r="1420" spans="1:6" x14ac:dyDescent="0.25">
      <c r="A1420" s="9">
        <v>41</v>
      </c>
      <c r="B1420" s="19" t="s">
        <v>1554</v>
      </c>
      <c r="C1420" s="21" t="s">
        <v>6</v>
      </c>
      <c r="D1420" s="21" t="s">
        <v>6</v>
      </c>
      <c r="E1420" s="91" t="s">
        <v>46</v>
      </c>
      <c r="F1420" s="108">
        <v>46131</v>
      </c>
    </row>
    <row r="1421" spans="1:6" x14ac:dyDescent="0.25">
      <c r="A1421" s="9">
        <v>42</v>
      </c>
      <c r="B1421" s="19" t="s">
        <v>1110</v>
      </c>
      <c r="C1421" s="21" t="s">
        <v>6</v>
      </c>
      <c r="D1421" s="21" t="s">
        <v>6</v>
      </c>
      <c r="E1421" s="97" t="s">
        <v>46</v>
      </c>
      <c r="F1421" s="108">
        <v>46131</v>
      </c>
    </row>
    <row r="1422" spans="1:6" x14ac:dyDescent="0.25">
      <c r="A1422" s="9">
        <v>43</v>
      </c>
      <c r="B1422" s="19" t="s">
        <v>1615</v>
      </c>
      <c r="C1422" s="21" t="s">
        <v>6</v>
      </c>
      <c r="D1422" s="21" t="s">
        <v>6</v>
      </c>
      <c r="E1422" s="91" t="s">
        <v>46</v>
      </c>
      <c r="F1422" s="108">
        <v>46131</v>
      </c>
    </row>
    <row r="1423" spans="1:6" x14ac:dyDescent="0.25">
      <c r="A1423" s="9">
        <v>44</v>
      </c>
      <c r="B1423" s="19" t="s">
        <v>1663</v>
      </c>
      <c r="C1423" s="21" t="s">
        <v>6</v>
      </c>
      <c r="D1423" s="21" t="s">
        <v>6</v>
      </c>
      <c r="E1423" s="91" t="s">
        <v>46</v>
      </c>
      <c r="F1423" s="108">
        <v>46131</v>
      </c>
    </row>
    <row r="1424" spans="1:6" x14ac:dyDescent="0.25">
      <c r="A1424" s="9">
        <v>45</v>
      </c>
      <c r="B1424" s="19" t="s">
        <v>599</v>
      </c>
      <c r="C1424" s="21" t="s">
        <v>6</v>
      </c>
      <c r="D1424" s="21" t="s">
        <v>6</v>
      </c>
      <c r="E1424" s="91" t="s">
        <v>46</v>
      </c>
      <c r="F1424" s="108">
        <v>46131</v>
      </c>
    </row>
    <row r="1425" spans="1:6" x14ac:dyDescent="0.25">
      <c r="A1425" s="9">
        <v>46</v>
      </c>
      <c r="B1425" s="19" t="s">
        <v>1650</v>
      </c>
      <c r="C1425" s="21" t="s">
        <v>6</v>
      </c>
      <c r="D1425" s="21" t="s">
        <v>6</v>
      </c>
      <c r="E1425" s="91" t="s">
        <v>46</v>
      </c>
      <c r="F1425" s="108">
        <v>46131</v>
      </c>
    </row>
    <row r="1426" spans="1:6" x14ac:dyDescent="0.25">
      <c r="A1426" s="9">
        <v>47</v>
      </c>
      <c r="B1426" s="19" t="s">
        <v>1664</v>
      </c>
      <c r="C1426" s="21" t="s">
        <v>6</v>
      </c>
      <c r="D1426" s="21" t="s">
        <v>6</v>
      </c>
      <c r="E1426" s="91" t="s">
        <v>46</v>
      </c>
      <c r="F1426" s="108">
        <v>46131</v>
      </c>
    </row>
    <row r="1427" spans="1:6" x14ac:dyDescent="0.25">
      <c r="A1427" s="9">
        <v>48</v>
      </c>
      <c r="B1427" s="8" t="s">
        <v>1748</v>
      </c>
      <c r="C1427" s="21" t="s">
        <v>6</v>
      </c>
      <c r="D1427" s="21" t="s">
        <v>6</v>
      </c>
      <c r="E1427" s="14" t="s">
        <v>46</v>
      </c>
      <c r="F1427" s="122">
        <v>46166</v>
      </c>
    </row>
    <row r="1428" spans="1:6" x14ac:dyDescent="0.25">
      <c r="A1428" s="9">
        <v>49</v>
      </c>
      <c r="B1428" s="19" t="s">
        <v>1704</v>
      </c>
      <c r="C1428" s="21" t="s">
        <v>6</v>
      </c>
      <c r="D1428" s="21" t="s">
        <v>6</v>
      </c>
      <c r="E1428" s="22" t="s">
        <v>46</v>
      </c>
      <c r="F1428" s="122">
        <v>46166</v>
      </c>
    </row>
    <row r="1429" spans="1:6" x14ac:dyDescent="0.25">
      <c r="A1429" s="9">
        <v>50</v>
      </c>
      <c r="B1429" s="19" t="s">
        <v>783</v>
      </c>
      <c r="C1429" s="21" t="s">
        <v>6</v>
      </c>
      <c r="D1429" s="21" t="s">
        <v>6</v>
      </c>
      <c r="E1429" s="16" t="s">
        <v>46</v>
      </c>
      <c r="F1429" s="122">
        <v>46166</v>
      </c>
    </row>
    <row r="1430" spans="1:6" x14ac:dyDescent="0.25">
      <c r="A1430" s="9">
        <v>51</v>
      </c>
      <c r="B1430" s="19" t="s">
        <v>1590</v>
      </c>
      <c r="C1430" s="21" t="s">
        <v>6</v>
      </c>
      <c r="D1430" s="21" t="s">
        <v>6</v>
      </c>
      <c r="E1430" s="22" t="s">
        <v>46</v>
      </c>
      <c r="F1430" s="122">
        <v>46166</v>
      </c>
    </row>
    <row r="1431" spans="1:6" x14ac:dyDescent="0.25">
      <c r="A1431" s="9">
        <v>52</v>
      </c>
      <c r="B1431" s="19" t="s">
        <v>1638</v>
      </c>
      <c r="C1431" s="21" t="s">
        <v>6</v>
      </c>
      <c r="D1431" s="21" t="s">
        <v>6</v>
      </c>
      <c r="E1431" s="22" t="s">
        <v>46</v>
      </c>
      <c r="F1431" s="122">
        <v>46166</v>
      </c>
    </row>
    <row r="1432" spans="1:6" x14ac:dyDescent="0.25">
      <c r="A1432" s="9">
        <v>53</v>
      </c>
      <c r="B1432" s="19" t="s">
        <v>1702</v>
      </c>
      <c r="C1432" s="21" t="s">
        <v>6</v>
      </c>
      <c r="D1432" s="21" t="s">
        <v>6</v>
      </c>
      <c r="E1432" s="14" t="s">
        <v>46</v>
      </c>
      <c r="F1432" s="122">
        <v>46166</v>
      </c>
    </row>
    <row r="1433" spans="1:6" x14ac:dyDescent="0.25">
      <c r="A1433" s="9">
        <v>54</v>
      </c>
      <c r="B1433" s="19" t="s">
        <v>1589</v>
      </c>
      <c r="C1433" s="21" t="s">
        <v>6</v>
      </c>
      <c r="D1433" s="21" t="s">
        <v>6</v>
      </c>
      <c r="E1433" s="16" t="s">
        <v>46</v>
      </c>
      <c r="F1433" s="122">
        <v>46173</v>
      </c>
    </row>
    <row r="1434" spans="1:6" x14ac:dyDescent="0.25">
      <c r="A1434" s="9">
        <v>55</v>
      </c>
      <c r="B1434" s="19" t="s">
        <v>682</v>
      </c>
      <c r="C1434" s="21" t="s">
        <v>6</v>
      </c>
      <c r="D1434" s="21" t="s">
        <v>6</v>
      </c>
      <c r="E1434" s="22" t="s">
        <v>46</v>
      </c>
      <c r="F1434" s="122">
        <v>46173</v>
      </c>
    </row>
    <row r="1435" spans="1:6" x14ac:dyDescent="0.25">
      <c r="A1435" s="9">
        <v>56</v>
      </c>
      <c r="B1435" s="56" t="s">
        <v>1803</v>
      </c>
      <c r="C1435" s="21" t="s">
        <v>6</v>
      </c>
      <c r="D1435" s="21" t="s">
        <v>6</v>
      </c>
      <c r="E1435" s="16" t="s">
        <v>46</v>
      </c>
      <c r="F1435" s="122">
        <v>46173</v>
      </c>
    </row>
    <row r="1436" spans="1:6" x14ac:dyDescent="0.25">
      <c r="A1436" s="9">
        <v>57</v>
      </c>
      <c r="B1436" s="19" t="s">
        <v>928</v>
      </c>
      <c r="C1436" s="21" t="s">
        <v>6</v>
      </c>
      <c r="D1436" s="21" t="s">
        <v>6</v>
      </c>
      <c r="E1436" s="14" t="s">
        <v>46</v>
      </c>
      <c r="F1436" s="122">
        <v>46173</v>
      </c>
    </row>
    <row r="1437" spans="1:6" x14ac:dyDescent="0.25">
      <c r="A1437" s="9">
        <v>58</v>
      </c>
      <c r="B1437" s="19" t="s">
        <v>1686</v>
      </c>
      <c r="C1437" s="21" t="s">
        <v>6</v>
      </c>
      <c r="D1437" s="21" t="s">
        <v>6</v>
      </c>
      <c r="E1437" s="14" t="s">
        <v>46</v>
      </c>
      <c r="F1437" s="122">
        <v>46173</v>
      </c>
    </row>
    <row r="1438" spans="1:6" x14ac:dyDescent="0.25">
      <c r="A1438" s="9">
        <v>59</v>
      </c>
      <c r="B1438" s="19" t="s">
        <v>1687</v>
      </c>
      <c r="C1438" s="21" t="s">
        <v>6</v>
      </c>
      <c r="D1438" s="21" t="s">
        <v>6</v>
      </c>
      <c r="E1438" s="14" t="s">
        <v>46</v>
      </c>
      <c r="F1438" s="122">
        <v>46173</v>
      </c>
    </row>
    <row r="1439" spans="1:6" x14ac:dyDescent="0.25">
      <c r="A1439" s="9">
        <v>60</v>
      </c>
      <c r="B1439" s="19" t="s">
        <v>1593</v>
      </c>
      <c r="C1439" s="21" t="s">
        <v>6</v>
      </c>
      <c r="D1439" s="21" t="s">
        <v>6</v>
      </c>
      <c r="E1439" s="14" t="s">
        <v>46</v>
      </c>
      <c r="F1439" s="122">
        <v>46173</v>
      </c>
    </row>
    <row r="1440" spans="1:6" x14ac:dyDescent="0.25">
      <c r="A1440" s="9">
        <v>61</v>
      </c>
      <c r="B1440" s="19" t="s">
        <v>1562</v>
      </c>
      <c r="C1440" s="21" t="s">
        <v>6</v>
      </c>
      <c r="D1440" s="21" t="s">
        <v>6</v>
      </c>
      <c r="E1440" s="22" t="s">
        <v>46</v>
      </c>
      <c r="F1440" s="122">
        <v>46173</v>
      </c>
    </row>
    <row r="1441" spans="1:6" x14ac:dyDescent="0.25">
      <c r="A1441" s="9">
        <v>62</v>
      </c>
      <c r="B1441" s="19" t="s">
        <v>1716</v>
      </c>
      <c r="C1441" s="21" t="s">
        <v>6</v>
      </c>
      <c r="D1441" s="21" t="s">
        <v>6</v>
      </c>
      <c r="E1441" s="14" t="s">
        <v>46</v>
      </c>
      <c r="F1441" s="122">
        <v>46173</v>
      </c>
    </row>
    <row r="1442" spans="1:6" x14ac:dyDescent="0.25">
      <c r="A1442" s="9">
        <v>63</v>
      </c>
      <c r="B1442" s="19" t="s">
        <v>1717</v>
      </c>
      <c r="C1442" s="21" t="s">
        <v>6</v>
      </c>
      <c r="D1442" s="21" t="s">
        <v>6</v>
      </c>
      <c r="E1442" s="14" t="s">
        <v>46</v>
      </c>
      <c r="F1442" s="122">
        <v>46173</v>
      </c>
    </row>
    <row r="1443" spans="1:6" x14ac:dyDescent="0.25">
      <c r="A1443" s="9">
        <v>64</v>
      </c>
      <c r="B1443" s="19" t="s">
        <v>1749</v>
      </c>
      <c r="C1443" s="21" t="s">
        <v>6</v>
      </c>
      <c r="D1443" s="21" t="s">
        <v>6</v>
      </c>
      <c r="E1443" s="14" t="s">
        <v>46</v>
      </c>
      <c r="F1443" s="122">
        <v>46173</v>
      </c>
    </row>
    <row r="1447" spans="1:6" x14ac:dyDescent="0.25">
      <c r="A1447">
        <f>A1443+A1377+A1038+A695+A179</f>
        <v>1429</v>
      </c>
    </row>
    <row r="1449" spans="1:6" x14ac:dyDescent="0.25">
      <c r="A1449" s="106"/>
    </row>
  </sheetData>
  <conditionalFormatting sqref="C2:D2 C1301:D1319 C199:D199 C608:D609 C415:D424 C1344:D1350 C1241:D1243 C1100:D1103">
    <cfRule type="containsText" dxfId="6197" priority="6910" operator="containsText" text="NO+$D$4:$D$10">
      <formula>NOT(ISERROR(SEARCH("NO+$D$4:$D$10",C2)))</formula>
    </cfRule>
  </conditionalFormatting>
  <conditionalFormatting sqref="C2:D2 C1301:D1319 C199:D199 C608:D609 C415:D424 C1344:D1350 C1241:D1243 C1100:D1103">
    <cfRule type="containsText" dxfId="6196" priority="6908" operator="containsText" text="SI">
      <formula>NOT(ISERROR(SEARCH("SI",C2)))</formula>
    </cfRule>
    <cfRule type="containsText" dxfId="6195" priority="6909" operator="containsText" text="NO">
      <formula>NOT(ISERROR(SEARCH("NO",C2)))</formula>
    </cfRule>
  </conditionalFormatting>
  <conditionalFormatting sqref="C2:D2 C1301:D1319 E1304:E1319 C199:D199 C1344:E1346 C608:E609 C415:E424 C1347:D1350 C1241:D1243 C1100:D1103 E1100:E1102">
    <cfRule type="containsText" dxfId="6194" priority="6907" operator="containsText" text="NUEVO">
      <formula>NOT(ISERROR(SEARCH("NUEVO",C2)))</formula>
    </cfRule>
  </conditionalFormatting>
  <conditionalFormatting sqref="E2">
    <cfRule type="containsText" dxfId="6193" priority="6905" operator="containsText" text="NUEVO">
      <formula>NOT(ISERROR(SEARCH("NUEVO",E2)))</formula>
    </cfRule>
  </conditionalFormatting>
  <conditionalFormatting sqref="E2 E1304:E1319 E1344:E1346 E1100:E1102">
    <cfRule type="containsText" dxfId="6192" priority="6906" operator="containsText" text="Sin información">
      <formula>NOT(ISERROR(SEARCH("Sin información",E2)))</formula>
    </cfRule>
  </conditionalFormatting>
  <conditionalFormatting sqref="E2 E608:E609 E415:E424">
    <cfRule type="containsText" dxfId="6191" priority="6904" operator="containsText" text="Sin Información">
      <formula>NOT(ISERROR(SEARCH("Sin Información",E2)))</formula>
    </cfRule>
  </conditionalFormatting>
  <conditionalFormatting sqref="C3:D3">
    <cfRule type="containsText" dxfId="6190" priority="6903" operator="containsText" text="NO+$D$4:$D$10">
      <formula>NOT(ISERROR(SEARCH("NO+$D$4:$D$10",C3)))</formula>
    </cfRule>
  </conditionalFormatting>
  <conditionalFormatting sqref="C3:D3">
    <cfRule type="containsText" dxfId="6189" priority="6901" operator="containsText" text="SI">
      <formula>NOT(ISERROR(SEARCH("SI",C3)))</formula>
    </cfRule>
    <cfRule type="containsText" dxfId="6188" priority="6902" operator="containsText" text="NO">
      <formula>NOT(ISERROR(SEARCH("NO",C3)))</formula>
    </cfRule>
  </conditionalFormatting>
  <conditionalFormatting sqref="E3">
    <cfRule type="containsText" dxfId="6187" priority="6900" operator="containsText" text="Sin información">
      <formula>NOT(ISERROR(SEARCH("Sin información",E3)))</formula>
    </cfRule>
  </conditionalFormatting>
  <conditionalFormatting sqref="C3:E3">
    <cfRule type="containsText" dxfId="6186" priority="6899" operator="containsText" text="NUEVO">
      <formula>NOT(ISERROR(SEARCH("NUEVO",C3)))</formula>
    </cfRule>
  </conditionalFormatting>
  <conditionalFormatting sqref="C4:D4">
    <cfRule type="containsText" dxfId="6185" priority="6898" operator="containsText" text="NO+$D$4:$D$10">
      <formula>NOT(ISERROR(SEARCH("NO+$D$4:$D$10",C4)))</formula>
    </cfRule>
  </conditionalFormatting>
  <conditionalFormatting sqref="C4:D4">
    <cfRule type="containsText" dxfId="6184" priority="6896" operator="containsText" text="SI">
      <formula>NOT(ISERROR(SEARCH("SI",C4)))</formula>
    </cfRule>
    <cfRule type="containsText" dxfId="6183" priority="6897" operator="containsText" text="NO">
      <formula>NOT(ISERROR(SEARCH("NO",C4)))</formula>
    </cfRule>
  </conditionalFormatting>
  <conditionalFormatting sqref="C4:D4">
    <cfRule type="containsText" dxfId="6182" priority="6895" operator="containsText" text="NUEVO">
      <formula>NOT(ISERROR(SEARCH("NUEVO",C4)))</formula>
    </cfRule>
  </conditionalFormatting>
  <conditionalFormatting sqref="E4">
    <cfRule type="containsText" dxfId="6181" priority="6893" operator="containsText" text="NUEVO">
      <formula>NOT(ISERROR(SEARCH("NUEVO",E4)))</formula>
    </cfRule>
  </conditionalFormatting>
  <conditionalFormatting sqref="E4">
    <cfRule type="containsText" dxfId="6180" priority="6894" operator="containsText" text="Sin información">
      <formula>NOT(ISERROR(SEARCH("Sin información",E4)))</formula>
    </cfRule>
  </conditionalFormatting>
  <conditionalFormatting sqref="E4">
    <cfRule type="containsText" dxfId="6179" priority="6892" operator="containsText" text="Sin Información">
      <formula>NOT(ISERROR(SEARCH("Sin Información",E4)))</formula>
    </cfRule>
  </conditionalFormatting>
  <conditionalFormatting sqref="C5:D5">
    <cfRule type="containsText" dxfId="6178" priority="6891" operator="containsText" text="NO+$D$4:$D$10">
      <formula>NOT(ISERROR(SEARCH("NO+$D$4:$D$10",C5)))</formula>
    </cfRule>
  </conditionalFormatting>
  <conditionalFormatting sqref="C5:D5">
    <cfRule type="containsText" dxfId="6177" priority="6889" operator="containsText" text="SI">
      <formula>NOT(ISERROR(SEARCH("SI",C5)))</formula>
    </cfRule>
    <cfRule type="containsText" dxfId="6176" priority="6890" operator="containsText" text="NO">
      <formula>NOT(ISERROR(SEARCH("NO",C5)))</formula>
    </cfRule>
  </conditionalFormatting>
  <conditionalFormatting sqref="C5:D5">
    <cfRule type="containsText" dxfId="6175" priority="6888" operator="containsText" text="NUEVO">
      <formula>NOT(ISERROR(SEARCH("NUEVO",C5)))</formula>
    </cfRule>
  </conditionalFormatting>
  <conditionalFormatting sqref="E5">
    <cfRule type="containsText" dxfId="6174" priority="6887" operator="containsText" text="Sin información">
      <formula>NOT(ISERROR(SEARCH("Sin información",E5)))</formula>
    </cfRule>
  </conditionalFormatting>
  <conditionalFormatting sqref="E5">
    <cfRule type="containsText" dxfId="6173" priority="6886" operator="containsText" text="NUEVO">
      <formula>NOT(ISERROR(SEARCH("NUEVO",E5)))</formula>
    </cfRule>
  </conditionalFormatting>
  <conditionalFormatting sqref="E5">
    <cfRule type="containsText" dxfId="6172" priority="6885" operator="containsText" text="Sin Información">
      <formula>NOT(ISERROR(SEARCH("Sin Información",E5)))</formula>
    </cfRule>
  </conditionalFormatting>
  <conditionalFormatting sqref="C6:D6">
    <cfRule type="containsText" dxfId="6171" priority="6884" operator="containsText" text="NO+$D$4:$D$10">
      <formula>NOT(ISERROR(SEARCH("NO+$D$4:$D$10",C6)))</formula>
    </cfRule>
  </conditionalFormatting>
  <conditionalFormatting sqref="C6:D6">
    <cfRule type="containsText" dxfId="6170" priority="6882" operator="containsText" text="SI">
      <formula>NOT(ISERROR(SEARCH("SI",C6)))</formula>
    </cfRule>
    <cfRule type="containsText" dxfId="6169" priority="6883" operator="containsText" text="NO">
      <formula>NOT(ISERROR(SEARCH("NO",C6)))</formula>
    </cfRule>
  </conditionalFormatting>
  <conditionalFormatting sqref="C6:D6">
    <cfRule type="containsText" dxfId="6168" priority="6881" operator="containsText" text="NUEVO">
      <formula>NOT(ISERROR(SEARCH("NUEVO",C6)))</formula>
    </cfRule>
  </conditionalFormatting>
  <conditionalFormatting sqref="E6">
    <cfRule type="containsText" dxfId="6167" priority="6879" operator="containsText" text="NUEVO">
      <formula>NOT(ISERROR(SEARCH("NUEVO",E6)))</formula>
    </cfRule>
  </conditionalFormatting>
  <conditionalFormatting sqref="E6">
    <cfRule type="containsText" dxfId="6166" priority="6880" operator="containsText" text="Sin información">
      <formula>NOT(ISERROR(SEARCH("Sin información",E6)))</formula>
    </cfRule>
  </conditionalFormatting>
  <conditionalFormatting sqref="E6">
    <cfRule type="containsText" dxfId="6165" priority="6878" operator="containsText" text="Sin Información">
      <formula>NOT(ISERROR(SEARCH("Sin Información",E6)))</formula>
    </cfRule>
  </conditionalFormatting>
  <conditionalFormatting sqref="C7:D7">
    <cfRule type="containsText" dxfId="6164" priority="6877" operator="containsText" text="NO+$D$4:$D$10">
      <formula>NOT(ISERROR(SEARCH("NO+$D$4:$D$10",C7)))</formula>
    </cfRule>
  </conditionalFormatting>
  <conditionalFormatting sqref="C7:D7">
    <cfRule type="containsText" dxfId="6163" priority="6875" operator="containsText" text="SI">
      <formula>NOT(ISERROR(SEARCH("SI",C7)))</formula>
    </cfRule>
    <cfRule type="containsText" dxfId="6162" priority="6876" operator="containsText" text="NO">
      <formula>NOT(ISERROR(SEARCH("NO",C7)))</formula>
    </cfRule>
  </conditionalFormatting>
  <conditionalFormatting sqref="C7:D7">
    <cfRule type="containsText" dxfId="6161" priority="6874" operator="containsText" text="NUEVO">
      <formula>NOT(ISERROR(SEARCH("NUEVO",C7)))</formula>
    </cfRule>
  </conditionalFormatting>
  <conditionalFormatting sqref="E7">
    <cfRule type="containsText" dxfId="6160" priority="6872" operator="containsText" text="NUEVO">
      <formula>NOT(ISERROR(SEARCH("NUEVO",E7)))</formula>
    </cfRule>
  </conditionalFormatting>
  <conditionalFormatting sqref="E7">
    <cfRule type="containsText" dxfId="6159" priority="6873" operator="containsText" text="Sin información">
      <formula>NOT(ISERROR(SEARCH("Sin información",E7)))</formula>
    </cfRule>
  </conditionalFormatting>
  <conditionalFormatting sqref="E7">
    <cfRule type="containsText" dxfId="6158" priority="6871" operator="containsText" text="Sin Información">
      <formula>NOT(ISERROR(SEARCH("Sin Información",E7)))</formula>
    </cfRule>
  </conditionalFormatting>
  <conditionalFormatting sqref="C8:D8">
    <cfRule type="containsText" dxfId="6157" priority="6870" operator="containsText" text="NO+$D$4:$D$10">
      <formula>NOT(ISERROR(SEARCH("NO+$D$4:$D$10",C8)))</formula>
    </cfRule>
  </conditionalFormatting>
  <conditionalFormatting sqref="C8:D8">
    <cfRule type="containsText" dxfId="6156" priority="6868" operator="containsText" text="SI">
      <formula>NOT(ISERROR(SEARCH("SI",C8)))</formula>
    </cfRule>
    <cfRule type="containsText" dxfId="6155" priority="6869" operator="containsText" text="NO">
      <formula>NOT(ISERROR(SEARCH("NO",C8)))</formula>
    </cfRule>
  </conditionalFormatting>
  <conditionalFormatting sqref="C8:D8">
    <cfRule type="containsText" dxfId="6154" priority="6867" operator="containsText" text="NUEVO">
      <formula>NOT(ISERROR(SEARCH("NUEVO",C8)))</formula>
    </cfRule>
  </conditionalFormatting>
  <conditionalFormatting sqref="E8">
    <cfRule type="containsText" dxfId="6153" priority="6865" operator="containsText" text="NUEVO">
      <formula>NOT(ISERROR(SEARCH("NUEVO",E8)))</formula>
    </cfRule>
  </conditionalFormatting>
  <conditionalFormatting sqref="E8">
    <cfRule type="containsText" dxfId="6152" priority="6866" operator="containsText" text="Sin información">
      <formula>NOT(ISERROR(SEARCH("Sin información",E8)))</formula>
    </cfRule>
  </conditionalFormatting>
  <conditionalFormatting sqref="E8">
    <cfRule type="containsText" dxfId="6151" priority="6864" operator="containsText" text="Sin Información">
      <formula>NOT(ISERROR(SEARCH("Sin Información",E8)))</formula>
    </cfRule>
  </conditionalFormatting>
  <conditionalFormatting sqref="C9:D9">
    <cfRule type="containsText" dxfId="6150" priority="6863" operator="containsText" text="NO+$D$4:$D$10">
      <formula>NOT(ISERROR(SEARCH("NO+$D$4:$D$10",C9)))</formula>
    </cfRule>
  </conditionalFormatting>
  <conditionalFormatting sqref="C9:D9">
    <cfRule type="containsText" dxfId="6149" priority="6861" operator="containsText" text="SI">
      <formula>NOT(ISERROR(SEARCH("SI",C9)))</formula>
    </cfRule>
    <cfRule type="containsText" dxfId="6148" priority="6862" operator="containsText" text="NO">
      <formula>NOT(ISERROR(SEARCH("NO",C9)))</formula>
    </cfRule>
  </conditionalFormatting>
  <conditionalFormatting sqref="C9:D9">
    <cfRule type="containsText" dxfId="6147" priority="6860" operator="containsText" text="NUEVO">
      <formula>NOT(ISERROR(SEARCH("NUEVO",C9)))</formula>
    </cfRule>
  </conditionalFormatting>
  <conditionalFormatting sqref="E9">
    <cfRule type="containsText" dxfId="6146" priority="6858" operator="containsText" text="NUEVO">
      <formula>NOT(ISERROR(SEARCH("NUEVO",E9)))</formula>
    </cfRule>
  </conditionalFormatting>
  <conditionalFormatting sqref="E9">
    <cfRule type="containsText" dxfId="6145" priority="6859" operator="containsText" text="Sin información">
      <formula>NOT(ISERROR(SEARCH("Sin información",E9)))</formula>
    </cfRule>
  </conditionalFormatting>
  <conditionalFormatting sqref="E9">
    <cfRule type="containsText" dxfId="6144" priority="6857" operator="containsText" text="Sin Información">
      <formula>NOT(ISERROR(SEARCH("Sin Información",E9)))</formula>
    </cfRule>
  </conditionalFormatting>
  <conditionalFormatting sqref="C10:D10">
    <cfRule type="containsText" dxfId="6143" priority="6856" operator="containsText" text="NO+$D$4:$D$10">
      <formula>NOT(ISERROR(SEARCH("NO+$D$4:$D$10",C10)))</formula>
    </cfRule>
  </conditionalFormatting>
  <conditionalFormatting sqref="C10:D10">
    <cfRule type="containsText" dxfId="6142" priority="6854" operator="containsText" text="SI">
      <formula>NOT(ISERROR(SEARCH("SI",C10)))</formula>
    </cfRule>
    <cfRule type="containsText" dxfId="6141" priority="6855" operator="containsText" text="NO">
      <formula>NOT(ISERROR(SEARCH("NO",C10)))</formula>
    </cfRule>
  </conditionalFormatting>
  <conditionalFormatting sqref="C10:D10">
    <cfRule type="containsText" dxfId="6140" priority="6853" operator="containsText" text="NUEVO">
      <formula>NOT(ISERROR(SEARCH("NUEVO",C10)))</formula>
    </cfRule>
  </conditionalFormatting>
  <conditionalFormatting sqref="E10">
    <cfRule type="containsText" dxfId="6139" priority="6851" operator="containsText" text="NUEVO">
      <formula>NOT(ISERROR(SEARCH("NUEVO",E10)))</formula>
    </cfRule>
  </conditionalFormatting>
  <conditionalFormatting sqref="E10">
    <cfRule type="containsText" dxfId="6138" priority="6852" operator="containsText" text="Sin información">
      <formula>NOT(ISERROR(SEARCH("Sin información",E10)))</formula>
    </cfRule>
  </conditionalFormatting>
  <conditionalFormatting sqref="E10">
    <cfRule type="containsText" dxfId="6137" priority="6850" operator="containsText" text="Sin Información">
      <formula>NOT(ISERROR(SEARCH("Sin Información",E10)))</formula>
    </cfRule>
  </conditionalFormatting>
  <conditionalFormatting sqref="C11:D11">
    <cfRule type="containsText" dxfId="6136" priority="6849" operator="containsText" text="NO+$D$4:$D$10">
      <formula>NOT(ISERROR(SEARCH("NO+$D$4:$D$10",C11)))</formula>
    </cfRule>
  </conditionalFormatting>
  <conditionalFormatting sqref="C11:D11">
    <cfRule type="containsText" dxfId="6135" priority="6847" operator="containsText" text="SI">
      <formula>NOT(ISERROR(SEARCH("SI",C11)))</formula>
    </cfRule>
    <cfRule type="containsText" dxfId="6134" priority="6848" operator="containsText" text="NO">
      <formula>NOT(ISERROR(SEARCH("NO",C11)))</formula>
    </cfRule>
  </conditionalFormatting>
  <conditionalFormatting sqref="C11:D11">
    <cfRule type="containsText" dxfId="6133" priority="6846" operator="containsText" text="NUEVO">
      <formula>NOT(ISERROR(SEARCH("NUEVO",C11)))</formula>
    </cfRule>
  </conditionalFormatting>
  <conditionalFormatting sqref="E11">
    <cfRule type="containsText" dxfId="6132" priority="6844" operator="containsText" text="NUEVO">
      <formula>NOT(ISERROR(SEARCH("NUEVO",E11)))</formula>
    </cfRule>
  </conditionalFormatting>
  <conditionalFormatting sqref="E11">
    <cfRule type="containsText" dxfId="6131" priority="6845" operator="containsText" text="Sin información">
      <formula>NOT(ISERROR(SEARCH("Sin información",E11)))</formula>
    </cfRule>
  </conditionalFormatting>
  <conditionalFormatting sqref="E11">
    <cfRule type="containsText" dxfId="6130" priority="6843" operator="containsText" text="Sin Información">
      <formula>NOT(ISERROR(SEARCH("Sin Información",E11)))</formula>
    </cfRule>
  </conditionalFormatting>
  <conditionalFormatting sqref="C64:D66 C12:D12">
    <cfRule type="containsText" dxfId="6129" priority="6842" operator="containsText" text="NO+$D$4:$D$10">
      <formula>NOT(ISERROR(SEARCH("NO+$D$4:$D$10",C12)))</formula>
    </cfRule>
  </conditionalFormatting>
  <conditionalFormatting sqref="C64:D66 C12:D12">
    <cfRule type="containsText" dxfId="6128" priority="6840" operator="containsText" text="SI">
      <formula>NOT(ISERROR(SEARCH("SI",C12)))</formula>
    </cfRule>
    <cfRule type="containsText" dxfId="6127" priority="6841" operator="containsText" text="NO">
      <formula>NOT(ISERROR(SEARCH("NO",C12)))</formula>
    </cfRule>
  </conditionalFormatting>
  <conditionalFormatting sqref="C64:E66 C12:E12">
    <cfRule type="containsText" dxfId="6126" priority="6839" operator="containsText" text="NUEVO">
      <formula>NOT(ISERROR(SEARCH("NUEVO",C12)))</formula>
    </cfRule>
  </conditionalFormatting>
  <conditionalFormatting sqref="E64:E66 E12">
    <cfRule type="containsText" dxfId="6125" priority="6838" operator="containsText" text="Sin información">
      <formula>NOT(ISERROR(SEARCH("Sin información",E12)))</formula>
    </cfRule>
  </conditionalFormatting>
  <conditionalFormatting sqref="E64:E66">
    <cfRule type="containsText" dxfId="6124" priority="6837" operator="containsText" text="Sin Información">
      <formula>NOT(ISERROR(SEARCH("Sin Información",E64)))</formula>
    </cfRule>
  </conditionalFormatting>
  <conditionalFormatting sqref="C13:D17">
    <cfRule type="containsText" dxfId="6123" priority="6836" operator="containsText" text="NO+$D$4:$D$10">
      <formula>NOT(ISERROR(SEARCH("NO+$D$4:$D$10",C13)))</formula>
    </cfRule>
  </conditionalFormatting>
  <conditionalFormatting sqref="C13:D17">
    <cfRule type="containsText" dxfId="6122" priority="6834" operator="containsText" text="SI">
      <formula>NOT(ISERROR(SEARCH("SI",C13)))</formula>
    </cfRule>
    <cfRule type="containsText" dxfId="6121" priority="6835" operator="containsText" text="NO">
      <formula>NOT(ISERROR(SEARCH("NO",C13)))</formula>
    </cfRule>
  </conditionalFormatting>
  <conditionalFormatting sqref="E13:E17">
    <cfRule type="containsText" dxfId="6120" priority="6833" operator="containsText" text="Sin información">
      <formula>NOT(ISERROR(SEARCH("Sin información",E13)))</formula>
    </cfRule>
  </conditionalFormatting>
  <conditionalFormatting sqref="C13:E17">
    <cfRule type="containsText" dxfId="6119" priority="6832" operator="containsText" text="NUEVO">
      <formula>NOT(ISERROR(SEARCH("NUEVO",C13)))</formula>
    </cfRule>
  </conditionalFormatting>
  <conditionalFormatting sqref="C18:D19">
    <cfRule type="containsText" dxfId="6118" priority="6831" operator="containsText" text="NO+$D$4:$D$10">
      <formula>NOT(ISERROR(SEARCH("NO+$D$4:$D$10",C18)))</formula>
    </cfRule>
  </conditionalFormatting>
  <conditionalFormatting sqref="C18:D19">
    <cfRule type="containsText" dxfId="6117" priority="6829" operator="containsText" text="SI">
      <formula>NOT(ISERROR(SEARCH("SI",C18)))</formula>
    </cfRule>
    <cfRule type="containsText" dxfId="6116" priority="6830" operator="containsText" text="NO">
      <formula>NOT(ISERROR(SEARCH("NO",C18)))</formula>
    </cfRule>
  </conditionalFormatting>
  <conditionalFormatting sqref="E18">
    <cfRule type="containsText" dxfId="6115" priority="6828" operator="containsText" text="Sin información">
      <formula>NOT(ISERROR(SEARCH("Sin información",E18)))</formula>
    </cfRule>
  </conditionalFormatting>
  <conditionalFormatting sqref="C18:E19">
    <cfRule type="containsText" dxfId="6114" priority="6827" operator="containsText" text="NUEVO">
      <formula>NOT(ISERROR(SEARCH("NUEVO",C18)))</formula>
    </cfRule>
  </conditionalFormatting>
  <conditionalFormatting sqref="E19">
    <cfRule type="containsText" dxfId="6113" priority="6826" operator="containsText" text="Sin información">
      <formula>NOT(ISERROR(SEARCH("Sin información",E19)))</formula>
    </cfRule>
  </conditionalFormatting>
  <conditionalFormatting sqref="C20:D20">
    <cfRule type="containsText" dxfId="6112" priority="6825" operator="containsText" text="NO+$D$4:$D$10">
      <formula>NOT(ISERROR(SEARCH("NO+$D$4:$D$10",C20)))</formula>
    </cfRule>
  </conditionalFormatting>
  <conditionalFormatting sqref="C20:D20">
    <cfRule type="containsText" dxfId="6111" priority="6823" operator="containsText" text="SI">
      <formula>NOT(ISERROR(SEARCH("SI",C20)))</formula>
    </cfRule>
    <cfRule type="containsText" dxfId="6110" priority="6824" operator="containsText" text="NO">
      <formula>NOT(ISERROR(SEARCH("NO",C20)))</formula>
    </cfRule>
  </conditionalFormatting>
  <conditionalFormatting sqref="E20">
    <cfRule type="containsText" dxfId="6109" priority="6822" operator="containsText" text="Sin información">
      <formula>NOT(ISERROR(SEARCH("Sin información",E20)))</formula>
    </cfRule>
  </conditionalFormatting>
  <conditionalFormatting sqref="C20:E20">
    <cfRule type="containsText" dxfId="6108" priority="6821" operator="containsText" text="NUEVO">
      <formula>NOT(ISERROR(SEARCH("NUEVO",C20)))</formula>
    </cfRule>
  </conditionalFormatting>
  <conditionalFormatting sqref="C21:D21">
    <cfRule type="containsText" dxfId="6107" priority="6820" operator="containsText" text="NO+$D$4:$D$10">
      <formula>NOT(ISERROR(SEARCH("NO+$D$4:$D$10",C21)))</formula>
    </cfRule>
  </conditionalFormatting>
  <conditionalFormatting sqref="C21:D21">
    <cfRule type="containsText" dxfId="6106" priority="6818" operator="containsText" text="SI">
      <formula>NOT(ISERROR(SEARCH("SI",C21)))</formula>
    </cfRule>
    <cfRule type="containsText" dxfId="6105" priority="6819" operator="containsText" text="NO">
      <formula>NOT(ISERROR(SEARCH("NO",C21)))</formula>
    </cfRule>
  </conditionalFormatting>
  <conditionalFormatting sqref="E21">
    <cfRule type="containsText" dxfId="6104" priority="6817" operator="containsText" text="Sin información">
      <formula>NOT(ISERROR(SEARCH("Sin información",E21)))</formula>
    </cfRule>
  </conditionalFormatting>
  <conditionalFormatting sqref="C21:E21">
    <cfRule type="containsText" dxfId="6103" priority="6816" operator="containsText" text="NUEVO">
      <formula>NOT(ISERROR(SEARCH("NUEVO",C21)))</formula>
    </cfRule>
  </conditionalFormatting>
  <conditionalFormatting sqref="C22:D22">
    <cfRule type="containsText" dxfId="6102" priority="6815" operator="containsText" text="NO+$D$4:$D$10">
      <formula>NOT(ISERROR(SEARCH("NO+$D$4:$D$10",C22)))</formula>
    </cfRule>
  </conditionalFormatting>
  <conditionalFormatting sqref="C22:D22">
    <cfRule type="containsText" dxfId="6101" priority="6813" operator="containsText" text="SI">
      <formula>NOT(ISERROR(SEARCH("SI",C22)))</formula>
    </cfRule>
    <cfRule type="containsText" dxfId="6100" priority="6814" operator="containsText" text="NO">
      <formula>NOT(ISERROR(SEARCH("NO",C22)))</formula>
    </cfRule>
  </conditionalFormatting>
  <conditionalFormatting sqref="E22">
    <cfRule type="containsText" dxfId="6099" priority="6812" operator="containsText" text="Sin información">
      <formula>NOT(ISERROR(SEARCH("Sin información",E22)))</formula>
    </cfRule>
  </conditionalFormatting>
  <conditionalFormatting sqref="C22:E22">
    <cfRule type="containsText" dxfId="6098" priority="6811" operator="containsText" text="NUEVO">
      <formula>NOT(ISERROR(SEARCH("NUEVO",C22)))</formula>
    </cfRule>
  </conditionalFormatting>
  <conditionalFormatting sqref="C23:D23">
    <cfRule type="containsText" dxfId="6097" priority="6810" operator="containsText" text="NO+$D$4:$D$10">
      <formula>NOT(ISERROR(SEARCH("NO+$D$4:$D$10",C23)))</formula>
    </cfRule>
  </conditionalFormatting>
  <conditionalFormatting sqref="C23:D23">
    <cfRule type="containsText" dxfId="6096" priority="6808" operator="containsText" text="SI">
      <formula>NOT(ISERROR(SEARCH("SI",C23)))</formula>
    </cfRule>
    <cfRule type="containsText" dxfId="6095" priority="6809" operator="containsText" text="NO">
      <formula>NOT(ISERROR(SEARCH("NO",C23)))</formula>
    </cfRule>
  </conditionalFormatting>
  <conditionalFormatting sqref="E23">
    <cfRule type="containsText" dxfId="6094" priority="6807" operator="containsText" text="Sin información">
      <formula>NOT(ISERROR(SEARCH("Sin información",E23)))</formula>
    </cfRule>
  </conditionalFormatting>
  <conditionalFormatting sqref="C23:E23">
    <cfRule type="containsText" dxfId="6093" priority="6806" operator="containsText" text="NUEVO">
      <formula>NOT(ISERROR(SEARCH("NUEVO",C23)))</formula>
    </cfRule>
  </conditionalFormatting>
  <conditionalFormatting sqref="C24:D24">
    <cfRule type="containsText" dxfId="6092" priority="6805" operator="containsText" text="NO+$D$4:$D$10">
      <formula>NOT(ISERROR(SEARCH("NO+$D$4:$D$10",C24)))</formula>
    </cfRule>
  </conditionalFormatting>
  <conditionalFormatting sqref="C24:D24">
    <cfRule type="containsText" dxfId="6091" priority="6803" operator="containsText" text="SI">
      <formula>NOT(ISERROR(SEARCH("SI",C24)))</formula>
    </cfRule>
    <cfRule type="containsText" dxfId="6090" priority="6804" operator="containsText" text="NO">
      <formula>NOT(ISERROR(SEARCH("NO",C24)))</formula>
    </cfRule>
  </conditionalFormatting>
  <conditionalFormatting sqref="C24:D24">
    <cfRule type="containsText" dxfId="6089" priority="6802" operator="containsText" text="NUEVO">
      <formula>NOT(ISERROR(SEARCH("NUEVO",C24)))</formula>
    </cfRule>
  </conditionalFormatting>
  <conditionalFormatting sqref="E24">
    <cfRule type="containsText" dxfId="6088" priority="6800" operator="containsText" text="NUEVO">
      <formula>NOT(ISERROR(SEARCH("NUEVO",E24)))</formula>
    </cfRule>
  </conditionalFormatting>
  <conditionalFormatting sqref="E24">
    <cfRule type="containsText" dxfId="6087" priority="6801" operator="containsText" text="Sin información">
      <formula>NOT(ISERROR(SEARCH("Sin información",E24)))</formula>
    </cfRule>
  </conditionalFormatting>
  <conditionalFormatting sqref="C25:D25">
    <cfRule type="containsText" dxfId="6086" priority="6799" operator="containsText" text="NO+$D$4:$D$10">
      <formula>NOT(ISERROR(SEARCH("NO+$D$4:$D$10",C25)))</formula>
    </cfRule>
  </conditionalFormatting>
  <conditionalFormatting sqref="C25:D25">
    <cfRule type="containsText" dxfId="6085" priority="6797" operator="containsText" text="SI">
      <formula>NOT(ISERROR(SEARCH("SI",C25)))</formula>
    </cfRule>
    <cfRule type="containsText" dxfId="6084" priority="6798" operator="containsText" text="NO">
      <formula>NOT(ISERROR(SEARCH("NO",C25)))</formula>
    </cfRule>
  </conditionalFormatting>
  <conditionalFormatting sqref="C25:D25">
    <cfRule type="containsText" dxfId="6083" priority="6796" operator="containsText" text="NUEVO">
      <formula>NOT(ISERROR(SEARCH("NUEVO",C25)))</formula>
    </cfRule>
  </conditionalFormatting>
  <conditionalFormatting sqref="E25">
    <cfRule type="containsText" dxfId="6082" priority="6795" operator="containsText" text="Sin información">
      <formula>NOT(ISERROR(SEARCH("Sin información",E25)))</formula>
    </cfRule>
  </conditionalFormatting>
  <conditionalFormatting sqref="E25">
    <cfRule type="containsText" dxfId="6081" priority="6794" operator="containsText" text="NUEVO">
      <formula>NOT(ISERROR(SEARCH("NUEVO",E25)))</formula>
    </cfRule>
  </conditionalFormatting>
  <conditionalFormatting sqref="C26:D26">
    <cfRule type="containsText" dxfId="6080" priority="6793" operator="containsText" text="NO+$D$4:$D$10">
      <formula>NOT(ISERROR(SEARCH("NO+$D$4:$D$10",C26)))</formula>
    </cfRule>
  </conditionalFormatting>
  <conditionalFormatting sqref="C26:D26">
    <cfRule type="containsText" dxfId="6079" priority="6791" operator="containsText" text="SI">
      <formula>NOT(ISERROR(SEARCH("SI",C26)))</formula>
    </cfRule>
    <cfRule type="containsText" dxfId="6078" priority="6792" operator="containsText" text="NO">
      <formula>NOT(ISERROR(SEARCH("NO",C26)))</formula>
    </cfRule>
  </conditionalFormatting>
  <conditionalFormatting sqref="E26">
    <cfRule type="containsText" dxfId="6077" priority="6790" operator="containsText" text="Sin información">
      <formula>NOT(ISERROR(SEARCH("Sin información",E26)))</formula>
    </cfRule>
  </conditionalFormatting>
  <conditionalFormatting sqref="C26:E26">
    <cfRule type="containsText" dxfId="6076" priority="6789" operator="containsText" text="NUEVO">
      <formula>NOT(ISERROR(SEARCH("NUEVO",C26)))</formula>
    </cfRule>
  </conditionalFormatting>
  <conditionalFormatting sqref="E26">
    <cfRule type="containsText" dxfId="6075" priority="6788" operator="containsText" text="Sin Información">
      <formula>NOT(ISERROR(SEARCH("Sin Información",E26)))</formula>
    </cfRule>
  </conditionalFormatting>
  <conditionalFormatting sqref="C27:D27">
    <cfRule type="containsText" dxfId="6074" priority="6787" operator="containsText" text="NO+$D$4:$D$10">
      <formula>NOT(ISERROR(SEARCH("NO+$D$4:$D$10",C27)))</formula>
    </cfRule>
  </conditionalFormatting>
  <conditionalFormatting sqref="C27:D27">
    <cfRule type="containsText" dxfId="6073" priority="6785" operator="containsText" text="SI">
      <formula>NOT(ISERROR(SEARCH("SI",C27)))</formula>
    </cfRule>
    <cfRule type="containsText" dxfId="6072" priority="6786" operator="containsText" text="NO">
      <formula>NOT(ISERROR(SEARCH("NO",C27)))</formula>
    </cfRule>
  </conditionalFormatting>
  <conditionalFormatting sqref="E27">
    <cfRule type="containsText" dxfId="6071" priority="6784" operator="containsText" text="Sin información">
      <formula>NOT(ISERROR(SEARCH("Sin información",E27)))</formula>
    </cfRule>
  </conditionalFormatting>
  <conditionalFormatting sqref="C27:E27">
    <cfRule type="containsText" dxfId="6070" priority="6783" operator="containsText" text="NUEVO">
      <formula>NOT(ISERROR(SEARCH("NUEVO",C27)))</formula>
    </cfRule>
  </conditionalFormatting>
  <conditionalFormatting sqref="E27">
    <cfRule type="containsText" dxfId="6069" priority="6782" operator="containsText" text="Sin Información">
      <formula>NOT(ISERROR(SEARCH("Sin Información",E27)))</formula>
    </cfRule>
  </conditionalFormatting>
  <conditionalFormatting sqref="C28:D28">
    <cfRule type="containsText" dxfId="6068" priority="6781" operator="containsText" text="NO+$D$4:$D$10">
      <formula>NOT(ISERROR(SEARCH("NO+$D$4:$D$10",C28)))</formula>
    </cfRule>
  </conditionalFormatting>
  <conditionalFormatting sqref="C28:D28">
    <cfRule type="containsText" dxfId="6067" priority="6779" operator="containsText" text="SI">
      <formula>NOT(ISERROR(SEARCH("SI",C28)))</formula>
    </cfRule>
    <cfRule type="containsText" dxfId="6066" priority="6780" operator="containsText" text="NO">
      <formula>NOT(ISERROR(SEARCH("NO",C28)))</formula>
    </cfRule>
  </conditionalFormatting>
  <conditionalFormatting sqref="E28">
    <cfRule type="containsText" dxfId="6065" priority="6778" operator="containsText" text="Sin información">
      <formula>NOT(ISERROR(SEARCH("Sin información",E28)))</formula>
    </cfRule>
  </conditionalFormatting>
  <conditionalFormatting sqref="C28:E28">
    <cfRule type="containsText" dxfId="6064" priority="6777" operator="containsText" text="NUEVO">
      <formula>NOT(ISERROR(SEARCH("NUEVO",C28)))</formula>
    </cfRule>
  </conditionalFormatting>
  <conditionalFormatting sqref="E28">
    <cfRule type="containsText" dxfId="6063" priority="6776" operator="containsText" text="Sin Información">
      <formula>NOT(ISERROR(SEARCH("Sin Información",E28)))</formula>
    </cfRule>
  </conditionalFormatting>
  <conditionalFormatting sqref="C29:D29">
    <cfRule type="containsText" dxfId="6062" priority="6775" operator="containsText" text="NO+$D$4:$D$10">
      <formula>NOT(ISERROR(SEARCH("NO+$D$4:$D$10",C29)))</formula>
    </cfRule>
  </conditionalFormatting>
  <conditionalFormatting sqref="C29:D29">
    <cfRule type="containsText" dxfId="6061" priority="6773" operator="containsText" text="SI">
      <formula>NOT(ISERROR(SEARCH("SI",C29)))</formula>
    </cfRule>
    <cfRule type="containsText" dxfId="6060" priority="6774" operator="containsText" text="NO">
      <formula>NOT(ISERROR(SEARCH("NO",C29)))</formula>
    </cfRule>
  </conditionalFormatting>
  <conditionalFormatting sqref="E29">
    <cfRule type="containsText" dxfId="6059" priority="6772" operator="containsText" text="Sin información">
      <formula>NOT(ISERROR(SEARCH("Sin información",E29)))</formula>
    </cfRule>
  </conditionalFormatting>
  <conditionalFormatting sqref="C29:E29">
    <cfRule type="containsText" dxfId="6058" priority="6771" operator="containsText" text="NUEVO">
      <formula>NOT(ISERROR(SEARCH("NUEVO",C29)))</formula>
    </cfRule>
  </conditionalFormatting>
  <conditionalFormatting sqref="E29">
    <cfRule type="containsText" dxfId="6057" priority="6770" operator="containsText" text="Sin Información">
      <formula>NOT(ISERROR(SEARCH("Sin Información",E29)))</formula>
    </cfRule>
  </conditionalFormatting>
  <conditionalFormatting sqref="C30:D30">
    <cfRule type="containsText" dxfId="6056" priority="6769" operator="containsText" text="NO+$D$4:$D$10">
      <formula>NOT(ISERROR(SEARCH("NO+$D$4:$D$10",C30)))</formula>
    </cfRule>
  </conditionalFormatting>
  <conditionalFormatting sqref="C30:D30">
    <cfRule type="containsText" dxfId="6055" priority="6767" operator="containsText" text="SI">
      <formula>NOT(ISERROR(SEARCH("SI",C30)))</formula>
    </cfRule>
    <cfRule type="containsText" dxfId="6054" priority="6768" operator="containsText" text="NO">
      <formula>NOT(ISERROR(SEARCH("NO",C30)))</formula>
    </cfRule>
  </conditionalFormatting>
  <conditionalFormatting sqref="E30">
    <cfRule type="containsText" dxfId="6053" priority="6766" operator="containsText" text="Sin información">
      <formula>NOT(ISERROR(SEARCH("Sin información",E30)))</formula>
    </cfRule>
  </conditionalFormatting>
  <conditionalFormatting sqref="C30:E30">
    <cfRule type="containsText" dxfId="6052" priority="6765" operator="containsText" text="NUEVO">
      <formula>NOT(ISERROR(SEARCH("NUEVO",C30)))</formula>
    </cfRule>
  </conditionalFormatting>
  <conditionalFormatting sqref="E30">
    <cfRule type="containsText" dxfId="6051" priority="6764" operator="containsText" text="Sin Información">
      <formula>NOT(ISERROR(SEARCH("Sin Información",E30)))</formula>
    </cfRule>
  </conditionalFormatting>
  <conditionalFormatting sqref="C31:D31">
    <cfRule type="containsText" dxfId="6050" priority="6763" operator="containsText" text="NO+$D$4:$D$10">
      <formula>NOT(ISERROR(SEARCH("NO+$D$4:$D$10",C31)))</formula>
    </cfRule>
  </conditionalFormatting>
  <conditionalFormatting sqref="C31:D31">
    <cfRule type="containsText" dxfId="6049" priority="6761" operator="containsText" text="SI">
      <formula>NOT(ISERROR(SEARCH("SI",C31)))</formula>
    </cfRule>
    <cfRule type="containsText" dxfId="6048" priority="6762" operator="containsText" text="NO">
      <formula>NOT(ISERROR(SEARCH("NO",C31)))</formula>
    </cfRule>
  </conditionalFormatting>
  <conditionalFormatting sqref="E31">
    <cfRule type="containsText" dxfId="6047" priority="6760" operator="containsText" text="Sin información">
      <formula>NOT(ISERROR(SEARCH("Sin información",E31)))</formula>
    </cfRule>
  </conditionalFormatting>
  <conditionalFormatting sqref="C31:E31">
    <cfRule type="containsText" dxfId="6046" priority="6759" operator="containsText" text="NUEVO">
      <formula>NOT(ISERROR(SEARCH("NUEVO",C31)))</formula>
    </cfRule>
  </conditionalFormatting>
  <conditionalFormatting sqref="E31">
    <cfRule type="containsText" dxfId="6045" priority="6758" operator="containsText" text="Sin Información">
      <formula>NOT(ISERROR(SEARCH("Sin Información",E31)))</formula>
    </cfRule>
  </conditionalFormatting>
  <conditionalFormatting sqref="C33:D33">
    <cfRule type="containsText" dxfId="6044" priority="6751" operator="containsText" text="NO+$D$4:$D$10">
      <formula>NOT(ISERROR(SEARCH("NO+$D$4:$D$10",C33)))</formula>
    </cfRule>
  </conditionalFormatting>
  <conditionalFormatting sqref="C33:D33">
    <cfRule type="containsText" dxfId="6043" priority="6749" operator="containsText" text="SI">
      <formula>NOT(ISERROR(SEARCH("SI",C33)))</formula>
    </cfRule>
    <cfRule type="containsText" dxfId="6042" priority="6750" operator="containsText" text="NO">
      <formula>NOT(ISERROR(SEARCH("NO",C33)))</formula>
    </cfRule>
  </conditionalFormatting>
  <conditionalFormatting sqref="E33">
    <cfRule type="containsText" dxfId="6041" priority="6748" operator="containsText" text="Sin información">
      <formula>NOT(ISERROR(SEARCH("Sin información",E33)))</formula>
    </cfRule>
  </conditionalFormatting>
  <conditionalFormatting sqref="C33:E33">
    <cfRule type="containsText" dxfId="6040" priority="6747" operator="containsText" text="NUEVO">
      <formula>NOT(ISERROR(SEARCH("NUEVO",C33)))</formula>
    </cfRule>
  </conditionalFormatting>
  <conditionalFormatting sqref="E33">
    <cfRule type="containsText" dxfId="6039" priority="6746" operator="containsText" text="Sin Información">
      <formula>NOT(ISERROR(SEARCH("Sin Información",E33)))</formula>
    </cfRule>
  </conditionalFormatting>
  <conditionalFormatting sqref="C34:D34">
    <cfRule type="containsText" dxfId="6038" priority="6745" operator="containsText" text="NO+$D$4:$D$10">
      <formula>NOT(ISERROR(SEARCH("NO+$D$4:$D$10",C34)))</formula>
    </cfRule>
  </conditionalFormatting>
  <conditionalFormatting sqref="C34:D34">
    <cfRule type="containsText" dxfId="6037" priority="6743" operator="containsText" text="SI">
      <formula>NOT(ISERROR(SEARCH("SI",C34)))</formula>
    </cfRule>
    <cfRule type="containsText" dxfId="6036" priority="6744" operator="containsText" text="NO">
      <formula>NOT(ISERROR(SEARCH("NO",C34)))</formula>
    </cfRule>
  </conditionalFormatting>
  <conditionalFormatting sqref="E34">
    <cfRule type="containsText" dxfId="6035" priority="6742" operator="containsText" text="Sin información">
      <formula>NOT(ISERROR(SEARCH("Sin información",E34)))</formula>
    </cfRule>
  </conditionalFormatting>
  <conditionalFormatting sqref="C34:E34">
    <cfRule type="containsText" dxfId="6034" priority="6741" operator="containsText" text="NUEVO">
      <formula>NOT(ISERROR(SEARCH("NUEVO",C34)))</formula>
    </cfRule>
  </conditionalFormatting>
  <conditionalFormatting sqref="E34">
    <cfRule type="containsText" dxfId="6033" priority="6740" operator="containsText" text="Sin Información">
      <formula>NOT(ISERROR(SEARCH("Sin Información",E34)))</formula>
    </cfRule>
  </conditionalFormatting>
  <conditionalFormatting sqref="C35:D35">
    <cfRule type="containsText" dxfId="6032" priority="6739" operator="containsText" text="NO+$D$4:$D$10">
      <formula>NOT(ISERROR(SEARCH("NO+$D$4:$D$10",C35)))</formula>
    </cfRule>
  </conditionalFormatting>
  <conditionalFormatting sqref="C35:D35">
    <cfRule type="containsText" dxfId="6031" priority="6737" operator="containsText" text="SI">
      <formula>NOT(ISERROR(SEARCH("SI",C35)))</formula>
    </cfRule>
    <cfRule type="containsText" dxfId="6030" priority="6738" operator="containsText" text="NO">
      <formula>NOT(ISERROR(SEARCH("NO",C35)))</formula>
    </cfRule>
  </conditionalFormatting>
  <conditionalFormatting sqref="E35">
    <cfRule type="containsText" dxfId="6029" priority="6736" operator="containsText" text="Sin información">
      <formula>NOT(ISERROR(SEARCH("Sin información",E35)))</formula>
    </cfRule>
  </conditionalFormatting>
  <conditionalFormatting sqref="C35:E35">
    <cfRule type="containsText" dxfId="6028" priority="6735" operator="containsText" text="NUEVO">
      <formula>NOT(ISERROR(SEARCH("NUEVO",C35)))</formula>
    </cfRule>
  </conditionalFormatting>
  <conditionalFormatting sqref="E35">
    <cfRule type="containsText" dxfId="6027" priority="6734" operator="containsText" text="Sin Información">
      <formula>NOT(ISERROR(SEARCH("Sin Información",E35)))</formula>
    </cfRule>
  </conditionalFormatting>
  <conditionalFormatting sqref="C37:D37">
    <cfRule type="containsText" dxfId="6026" priority="6733" operator="containsText" text="NO+$D$4:$D$10">
      <formula>NOT(ISERROR(SEARCH("NO+$D$4:$D$10",C37)))</formula>
    </cfRule>
  </conditionalFormatting>
  <conditionalFormatting sqref="C37:D37">
    <cfRule type="containsText" dxfId="6025" priority="6731" operator="containsText" text="SI">
      <formula>NOT(ISERROR(SEARCH("SI",C37)))</formula>
    </cfRule>
    <cfRule type="containsText" dxfId="6024" priority="6732" operator="containsText" text="NO">
      <formula>NOT(ISERROR(SEARCH("NO",C37)))</formula>
    </cfRule>
  </conditionalFormatting>
  <conditionalFormatting sqref="C37:D37">
    <cfRule type="containsText" dxfId="6023" priority="6730" operator="containsText" text="NUEVO">
      <formula>NOT(ISERROR(SEARCH("NUEVO",C37)))</formula>
    </cfRule>
  </conditionalFormatting>
  <conditionalFormatting sqref="E37">
    <cfRule type="containsText" dxfId="6022" priority="6727" operator="containsText" text="Sin Información">
      <formula>NOT(ISERROR(SEARCH("Sin Información",E37)))</formula>
    </cfRule>
  </conditionalFormatting>
  <conditionalFormatting sqref="E37">
    <cfRule type="containsText" dxfId="6021" priority="6729" operator="containsText" text="Sin información">
      <formula>NOT(ISERROR(SEARCH("Sin información",E37)))</formula>
    </cfRule>
  </conditionalFormatting>
  <conditionalFormatting sqref="E37">
    <cfRule type="containsText" dxfId="6020" priority="6728" operator="containsText" text="NUEVO">
      <formula>NOT(ISERROR(SEARCH("NUEVO",E37)))</formula>
    </cfRule>
  </conditionalFormatting>
  <conditionalFormatting sqref="C38:D38">
    <cfRule type="containsText" dxfId="6019" priority="6726" operator="containsText" text="NO+$D$4:$D$10">
      <formula>NOT(ISERROR(SEARCH("NO+$D$4:$D$10",C38)))</formula>
    </cfRule>
  </conditionalFormatting>
  <conditionalFormatting sqref="C38:D38">
    <cfRule type="containsText" dxfId="6018" priority="6724" operator="containsText" text="SI">
      <formula>NOT(ISERROR(SEARCH("SI",C38)))</formula>
    </cfRule>
    <cfRule type="containsText" dxfId="6017" priority="6725" operator="containsText" text="NO">
      <formula>NOT(ISERROR(SEARCH("NO",C38)))</formula>
    </cfRule>
  </conditionalFormatting>
  <conditionalFormatting sqref="E38">
    <cfRule type="containsText" dxfId="6016" priority="6723" operator="containsText" text="Sin información">
      <formula>NOT(ISERROR(SEARCH("Sin información",E38)))</formula>
    </cfRule>
  </conditionalFormatting>
  <conditionalFormatting sqref="C38:E38">
    <cfRule type="containsText" dxfId="6015" priority="6722" operator="containsText" text="NUEVO">
      <formula>NOT(ISERROR(SEARCH("NUEVO",C38)))</formula>
    </cfRule>
  </conditionalFormatting>
  <conditionalFormatting sqref="C39:D41">
    <cfRule type="containsText" dxfId="6014" priority="6721" operator="containsText" text="NO+$D$4:$D$10">
      <formula>NOT(ISERROR(SEARCH("NO+$D$4:$D$10",C39)))</formula>
    </cfRule>
  </conditionalFormatting>
  <conditionalFormatting sqref="C39:D41">
    <cfRule type="containsText" dxfId="6013" priority="6719" operator="containsText" text="SI">
      <formula>NOT(ISERROR(SEARCH("SI",C39)))</formula>
    </cfRule>
    <cfRule type="containsText" dxfId="6012" priority="6720" operator="containsText" text="NO">
      <formula>NOT(ISERROR(SEARCH("NO",C39)))</formula>
    </cfRule>
  </conditionalFormatting>
  <conditionalFormatting sqref="E39:E40">
    <cfRule type="containsText" dxfId="6011" priority="6718" operator="containsText" text="Sin información">
      <formula>NOT(ISERROR(SEARCH("Sin información",E39)))</formula>
    </cfRule>
  </conditionalFormatting>
  <conditionalFormatting sqref="E39:E40 C39:D41">
    <cfRule type="containsText" dxfId="6010" priority="6717" operator="containsText" text="NUEVO">
      <formula>NOT(ISERROR(SEARCH("NUEVO",C39)))</formula>
    </cfRule>
  </conditionalFormatting>
  <conditionalFormatting sqref="E39:E40">
    <cfRule type="containsText" dxfId="6009" priority="6716" operator="containsText" text="Sin Información">
      <formula>NOT(ISERROR(SEARCH("Sin Información",E39)))</formula>
    </cfRule>
  </conditionalFormatting>
  <conditionalFormatting sqref="E41">
    <cfRule type="containsText" dxfId="6008" priority="6715" operator="containsText" text="Sin información">
      <formula>NOT(ISERROR(SEARCH("Sin información",E41)))</formula>
    </cfRule>
  </conditionalFormatting>
  <conditionalFormatting sqref="E41">
    <cfRule type="containsText" dxfId="6007" priority="6714" operator="containsText" text="NUEVO">
      <formula>NOT(ISERROR(SEARCH("NUEVO",E41)))</formula>
    </cfRule>
  </conditionalFormatting>
  <conditionalFormatting sqref="C42:D43">
    <cfRule type="containsText" dxfId="6006" priority="6713" operator="containsText" text="NO+$D$4:$D$10">
      <formula>NOT(ISERROR(SEARCH("NO+$D$4:$D$10",C42)))</formula>
    </cfRule>
  </conditionalFormatting>
  <conditionalFormatting sqref="C42:D43">
    <cfRule type="containsText" dxfId="6005" priority="6711" operator="containsText" text="SI">
      <formula>NOT(ISERROR(SEARCH("SI",C42)))</formula>
    </cfRule>
    <cfRule type="containsText" dxfId="6004" priority="6712" operator="containsText" text="NO">
      <formula>NOT(ISERROR(SEARCH("NO",C42)))</formula>
    </cfRule>
  </conditionalFormatting>
  <conditionalFormatting sqref="C42:D43">
    <cfRule type="containsText" dxfId="6003" priority="6710" operator="containsText" text="NUEVO">
      <formula>NOT(ISERROR(SEARCH("NUEVO",C42)))</formula>
    </cfRule>
  </conditionalFormatting>
  <conditionalFormatting sqref="E42">
    <cfRule type="containsText" dxfId="6002" priority="6708" operator="containsText" text="NUEVO">
      <formula>NOT(ISERROR(SEARCH("NUEVO",E42)))</formula>
    </cfRule>
  </conditionalFormatting>
  <conditionalFormatting sqref="E42">
    <cfRule type="containsText" dxfId="6001" priority="6707" operator="containsText" text="Sin Información">
      <formula>NOT(ISERROR(SEARCH("Sin Información",E42)))</formula>
    </cfRule>
  </conditionalFormatting>
  <conditionalFormatting sqref="E42">
    <cfRule type="containsText" dxfId="6000" priority="6709" operator="containsText" text="Sin información">
      <formula>NOT(ISERROR(SEARCH("Sin información",E42)))</formula>
    </cfRule>
  </conditionalFormatting>
  <conditionalFormatting sqref="E43">
    <cfRule type="containsText" dxfId="5999" priority="6706" operator="containsText" text="Sin información">
      <formula>NOT(ISERROR(SEARCH("Sin información",E43)))</formula>
    </cfRule>
  </conditionalFormatting>
  <conditionalFormatting sqref="E43">
    <cfRule type="containsText" dxfId="5998" priority="6705" operator="containsText" text="NUEVO">
      <formula>NOT(ISERROR(SEARCH("NUEVO",E43)))</formula>
    </cfRule>
  </conditionalFormatting>
  <conditionalFormatting sqref="E43">
    <cfRule type="containsText" dxfId="5997" priority="6704" operator="containsText" text="Sin Información">
      <formula>NOT(ISERROR(SEARCH("Sin Información",E43)))</formula>
    </cfRule>
  </conditionalFormatting>
  <conditionalFormatting sqref="C44:D44">
    <cfRule type="containsText" dxfId="5996" priority="6703" operator="containsText" text="NO+$D$4:$D$10">
      <formula>NOT(ISERROR(SEARCH("NO+$D$4:$D$10",C44)))</formula>
    </cfRule>
  </conditionalFormatting>
  <conditionalFormatting sqref="C44:D44">
    <cfRule type="containsText" dxfId="5995" priority="6701" operator="containsText" text="SI">
      <formula>NOT(ISERROR(SEARCH("SI",C44)))</formula>
    </cfRule>
    <cfRule type="containsText" dxfId="5994" priority="6702" operator="containsText" text="NO">
      <formula>NOT(ISERROR(SEARCH("NO",C44)))</formula>
    </cfRule>
  </conditionalFormatting>
  <conditionalFormatting sqref="E44">
    <cfRule type="containsText" dxfId="5993" priority="6700" operator="containsText" text="Sin información">
      <formula>NOT(ISERROR(SEARCH("Sin información",E44)))</formula>
    </cfRule>
  </conditionalFormatting>
  <conditionalFormatting sqref="C44:E44">
    <cfRule type="containsText" dxfId="5992" priority="6699" operator="containsText" text="NUEVO">
      <formula>NOT(ISERROR(SEARCH("NUEVO",C44)))</formula>
    </cfRule>
  </conditionalFormatting>
  <conditionalFormatting sqref="E44">
    <cfRule type="containsText" dxfId="5991" priority="6698" operator="containsText" text="Sin Información">
      <formula>NOT(ISERROR(SEARCH("Sin Información",E44)))</formula>
    </cfRule>
  </conditionalFormatting>
  <conditionalFormatting sqref="C45:D49">
    <cfRule type="containsText" dxfId="5990" priority="6697" operator="containsText" text="NO+$D$4:$D$10">
      <formula>NOT(ISERROR(SEARCH("NO+$D$4:$D$10",C45)))</formula>
    </cfRule>
  </conditionalFormatting>
  <conditionalFormatting sqref="C45:D49">
    <cfRule type="containsText" dxfId="5989" priority="6695" operator="containsText" text="SI">
      <formula>NOT(ISERROR(SEARCH("SI",C45)))</formula>
    </cfRule>
    <cfRule type="containsText" dxfId="5988" priority="6696" operator="containsText" text="NO">
      <formula>NOT(ISERROR(SEARCH("NO",C45)))</formula>
    </cfRule>
  </conditionalFormatting>
  <conditionalFormatting sqref="E45:E48">
    <cfRule type="containsText" dxfId="5987" priority="6694" operator="containsText" text="Sin información">
      <formula>NOT(ISERROR(SEARCH("Sin información",E45)))</formula>
    </cfRule>
  </conditionalFormatting>
  <conditionalFormatting sqref="C45:D49 E45:E48">
    <cfRule type="containsText" dxfId="5986" priority="6693" operator="containsText" text="NUEVO">
      <formula>NOT(ISERROR(SEARCH("NUEVO",C45)))</formula>
    </cfRule>
  </conditionalFormatting>
  <conditionalFormatting sqref="E45:E48">
    <cfRule type="containsText" dxfId="5985" priority="6692" operator="containsText" text="Sin Información">
      <formula>NOT(ISERROR(SEARCH("Sin Información",E45)))</formula>
    </cfRule>
  </conditionalFormatting>
  <conditionalFormatting sqref="E49">
    <cfRule type="containsText" dxfId="5984" priority="6691" operator="containsText" text="Sin información">
      <formula>NOT(ISERROR(SEARCH("Sin información",E49)))</formula>
    </cfRule>
  </conditionalFormatting>
  <conditionalFormatting sqref="E49">
    <cfRule type="containsText" dxfId="5983" priority="6690" operator="containsText" text="NUEVO">
      <formula>NOT(ISERROR(SEARCH("NUEVO",E49)))</formula>
    </cfRule>
  </conditionalFormatting>
  <conditionalFormatting sqref="E49">
    <cfRule type="containsText" dxfId="5982" priority="6689" operator="containsText" text="Sin Información">
      <formula>NOT(ISERROR(SEARCH("Sin Información",E49)))</formula>
    </cfRule>
  </conditionalFormatting>
  <conditionalFormatting sqref="C50:D50">
    <cfRule type="containsText" dxfId="5981" priority="6688" operator="containsText" text="NO+$D$4:$D$10">
      <formula>NOT(ISERROR(SEARCH("NO+$D$4:$D$10",C50)))</formula>
    </cfRule>
  </conditionalFormatting>
  <conditionalFormatting sqref="C50:D50">
    <cfRule type="containsText" dxfId="5980" priority="6686" operator="containsText" text="SI">
      <formula>NOT(ISERROR(SEARCH("SI",C50)))</formula>
    </cfRule>
    <cfRule type="containsText" dxfId="5979" priority="6687" operator="containsText" text="NO">
      <formula>NOT(ISERROR(SEARCH("NO",C50)))</formula>
    </cfRule>
  </conditionalFormatting>
  <conditionalFormatting sqref="E50">
    <cfRule type="containsText" dxfId="5978" priority="6685" operator="containsText" text="Sin información">
      <formula>NOT(ISERROR(SEARCH("Sin información",E50)))</formula>
    </cfRule>
  </conditionalFormatting>
  <conditionalFormatting sqref="C50:E50">
    <cfRule type="containsText" dxfId="5977" priority="6684" operator="containsText" text="NUEVO">
      <formula>NOT(ISERROR(SEARCH("NUEVO",C50)))</formula>
    </cfRule>
  </conditionalFormatting>
  <conditionalFormatting sqref="E50">
    <cfRule type="containsText" dxfId="5976" priority="6683" operator="containsText" text="Sin Información">
      <formula>NOT(ISERROR(SEARCH("Sin Información",E50)))</formula>
    </cfRule>
  </conditionalFormatting>
  <conditionalFormatting sqref="C51:D51">
    <cfRule type="containsText" dxfId="5975" priority="6682" operator="containsText" text="NO+$D$4:$D$10">
      <formula>NOT(ISERROR(SEARCH("NO+$D$4:$D$10",C51)))</formula>
    </cfRule>
  </conditionalFormatting>
  <conditionalFormatting sqref="C51:D51">
    <cfRule type="containsText" dxfId="5974" priority="6680" operator="containsText" text="SI">
      <formula>NOT(ISERROR(SEARCH("SI",C51)))</formula>
    </cfRule>
    <cfRule type="containsText" dxfId="5973" priority="6681" operator="containsText" text="NO">
      <formula>NOT(ISERROR(SEARCH("NO",C51)))</formula>
    </cfRule>
  </conditionalFormatting>
  <conditionalFormatting sqref="E51">
    <cfRule type="containsText" dxfId="5972" priority="6679" operator="containsText" text="Sin información">
      <formula>NOT(ISERROR(SEARCH("Sin información",E51)))</formula>
    </cfRule>
  </conditionalFormatting>
  <conditionalFormatting sqref="C51:E51">
    <cfRule type="containsText" dxfId="5971" priority="6678" operator="containsText" text="NUEVO">
      <formula>NOT(ISERROR(SEARCH("NUEVO",C51)))</formula>
    </cfRule>
  </conditionalFormatting>
  <conditionalFormatting sqref="E51">
    <cfRule type="containsText" dxfId="5970" priority="6677" operator="containsText" text="Sin Información">
      <formula>NOT(ISERROR(SEARCH("Sin Información",E51)))</formula>
    </cfRule>
  </conditionalFormatting>
  <conditionalFormatting sqref="C52:D53">
    <cfRule type="containsText" dxfId="5969" priority="6676" operator="containsText" text="NO+$D$4:$D$10">
      <formula>NOT(ISERROR(SEARCH("NO+$D$4:$D$10",C52)))</formula>
    </cfRule>
  </conditionalFormatting>
  <conditionalFormatting sqref="C52:D53">
    <cfRule type="containsText" dxfId="5968" priority="6674" operator="containsText" text="SI">
      <formula>NOT(ISERROR(SEARCH("SI",C52)))</formula>
    </cfRule>
    <cfRule type="containsText" dxfId="5967" priority="6675" operator="containsText" text="NO">
      <formula>NOT(ISERROR(SEARCH("NO",C52)))</formula>
    </cfRule>
  </conditionalFormatting>
  <conditionalFormatting sqref="E52:E53">
    <cfRule type="containsText" dxfId="5966" priority="6673" operator="containsText" text="Sin información">
      <formula>NOT(ISERROR(SEARCH("Sin información",E52)))</formula>
    </cfRule>
  </conditionalFormatting>
  <conditionalFormatting sqref="C52:E53">
    <cfRule type="containsText" dxfId="5965" priority="6672" operator="containsText" text="NUEVO">
      <formula>NOT(ISERROR(SEARCH("NUEVO",C52)))</formula>
    </cfRule>
  </conditionalFormatting>
  <conditionalFormatting sqref="E52:E53">
    <cfRule type="containsText" dxfId="5964" priority="6671" operator="containsText" text="Sin Información">
      <formula>NOT(ISERROR(SEARCH("Sin Información",E52)))</formula>
    </cfRule>
  </conditionalFormatting>
  <conditionalFormatting sqref="C54:D54">
    <cfRule type="containsText" dxfId="5963" priority="6670" operator="containsText" text="NO+$D$4:$D$10">
      <formula>NOT(ISERROR(SEARCH("NO+$D$4:$D$10",C54)))</formula>
    </cfRule>
  </conditionalFormatting>
  <conditionalFormatting sqref="C54:D54">
    <cfRule type="containsText" dxfId="5962" priority="6668" operator="containsText" text="SI">
      <formula>NOT(ISERROR(SEARCH("SI",C54)))</formula>
    </cfRule>
    <cfRule type="containsText" dxfId="5961" priority="6669" operator="containsText" text="NO">
      <formula>NOT(ISERROR(SEARCH("NO",C54)))</formula>
    </cfRule>
  </conditionalFormatting>
  <conditionalFormatting sqref="E54">
    <cfRule type="containsText" dxfId="5960" priority="6667" operator="containsText" text="Sin información">
      <formula>NOT(ISERROR(SEARCH("Sin información",E54)))</formula>
    </cfRule>
  </conditionalFormatting>
  <conditionalFormatting sqref="E54">
    <cfRule type="containsText" dxfId="5959" priority="6666" operator="containsText" text="NUEVO">
      <formula>NOT(ISERROR(SEARCH("NUEVO",E54)))</formula>
    </cfRule>
  </conditionalFormatting>
  <conditionalFormatting sqref="C54:D54">
    <cfRule type="containsText" dxfId="5958" priority="6665" operator="containsText" text="NUEVO">
      <formula>NOT(ISERROR(SEARCH("NUEVO",C54)))</formula>
    </cfRule>
  </conditionalFormatting>
  <conditionalFormatting sqref="C55:D55">
    <cfRule type="containsText" dxfId="5957" priority="6664" operator="containsText" text="NO+$D$4:$D$10">
      <formula>NOT(ISERROR(SEARCH("NO+$D$4:$D$10",C55)))</formula>
    </cfRule>
  </conditionalFormatting>
  <conditionalFormatting sqref="C55:D55">
    <cfRule type="containsText" dxfId="5956" priority="6662" operator="containsText" text="SI">
      <formula>NOT(ISERROR(SEARCH("SI",C55)))</formula>
    </cfRule>
    <cfRule type="containsText" dxfId="5955" priority="6663" operator="containsText" text="NO">
      <formula>NOT(ISERROR(SEARCH("NO",C55)))</formula>
    </cfRule>
  </conditionalFormatting>
  <conditionalFormatting sqref="E55">
    <cfRule type="containsText" dxfId="5954" priority="6661" operator="containsText" text="Sin información">
      <formula>NOT(ISERROR(SEARCH("Sin información",E55)))</formula>
    </cfRule>
  </conditionalFormatting>
  <conditionalFormatting sqref="E55">
    <cfRule type="containsText" dxfId="5953" priority="6660" operator="containsText" text="NUEVO">
      <formula>NOT(ISERROR(SEARCH("NUEVO",E55)))</formula>
    </cfRule>
  </conditionalFormatting>
  <conditionalFormatting sqref="C55:D55">
    <cfRule type="containsText" dxfId="5952" priority="6659" operator="containsText" text="NUEVO">
      <formula>NOT(ISERROR(SEARCH("NUEVO",C55)))</formula>
    </cfRule>
  </conditionalFormatting>
  <conditionalFormatting sqref="C56:D56">
    <cfRule type="containsText" dxfId="5951" priority="6658" operator="containsText" text="NO+$D$4:$D$10">
      <formula>NOT(ISERROR(SEARCH("NO+$D$4:$D$10",C56)))</formula>
    </cfRule>
  </conditionalFormatting>
  <conditionalFormatting sqref="C56:D56">
    <cfRule type="containsText" dxfId="5950" priority="6656" operator="containsText" text="SI">
      <formula>NOT(ISERROR(SEARCH("SI",C56)))</formula>
    </cfRule>
    <cfRule type="containsText" dxfId="5949" priority="6657" operator="containsText" text="NO">
      <formula>NOT(ISERROR(SEARCH("NO",C56)))</formula>
    </cfRule>
  </conditionalFormatting>
  <conditionalFormatting sqref="E56">
    <cfRule type="containsText" dxfId="5948" priority="6655" operator="containsText" text="Sin información">
      <formula>NOT(ISERROR(SEARCH("Sin información",E56)))</formula>
    </cfRule>
  </conditionalFormatting>
  <conditionalFormatting sqref="E56">
    <cfRule type="containsText" dxfId="5947" priority="6654" operator="containsText" text="NUEVO">
      <formula>NOT(ISERROR(SEARCH("NUEVO",E56)))</formula>
    </cfRule>
  </conditionalFormatting>
  <conditionalFormatting sqref="C56:D56">
    <cfRule type="containsText" dxfId="5946" priority="6653" operator="containsText" text="NUEVO">
      <formula>NOT(ISERROR(SEARCH("NUEVO",C56)))</formula>
    </cfRule>
  </conditionalFormatting>
  <conditionalFormatting sqref="C57:D57">
    <cfRule type="containsText" dxfId="5945" priority="6652" operator="containsText" text="NO+$D$4:$D$10">
      <formula>NOT(ISERROR(SEARCH("NO+$D$4:$D$10",C57)))</formula>
    </cfRule>
  </conditionalFormatting>
  <conditionalFormatting sqref="C57:D57">
    <cfRule type="containsText" dxfId="5944" priority="6650" operator="containsText" text="SI">
      <formula>NOT(ISERROR(SEARCH("SI",C57)))</formula>
    </cfRule>
    <cfRule type="containsText" dxfId="5943" priority="6651" operator="containsText" text="NO">
      <formula>NOT(ISERROR(SEARCH("NO",C57)))</formula>
    </cfRule>
  </conditionalFormatting>
  <conditionalFormatting sqref="E57">
    <cfRule type="containsText" dxfId="5942" priority="6649" operator="containsText" text="Sin información">
      <formula>NOT(ISERROR(SEARCH("Sin información",E57)))</formula>
    </cfRule>
  </conditionalFormatting>
  <conditionalFormatting sqref="E57">
    <cfRule type="containsText" dxfId="5941" priority="6648" operator="containsText" text="NUEVO">
      <formula>NOT(ISERROR(SEARCH("NUEVO",E57)))</formula>
    </cfRule>
  </conditionalFormatting>
  <conditionalFormatting sqref="C57:D57">
    <cfRule type="containsText" dxfId="5940" priority="6647" operator="containsText" text="NUEVO">
      <formula>NOT(ISERROR(SEARCH("NUEVO",C57)))</formula>
    </cfRule>
  </conditionalFormatting>
  <conditionalFormatting sqref="E58">
    <cfRule type="containsText" dxfId="5939" priority="6642" operator="containsText" text="NUEVO">
      <formula>NOT(ISERROR(SEARCH("NUEVO",E58)))</formula>
    </cfRule>
  </conditionalFormatting>
  <conditionalFormatting sqref="C58:D58">
    <cfRule type="containsText" dxfId="5938" priority="6646" operator="containsText" text="NO+$D$4:$D$10">
      <formula>NOT(ISERROR(SEARCH("NO+$D$4:$D$10",C58)))</formula>
    </cfRule>
  </conditionalFormatting>
  <conditionalFormatting sqref="C58:D58">
    <cfRule type="containsText" dxfId="5937" priority="6644" operator="containsText" text="SI">
      <formula>NOT(ISERROR(SEARCH("SI",C58)))</formula>
    </cfRule>
    <cfRule type="containsText" dxfId="5936" priority="6645" operator="containsText" text="NO">
      <formula>NOT(ISERROR(SEARCH("NO",C58)))</formula>
    </cfRule>
  </conditionalFormatting>
  <conditionalFormatting sqref="E58">
    <cfRule type="containsText" dxfId="5935" priority="6643" operator="containsText" text="Sin información">
      <formula>NOT(ISERROR(SEARCH("Sin información",E58)))</formula>
    </cfRule>
  </conditionalFormatting>
  <conditionalFormatting sqref="C58:D58">
    <cfRule type="containsText" dxfId="5934" priority="6641" operator="containsText" text="NUEVO">
      <formula>NOT(ISERROR(SEARCH("NUEVO",C58)))</formula>
    </cfRule>
  </conditionalFormatting>
  <conditionalFormatting sqref="C59:D61">
    <cfRule type="containsText" dxfId="5933" priority="6640" operator="containsText" text="NO+$D$4:$D$10">
      <formula>NOT(ISERROR(SEARCH("NO+$D$4:$D$10",C59)))</formula>
    </cfRule>
  </conditionalFormatting>
  <conditionalFormatting sqref="C59:D61">
    <cfRule type="containsText" dxfId="5932" priority="6638" operator="containsText" text="SI">
      <formula>NOT(ISERROR(SEARCH("SI",C59)))</formula>
    </cfRule>
    <cfRule type="containsText" dxfId="5931" priority="6639" operator="containsText" text="NO">
      <formula>NOT(ISERROR(SEARCH("NO",C59)))</formula>
    </cfRule>
  </conditionalFormatting>
  <conditionalFormatting sqref="E59:E61">
    <cfRule type="containsText" dxfId="5930" priority="6637" operator="containsText" text="Sin información">
      <formula>NOT(ISERROR(SEARCH("Sin información",E59)))</formula>
    </cfRule>
  </conditionalFormatting>
  <conditionalFormatting sqref="E59:E61">
    <cfRule type="containsText" dxfId="5929" priority="6636" operator="containsText" text="NUEVO">
      <formula>NOT(ISERROR(SEARCH("NUEVO",E59)))</formula>
    </cfRule>
  </conditionalFormatting>
  <conditionalFormatting sqref="C59:D61">
    <cfRule type="containsText" dxfId="5928" priority="6635" operator="containsText" text="NUEVO">
      <formula>NOT(ISERROR(SEARCH("NUEVO",C59)))</formula>
    </cfRule>
  </conditionalFormatting>
  <conditionalFormatting sqref="C62:D62">
    <cfRule type="containsText" dxfId="5927" priority="6634" operator="containsText" text="NO+$D$4:$D$10">
      <formula>NOT(ISERROR(SEARCH("NO+$D$4:$D$10",C62)))</formula>
    </cfRule>
  </conditionalFormatting>
  <conditionalFormatting sqref="C62:D62">
    <cfRule type="containsText" dxfId="5926" priority="6632" operator="containsText" text="SI">
      <formula>NOT(ISERROR(SEARCH("SI",C62)))</formula>
    </cfRule>
    <cfRule type="containsText" dxfId="5925" priority="6633" operator="containsText" text="NO">
      <formula>NOT(ISERROR(SEARCH("NO",C62)))</formula>
    </cfRule>
  </conditionalFormatting>
  <conditionalFormatting sqref="E62">
    <cfRule type="containsText" dxfId="5924" priority="6631" operator="containsText" text="Sin información">
      <formula>NOT(ISERROR(SEARCH("Sin información",E62)))</formula>
    </cfRule>
  </conditionalFormatting>
  <conditionalFormatting sqref="E62">
    <cfRule type="containsText" dxfId="5923" priority="6630" operator="containsText" text="NUEVO">
      <formula>NOT(ISERROR(SEARCH("NUEVO",E62)))</formula>
    </cfRule>
  </conditionalFormatting>
  <conditionalFormatting sqref="E62">
    <cfRule type="containsText" dxfId="5922" priority="6629" operator="containsText" text="Sin Información">
      <formula>NOT(ISERROR(SEARCH("Sin Información",E62)))</formula>
    </cfRule>
  </conditionalFormatting>
  <conditionalFormatting sqref="C62:D62">
    <cfRule type="containsText" dxfId="5921" priority="6628" operator="containsText" text="NUEVO">
      <formula>NOT(ISERROR(SEARCH("NUEVO",C62)))</formula>
    </cfRule>
  </conditionalFormatting>
  <conditionalFormatting sqref="C63:D63">
    <cfRule type="containsText" dxfId="5920" priority="6627" operator="containsText" text="NO+$D$4:$D$10">
      <formula>NOT(ISERROR(SEARCH("NO+$D$4:$D$10",C63)))</formula>
    </cfRule>
  </conditionalFormatting>
  <conditionalFormatting sqref="C63:D63">
    <cfRule type="containsText" dxfId="5919" priority="6625" operator="containsText" text="SI">
      <formula>NOT(ISERROR(SEARCH("SI",C63)))</formula>
    </cfRule>
    <cfRule type="containsText" dxfId="5918" priority="6626" operator="containsText" text="NO">
      <formula>NOT(ISERROR(SEARCH("NO",C63)))</formula>
    </cfRule>
  </conditionalFormatting>
  <conditionalFormatting sqref="E63">
    <cfRule type="containsText" dxfId="5917" priority="6624" operator="containsText" text="Sin información">
      <formula>NOT(ISERROR(SEARCH("Sin información",E63)))</formula>
    </cfRule>
  </conditionalFormatting>
  <conditionalFormatting sqref="E63">
    <cfRule type="containsText" dxfId="5916" priority="6623" operator="containsText" text="NUEVO">
      <formula>NOT(ISERROR(SEARCH("NUEVO",E63)))</formula>
    </cfRule>
  </conditionalFormatting>
  <conditionalFormatting sqref="E63">
    <cfRule type="containsText" dxfId="5915" priority="6622" operator="containsText" text="Sin Información">
      <formula>NOT(ISERROR(SEARCH("Sin Información",E63)))</formula>
    </cfRule>
  </conditionalFormatting>
  <conditionalFormatting sqref="C63:D63">
    <cfRule type="containsText" dxfId="5914" priority="6621" operator="containsText" text="NUEVO">
      <formula>NOT(ISERROR(SEARCH("NUEVO",C63)))</formula>
    </cfRule>
  </conditionalFormatting>
  <conditionalFormatting sqref="C67:D68">
    <cfRule type="containsText" dxfId="5913" priority="6620" operator="containsText" text="NO+$D$4:$D$10">
      <formula>NOT(ISERROR(SEARCH("NO+$D$4:$D$10",C67)))</formula>
    </cfRule>
  </conditionalFormatting>
  <conditionalFormatting sqref="C67:D68">
    <cfRule type="containsText" dxfId="5912" priority="6618" operator="containsText" text="SI">
      <formula>NOT(ISERROR(SEARCH("SI",C67)))</formula>
    </cfRule>
    <cfRule type="containsText" dxfId="5911" priority="6619" operator="containsText" text="NO">
      <formula>NOT(ISERROR(SEARCH("NO",C67)))</formula>
    </cfRule>
  </conditionalFormatting>
  <conditionalFormatting sqref="E67:E68">
    <cfRule type="containsText" dxfId="5910" priority="6617" operator="containsText" text="Sin información">
      <formula>NOT(ISERROR(SEARCH("Sin información",E67)))</formula>
    </cfRule>
  </conditionalFormatting>
  <conditionalFormatting sqref="E67:E68">
    <cfRule type="containsText" dxfId="5909" priority="6616" operator="containsText" text="NUEVO">
      <formula>NOT(ISERROR(SEARCH("NUEVO",E67)))</formula>
    </cfRule>
  </conditionalFormatting>
  <conditionalFormatting sqref="E67:E68">
    <cfRule type="containsText" dxfId="5908" priority="6615" operator="containsText" text="Sin Información">
      <formula>NOT(ISERROR(SEARCH("Sin Información",E67)))</formula>
    </cfRule>
  </conditionalFormatting>
  <conditionalFormatting sqref="C67:D68">
    <cfRule type="containsText" dxfId="5907" priority="6614" operator="containsText" text="NUEVO">
      <formula>NOT(ISERROR(SEARCH("NUEVO",C67)))</formula>
    </cfRule>
  </conditionalFormatting>
  <conditionalFormatting sqref="C69:D69">
    <cfRule type="containsText" dxfId="5906" priority="6613" operator="containsText" text="NO+$D$4:$D$10">
      <formula>NOT(ISERROR(SEARCH("NO+$D$4:$D$10",C69)))</formula>
    </cfRule>
  </conditionalFormatting>
  <conditionalFormatting sqref="C69:D69">
    <cfRule type="containsText" dxfId="5905" priority="6611" operator="containsText" text="SI">
      <formula>NOT(ISERROR(SEARCH("SI",C69)))</formula>
    </cfRule>
    <cfRule type="containsText" dxfId="5904" priority="6612" operator="containsText" text="NO">
      <formula>NOT(ISERROR(SEARCH("NO",C69)))</formula>
    </cfRule>
  </conditionalFormatting>
  <conditionalFormatting sqref="E69">
    <cfRule type="containsText" dxfId="5903" priority="6610" operator="containsText" text="Sin información">
      <formula>NOT(ISERROR(SEARCH("Sin información",E69)))</formula>
    </cfRule>
  </conditionalFormatting>
  <conditionalFormatting sqref="E69">
    <cfRule type="containsText" dxfId="5902" priority="6609" operator="containsText" text="NUEVO">
      <formula>NOT(ISERROR(SEARCH("NUEVO",E69)))</formula>
    </cfRule>
  </conditionalFormatting>
  <conditionalFormatting sqref="E69">
    <cfRule type="containsText" dxfId="5901" priority="6608" operator="containsText" text="Sin Información">
      <formula>NOT(ISERROR(SEARCH("Sin Información",E69)))</formula>
    </cfRule>
  </conditionalFormatting>
  <conditionalFormatting sqref="C69:D69">
    <cfRule type="containsText" dxfId="5900" priority="6607" operator="containsText" text="NUEVO">
      <formula>NOT(ISERROR(SEARCH("NUEVO",C69)))</formula>
    </cfRule>
  </conditionalFormatting>
  <conditionalFormatting sqref="C70:D70">
    <cfRule type="containsText" dxfId="5899" priority="6606" operator="containsText" text="NO+$D$4:$D$10">
      <formula>NOT(ISERROR(SEARCH("NO+$D$4:$D$10",C70)))</formula>
    </cfRule>
  </conditionalFormatting>
  <conditionalFormatting sqref="C70:D70">
    <cfRule type="containsText" dxfId="5898" priority="6604" operator="containsText" text="SI">
      <formula>NOT(ISERROR(SEARCH("SI",C70)))</formula>
    </cfRule>
    <cfRule type="containsText" dxfId="5897" priority="6605" operator="containsText" text="NO">
      <formula>NOT(ISERROR(SEARCH("NO",C70)))</formula>
    </cfRule>
  </conditionalFormatting>
  <conditionalFormatting sqref="E70">
    <cfRule type="containsText" dxfId="5896" priority="6603" operator="containsText" text="Sin información">
      <formula>NOT(ISERROR(SEARCH("Sin información",E70)))</formula>
    </cfRule>
  </conditionalFormatting>
  <conditionalFormatting sqref="E70">
    <cfRule type="containsText" dxfId="5895" priority="6602" operator="containsText" text="NUEVO">
      <formula>NOT(ISERROR(SEARCH("NUEVO",E70)))</formula>
    </cfRule>
  </conditionalFormatting>
  <conditionalFormatting sqref="E70">
    <cfRule type="containsText" dxfId="5894" priority="6601" operator="containsText" text="Sin Información">
      <formula>NOT(ISERROR(SEARCH("Sin Información",E70)))</formula>
    </cfRule>
  </conditionalFormatting>
  <conditionalFormatting sqref="C70:D70">
    <cfRule type="containsText" dxfId="5893" priority="6600" operator="containsText" text="NUEVO">
      <formula>NOT(ISERROR(SEARCH("NUEVO",C70)))</formula>
    </cfRule>
  </conditionalFormatting>
  <conditionalFormatting sqref="C71:D76">
    <cfRule type="containsText" dxfId="5892" priority="6599" operator="containsText" text="NO+$D$4:$D$10">
      <formula>NOT(ISERROR(SEARCH("NO+$D$4:$D$10",C71)))</formula>
    </cfRule>
  </conditionalFormatting>
  <conditionalFormatting sqref="C71:D76">
    <cfRule type="containsText" dxfId="5891" priority="6597" operator="containsText" text="SI">
      <formula>NOT(ISERROR(SEARCH("SI",C71)))</formula>
    </cfRule>
    <cfRule type="containsText" dxfId="5890" priority="6598" operator="containsText" text="NO">
      <formula>NOT(ISERROR(SEARCH("NO",C71)))</formula>
    </cfRule>
  </conditionalFormatting>
  <conditionalFormatting sqref="E71:E76">
    <cfRule type="containsText" dxfId="5889" priority="6596" operator="containsText" text="Sin información">
      <formula>NOT(ISERROR(SEARCH("Sin información",E71)))</formula>
    </cfRule>
  </conditionalFormatting>
  <conditionalFormatting sqref="E71:E76">
    <cfRule type="containsText" dxfId="5888" priority="6595" operator="containsText" text="NUEVO">
      <formula>NOT(ISERROR(SEARCH("NUEVO",E71)))</formula>
    </cfRule>
  </conditionalFormatting>
  <conditionalFormatting sqref="E71:E76">
    <cfRule type="containsText" dxfId="5887" priority="6594" operator="containsText" text="Sin Información">
      <formula>NOT(ISERROR(SEARCH("Sin Información",E71)))</formula>
    </cfRule>
  </conditionalFormatting>
  <conditionalFormatting sqref="C71:D76">
    <cfRule type="containsText" dxfId="5886" priority="6593" operator="containsText" text="NUEVO">
      <formula>NOT(ISERROR(SEARCH("NUEVO",C71)))</formula>
    </cfRule>
  </conditionalFormatting>
  <conditionalFormatting sqref="C77:D77">
    <cfRule type="containsText" dxfId="5885" priority="6592" operator="containsText" text="NO+$D$4:$D$10">
      <formula>NOT(ISERROR(SEARCH("NO+$D$4:$D$10",C77)))</formula>
    </cfRule>
  </conditionalFormatting>
  <conditionalFormatting sqref="C77:D77">
    <cfRule type="containsText" dxfId="5884" priority="6590" operator="containsText" text="SI">
      <formula>NOT(ISERROR(SEARCH("SI",C77)))</formula>
    </cfRule>
    <cfRule type="containsText" dxfId="5883" priority="6591" operator="containsText" text="NO">
      <formula>NOT(ISERROR(SEARCH("NO",C77)))</formula>
    </cfRule>
  </conditionalFormatting>
  <conditionalFormatting sqref="E77">
    <cfRule type="containsText" dxfId="5882" priority="6589" operator="containsText" text="Sin información">
      <formula>NOT(ISERROR(SEARCH("Sin información",E77)))</formula>
    </cfRule>
  </conditionalFormatting>
  <conditionalFormatting sqref="E77">
    <cfRule type="containsText" dxfId="5881" priority="6588" operator="containsText" text="NUEVO">
      <formula>NOT(ISERROR(SEARCH("NUEVO",E77)))</formula>
    </cfRule>
  </conditionalFormatting>
  <conditionalFormatting sqref="E77">
    <cfRule type="containsText" dxfId="5880" priority="6587" operator="containsText" text="Sin Información">
      <formula>NOT(ISERROR(SEARCH("Sin Información",E77)))</formula>
    </cfRule>
  </conditionalFormatting>
  <conditionalFormatting sqref="C77:D77">
    <cfRule type="containsText" dxfId="5879" priority="6586" operator="containsText" text="NUEVO">
      <formula>NOT(ISERROR(SEARCH("NUEVO",C77)))</formula>
    </cfRule>
  </conditionalFormatting>
  <conditionalFormatting sqref="C78:D79">
    <cfRule type="containsText" dxfId="5878" priority="6585" operator="containsText" text="NO+$D$4:$D$10">
      <formula>NOT(ISERROR(SEARCH("NO+$D$4:$D$10",C78)))</formula>
    </cfRule>
  </conditionalFormatting>
  <conditionalFormatting sqref="C78:D79">
    <cfRule type="containsText" dxfId="5877" priority="6583" operator="containsText" text="SI">
      <formula>NOT(ISERROR(SEARCH("SI",C78)))</formula>
    </cfRule>
    <cfRule type="containsText" dxfId="5876" priority="6584" operator="containsText" text="NO">
      <formula>NOT(ISERROR(SEARCH("NO",C78)))</formula>
    </cfRule>
  </conditionalFormatting>
  <conditionalFormatting sqref="E78:E79">
    <cfRule type="containsText" dxfId="5875" priority="6582" operator="containsText" text="Sin información">
      <formula>NOT(ISERROR(SEARCH("Sin información",E78)))</formula>
    </cfRule>
  </conditionalFormatting>
  <conditionalFormatting sqref="E78:E79">
    <cfRule type="containsText" dxfId="5874" priority="6581" operator="containsText" text="NUEVO">
      <formula>NOT(ISERROR(SEARCH("NUEVO",E78)))</formula>
    </cfRule>
  </conditionalFormatting>
  <conditionalFormatting sqref="E78:E79">
    <cfRule type="containsText" dxfId="5873" priority="6580" operator="containsText" text="Sin Información">
      <formula>NOT(ISERROR(SEARCH("Sin Información",E78)))</formula>
    </cfRule>
  </conditionalFormatting>
  <conditionalFormatting sqref="C78:D79">
    <cfRule type="containsText" dxfId="5872" priority="6579" operator="containsText" text="NUEVO">
      <formula>NOT(ISERROR(SEARCH("NUEVO",C78)))</formula>
    </cfRule>
  </conditionalFormatting>
  <conditionalFormatting sqref="C80:D80">
    <cfRule type="containsText" dxfId="5871" priority="6578" operator="containsText" text="NO+$D$4:$D$10">
      <formula>NOT(ISERROR(SEARCH("NO+$D$4:$D$10",C80)))</formula>
    </cfRule>
  </conditionalFormatting>
  <conditionalFormatting sqref="C80:D80">
    <cfRule type="containsText" dxfId="5870" priority="6576" operator="containsText" text="SI">
      <formula>NOT(ISERROR(SEARCH("SI",C80)))</formula>
    </cfRule>
    <cfRule type="containsText" dxfId="5869" priority="6577" operator="containsText" text="NO">
      <formula>NOT(ISERROR(SEARCH("NO",C80)))</formula>
    </cfRule>
  </conditionalFormatting>
  <conditionalFormatting sqref="E80">
    <cfRule type="containsText" dxfId="5868" priority="6575" operator="containsText" text="Sin información">
      <formula>NOT(ISERROR(SEARCH("Sin información",E80)))</formula>
    </cfRule>
  </conditionalFormatting>
  <conditionalFormatting sqref="E80">
    <cfRule type="containsText" dxfId="5867" priority="6574" operator="containsText" text="NUEVO">
      <formula>NOT(ISERROR(SEARCH("NUEVO",E80)))</formula>
    </cfRule>
  </conditionalFormatting>
  <conditionalFormatting sqref="C80:D80">
    <cfRule type="containsText" dxfId="5866" priority="6573" operator="containsText" text="NUEVO">
      <formula>NOT(ISERROR(SEARCH("NUEVO",C80)))</formula>
    </cfRule>
  </conditionalFormatting>
  <conditionalFormatting sqref="C81:D81">
    <cfRule type="containsText" dxfId="5865" priority="6572" operator="containsText" text="NO+$D$4:$D$10">
      <formula>NOT(ISERROR(SEARCH("NO+$D$4:$D$10",C81)))</formula>
    </cfRule>
  </conditionalFormatting>
  <conditionalFormatting sqref="C81:D81">
    <cfRule type="containsText" dxfId="5864" priority="6570" operator="containsText" text="SI">
      <formula>NOT(ISERROR(SEARCH("SI",C81)))</formula>
    </cfRule>
    <cfRule type="containsText" dxfId="5863" priority="6571" operator="containsText" text="NO">
      <formula>NOT(ISERROR(SEARCH("NO",C81)))</formula>
    </cfRule>
  </conditionalFormatting>
  <conditionalFormatting sqref="E81">
    <cfRule type="containsText" dxfId="5862" priority="6569" operator="containsText" text="Sin información">
      <formula>NOT(ISERROR(SEARCH("Sin información",E81)))</formula>
    </cfRule>
  </conditionalFormatting>
  <conditionalFormatting sqref="E81">
    <cfRule type="containsText" dxfId="5861" priority="6568" operator="containsText" text="NUEVO">
      <formula>NOT(ISERROR(SEARCH("NUEVO",E81)))</formula>
    </cfRule>
  </conditionalFormatting>
  <conditionalFormatting sqref="E81">
    <cfRule type="containsText" dxfId="5860" priority="6567" operator="containsText" text="Sin Información">
      <formula>NOT(ISERROR(SEARCH("Sin Información",E81)))</formula>
    </cfRule>
  </conditionalFormatting>
  <conditionalFormatting sqref="C81:D81">
    <cfRule type="containsText" dxfId="5859" priority="6566" operator="containsText" text="NUEVO">
      <formula>NOT(ISERROR(SEARCH("NUEVO",C81)))</formula>
    </cfRule>
  </conditionalFormatting>
  <conditionalFormatting sqref="C82:D82">
    <cfRule type="containsText" dxfId="5858" priority="6565" operator="containsText" text="NO+$D$4:$D$10">
      <formula>NOT(ISERROR(SEARCH("NO+$D$4:$D$10",C82)))</formula>
    </cfRule>
  </conditionalFormatting>
  <conditionalFormatting sqref="C82:D82">
    <cfRule type="containsText" dxfId="5857" priority="6563" operator="containsText" text="SI">
      <formula>NOT(ISERROR(SEARCH("SI",C82)))</formula>
    </cfRule>
    <cfRule type="containsText" dxfId="5856" priority="6564" operator="containsText" text="NO">
      <formula>NOT(ISERROR(SEARCH("NO",C82)))</formula>
    </cfRule>
  </conditionalFormatting>
  <conditionalFormatting sqref="E82">
    <cfRule type="containsText" dxfId="5855" priority="6562" operator="containsText" text="Sin información">
      <formula>NOT(ISERROR(SEARCH("Sin información",E82)))</formula>
    </cfRule>
  </conditionalFormatting>
  <conditionalFormatting sqref="E82">
    <cfRule type="containsText" dxfId="5854" priority="6561" operator="containsText" text="NUEVO">
      <formula>NOT(ISERROR(SEARCH("NUEVO",E82)))</formula>
    </cfRule>
  </conditionalFormatting>
  <conditionalFormatting sqref="E82">
    <cfRule type="containsText" dxfId="5853" priority="6560" operator="containsText" text="Sin Información">
      <formula>NOT(ISERROR(SEARCH("Sin Información",E82)))</formula>
    </cfRule>
  </conditionalFormatting>
  <conditionalFormatting sqref="C82:D82">
    <cfRule type="containsText" dxfId="5852" priority="6559" operator="containsText" text="NUEVO">
      <formula>NOT(ISERROR(SEARCH("NUEVO",C82)))</formula>
    </cfRule>
  </conditionalFormatting>
  <conditionalFormatting sqref="C83:D83">
    <cfRule type="containsText" dxfId="5851" priority="6558" operator="containsText" text="NO+$D$4:$D$10">
      <formula>NOT(ISERROR(SEARCH("NO+$D$4:$D$10",C83)))</formula>
    </cfRule>
  </conditionalFormatting>
  <conditionalFormatting sqref="C83:D83">
    <cfRule type="containsText" dxfId="5850" priority="6556" operator="containsText" text="SI">
      <formula>NOT(ISERROR(SEARCH("SI",C83)))</formula>
    </cfRule>
    <cfRule type="containsText" dxfId="5849" priority="6557" operator="containsText" text="NO">
      <formula>NOT(ISERROR(SEARCH("NO",C83)))</formula>
    </cfRule>
  </conditionalFormatting>
  <conditionalFormatting sqref="E83">
    <cfRule type="containsText" dxfId="5848" priority="6555" operator="containsText" text="Sin información">
      <formula>NOT(ISERROR(SEARCH("Sin información",E83)))</formula>
    </cfRule>
  </conditionalFormatting>
  <conditionalFormatting sqref="E83">
    <cfRule type="containsText" dxfId="5847" priority="6554" operator="containsText" text="NUEVO">
      <formula>NOT(ISERROR(SEARCH("NUEVO",E83)))</formula>
    </cfRule>
  </conditionalFormatting>
  <conditionalFormatting sqref="E83">
    <cfRule type="containsText" dxfId="5846" priority="6553" operator="containsText" text="Sin Información">
      <formula>NOT(ISERROR(SEARCH("Sin Información",E83)))</formula>
    </cfRule>
  </conditionalFormatting>
  <conditionalFormatting sqref="C83:D83">
    <cfRule type="containsText" dxfId="5845" priority="6552" operator="containsText" text="NUEVO">
      <formula>NOT(ISERROR(SEARCH("NUEVO",C83)))</formula>
    </cfRule>
  </conditionalFormatting>
  <conditionalFormatting sqref="C84:D84">
    <cfRule type="containsText" dxfId="5844" priority="6551" operator="containsText" text="NO+$D$4:$D$10">
      <formula>NOT(ISERROR(SEARCH("NO+$D$4:$D$10",C84)))</formula>
    </cfRule>
  </conditionalFormatting>
  <conditionalFormatting sqref="C84:D84">
    <cfRule type="containsText" dxfId="5843" priority="6549" operator="containsText" text="SI">
      <formula>NOT(ISERROR(SEARCH("SI",C84)))</formula>
    </cfRule>
    <cfRule type="containsText" dxfId="5842" priority="6550" operator="containsText" text="NO">
      <formula>NOT(ISERROR(SEARCH("NO",C84)))</formula>
    </cfRule>
  </conditionalFormatting>
  <conditionalFormatting sqref="C84:D84">
    <cfRule type="containsText" dxfId="5841" priority="6548" operator="containsText" text="NUEVO">
      <formula>NOT(ISERROR(SEARCH("NUEVO",C84)))</formula>
    </cfRule>
  </conditionalFormatting>
  <conditionalFormatting sqref="E84">
    <cfRule type="containsText" dxfId="5840" priority="6546" operator="containsText" text="NUEVO">
      <formula>NOT(ISERROR(SEARCH("NUEVO",E84)))</formula>
    </cfRule>
  </conditionalFormatting>
  <conditionalFormatting sqref="E84">
    <cfRule type="containsText" dxfId="5839" priority="6545" operator="containsText" text="Sin Información">
      <formula>NOT(ISERROR(SEARCH("Sin Información",E84)))</formula>
    </cfRule>
  </conditionalFormatting>
  <conditionalFormatting sqref="E84">
    <cfRule type="containsText" dxfId="5838" priority="6547" operator="containsText" text="Sin información">
      <formula>NOT(ISERROR(SEARCH("Sin información",E84)))</formula>
    </cfRule>
  </conditionalFormatting>
  <conditionalFormatting sqref="C85:D85">
    <cfRule type="containsText" dxfId="5837" priority="6544" operator="containsText" text="NO+$D$4:$D$10">
      <formula>NOT(ISERROR(SEARCH("NO+$D$4:$D$10",C85)))</formula>
    </cfRule>
  </conditionalFormatting>
  <conditionalFormatting sqref="C85:D85">
    <cfRule type="containsText" dxfId="5836" priority="6542" operator="containsText" text="SI">
      <formula>NOT(ISERROR(SEARCH("SI",C85)))</formula>
    </cfRule>
    <cfRule type="containsText" dxfId="5835" priority="6543" operator="containsText" text="NO">
      <formula>NOT(ISERROR(SEARCH("NO",C85)))</formula>
    </cfRule>
  </conditionalFormatting>
  <conditionalFormatting sqref="E85">
    <cfRule type="containsText" dxfId="5834" priority="6541" operator="containsText" text="Sin información">
      <formula>NOT(ISERROR(SEARCH("Sin información",E85)))</formula>
    </cfRule>
  </conditionalFormatting>
  <conditionalFormatting sqref="E85">
    <cfRule type="containsText" dxfId="5833" priority="6540" operator="containsText" text="NUEVO">
      <formula>NOT(ISERROR(SEARCH("NUEVO",E85)))</formula>
    </cfRule>
  </conditionalFormatting>
  <conditionalFormatting sqref="C85:D85">
    <cfRule type="containsText" dxfId="5832" priority="6539" operator="containsText" text="NUEVO">
      <formula>NOT(ISERROR(SEARCH("NUEVO",C85)))</formula>
    </cfRule>
  </conditionalFormatting>
  <conditionalFormatting sqref="C86:D86">
    <cfRule type="containsText" dxfId="5831" priority="6538" operator="containsText" text="NO+$D$4:$D$10">
      <formula>NOT(ISERROR(SEARCH("NO+$D$4:$D$10",C86)))</formula>
    </cfRule>
  </conditionalFormatting>
  <conditionalFormatting sqref="C86:D86">
    <cfRule type="containsText" dxfId="5830" priority="6536" operator="containsText" text="SI">
      <formula>NOT(ISERROR(SEARCH("SI",C86)))</formula>
    </cfRule>
    <cfRule type="containsText" dxfId="5829" priority="6537" operator="containsText" text="NO">
      <formula>NOT(ISERROR(SEARCH("NO",C86)))</formula>
    </cfRule>
  </conditionalFormatting>
  <conditionalFormatting sqref="E86">
    <cfRule type="containsText" dxfId="5828" priority="6535" operator="containsText" text="Sin información">
      <formula>NOT(ISERROR(SEARCH("Sin información",E86)))</formula>
    </cfRule>
  </conditionalFormatting>
  <conditionalFormatting sqref="E86">
    <cfRule type="containsText" dxfId="5827" priority="6534" operator="containsText" text="NUEVO">
      <formula>NOT(ISERROR(SEARCH("NUEVO",E86)))</formula>
    </cfRule>
  </conditionalFormatting>
  <conditionalFormatting sqref="C86:D86">
    <cfRule type="containsText" dxfId="5826" priority="6533" operator="containsText" text="NUEVO">
      <formula>NOT(ISERROR(SEARCH("NUEVO",C86)))</formula>
    </cfRule>
  </conditionalFormatting>
  <conditionalFormatting sqref="C87:D87">
    <cfRule type="containsText" dxfId="5825" priority="6532" operator="containsText" text="NO+$D$4:$D$10">
      <formula>NOT(ISERROR(SEARCH("NO+$D$4:$D$10",C87)))</formula>
    </cfRule>
  </conditionalFormatting>
  <conditionalFormatting sqref="C87:D87">
    <cfRule type="containsText" dxfId="5824" priority="6530" operator="containsText" text="SI">
      <formula>NOT(ISERROR(SEARCH("SI",C87)))</formula>
    </cfRule>
    <cfRule type="containsText" dxfId="5823" priority="6531" operator="containsText" text="NO">
      <formula>NOT(ISERROR(SEARCH("NO",C87)))</formula>
    </cfRule>
  </conditionalFormatting>
  <conditionalFormatting sqref="E87">
    <cfRule type="containsText" dxfId="5822" priority="6529" operator="containsText" text="Sin información">
      <formula>NOT(ISERROR(SEARCH("Sin información",E87)))</formula>
    </cfRule>
  </conditionalFormatting>
  <conditionalFormatting sqref="E87">
    <cfRule type="containsText" dxfId="5821" priority="6528" operator="containsText" text="NUEVO">
      <formula>NOT(ISERROR(SEARCH("NUEVO",E87)))</formula>
    </cfRule>
  </conditionalFormatting>
  <conditionalFormatting sqref="E87">
    <cfRule type="containsText" dxfId="5820" priority="6527" operator="containsText" text="Sin Información">
      <formula>NOT(ISERROR(SEARCH("Sin Información",E87)))</formula>
    </cfRule>
  </conditionalFormatting>
  <conditionalFormatting sqref="C87:D87">
    <cfRule type="containsText" dxfId="5819" priority="6526" operator="containsText" text="NUEVO">
      <formula>NOT(ISERROR(SEARCH("NUEVO",C87)))</formula>
    </cfRule>
  </conditionalFormatting>
  <conditionalFormatting sqref="C88:D88">
    <cfRule type="containsText" dxfId="5818" priority="6525" operator="containsText" text="NO+$D$4:$D$10">
      <formula>NOT(ISERROR(SEARCH("NO+$D$4:$D$10",C88)))</formula>
    </cfRule>
  </conditionalFormatting>
  <conditionalFormatting sqref="C88:D88">
    <cfRule type="containsText" dxfId="5817" priority="6523" operator="containsText" text="SI">
      <formula>NOT(ISERROR(SEARCH("SI",C88)))</formula>
    </cfRule>
    <cfRule type="containsText" dxfId="5816" priority="6524" operator="containsText" text="NO">
      <formula>NOT(ISERROR(SEARCH("NO",C88)))</formula>
    </cfRule>
  </conditionalFormatting>
  <conditionalFormatting sqref="E88">
    <cfRule type="containsText" dxfId="5815" priority="6522" operator="containsText" text="Sin información">
      <formula>NOT(ISERROR(SEARCH("Sin información",E88)))</formula>
    </cfRule>
  </conditionalFormatting>
  <conditionalFormatting sqref="E88">
    <cfRule type="containsText" dxfId="5814" priority="6521" operator="containsText" text="NUEVO">
      <formula>NOT(ISERROR(SEARCH("NUEVO",E88)))</formula>
    </cfRule>
  </conditionalFormatting>
  <conditionalFormatting sqref="E88">
    <cfRule type="containsText" dxfId="5813" priority="6520" operator="containsText" text="Sin Información">
      <formula>NOT(ISERROR(SEARCH("Sin Información",E88)))</formula>
    </cfRule>
  </conditionalFormatting>
  <conditionalFormatting sqref="C88:D88">
    <cfRule type="containsText" dxfId="5812" priority="6519" operator="containsText" text="NUEVO">
      <formula>NOT(ISERROR(SEARCH("NUEVO",C88)))</formula>
    </cfRule>
  </conditionalFormatting>
  <conditionalFormatting sqref="C89:D89">
    <cfRule type="containsText" dxfId="5811" priority="6518" operator="containsText" text="NO+$D$4:$D$10">
      <formula>NOT(ISERROR(SEARCH("NO+$D$4:$D$10",C89)))</formula>
    </cfRule>
  </conditionalFormatting>
  <conditionalFormatting sqref="C89:D89">
    <cfRule type="containsText" dxfId="5810" priority="6516" operator="containsText" text="SI">
      <formula>NOT(ISERROR(SEARCH("SI",C89)))</formula>
    </cfRule>
    <cfRule type="containsText" dxfId="5809" priority="6517" operator="containsText" text="NO">
      <formula>NOT(ISERROR(SEARCH("NO",C89)))</formula>
    </cfRule>
  </conditionalFormatting>
  <conditionalFormatting sqref="E89">
    <cfRule type="containsText" dxfId="5808" priority="6515" operator="containsText" text="Sin información">
      <formula>NOT(ISERROR(SEARCH("Sin información",E89)))</formula>
    </cfRule>
  </conditionalFormatting>
  <conditionalFormatting sqref="E89">
    <cfRule type="containsText" dxfId="5807" priority="6514" operator="containsText" text="NUEVO">
      <formula>NOT(ISERROR(SEARCH("NUEVO",E89)))</formula>
    </cfRule>
  </conditionalFormatting>
  <conditionalFormatting sqref="E89">
    <cfRule type="containsText" dxfId="5806" priority="6513" operator="containsText" text="Sin Información">
      <formula>NOT(ISERROR(SEARCH("Sin Información",E89)))</formula>
    </cfRule>
  </conditionalFormatting>
  <conditionalFormatting sqref="C89:D89">
    <cfRule type="containsText" dxfId="5805" priority="6512" operator="containsText" text="NUEVO">
      <formula>NOT(ISERROR(SEARCH("NUEVO",C89)))</formula>
    </cfRule>
  </conditionalFormatting>
  <conditionalFormatting sqref="C90:D90">
    <cfRule type="containsText" dxfId="5804" priority="6511" operator="containsText" text="NO+$D$4:$D$10">
      <formula>NOT(ISERROR(SEARCH("NO+$D$4:$D$10",C90)))</formula>
    </cfRule>
  </conditionalFormatting>
  <conditionalFormatting sqref="C90:D90">
    <cfRule type="containsText" dxfId="5803" priority="6509" operator="containsText" text="SI">
      <formula>NOT(ISERROR(SEARCH("SI",C90)))</formula>
    </cfRule>
    <cfRule type="containsText" dxfId="5802" priority="6510" operator="containsText" text="NO">
      <formula>NOT(ISERROR(SEARCH("NO",C90)))</formula>
    </cfRule>
  </conditionalFormatting>
  <conditionalFormatting sqref="E90">
    <cfRule type="containsText" dxfId="5801" priority="6508" operator="containsText" text="Sin información">
      <formula>NOT(ISERROR(SEARCH("Sin información",E90)))</formula>
    </cfRule>
  </conditionalFormatting>
  <conditionalFormatting sqref="E90">
    <cfRule type="containsText" dxfId="5800" priority="6507" operator="containsText" text="NUEVO">
      <formula>NOT(ISERROR(SEARCH("NUEVO",E90)))</formula>
    </cfRule>
  </conditionalFormatting>
  <conditionalFormatting sqref="E90">
    <cfRule type="containsText" dxfId="5799" priority="6506" operator="containsText" text="Sin Información">
      <formula>NOT(ISERROR(SEARCH("Sin Información",E90)))</formula>
    </cfRule>
  </conditionalFormatting>
  <conditionalFormatting sqref="C90:D90">
    <cfRule type="containsText" dxfId="5798" priority="6505" operator="containsText" text="NUEVO">
      <formula>NOT(ISERROR(SEARCH("NUEVO",C90)))</formula>
    </cfRule>
  </conditionalFormatting>
  <conditionalFormatting sqref="C91:D91">
    <cfRule type="containsText" dxfId="5797" priority="6504" operator="containsText" text="NO+$D$4:$D$10">
      <formula>NOT(ISERROR(SEARCH("NO+$D$4:$D$10",C91)))</formula>
    </cfRule>
  </conditionalFormatting>
  <conditionalFormatting sqref="C91:D91">
    <cfRule type="containsText" dxfId="5796" priority="6502" operator="containsText" text="SI">
      <formula>NOT(ISERROR(SEARCH("SI",C91)))</formula>
    </cfRule>
    <cfRule type="containsText" dxfId="5795" priority="6503" operator="containsText" text="NO">
      <formula>NOT(ISERROR(SEARCH("NO",C91)))</formula>
    </cfRule>
  </conditionalFormatting>
  <conditionalFormatting sqref="E91">
    <cfRule type="containsText" dxfId="5794" priority="6501" operator="containsText" text="Sin información">
      <formula>NOT(ISERROR(SEARCH("Sin información",E91)))</formula>
    </cfRule>
  </conditionalFormatting>
  <conditionalFormatting sqref="E91">
    <cfRule type="containsText" dxfId="5793" priority="6500" operator="containsText" text="NUEVO">
      <formula>NOT(ISERROR(SEARCH("NUEVO",E91)))</formula>
    </cfRule>
  </conditionalFormatting>
  <conditionalFormatting sqref="E91">
    <cfRule type="containsText" dxfId="5792" priority="6499" operator="containsText" text="Sin Información">
      <formula>NOT(ISERROR(SEARCH("Sin Información",E91)))</formula>
    </cfRule>
  </conditionalFormatting>
  <conditionalFormatting sqref="C91:D91">
    <cfRule type="containsText" dxfId="5791" priority="6498" operator="containsText" text="NUEVO">
      <formula>NOT(ISERROR(SEARCH("NUEVO",C91)))</formula>
    </cfRule>
  </conditionalFormatting>
  <conditionalFormatting sqref="C92:D92">
    <cfRule type="containsText" dxfId="5790" priority="6497" operator="containsText" text="NO+$D$4:$D$10">
      <formula>NOT(ISERROR(SEARCH("NO+$D$4:$D$10",C92)))</formula>
    </cfRule>
  </conditionalFormatting>
  <conditionalFormatting sqref="C92:D92">
    <cfRule type="containsText" dxfId="5789" priority="6495" operator="containsText" text="SI">
      <formula>NOT(ISERROR(SEARCH("SI",C92)))</formula>
    </cfRule>
    <cfRule type="containsText" dxfId="5788" priority="6496" operator="containsText" text="NO">
      <formula>NOT(ISERROR(SEARCH("NO",C92)))</formula>
    </cfRule>
  </conditionalFormatting>
  <conditionalFormatting sqref="E92">
    <cfRule type="containsText" dxfId="5787" priority="6494" operator="containsText" text="Sin información">
      <formula>NOT(ISERROR(SEARCH("Sin información",E92)))</formula>
    </cfRule>
  </conditionalFormatting>
  <conditionalFormatting sqref="E92">
    <cfRule type="containsText" dxfId="5786" priority="6493" operator="containsText" text="NUEVO">
      <formula>NOT(ISERROR(SEARCH("NUEVO",E92)))</formula>
    </cfRule>
  </conditionalFormatting>
  <conditionalFormatting sqref="E92">
    <cfRule type="containsText" dxfId="5785" priority="6492" operator="containsText" text="Sin Información">
      <formula>NOT(ISERROR(SEARCH("Sin Información",E92)))</formula>
    </cfRule>
  </conditionalFormatting>
  <conditionalFormatting sqref="C92:D92">
    <cfRule type="containsText" dxfId="5784" priority="6491" operator="containsText" text="NUEVO">
      <formula>NOT(ISERROR(SEARCH("NUEVO",C92)))</formula>
    </cfRule>
  </conditionalFormatting>
  <conditionalFormatting sqref="C93:D93">
    <cfRule type="containsText" dxfId="5783" priority="6490" operator="containsText" text="NO+$D$4:$D$10">
      <formula>NOT(ISERROR(SEARCH("NO+$D$4:$D$10",C93)))</formula>
    </cfRule>
  </conditionalFormatting>
  <conditionalFormatting sqref="C93:D93">
    <cfRule type="containsText" dxfId="5782" priority="6488" operator="containsText" text="SI">
      <formula>NOT(ISERROR(SEARCH("SI",C93)))</formula>
    </cfRule>
    <cfRule type="containsText" dxfId="5781" priority="6489" operator="containsText" text="NO">
      <formula>NOT(ISERROR(SEARCH("NO",C93)))</formula>
    </cfRule>
  </conditionalFormatting>
  <conditionalFormatting sqref="E93">
    <cfRule type="containsText" dxfId="5780" priority="6487" operator="containsText" text="Sin información">
      <formula>NOT(ISERROR(SEARCH("Sin información",E93)))</formula>
    </cfRule>
  </conditionalFormatting>
  <conditionalFormatting sqref="E93">
    <cfRule type="containsText" dxfId="5779" priority="6486" operator="containsText" text="NUEVO">
      <formula>NOT(ISERROR(SEARCH("NUEVO",E93)))</formula>
    </cfRule>
  </conditionalFormatting>
  <conditionalFormatting sqref="E93">
    <cfRule type="containsText" dxfId="5778" priority="6485" operator="containsText" text="Sin Información">
      <formula>NOT(ISERROR(SEARCH("Sin Información",E93)))</formula>
    </cfRule>
  </conditionalFormatting>
  <conditionalFormatting sqref="C93:D93">
    <cfRule type="containsText" dxfId="5777" priority="6484" operator="containsText" text="NUEVO">
      <formula>NOT(ISERROR(SEARCH("NUEVO",C93)))</formula>
    </cfRule>
  </conditionalFormatting>
  <conditionalFormatting sqref="C94:D95">
    <cfRule type="containsText" dxfId="5776" priority="6483" operator="containsText" text="NO+$D$4:$D$10">
      <formula>NOT(ISERROR(SEARCH("NO+$D$4:$D$10",C94)))</formula>
    </cfRule>
  </conditionalFormatting>
  <conditionalFormatting sqref="C94:D95">
    <cfRule type="containsText" dxfId="5775" priority="6481" operator="containsText" text="SI">
      <formula>NOT(ISERROR(SEARCH("SI",C94)))</formula>
    </cfRule>
    <cfRule type="containsText" dxfId="5774" priority="6482" operator="containsText" text="NO">
      <formula>NOT(ISERROR(SEARCH("NO",C94)))</formula>
    </cfRule>
  </conditionalFormatting>
  <conditionalFormatting sqref="E94">
    <cfRule type="containsText" dxfId="5773" priority="6480" operator="containsText" text="Sin información">
      <formula>NOT(ISERROR(SEARCH("Sin información",E94)))</formula>
    </cfRule>
  </conditionalFormatting>
  <conditionalFormatting sqref="E94">
    <cfRule type="containsText" dxfId="5772" priority="6479" operator="containsText" text="NUEVO">
      <formula>NOT(ISERROR(SEARCH("NUEVO",E94)))</formula>
    </cfRule>
  </conditionalFormatting>
  <conditionalFormatting sqref="E94">
    <cfRule type="containsText" dxfId="5771" priority="6478" operator="containsText" text="Sin Información">
      <formula>NOT(ISERROR(SEARCH("Sin Información",E94)))</formula>
    </cfRule>
  </conditionalFormatting>
  <conditionalFormatting sqref="C94:D95">
    <cfRule type="containsText" dxfId="5770" priority="6477" operator="containsText" text="NUEVO">
      <formula>NOT(ISERROR(SEARCH("NUEVO",C94)))</formula>
    </cfRule>
  </conditionalFormatting>
  <conditionalFormatting sqref="E95">
    <cfRule type="containsText" dxfId="5769" priority="6476" operator="containsText" text="Sin información">
      <formula>NOT(ISERROR(SEARCH("Sin información",E95)))</formula>
    </cfRule>
  </conditionalFormatting>
  <conditionalFormatting sqref="E95">
    <cfRule type="containsText" dxfId="5768" priority="6475" operator="containsText" text="NUEVO">
      <formula>NOT(ISERROR(SEARCH("NUEVO",E95)))</formula>
    </cfRule>
  </conditionalFormatting>
  <conditionalFormatting sqref="E95">
    <cfRule type="containsText" dxfId="5767" priority="6474" operator="containsText" text="Sin Información">
      <formula>NOT(ISERROR(SEARCH("Sin Información",E95)))</formula>
    </cfRule>
  </conditionalFormatting>
  <conditionalFormatting sqref="C96:D96">
    <cfRule type="containsText" dxfId="5766" priority="6473" operator="containsText" text="NO+$D$4:$D$10">
      <formula>NOT(ISERROR(SEARCH("NO+$D$4:$D$10",C96)))</formula>
    </cfRule>
  </conditionalFormatting>
  <conditionalFormatting sqref="C96:D96">
    <cfRule type="containsText" dxfId="5765" priority="6471" operator="containsText" text="SI">
      <formula>NOT(ISERROR(SEARCH("SI",C96)))</formula>
    </cfRule>
    <cfRule type="containsText" dxfId="5764" priority="6472" operator="containsText" text="NO">
      <formula>NOT(ISERROR(SEARCH("NO",C96)))</formula>
    </cfRule>
  </conditionalFormatting>
  <conditionalFormatting sqref="E96">
    <cfRule type="containsText" dxfId="5763" priority="6470" operator="containsText" text="Sin información">
      <formula>NOT(ISERROR(SEARCH("Sin información",E96)))</formula>
    </cfRule>
  </conditionalFormatting>
  <conditionalFormatting sqref="E96">
    <cfRule type="containsText" dxfId="5762" priority="6469" operator="containsText" text="NUEVO">
      <formula>NOT(ISERROR(SEARCH("NUEVO",E96)))</formula>
    </cfRule>
  </conditionalFormatting>
  <conditionalFormatting sqref="C96:D96">
    <cfRule type="containsText" dxfId="5761" priority="6468" operator="containsText" text="NUEVO">
      <formula>NOT(ISERROR(SEARCH("NUEVO",C96)))</formula>
    </cfRule>
  </conditionalFormatting>
  <conditionalFormatting sqref="C97:D97">
    <cfRule type="containsText" dxfId="5760" priority="6467" operator="containsText" text="NO+$D$4:$D$10">
      <formula>NOT(ISERROR(SEARCH("NO+$D$4:$D$10",C97)))</formula>
    </cfRule>
  </conditionalFormatting>
  <conditionalFormatting sqref="C97:D97">
    <cfRule type="containsText" dxfId="5759" priority="6465" operator="containsText" text="SI">
      <formula>NOT(ISERROR(SEARCH("SI",C97)))</formula>
    </cfRule>
    <cfRule type="containsText" dxfId="5758" priority="6466" operator="containsText" text="NO">
      <formula>NOT(ISERROR(SEARCH("NO",C97)))</formula>
    </cfRule>
  </conditionalFormatting>
  <conditionalFormatting sqref="C97:D97">
    <cfRule type="containsText" dxfId="5757" priority="6464" operator="containsText" text="NUEVO">
      <formula>NOT(ISERROR(SEARCH("NUEVO",C97)))</formula>
    </cfRule>
  </conditionalFormatting>
  <conditionalFormatting sqref="E97">
    <cfRule type="containsText" dxfId="5756" priority="6463" operator="containsText" text="Sin información">
      <formula>NOT(ISERROR(SEARCH("Sin información",E97)))</formula>
    </cfRule>
  </conditionalFormatting>
  <conditionalFormatting sqref="E97">
    <cfRule type="containsText" dxfId="5755" priority="6462" operator="containsText" text="NUEVO">
      <formula>NOT(ISERROR(SEARCH("NUEVO",E97)))</formula>
    </cfRule>
  </conditionalFormatting>
  <conditionalFormatting sqref="E97">
    <cfRule type="containsText" dxfId="5754" priority="6461" operator="containsText" text="Sin Información">
      <formula>NOT(ISERROR(SEARCH("Sin Información",E97)))</formula>
    </cfRule>
  </conditionalFormatting>
  <conditionalFormatting sqref="C98:D100">
    <cfRule type="containsText" dxfId="5753" priority="6460" operator="containsText" text="NO+$D$4:$D$10">
      <formula>NOT(ISERROR(SEARCH("NO+$D$4:$D$10",C98)))</formula>
    </cfRule>
  </conditionalFormatting>
  <conditionalFormatting sqref="C98:D100">
    <cfRule type="containsText" dxfId="5752" priority="6458" operator="containsText" text="SI">
      <formula>NOT(ISERROR(SEARCH("SI",C98)))</formula>
    </cfRule>
    <cfRule type="containsText" dxfId="5751" priority="6459" operator="containsText" text="NO">
      <formula>NOT(ISERROR(SEARCH("NO",C98)))</formula>
    </cfRule>
  </conditionalFormatting>
  <conditionalFormatting sqref="E98">
    <cfRule type="containsText" dxfId="5750" priority="6457" operator="containsText" text="Sin información">
      <formula>NOT(ISERROR(SEARCH("Sin información",E98)))</formula>
    </cfRule>
  </conditionalFormatting>
  <conditionalFormatting sqref="E98">
    <cfRule type="containsText" dxfId="5749" priority="6456" operator="containsText" text="NUEVO">
      <formula>NOT(ISERROR(SEARCH("NUEVO",E98)))</formula>
    </cfRule>
  </conditionalFormatting>
  <conditionalFormatting sqref="E98">
    <cfRule type="containsText" dxfId="5748" priority="6455" operator="containsText" text="Sin Información">
      <formula>NOT(ISERROR(SEARCH("Sin Información",E98)))</formula>
    </cfRule>
  </conditionalFormatting>
  <conditionalFormatting sqref="C98:D100">
    <cfRule type="containsText" dxfId="5747" priority="6454" operator="containsText" text="NUEVO">
      <formula>NOT(ISERROR(SEARCH("NUEVO",C98)))</formula>
    </cfRule>
  </conditionalFormatting>
  <conditionalFormatting sqref="E99:E100">
    <cfRule type="containsText" dxfId="5746" priority="6453" operator="containsText" text="Sin información">
      <formula>NOT(ISERROR(SEARCH("Sin información",E99)))</formula>
    </cfRule>
  </conditionalFormatting>
  <conditionalFormatting sqref="E99:E100">
    <cfRule type="containsText" dxfId="5745" priority="6452" operator="containsText" text="NUEVO">
      <formula>NOT(ISERROR(SEARCH("NUEVO",E99)))</formula>
    </cfRule>
  </conditionalFormatting>
  <conditionalFormatting sqref="E99:E100">
    <cfRule type="containsText" dxfId="5744" priority="6451" operator="containsText" text="Sin Información">
      <formula>NOT(ISERROR(SEARCH("Sin Información",E99)))</formula>
    </cfRule>
  </conditionalFormatting>
  <conditionalFormatting sqref="C102:D102">
    <cfRule type="containsText" dxfId="5743" priority="6450" operator="containsText" text="NO+$D$4:$D$10">
      <formula>NOT(ISERROR(SEARCH("NO+$D$4:$D$10",C102)))</formula>
    </cfRule>
  </conditionalFormatting>
  <conditionalFormatting sqref="C102:D102">
    <cfRule type="containsText" dxfId="5742" priority="6448" operator="containsText" text="SI">
      <formula>NOT(ISERROR(SEARCH("SI",C102)))</formula>
    </cfRule>
    <cfRule type="containsText" dxfId="5741" priority="6449" operator="containsText" text="NO">
      <formula>NOT(ISERROR(SEARCH("NO",C102)))</formula>
    </cfRule>
  </conditionalFormatting>
  <conditionalFormatting sqref="C102:D102">
    <cfRule type="containsText" dxfId="5740" priority="6447" operator="containsText" text="NUEVO">
      <formula>NOT(ISERROR(SEARCH("NUEVO",C102)))</formula>
    </cfRule>
  </conditionalFormatting>
  <conditionalFormatting sqref="E102">
    <cfRule type="containsText" dxfId="5739" priority="6446" operator="containsText" text="Sin información">
      <formula>NOT(ISERROR(SEARCH("Sin información",E102)))</formula>
    </cfRule>
  </conditionalFormatting>
  <conditionalFormatting sqref="E102">
    <cfRule type="containsText" dxfId="5738" priority="6445" operator="containsText" text="NUEVO">
      <formula>NOT(ISERROR(SEARCH("NUEVO",E102)))</formula>
    </cfRule>
  </conditionalFormatting>
  <conditionalFormatting sqref="E102">
    <cfRule type="containsText" dxfId="5737" priority="6444" operator="containsText" text="Sin Información">
      <formula>NOT(ISERROR(SEARCH("Sin Información",E102)))</formula>
    </cfRule>
  </conditionalFormatting>
  <conditionalFormatting sqref="C103:D103">
    <cfRule type="containsText" dxfId="5736" priority="6443" operator="containsText" text="NO+$D$4:$D$10">
      <formula>NOT(ISERROR(SEARCH("NO+$D$4:$D$10",C103)))</formula>
    </cfRule>
  </conditionalFormatting>
  <conditionalFormatting sqref="C103:D103">
    <cfRule type="containsText" dxfId="5735" priority="6441" operator="containsText" text="SI">
      <formula>NOT(ISERROR(SEARCH("SI",C103)))</formula>
    </cfRule>
    <cfRule type="containsText" dxfId="5734" priority="6442" operator="containsText" text="NO">
      <formula>NOT(ISERROR(SEARCH("NO",C103)))</formula>
    </cfRule>
  </conditionalFormatting>
  <conditionalFormatting sqref="C103:D103">
    <cfRule type="containsText" dxfId="5733" priority="6440" operator="containsText" text="NUEVO">
      <formula>NOT(ISERROR(SEARCH("NUEVO",C103)))</formula>
    </cfRule>
  </conditionalFormatting>
  <conditionalFormatting sqref="E103">
    <cfRule type="containsText" dxfId="5732" priority="6439" operator="containsText" text="Sin información">
      <formula>NOT(ISERROR(SEARCH("Sin información",E103)))</formula>
    </cfRule>
  </conditionalFormatting>
  <conditionalFormatting sqref="E103">
    <cfRule type="containsText" dxfId="5731" priority="6438" operator="containsText" text="NUEVO">
      <formula>NOT(ISERROR(SEARCH("NUEVO",E103)))</formula>
    </cfRule>
  </conditionalFormatting>
  <conditionalFormatting sqref="E103">
    <cfRule type="containsText" dxfId="5730" priority="6437" operator="containsText" text="Sin Información">
      <formula>NOT(ISERROR(SEARCH("Sin Información",E103)))</formula>
    </cfRule>
  </conditionalFormatting>
  <conditionalFormatting sqref="C104:D104">
    <cfRule type="containsText" dxfId="5729" priority="6436" operator="containsText" text="NO+$D$4:$D$10">
      <formula>NOT(ISERROR(SEARCH("NO+$D$4:$D$10",C104)))</formula>
    </cfRule>
  </conditionalFormatting>
  <conditionalFormatting sqref="C104:D104">
    <cfRule type="containsText" dxfId="5728" priority="6434" operator="containsText" text="SI">
      <formula>NOT(ISERROR(SEARCH("SI",C104)))</formula>
    </cfRule>
    <cfRule type="containsText" dxfId="5727" priority="6435" operator="containsText" text="NO">
      <formula>NOT(ISERROR(SEARCH("NO",C104)))</formula>
    </cfRule>
  </conditionalFormatting>
  <conditionalFormatting sqref="C104:D104">
    <cfRule type="containsText" dxfId="5726" priority="6433" operator="containsText" text="NUEVO">
      <formula>NOT(ISERROR(SEARCH("NUEVO",C104)))</formula>
    </cfRule>
  </conditionalFormatting>
  <conditionalFormatting sqref="E104">
    <cfRule type="containsText" dxfId="5725" priority="6432" operator="containsText" text="Sin información">
      <formula>NOT(ISERROR(SEARCH("Sin información",E104)))</formula>
    </cfRule>
  </conditionalFormatting>
  <conditionalFormatting sqref="E104">
    <cfRule type="containsText" dxfId="5724" priority="6431" operator="containsText" text="NUEVO">
      <formula>NOT(ISERROR(SEARCH("NUEVO",E104)))</formula>
    </cfRule>
  </conditionalFormatting>
  <conditionalFormatting sqref="E104">
    <cfRule type="containsText" dxfId="5723" priority="6430" operator="containsText" text="Sin Información">
      <formula>NOT(ISERROR(SEARCH("Sin Información",E104)))</formula>
    </cfRule>
  </conditionalFormatting>
  <conditionalFormatting sqref="C105:D105">
    <cfRule type="containsText" dxfId="5722" priority="6429" operator="containsText" text="NO+$D$4:$D$10">
      <formula>NOT(ISERROR(SEARCH("NO+$D$4:$D$10",C105)))</formula>
    </cfRule>
  </conditionalFormatting>
  <conditionalFormatting sqref="C105:D105">
    <cfRule type="containsText" dxfId="5721" priority="6427" operator="containsText" text="SI">
      <formula>NOT(ISERROR(SEARCH("SI",C105)))</formula>
    </cfRule>
    <cfRule type="containsText" dxfId="5720" priority="6428" operator="containsText" text="NO">
      <formula>NOT(ISERROR(SEARCH("NO",C105)))</formula>
    </cfRule>
  </conditionalFormatting>
  <conditionalFormatting sqref="C105:D105">
    <cfRule type="containsText" dxfId="5719" priority="6426" operator="containsText" text="NUEVO">
      <formula>NOT(ISERROR(SEARCH("NUEVO",C105)))</formula>
    </cfRule>
  </conditionalFormatting>
  <conditionalFormatting sqref="E105">
    <cfRule type="containsText" dxfId="5718" priority="6425" operator="containsText" text="Sin información">
      <formula>NOT(ISERROR(SEARCH("Sin información",E105)))</formula>
    </cfRule>
  </conditionalFormatting>
  <conditionalFormatting sqref="E105">
    <cfRule type="containsText" dxfId="5717" priority="6424" operator="containsText" text="NUEVO">
      <formula>NOT(ISERROR(SEARCH("NUEVO",E105)))</formula>
    </cfRule>
  </conditionalFormatting>
  <conditionalFormatting sqref="E105">
    <cfRule type="containsText" dxfId="5716" priority="6423" operator="containsText" text="Sin Información">
      <formula>NOT(ISERROR(SEARCH("Sin Información",E105)))</formula>
    </cfRule>
  </conditionalFormatting>
  <conditionalFormatting sqref="C106:D106">
    <cfRule type="containsText" dxfId="5715" priority="6422" operator="containsText" text="NO+$D$4:$D$10">
      <formula>NOT(ISERROR(SEARCH("NO+$D$4:$D$10",C106)))</formula>
    </cfRule>
  </conditionalFormatting>
  <conditionalFormatting sqref="C106:D106">
    <cfRule type="containsText" dxfId="5714" priority="6420" operator="containsText" text="SI">
      <formula>NOT(ISERROR(SEARCH("SI",C106)))</formula>
    </cfRule>
    <cfRule type="containsText" dxfId="5713" priority="6421" operator="containsText" text="NO">
      <formula>NOT(ISERROR(SEARCH("NO",C106)))</formula>
    </cfRule>
  </conditionalFormatting>
  <conditionalFormatting sqref="C106:D106">
    <cfRule type="containsText" dxfId="5712" priority="6419" operator="containsText" text="NUEVO">
      <formula>NOT(ISERROR(SEARCH("NUEVO",C106)))</formula>
    </cfRule>
  </conditionalFormatting>
  <conditionalFormatting sqref="E106">
    <cfRule type="containsText" dxfId="5711" priority="6418" operator="containsText" text="Sin información">
      <formula>NOT(ISERROR(SEARCH("Sin información",E106)))</formula>
    </cfRule>
  </conditionalFormatting>
  <conditionalFormatting sqref="E106">
    <cfRule type="containsText" dxfId="5710" priority="6417" operator="containsText" text="NUEVO">
      <formula>NOT(ISERROR(SEARCH("NUEVO",E106)))</formula>
    </cfRule>
  </conditionalFormatting>
  <conditionalFormatting sqref="E106">
    <cfRule type="containsText" dxfId="5709" priority="6416" operator="containsText" text="Sin Información">
      <formula>NOT(ISERROR(SEARCH("Sin Información",E106)))</formula>
    </cfRule>
  </conditionalFormatting>
  <conditionalFormatting sqref="C107:D107">
    <cfRule type="containsText" dxfId="5708" priority="6415" operator="containsText" text="NO+$D$4:$D$10">
      <formula>NOT(ISERROR(SEARCH("NO+$D$4:$D$10",C107)))</formula>
    </cfRule>
  </conditionalFormatting>
  <conditionalFormatting sqref="C107:D107">
    <cfRule type="containsText" dxfId="5707" priority="6413" operator="containsText" text="SI">
      <formula>NOT(ISERROR(SEARCH("SI",C107)))</formula>
    </cfRule>
    <cfRule type="containsText" dxfId="5706" priority="6414" operator="containsText" text="NO">
      <formula>NOT(ISERROR(SEARCH("NO",C107)))</formula>
    </cfRule>
  </conditionalFormatting>
  <conditionalFormatting sqref="E107">
    <cfRule type="containsText" dxfId="5705" priority="6412" operator="containsText" text="Sin información">
      <formula>NOT(ISERROR(SEARCH("Sin información",E107)))</formula>
    </cfRule>
  </conditionalFormatting>
  <conditionalFormatting sqref="E107">
    <cfRule type="containsText" dxfId="5704" priority="6411" operator="containsText" text="NUEVO">
      <formula>NOT(ISERROR(SEARCH("NUEVO",E107)))</formula>
    </cfRule>
  </conditionalFormatting>
  <conditionalFormatting sqref="C107:D107">
    <cfRule type="containsText" dxfId="5703" priority="6410" operator="containsText" text="NUEVO">
      <formula>NOT(ISERROR(SEARCH("NUEVO",C107)))</formula>
    </cfRule>
  </conditionalFormatting>
  <conditionalFormatting sqref="C108:D108">
    <cfRule type="containsText" dxfId="5702" priority="6409" operator="containsText" text="NO+$D$4:$D$10">
      <formula>NOT(ISERROR(SEARCH("NO+$D$4:$D$10",C108)))</formula>
    </cfRule>
  </conditionalFormatting>
  <conditionalFormatting sqref="C108:D108">
    <cfRule type="containsText" dxfId="5701" priority="6407" operator="containsText" text="SI">
      <formula>NOT(ISERROR(SEARCH("SI",C108)))</formula>
    </cfRule>
    <cfRule type="containsText" dxfId="5700" priority="6408" operator="containsText" text="NO">
      <formula>NOT(ISERROR(SEARCH("NO",C108)))</formula>
    </cfRule>
  </conditionalFormatting>
  <conditionalFormatting sqref="E108">
    <cfRule type="containsText" dxfId="5699" priority="6406" operator="containsText" text="Sin información">
      <formula>NOT(ISERROR(SEARCH("Sin información",E108)))</formula>
    </cfRule>
  </conditionalFormatting>
  <conditionalFormatting sqref="C108:E108">
    <cfRule type="containsText" dxfId="5698" priority="6405" operator="containsText" text="NUEVO">
      <formula>NOT(ISERROR(SEARCH("NUEVO",C108)))</formula>
    </cfRule>
  </conditionalFormatting>
  <conditionalFormatting sqref="C109:D109">
    <cfRule type="containsText" dxfId="5697" priority="6399" operator="containsText" text="NUEVO">
      <formula>NOT(ISERROR(SEARCH("NUEVO",C109)))</formula>
    </cfRule>
  </conditionalFormatting>
  <conditionalFormatting sqref="C109:D109">
    <cfRule type="containsText" dxfId="5696" priority="6404" operator="containsText" text="NO+$D$4:$D$10">
      <formula>NOT(ISERROR(SEARCH("NO+$D$4:$D$10",C109)))</formula>
    </cfRule>
  </conditionalFormatting>
  <conditionalFormatting sqref="C109:D109">
    <cfRule type="containsText" dxfId="5695" priority="6402" operator="containsText" text="SI">
      <formula>NOT(ISERROR(SEARCH("SI",C109)))</formula>
    </cfRule>
    <cfRule type="containsText" dxfId="5694" priority="6403" operator="containsText" text="NO">
      <formula>NOT(ISERROR(SEARCH("NO",C109)))</formula>
    </cfRule>
  </conditionalFormatting>
  <conditionalFormatting sqref="E109">
    <cfRule type="containsText" dxfId="5693" priority="6401" operator="containsText" text="Sin información">
      <formula>NOT(ISERROR(SEARCH("Sin información",E109)))</formula>
    </cfRule>
  </conditionalFormatting>
  <conditionalFormatting sqref="C109:E109">
    <cfRule type="containsText" dxfId="5692" priority="6400" operator="containsText" text="NUEVO">
      <formula>NOT(ISERROR(SEARCH("NUEVO",C109)))</formula>
    </cfRule>
  </conditionalFormatting>
  <conditionalFormatting sqref="C110:D110">
    <cfRule type="containsText" dxfId="5691" priority="6398" operator="containsText" text="NO+$D$4:$D$10">
      <formula>NOT(ISERROR(SEARCH("NO+$D$4:$D$10",C110)))</formula>
    </cfRule>
  </conditionalFormatting>
  <conditionalFormatting sqref="C110:D110">
    <cfRule type="containsText" dxfId="5690" priority="6396" operator="containsText" text="SI">
      <formula>NOT(ISERROR(SEARCH("SI",C110)))</formula>
    </cfRule>
    <cfRule type="containsText" dxfId="5689" priority="6397" operator="containsText" text="NO">
      <formula>NOT(ISERROR(SEARCH("NO",C110)))</formula>
    </cfRule>
  </conditionalFormatting>
  <conditionalFormatting sqref="C110:D110">
    <cfRule type="containsText" dxfId="5688" priority="6395" operator="containsText" text="NUEVO">
      <formula>NOT(ISERROR(SEARCH("NUEVO",C110)))</formula>
    </cfRule>
  </conditionalFormatting>
  <conditionalFormatting sqref="C110:D110">
    <cfRule type="containsText" dxfId="5687" priority="6394" operator="containsText" text="NUEVO">
      <formula>NOT(ISERROR(SEARCH("NUEVO",C110)))</formula>
    </cfRule>
  </conditionalFormatting>
  <conditionalFormatting sqref="E110">
    <cfRule type="containsText" dxfId="5686" priority="6393" operator="containsText" text="Sin información">
      <formula>NOT(ISERROR(SEARCH("Sin información",E110)))</formula>
    </cfRule>
  </conditionalFormatting>
  <conditionalFormatting sqref="E110">
    <cfRule type="containsText" dxfId="5685" priority="6392" operator="containsText" text="NUEVO">
      <formula>NOT(ISERROR(SEARCH("NUEVO",E110)))</formula>
    </cfRule>
  </conditionalFormatting>
  <conditionalFormatting sqref="E110">
    <cfRule type="containsText" dxfId="5684" priority="6391" operator="containsText" text="Sin Información">
      <formula>NOT(ISERROR(SEARCH("Sin Información",E110)))</formula>
    </cfRule>
  </conditionalFormatting>
  <conditionalFormatting sqref="C112:D112">
    <cfRule type="containsText" dxfId="5683" priority="6390" operator="containsText" text="NO+$D$4:$D$10">
      <formula>NOT(ISERROR(SEARCH("NO+$D$4:$D$10",C112)))</formula>
    </cfRule>
  </conditionalFormatting>
  <conditionalFormatting sqref="C112:D112">
    <cfRule type="containsText" dxfId="5682" priority="6388" operator="containsText" text="SI">
      <formula>NOT(ISERROR(SEARCH("SI",C112)))</formula>
    </cfRule>
    <cfRule type="containsText" dxfId="5681" priority="6389" operator="containsText" text="NO">
      <formula>NOT(ISERROR(SEARCH("NO",C112)))</formula>
    </cfRule>
  </conditionalFormatting>
  <conditionalFormatting sqref="E112">
    <cfRule type="containsText" dxfId="5680" priority="6387" operator="containsText" text="Sin información">
      <formula>NOT(ISERROR(SEARCH("Sin información",E112)))</formula>
    </cfRule>
  </conditionalFormatting>
  <conditionalFormatting sqref="C112:E112">
    <cfRule type="containsText" dxfId="5679" priority="6386" operator="containsText" text="NUEVO">
      <formula>NOT(ISERROR(SEARCH("NUEVO",C112)))</formula>
    </cfRule>
  </conditionalFormatting>
  <conditionalFormatting sqref="D112">
    <cfRule type="containsText" dxfId="5678" priority="6385" operator="containsText" text="NUEVO">
      <formula>NOT(ISERROR(SEARCH("NUEVO",D112)))</formula>
    </cfRule>
  </conditionalFormatting>
  <conditionalFormatting sqref="C113:D113">
    <cfRule type="containsText" dxfId="5677" priority="6384" operator="containsText" text="NO+$D$4:$D$10">
      <formula>NOT(ISERROR(SEARCH("NO+$D$4:$D$10",C113)))</formula>
    </cfRule>
  </conditionalFormatting>
  <conditionalFormatting sqref="C113:D113">
    <cfRule type="containsText" dxfId="5676" priority="6382" operator="containsText" text="SI">
      <formula>NOT(ISERROR(SEARCH("SI",C113)))</formula>
    </cfRule>
    <cfRule type="containsText" dxfId="5675" priority="6383" operator="containsText" text="NO">
      <formula>NOT(ISERROR(SEARCH("NO",C113)))</formula>
    </cfRule>
  </conditionalFormatting>
  <conditionalFormatting sqref="E113">
    <cfRule type="containsText" dxfId="5674" priority="6381" operator="containsText" text="Sin información">
      <formula>NOT(ISERROR(SEARCH("Sin información",E113)))</formula>
    </cfRule>
  </conditionalFormatting>
  <conditionalFormatting sqref="C113:E113">
    <cfRule type="containsText" dxfId="5673" priority="6380" operator="containsText" text="NUEVO">
      <formula>NOT(ISERROR(SEARCH("NUEVO",C113)))</formula>
    </cfRule>
  </conditionalFormatting>
  <conditionalFormatting sqref="D113">
    <cfRule type="containsText" dxfId="5672" priority="6379" operator="containsText" text="NUEVO">
      <formula>NOT(ISERROR(SEARCH("NUEVO",D113)))</formula>
    </cfRule>
  </conditionalFormatting>
  <conditionalFormatting sqref="C115:D115">
    <cfRule type="containsText" dxfId="5671" priority="6378" operator="containsText" text="NO+$D$4:$D$10">
      <formula>NOT(ISERROR(SEARCH("NO+$D$4:$D$10",C115)))</formula>
    </cfRule>
  </conditionalFormatting>
  <conditionalFormatting sqref="C115:D115">
    <cfRule type="containsText" dxfId="5670" priority="6376" operator="containsText" text="SI">
      <formula>NOT(ISERROR(SEARCH("SI",C115)))</formula>
    </cfRule>
    <cfRule type="containsText" dxfId="5669" priority="6377" operator="containsText" text="NO">
      <formula>NOT(ISERROR(SEARCH("NO",C115)))</formula>
    </cfRule>
  </conditionalFormatting>
  <conditionalFormatting sqref="E115">
    <cfRule type="containsText" dxfId="5668" priority="6375" operator="containsText" text="Sin información">
      <formula>NOT(ISERROR(SEARCH("Sin información",E115)))</formula>
    </cfRule>
  </conditionalFormatting>
  <conditionalFormatting sqref="C115:E115">
    <cfRule type="containsText" dxfId="5667" priority="6374" operator="containsText" text="NUEVO">
      <formula>NOT(ISERROR(SEARCH("NUEVO",C115)))</formula>
    </cfRule>
  </conditionalFormatting>
  <conditionalFormatting sqref="D115">
    <cfRule type="containsText" dxfId="5666" priority="6373" operator="containsText" text="NUEVO">
      <formula>NOT(ISERROR(SEARCH("NUEVO",D115)))</formula>
    </cfRule>
  </conditionalFormatting>
  <conditionalFormatting sqref="C116:D116">
    <cfRule type="containsText" dxfId="5665" priority="6372" operator="containsText" text="NO+$D$4:$D$10">
      <formula>NOT(ISERROR(SEARCH("NO+$D$4:$D$10",C116)))</formula>
    </cfRule>
  </conditionalFormatting>
  <conditionalFormatting sqref="C116:D116">
    <cfRule type="containsText" dxfId="5664" priority="6370" operator="containsText" text="SI">
      <formula>NOT(ISERROR(SEARCH("SI",C116)))</formula>
    </cfRule>
    <cfRule type="containsText" dxfId="5663" priority="6371" operator="containsText" text="NO">
      <formula>NOT(ISERROR(SEARCH("NO",C116)))</formula>
    </cfRule>
  </conditionalFormatting>
  <conditionalFormatting sqref="E116">
    <cfRule type="containsText" dxfId="5662" priority="6369" operator="containsText" text="Sin información">
      <formula>NOT(ISERROR(SEARCH("Sin información",E116)))</formula>
    </cfRule>
  </conditionalFormatting>
  <conditionalFormatting sqref="C116:E116">
    <cfRule type="containsText" dxfId="5661" priority="6368" operator="containsText" text="NUEVO">
      <formula>NOT(ISERROR(SEARCH("NUEVO",C116)))</formula>
    </cfRule>
  </conditionalFormatting>
  <conditionalFormatting sqref="D116">
    <cfRule type="containsText" dxfId="5660" priority="6367" operator="containsText" text="NUEVO">
      <formula>NOT(ISERROR(SEARCH("NUEVO",D116)))</formula>
    </cfRule>
  </conditionalFormatting>
  <conditionalFormatting sqref="C118:D118">
    <cfRule type="containsText" dxfId="5659" priority="6366" operator="containsText" text="NO+$D$4:$D$10">
      <formula>NOT(ISERROR(SEARCH("NO+$D$4:$D$10",C118)))</formula>
    </cfRule>
  </conditionalFormatting>
  <conditionalFormatting sqref="C118:D118">
    <cfRule type="containsText" dxfId="5658" priority="6364" operator="containsText" text="SI">
      <formula>NOT(ISERROR(SEARCH("SI",C118)))</formula>
    </cfRule>
    <cfRule type="containsText" dxfId="5657" priority="6365" operator="containsText" text="NO">
      <formula>NOT(ISERROR(SEARCH("NO",C118)))</formula>
    </cfRule>
  </conditionalFormatting>
  <conditionalFormatting sqref="E118">
    <cfRule type="containsText" dxfId="5656" priority="6363" operator="containsText" text="Sin información">
      <formula>NOT(ISERROR(SEARCH("Sin información",E118)))</formula>
    </cfRule>
  </conditionalFormatting>
  <conditionalFormatting sqref="C118:E118">
    <cfRule type="containsText" dxfId="5655" priority="6362" operator="containsText" text="NUEVO">
      <formula>NOT(ISERROR(SEARCH("NUEVO",C118)))</formula>
    </cfRule>
  </conditionalFormatting>
  <conditionalFormatting sqref="E118">
    <cfRule type="containsText" dxfId="5654" priority="6361" operator="containsText" text="Sin Información">
      <formula>NOT(ISERROR(SEARCH("Sin Información",E118)))</formula>
    </cfRule>
  </conditionalFormatting>
  <conditionalFormatting sqref="D118">
    <cfRule type="containsText" dxfId="5653" priority="6360" operator="containsText" text="NUEVO">
      <formula>NOT(ISERROR(SEARCH("NUEVO",D118)))</formula>
    </cfRule>
  </conditionalFormatting>
  <conditionalFormatting sqref="C119:D119">
    <cfRule type="containsText" dxfId="5652" priority="6359" operator="containsText" text="NO+$D$4:$D$10">
      <formula>NOT(ISERROR(SEARCH("NO+$D$4:$D$10",C119)))</formula>
    </cfRule>
  </conditionalFormatting>
  <conditionalFormatting sqref="C119:D119">
    <cfRule type="containsText" dxfId="5651" priority="6357" operator="containsText" text="SI">
      <formula>NOT(ISERROR(SEARCH("SI",C119)))</formula>
    </cfRule>
    <cfRule type="containsText" dxfId="5650" priority="6358" operator="containsText" text="NO">
      <formula>NOT(ISERROR(SEARCH("NO",C119)))</formula>
    </cfRule>
  </conditionalFormatting>
  <conditionalFormatting sqref="E119">
    <cfRule type="containsText" dxfId="5649" priority="6356" operator="containsText" text="Sin información">
      <formula>NOT(ISERROR(SEARCH("Sin información",E119)))</formula>
    </cfRule>
  </conditionalFormatting>
  <conditionalFormatting sqref="C119:E119">
    <cfRule type="containsText" dxfId="5648" priority="6355" operator="containsText" text="NUEVO">
      <formula>NOT(ISERROR(SEARCH("NUEVO",C119)))</formula>
    </cfRule>
  </conditionalFormatting>
  <conditionalFormatting sqref="E119">
    <cfRule type="containsText" dxfId="5647" priority="6354" operator="containsText" text="Sin Información">
      <formula>NOT(ISERROR(SEARCH("Sin Información",E119)))</formula>
    </cfRule>
  </conditionalFormatting>
  <conditionalFormatting sqref="D119">
    <cfRule type="containsText" dxfId="5646" priority="6353" operator="containsText" text="NUEVO">
      <formula>NOT(ISERROR(SEARCH("NUEVO",D119)))</formula>
    </cfRule>
  </conditionalFormatting>
  <conditionalFormatting sqref="C120:D120">
    <cfRule type="containsText" dxfId="5645" priority="6352" operator="containsText" text="NO+$D$4:$D$10">
      <formula>NOT(ISERROR(SEARCH("NO+$D$4:$D$10",C120)))</formula>
    </cfRule>
  </conditionalFormatting>
  <conditionalFormatting sqref="C120:D120">
    <cfRule type="containsText" dxfId="5644" priority="6350" operator="containsText" text="SI">
      <formula>NOT(ISERROR(SEARCH("SI",C120)))</formula>
    </cfRule>
    <cfRule type="containsText" dxfId="5643" priority="6351" operator="containsText" text="NO">
      <formula>NOT(ISERROR(SEARCH("NO",C120)))</formula>
    </cfRule>
  </conditionalFormatting>
  <conditionalFormatting sqref="C120:D120">
    <cfRule type="containsText" dxfId="5642" priority="6349" operator="containsText" text="NUEVO">
      <formula>NOT(ISERROR(SEARCH("NUEVO",C120)))</formula>
    </cfRule>
  </conditionalFormatting>
  <conditionalFormatting sqref="D120">
    <cfRule type="containsText" dxfId="5641" priority="6348" operator="containsText" text="NUEVO">
      <formula>NOT(ISERROR(SEARCH("NUEVO",D120)))</formula>
    </cfRule>
  </conditionalFormatting>
  <conditionalFormatting sqref="E120">
    <cfRule type="containsText" dxfId="5640" priority="6347" operator="containsText" text="Sin información">
      <formula>NOT(ISERROR(SEARCH("Sin información",E120)))</formula>
    </cfRule>
  </conditionalFormatting>
  <conditionalFormatting sqref="E120">
    <cfRule type="containsText" dxfId="5639" priority="6346" operator="containsText" text="NUEVO">
      <formula>NOT(ISERROR(SEARCH("NUEVO",E120)))</formula>
    </cfRule>
  </conditionalFormatting>
  <conditionalFormatting sqref="E120">
    <cfRule type="containsText" dxfId="5638" priority="6345" operator="containsText" text="Sin Información">
      <formula>NOT(ISERROR(SEARCH("Sin Información",E120)))</formula>
    </cfRule>
  </conditionalFormatting>
  <conditionalFormatting sqref="C121:D121">
    <cfRule type="containsText" dxfId="5637" priority="6344" operator="containsText" text="NO+$D$4:$D$10">
      <formula>NOT(ISERROR(SEARCH("NO+$D$4:$D$10",C121)))</formula>
    </cfRule>
  </conditionalFormatting>
  <conditionalFormatting sqref="C121:D121">
    <cfRule type="containsText" dxfId="5636" priority="6342" operator="containsText" text="SI">
      <formula>NOT(ISERROR(SEARCH("SI",C121)))</formula>
    </cfRule>
    <cfRule type="containsText" dxfId="5635" priority="6343" operator="containsText" text="NO">
      <formula>NOT(ISERROR(SEARCH("NO",C121)))</formula>
    </cfRule>
  </conditionalFormatting>
  <conditionalFormatting sqref="C121:D121">
    <cfRule type="containsText" dxfId="5634" priority="6341" operator="containsText" text="NUEVO">
      <formula>NOT(ISERROR(SEARCH("NUEVO",C121)))</formula>
    </cfRule>
  </conditionalFormatting>
  <conditionalFormatting sqref="D121">
    <cfRule type="containsText" dxfId="5633" priority="6340" operator="containsText" text="NUEVO">
      <formula>NOT(ISERROR(SEARCH("NUEVO",D121)))</formula>
    </cfRule>
  </conditionalFormatting>
  <conditionalFormatting sqref="E121">
    <cfRule type="containsText" dxfId="5632" priority="6338" operator="containsText" text="NUEVO">
      <formula>NOT(ISERROR(SEARCH("NUEVO",E121)))</formula>
    </cfRule>
  </conditionalFormatting>
  <conditionalFormatting sqref="E121">
    <cfRule type="containsText" dxfId="5631" priority="6339" operator="containsText" text="Sin información">
      <formula>NOT(ISERROR(SEARCH("Sin información",E121)))</formula>
    </cfRule>
  </conditionalFormatting>
  <conditionalFormatting sqref="E121">
    <cfRule type="containsText" dxfId="5630" priority="6337" operator="containsText" text="Sin Información">
      <formula>NOT(ISERROR(SEARCH("Sin Información",E121)))</formula>
    </cfRule>
  </conditionalFormatting>
  <conditionalFormatting sqref="C122:D122">
    <cfRule type="containsText" dxfId="5629" priority="6336" operator="containsText" text="NO+$D$4:$D$10">
      <formula>NOT(ISERROR(SEARCH("NO+$D$4:$D$10",C122)))</formula>
    </cfRule>
  </conditionalFormatting>
  <conditionalFormatting sqref="C122:D122">
    <cfRule type="containsText" dxfId="5628" priority="6334" operator="containsText" text="SI">
      <formula>NOT(ISERROR(SEARCH("SI",C122)))</formula>
    </cfRule>
    <cfRule type="containsText" dxfId="5627" priority="6335" operator="containsText" text="NO">
      <formula>NOT(ISERROR(SEARCH("NO",C122)))</formula>
    </cfRule>
  </conditionalFormatting>
  <conditionalFormatting sqref="C122:D122">
    <cfRule type="containsText" dxfId="5626" priority="6333" operator="containsText" text="NUEVO">
      <formula>NOT(ISERROR(SEARCH("NUEVO",C122)))</formula>
    </cfRule>
  </conditionalFormatting>
  <conditionalFormatting sqref="D122">
    <cfRule type="containsText" dxfId="5625" priority="6332" operator="containsText" text="NUEVO">
      <formula>NOT(ISERROR(SEARCH("NUEVO",D122)))</formula>
    </cfRule>
  </conditionalFormatting>
  <conditionalFormatting sqref="E122">
    <cfRule type="containsText" dxfId="5624" priority="6331" operator="containsText" text="Sin información">
      <formula>NOT(ISERROR(SEARCH("Sin información",E122)))</formula>
    </cfRule>
  </conditionalFormatting>
  <conditionalFormatting sqref="E122">
    <cfRule type="containsText" dxfId="5623" priority="6330" operator="containsText" text="NUEVO">
      <formula>NOT(ISERROR(SEARCH("NUEVO",E122)))</formula>
    </cfRule>
  </conditionalFormatting>
  <conditionalFormatting sqref="E122">
    <cfRule type="containsText" dxfId="5622" priority="6329" operator="containsText" text="Sin Información">
      <formula>NOT(ISERROR(SEARCH("Sin Información",E122)))</formula>
    </cfRule>
  </conditionalFormatting>
  <conditionalFormatting sqref="C101:D101">
    <cfRule type="containsText" dxfId="5621" priority="6328" operator="containsText" text="NO+$D$4:$D$10">
      <formula>NOT(ISERROR(SEARCH("NO+$D$4:$D$10",C101)))</formula>
    </cfRule>
  </conditionalFormatting>
  <conditionalFormatting sqref="C101:D101">
    <cfRule type="containsText" dxfId="5620" priority="6326" operator="containsText" text="SI">
      <formula>NOT(ISERROR(SEARCH("SI",C101)))</formula>
    </cfRule>
    <cfRule type="containsText" dxfId="5619" priority="6327" operator="containsText" text="NO">
      <formula>NOT(ISERROR(SEARCH("NO",C101)))</formula>
    </cfRule>
  </conditionalFormatting>
  <conditionalFormatting sqref="E101">
    <cfRule type="containsText" dxfId="5618" priority="6325" operator="containsText" text="Sin información">
      <formula>NOT(ISERROR(SEARCH("Sin información",E101)))</formula>
    </cfRule>
  </conditionalFormatting>
  <conditionalFormatting sqref="E101">
    <cfRule type="containsText" dxfId="5617" priority="6324" operator="containsText" text="NUEVO">
      <formula>NOT(ISERROR(SEARCH("NUEVO",E101)))</formula>
    </cfRule>
  </conditionalFormatting>
  <conditionalFormatting sqref="C101:D101">
    <cfRule type="containsText" dxfId="5616" priority="6323" operator="containsText" text="NUEVO">
      <formula>NOT(ISERROR(SEARCH("NUEVO",C101)))</formula>
    </cfRule>
  </conditionalFormatting>
  <conditionalFormatting sqref="C114:D114">
    <cfRule type="containsText" dxfId="5615" priority="6322" operator="containsText" text="NO+$D$4:$D$10">
      <formula>NOT(ISERROR(SEARCH("NO+$D$4:$D$10",C114)))</formula>
    </cfRule>
  </conditionalFormatting>
  <conditionalFormatting sqref="C114:D114">
    <cfRule type="containsText" dxfId="5614" priority="6320" operator="containsText" text="SI">
      <formula>NOT(ISERROR(SEARCH("SI",C114)))</formula>
    </cfRule>
    <cfRule type="containsText" dxfId="5613" priority="6321" operator="containsText" text="NO">
      <formula>NOT(ISERROR(SEARCH("NO",C114)))</formula>
    </cfRule>
  </conditionalFormatting>
  <conditionalFormatting sqref="E114">
    <cfRule type="containsText" dxfId="5612" priority="6319" operator="containsText" text="Sin información">
      <formula>NOT(ISERROR(SEARCH("Sin información",E114)))</formula>
    </cfRule>
  </conditionalFormatting>
  <conditionalFormatting sqref="E114">
    <cfRule type="containsText" dxfId="5611" priority="6318" operator="containsText" text="NUEVO">
      <formula>NOT(ISERROR(SEARCH("NUEVO",E114)))</formula>
    </cfRule>
  </conditionalFormatting>
  <conditionalFormatting sqref="C114:D114">
    <cfRule type="containsText" dxfId="5610" priority="6317" operator="containsText" text="NUEVO">
      <formula>NOT(ISERROR(SEARCH("NUEVO",C114)))</formula>
    </cfRule>
  </conditionalFormatting>
  <conditionalFormatting sqref="C117:D117">
    <cfRule type="containsText" dxfId="5609" priority="6316" operator="containsText" text="NO+$D$4:$D$10">
      <formula>NOT(ISERROR(SEARCH("NO+$D$4:$D$10",C117)))</formula>
    </cfRule>
  </conditionalFormatting>
  <conditionalFormatting sqref="C117:D117">
    <cfRule type="containsText" dxfId="5608" priority="6314" operator="containsText" text="SI">
      <formula>NOT(ISERROR(SEARCH("SI",C117)))</formula>
    </cfRule>
    <cfRule type="containsText" dxfId="5607" priority="6315" operator="containsText" text="NO">
      <formula>NOT(ISERROR(SEARCH("NO",C117)))</formula>
    </cfRule>
  </conditionalFormatting>
  <conditionalFormatting sqref="E117">
    <cfRule type="containsText" dxfId="5606" priority="6313" operator="containsText" text="Sin información">
      <formula>NOT(ISERROR(SEARCH("Sin información",E117)))</formula>
    </cfRule>
  </conditionalFormatting>
  <conditionalFormatting sqref="E117">
    <cfRule type="containsText" dxfId="5605" priority="6312" operator="containsText" text="NUEVO">
      <formula>NOT(ISERROR(SEARCH("NUEVO",E117)))</formula>
    </cfRule>
  </conditionalFormatting>
  <conditionalFormatting sqref="C117:D117">
    <cfRule type="containsText" dxfId="5604" priority="6311" operator="containsText" text="NUEVO">
      <formula>NOT(ISERROR(SEARCH("NUEVO",C117)))</formula>
    </cfRule>
  </conditionalFormatting>
  <conditionalFormatting sqref="C123:D123">
    <cfRule type="containsText" dxfId="5603" priority="6310" operator="containsText" text="NO+$D$4:$D$10">
      <formula>NOT(ISERROR(SEARCH("NO+$D$4:$D$10",C123)))</formula>
    </cfRule>
  </conditionalFormatting>
  <conditionalFormatting sqref="C123:D123">
    <cfRule type="containsText" dxfId="5602" priority="6308" operator="containsText" text="SI">
      <formula>NOT(ISERROR(SEARCH("SI",C123)))</formula>
    </cfRule>
    <cfRule type="containsText" dxfId="5601" priority="6309" operator="containsText" text="NO">
      <formula>NOT(ISERROR(SEARCH("NO",C123)))</formula>
    </cfRule>
  </conditionalFormatting>
  <conditionalFormatting sqref="E123">
    <cfRule type="containsText" dxfId="5600" priority="6307" operator="containsText" text="Sin información">
      <formula>NOT(ISERROR(SEARCH("Sin información",E123)))</formula>
    </cfRule>
  </conditionalFormatting>
  <conditionalFormatting sqref="E123">
    <cfRule type="containsText" dxfId="5599" priority="6306" operator="containsText" text="NUEVO">
      <formula>NOT(ISERROR(SEARCH("NUEVO",E123)))</formula>
    </cfRule>
  </conditionalFormatting>
  <conditionalFormatting sqref="C123:D123">
    <cfRule type="containsText" dxfId="5598" priority="6305" operator="containsText" text="NUEVO">
      <formula>NOT(ISERROR(SEARCH("NUEVO",C123)))</formula>
    </cfRule>
  </conditionalFormatting>
  <conditionalFormatting sqref="C124:D124">
    <cfRule type="containsText" dxfId="5597" priority="6304" operator="containsText" text="NO+$D$4:$D$10">
      <formula>NOT(ISERROR(SEARCH("NO+$D$4:$D$10",C124)))</formula>
    </cfRule>
  </conditionalFormatting>
  <conditionalFormatting sqref="C124:D124">
    <cfRule type="containsText" dxfId="5596" priority="6302" operator="containsText" text="SI">
      <formula>NOT(ISERROR(SEARCH("SI",C124)))</formula>
    </cfRule>
    <cfRule type="containsText" dxfId="5595" priority="6303" operator="containsText" text="NO">
      <formula>NOT(ISERROR(SEARCH("NO",C124)))</formula>
    </cfRule>
  </conditionalFormatting>
  <conditionalFormatting sqref="C124:D124">
    <cfRule type="containsText" dxfId="5594" priority="6301" operator="containsText" text="NUEVO">
      <formula>NOT(ISERROR(SEARCH("NUEVO",C124)))</formula>
    </cfRule>
  </conditionalFormatting>
  <conditionalFormatting sqref="E124">
    <cfRule type="containsText" dxfId="5593" priority="6299" operator="containsText" text="NUEVO">
      <formula>NOT(ISERROR(SEARCH("NUEVO",E124)))</formula>
    </cfRule>
  </conditionalFormatting>
  <conditionalFormatting sqref="E124">
    <cfRule type="containsText" dxfId="5592" priority="6300" operator="containsText" text="Sin información">
      <formula>NOT(ISERROR(SEARCH("Sin información",E124)))</formula>
    </cfRule>
  </conditionalFormatting>
  <conditionalFormatting sqref="E124">
    <cfRule type="containsText" dxfId="5591" priority="6298" operator="containsText" text="Sin Información">
      <formula>NOT(ISERROR(SEARCH("Sin Información",E124)))</formula>
    </cfRule>
  </conditionalFormatting>
  <conditionalFormatting sqref="C125:D125">
    <cfRule type="containsText" dxfId="5590" priority="6297" operator="containsText" text="NO+$D$4:$D$10">
      <formula>NOT(ISERROR(SEARCH("NO+$D$4:$D$10",C125)))</formula>
    </cfRule>
  </conditionalFormatting>
  <conditionalFormatting sqref="C125:D125">
    <cfRule type="containsText" dxfId="5589" priority="6295" operator="containsText" text="SI">
      <formula>NOT(ISERROR(SEARCH("SI",C125)))</formula>
    </cfRule>
    <cfRule type="containsText" dxfId="5588" priority="6296" operator="containsText" text="NO">
      <formula>NOT(ISERROR(SEARCH("NO",C125)))</formula>
    </cfRule>
  </conditionalFormatting>
  <conditionalFormatting sqref="C125:D125">
    <cfRule type="containsText" dxfId="5587" priority="6294" operator="containsText" text="NUEVO">
      <formula>NOT(ISERROR(SEARCH("NUEVO",C125)))</formula>
    </cfRule>
  </conditionalFormatting>
  <conditionalFormatting sqref="E125">
    <cfRule type="containsText" dxfId="5586" priority="6292" operator="containsText" text="NUEVO">
      <formula>NOT(ISERROR(SEARCH("NUEVO",E125)))</formula>
    </cfRule>
  </conditionalFormatting>
  <conditionalFormatting sqref="E125">
    <cfRule type="containsText" dxfId="5585" priority="6293" operator="containsText" text="Sin información">
      <formula>NOT(ISERROR(SEARCH("Sin información",E125)))</formula>
    </cfRule>
  </conditionalFormatting>
  <conditionalFormatting sqref="E125">
    <cfRule type="containsText" dxfId="5584" priority="6291" operator="containsText" text="Sin Información">
      <formula>NOT(ISERROR(SEARCH("Sin Información",E125)))</formula>
    </cfRule>
  </conditionalFormatting>
  <conditionalFormatting sqref="C126:D126">
    <cfRule type="containsText" dxfId="5583" priority="6284" operator="containsText" text="NO+$D$4:$D$10">
      <formula>NOT(ISERROR(SEARCH("NO+$D$4:$D$10",C126)))</formula>
    </cfRule>
  </conditionalFormatting>
  <conditionalFormatting sqref="C126:D126">
    <cfRule type="containsText" dxfId="5582" priority="6282" operator="containsText" text="SI">
      <formula>NOT(ISERROR(SEARCH("SI",C126)))</formula>
    </cfRule>
    <cfRule type="containsText" dxfId="5581" priority="6283" operator="containsText" text="NO">
      <formula>NOT(ISERROR(SEARCH("NO",C126)))</formula>
    </cfRule>
  </conditionalFormatting>
  <conditionalFormatting sqref="E126">
    <cfRule type="containsText" dxfId="5580" priority="6281" operator="containsText" text="Sin información">
      <formula>NOT(ISERROR(SEARCH("Sin información",E126)))</formula>
    </cfRule>
  </conditionalFormatting>
  <conditionalFormatting sqref="E126">
    <cfRule type="containsText" dxfId="5579" priority="6280" operator="containsText" text="NUEVO">
      <formula>NOT(ISERROR(SEARCH("NUEVO",E126)))</formula>
    </cfRule>
  </conditionalFormatting>
  <conditionalFormatting sqref="C126:D126">
    <cfRule type="containsText" dxfId="5578" priority="6279" operator="containsText" text="NUEVO">
      <formula>NOT(ISERROR(SEARCH("NUEVO",C126)))</formula>
    </cfRule>
  </conditionalFormatting>
  <conditionalFormatting sqref="C127:D127">
    <cfRule type="containsText" dxfId="5577" priority="6272" operator="containsText" text="NO+$D$4:$D$10">
      <formula>NOT(ISERROR(SEARCH("NO+$D$4:$D$10",C127)))</formula>
    </cfRule>
  </conditionalFormatting>
  <conditionalFormatting sqref="C127:D127">
    <cfRule type="containsText" dxfId="5576" priority="6270" operator="containsText" text="SI">
      <formula>NOT(ISERROR(SEARCH("SI",C127)))</formula>
    </cfRule>
    <cfRule type="containsText" dxfId="5575" priority="6271" operator="containsText" text="NO">
      <formula>NOT(ISERROR(SEARCH("NO",C127)))</formula>
    </cfRule>
  </conditionalFormatting>
  <conditionalFormatting sqref="C127:D127">
    <cfRule type="containsText" dxfId="5574" priority="6269" operator="containsText" text="NUEVO">
      <formula>NOT(ISERROR(SEARCH("NUEVO",C127)))</formula>
    </cfRule>
  </conditionalFormatting>
  <conditionalFormatting sqref="E127">
    <cfRule type="containsText" dxfId="5573" priority="6268" operator="containsText" text="Sin información">
      <formula>NOT(ISERROR(SEARCH("Sin información",E127)))</formula>
    </cfRule>
  </conditionalFormatting>
  <conditionalFormatting sqref="E127">
    <cfRule type="containsText" dxfId="5572" priority="6267" operator="containsText" text="NUEVO">
      <formula>NOT(ISERROR(SEARCH("NUEVO",E127)))</formula>
    </cfRule>
  </conditionalFormatting>
  <conditionalFormatting sqref="E127">
    <cfRule type="containsText" dxfId="5571" priority="6266" operator="containsText" text="Sin Información">
      <formula>NOT(ISERROR(SEARCH("Sin Información",E127)))</formula>
    </cfRule>
  </conditionalFormatting>
  <conditionalFormatting sqref="C128:D128">
    <cfRule type="containsText" dxfId="5570" priority="6265" operator="containsText" text="NO+$D$4:$D$10">
      <formula>NOT(ISERROR(SEARCH("NO+$D$4:$D$10",C128)))</formula>
    </cfRule>
  </conditionalFormatting>
  <conditionalFormatting sqref="C128:D128">
    <cfRule type="containsText" dxfId="5569" priority="6263" operator="containsText" text="SI">
      <formula>NOT(ISERROR(SEARCH("SI",C128)))</formula>
    </cfRule>
    <cfRule type="containsText" dxfId="5568" priority="6264" operator="containsText" text="NO">
      <formula>NOT(ISERROR(SEARCH("NO",C128)))</formula>
    </cfRule>
  </conditionalFormatting>
  <conditionalFormatting sqref="C128:D128">
    <cfRule type="containsText" dxfId="5567" priority="6262" operator="containsText" text="NUEVO">
      <formula>NOT(ISERROR(SEARCH("NUEVO",C128)))</formula>
    </cfRule>
  </conditionalFormatting>
  <conditionalFormatting sqref="E128">
    <cfRule type="containsText" dxfId="5566" priority="6261" operator="containsText" text="Sin información">
      <formula>NOT(ISERROR(SEARCH("Sin información",E128)))</formula>
    </cfRule>
  </conditionalFormatting>
  <conditionalFormatting sqref="E128">
    <cfRule type="containsText" dxfId="5565" priority="6260" operator="containsText" text="NUEVO">
      <formula>NOT(ISERROR(SEARCH("NUEVO",E128)))</formula>
    </cfRule>
  </conditionalFormatting>
  <conditionalFormatting sqref="E128">
    <cfRule type="containsText" dxfId="5564" priority="6259" operator="containsText" text="Sin Información">
      <formula>NOT(ISERROR(SEARCH("Sin Información",E128)))</formula>
    </cfRule>
  </conditionalFormatting>
  <conditionalFormatting sqref="C129:D129">
    <cfRule type="containsText" dxfId="5563" priority="6258" operator="containsText" text="NO+$D$4:$D$10">
      <formula>NOT(ISERROR(SEARCH("NO+$D$4:$D$10",C129)))</formula>
    </cfRule>
  </conditionalFormatting>
  <conditionalFormatting sqref="C129:D129">
    <cfRule type="containsText" dxfId="5562" priority="6256" operator="containsText" text="SI">
      <formula>NOT(ISERROR(SEARCH("SI",C129)))</formula>
    </cfRule>
    <cfRule type="containsText" dxfId="5561" priority="6257" operator="containsText" text="NO">
      <formula>NOT(ISERROR(SEARCH("NO",C129)))</formula>
    </cfRule>
  </conditionalFormatting>
  <conditionalFormatting sqref="C129:D129">
    <cfRule type="containsText" dxfId="5560" priority="6255" operator="containsText" text="NUEVO">
      <formula>NOT(ISERROR(SEARCH("NUEVO",C129)))</formula>
    </cfRule>
  </conditionalFormatting>
  <conditionalFormatting sqref="E129">
    <cfRule type="containsText" dxfId="5559" priority="6254" operator="containsText" text="Sin información">
      <formula>NOT(ISERROR(SEARCH("Sin información",E129)))</formula>
    </cfRule>
  </conditionalFormatting>
  <conditionalFormatting sqref="E129">
    <cfRule type="containsText" dxfId="5558" priority="6253" operator="containsText" text="NUEVO">
      <formula>NOT(ISERROR(SEARCH("NUEVO",E129)))</formula>
    </cfRule>
  </conditionalFormatting>
  <conditionalFormatting sqref="E129">
    <cfRule type="containsText" dxfId="5557" priority="6252" operator="containsText" text="Sin Información">
      <formula>NOT(ISERROR(SEARCH("Sin Información",E129)))</formula>
    </cfRule>
  </conditionalFormatting>
  <conditionalFormatting sqref="C130:D130">
    <cfRule type="containsText" dxfId="5556" priority="6251" operator="containsText" text="NO+$D$4:$D$10">
      <formula>NOT(ISERROR(SEARCH("NO+$D$4:$D$10",C130)))</formula>
    </cfRule>
  </conditionalFormatting>
  <conditionalFormatting sqref="C130:D130">
    <cfRule type="containsText" dxfId="5555" priority="6249" operator="containsText" text="SI">
      <formula>NOT(ISERROR(SEARCH("SI",C130)))</formula>
    </cfRule>
    <cfRule type="containsText" dxfId="5554" priority="6250" operator="containsText" text="NO">
      <formula>NOT(ISERROR(SEARCH("NO",C130)))</formula>
    </cfRule>
  </conditionalFormatting>
  <conditionalFormatting sqref="C130:D130">
    <cfRule type="containsText" dxfId="5553" priority="6248" operator="containsText" text="NUEVO">
      <formula>NOT(ISERROR(SEARCH("NUEVO",C130)))</formula>
    </cfRule>
  </conditionalFormatting>
  <conditionalFormatting sqref="E130">
    <cfRule type="containsText" dxfId="5552" priority="6246" operator="containsText" text="NUEVO">
      <formula>NOT(ISERROR(SEARCH("NUEVO",E130)))</formula>
    </cfRule>
  </conditionalFormatting>
  <conditionalFormatting sqref="E130">
    <cfRule type="containsText" dxfId="5551" priority="6247" operator="containsText" text="Sin información">
      <formula>NOT(ISERROR(SEARCH("Sin información",E130)))</formula>
    </cfRule>
  </conditionalFormatting>
  <conditionalFormatting sqref="E130">
    <cfRule type="containsText" dxfId="5550" priority="6245" operator="containsText" text="Sin Información">
      <formula>NOT(ISERROR(SEARCH("Sin Información",E130)))</formula>
    </cfRule>
  </conditionalFormatting>
  <conditionalFormatting sqref="C36:D36">
    <cfRule type="containsText" dxfId="5549" priority="6244" operator="containsText" text="NO+$D$4:$D$10">
      <formula>NOT(ISERROR(SEARCH("NO+$D$4:$D$10",C36)))</formula>
    </cfRule>
  </conditionalFormatting>
  <conditionalFormatting sqref="C36:D36">
    <cfRule type="containsText" dxfId="5548" priority="6242" operator="containsText" text="SI">
      <formula>NOT(ISERROR(SEARCH("SI",C36)))</formula>
    </cfRule>
    <cfRule type="containsText" dxfId="5547" priority="6243" operator="containsText" text="NO">
      <formula>NOT(ISERROR(SEARCH("NO",C36)))</formula>
    </cfRule>
  </conditionalFormatting>
  <conditionalFormatting sqref="C36:D36">
    <cfRule type="containsText" dxfId="5546" priority="6241" operator="containsText" text="NUEVO">
      <formula>NOT(ISERROR(SEARCH("NUEVO",C36)))</formula>
    </cfRule>
  </conditionalFormatting>
  <conditionalFormatting sqref="E36">
    <cfRule type="containsText" dxfId="5545" priority="6240" operator="containsText" text="Sin información">
      <formula>NOT(ISERROR(SEARCH("Sin información",E36)))</formula>
    </cfRule>
  </conditionalFormatting>
  <conditionalFormatting sqref="E36">
    <cfRule type="containsText" dxfId="5544" priority="6239" operator="containsText" text="NUEVO">
      <formula>NOT(ISERROR(SEARCH("NUEVO",E36)))</formula>
    </cfRule>
  </conditionalFormatting>
  <conditionalFormatting sqref="C131:D132">
    <cfRule type="containsText" dxfId="5543" priority="6238" operator="containsText" text="NO+$D$4:$D$10">
      <formula>NOT(ISERROR(SEARCH("NO+$D$4:$D$10",C131)))</formula>
    </cfRule>
  </conditionalFormatting>
  <conditionalFormatting sqref="C131:D132">
    <cfRule type="containsText" dxfId="5542" priority="6236" operator="containsText" text="SI">
      <formula>NOT(ISERROR(SEARCH("SI",C131)))</formula>
    </cfRule>
    <cfRule type="containsText" dxfId="5541" priority="6237" operator="containsText" text="NO">
      <formula>NOT(ISERROR(SEARCH("NO",C131)))</formula>
    </cfRule>
  </conditionalFormatting>
  <conditionalFormatting sqref="E131:E132">
    <cfRule type="containsText" dxfId="5540" priority="6235" operator="containsText" text="Sin información">
      <formula>NOT(ISERROR(SEARCH("Sin información",E131)))</formula>
    </cfRule>
  </conditionalFormatting>
  <conditionalFormatting sqref="C131:E132">
    <cfRule type="containsText" dxfId="5539" priority="6234" operator="containsText" text="NUEVO">
      <formula>NOT(ISERROR(SEARCH("NUEVO",C131)))</formula>
    </cfRule>
  </conditionalFormatting>
  <conditionalFormatting sqref="C133:D133">
    <cfRule type="containsText" dxfId="5538" priority="6233" operator="containsText" text="NO+$D$4:$D$10">
      <formula>NOT(ISERROR(SEARCH("NO+$D$4:$D$10",C133)))</formula>
    </cfRule>
  </conditionalFormatting>
  <conditionalFormatting sqref="C133:D133">
    <cfRule type="containsText" dxfId="5537" priority="6231" operator="containsText" text="SI">
      <formula>NOT(ISERROR(SEARCH("SI",C133)))</formula>
    </cfRule>
    <cfRule type="containsText" dxfId="5536" priority="6232" operator="containsText" text="NO">
      <formula>NOT(ISERROR(SEARCH("NO",C133)))</formula>
    </cfRule>
  </conditionalFormatting>
  <conditionalFormatting sqref="C133:D133">
    <cfRule type="containsText" dxfId="5535" priority="6230" operator="containsText" text="NUEVO">
      <formula>NOT(ISERROR(SEARCH("NUEVO",C133)))</formula>
    </cfRule>
  </conditionalFormatting>
  <conditionalFormatting sqref="E133">
    <cfRule type="containsText" dxfId="5534" priority="6228" operator="containsText" text="NUEVO">
      <formula>NOT(ISERROR(SEARCH("NUEVO",E133)))</formula>
    </cfRule>
  </conditionalFormatting>
  <conditionalFormatting sqref="E133">
    <cfRule type="containsText" dxfId="5533" priority="6229" operator="containsText" text="Sin información">
      <formula>NOT(ISERROR(SEARCH("Sin información",E133)))</formula>
    </cfRule>
  </conditionalFormatting>
  <conditionalFormatting sqref="C134:D134">
    <cfRule type="containsText" dxfId="5532" priority="6227" operator="containsText" text="NO+$D$4:$D$10">
      <formula>NOT(ISERROR(SEARCH("NO+$D$4:$D$10",C134)))</formula>
    </cfRule>
  </conditionalFormatting>
  <conditionalFormatting sqref="C134:D134">
    <cfRule type="containsText" dxfId="5531" priority="6225" operator="containsText" text="SI">
      <formula>NOT(ISERROR(SEARCH("SI",C134)))</formula>
    </cfRule>
    <cfRule type="containsText" dxfId="5530" priority="6226" operator="containsText" text="NO">
      <formula>NOT(ISERROR(SEARCH("NO",C134)))</formula>
    </cfRule>
  </conditionalFormatting>
  <conditionalFormatting sqref="C134:D134">
    <cfRule type="containsText" dxfId="5529" priority="6224" operator="containsText" text="NUEVO">
      <formula>NOT(ISERROR(SEARCH("NUEVO",C134)))</formula>
    </cfRule>
  </conditionalFormatting>
  <conditionalFormatting sqref="E134">
    <cfRule type="containsText" dxfId="5528" priority="6223" operator="containsText" text="Sin información">
      <formula>NOT(ISERROR(SEARCH("Sin información",E134)))</formula>
    </cfRule>
  </conditionalFormatting>
  <conditionalFormatting sqref="E134">
    <cfRule type="containsText" dxfId="5527" priority="6222" operator="containsText" text="NUEVO">
      <formula>NOT(ISERROR(SEARCH("NUEVO",E134)))</formula>
    </cfRule>
  </conditionalFormatting>
  <conditionalFormatting sqref="C135:D135">
    <cfRule type="containsText" dxfId="5526" priority="6221" operator="containsText" text="NO+$D$4:$D$10">
      <formula>NOT(ISERROR(SEARCH("NO+$D$4:$D$10",C135)))</formula>
    </cfRule>
  </conditionalFormatting>
  <conditionalFormatting sqref="C135:D135">
    <cfRule type="containsText" dxfId="5525" priority="6219" operator="containsText" text="SI">
      <formula>NOT(ISERROR(SEARCH("SI",C135)))</formula>
    </cfRule>
    <cfRule type="containsText" dxfId="5524" priority="6220" operator="containsText" text="NO">
      <formula>NOT(ISERROR(SEARCH("NO",C135)))</formula>
    </cfRule>
  </conditionalFormatting>
  <conditionalFormatting sqref="E135">
    <cfRule type="containsText" dxfId="5523" priority="6218" operator="containsText" text="Sin información">
      <formula>NOT(ISERROR(SEARCH("Sin información",E135)))</formula>
    </cfRule>
  </conditionalFormatting>
  <conditionalFormatting sqref="C135:E135">
    <cfRule type="containsText" dxfId="5522" priority="6217" operator="containsText" text="NUEVO">
      <formula>NOT(ISERROR(SEARCH("NUEVO",C135)))</formula>
    </cfRule>
  </conditionalFormatting>
  <conditionalFormatting sqref="E135">
    <cfRule type="containsText" dxfId="5521" priority="6216" operator="containsText" text="Sin Información">
      <formula>NOT(ISERROR(SEARCH("Sin Información",E135)))</formula>
    </cfRule>
  </conditionalFormatting>
  <conditionalFormatting sqref="C111:D111">
    <cfRule type="containsText" dxfId="5520" priority="6210" operator="containsText" text="NO+$D$4:$D$10">
      <formula>NOT(ISERROR(SEARCH("NO+$D$4:$D$10",C111)))</formula>
    </cfRule>
  </conditionalFormatting>
  <conditionalFormatting sqref="C111:D111">
    <cfRule type="containsText" dxfId="5519" priority="6208" operator="containsText" text="SI">
      <formula>NOT(ISERROR(SEARCH("SI",C111)))</formula>
    </cfRule>
    <cfRule type="containsText" dxfId="5518" priority="6209" operator="containsText" text="NO">
      <formula>NOT(ISERROR(SEARCH("NO",C111)))</formula>
    </cfRule>
  </conditionalFormatting>
  <conditionalFormatting sqref="C111:D111">
    <cfRule type="containsText" dxfId="5517" priority="6207" operator="containsText" text="NUEVO">
      <formula>NOT(ISERROR(SEARCH("NUEVO",C111)))</formula>
    </cfRule>
  </conditionalFormatting>
  <conditionalFormatting sqref="E111">
    <cfRule type="containsText" dxfId="5516" priority="6206" operator="containsText" text="Sin información">
      <formula>NOT(ISERROR(SEARCH("Sin información",E111)))</formula>
    </cfRule>
  </conditionalFormatting>
  <conditionalFormatting sqref="E111">
    <cfRule type="containsText" dxfId="5515" priority="6205" operator="containsText" text="NUEVO">
      <formula>NOT(ISERROR(SEARCH("NUEVO",E111)))</formula>
    </cfRule>
  </conditionalFormatting>
  <conditionalFormatting sqref="C136:D139">
    <cfRule type="containsText" dxfId="5514" priority="6204" operator="containsText" text="NO+$D$4:$D$10">
      <formula>NOT(ISERROR(SEARCH("NO+$D$4:$D$10",C136)))</formula>
    </cfRule>
  </conditionalFormatting>
  <conditionalFormatting sqref="C136:D139">
    <cfRule type="containsText" dxfId="5513" priority="6202" operator="containsText" text="SI">
      <formula>NOT(ISERROR(SEARCH("SI",C136)))</formula>
    </cfRule>
    <cfRule type="containsText" dxfId="5512" priority="6203" operator="containsText" text="NO">
      <formula>NOT(ISERROR(SEARCH("NO",C136)))</formula>
    </cfRule>
  </conditionalFormatting>
  <conditionalFormatting sqref="C136:D139">
    <cfRule type="containsText" dxfId="5511" priority="6201" operator="containsText" text="NUEVO">
      <formula>NOT(ISERROR(SEARCH("NUEVO",C136)))</formula>
    </cfRule>
  </conditionalFormatting>
  <conditionalFormatting sqref="E136">
    <cfRule type="containsText" dxfId="5510" priority="6200" operator="containsText" text="Sin información">
      <formula>NOT(ISERROR(SEARCH("Sin información",E136)))</formula>
    </cfRule>
  </conditionalFormatting>
  <conditionalFormatting sqref="E136">
    <cfRule type="containsText" dxfId="5509" priority="6199" operator="containsText" text="NUEVO">
      <formula>NOT(ISERROR(SEARCH("NUEVO",E136)))</formula>
    </cfRule>
  </conditionalFormatting>
  <conditionalFormatting sqref="E136">
    <cfRule type="containsText" dxfId="5508" priority="6198" operator="containsText" text="Sin Información">
      <formula>NOT(ISERROR(SEARCH("Sin Información",E136)))</formula>
    </cfRule>
  </conditionalFormatting>
  <conditionalFormatting sqref="E137">
    <cfRule type="containsText" dxfId="5507" priority="6197" operator="containsText" text="Sin información">
      <formula>NOT(ISERROR(SEARCH("Sin información",E137)))</formula>
    </cfRule>
  </conditionalFormatting>
  <conditionalFormatting sqref="E137">
    <cfRule type="containsText" dxfId="5506" priority="6196" operator="containsText" text="NUEVO">
      <formula>NOT(ISERROR(SEARCH("NUEVO",E137)))</formula>
    </cfRule>
  </conditionalFormatting>
  <conditionalFormatting sqref="E137">
    <cfRule type="containsText" dxfId="5505" priority="6195" operator="containsText" text="Sin Información">
      <formula>NOT(ISERROR(SEARCH("Sin Información",E137)))</formula>
    </cfRule>
  </conditionalFormatting>
  <conditionalFormatting sqref="E138:E139">
    <cfRule type="containsText" dxfId="5504" priority="6194" operator="containsText" text="Sin información">
      <formula>NOT(ISERROR(SEARCH("Sin información",E138)))</formula>
    </cfRule>
  </conditionalFormatting>
  <conditionalFormatting sqref="E138:E139">
    <cfRule type="containsText" dxfId="5503" priority="6193" operator="containsText" text="NUEVO">
      <formula>NOT(ISERROR(SEARCH("NUEVO",E138)))</formula>
    </cfRule>
  </conditionalFormatting>
  <conditionalFormatting sqref="E138:E139">
    <cfRule type="containsText" dxfId="5502" priority="6192" operator="containsText" text="Sin Información">
      <formula>NOT(ISERROR(SEARCH("Sin Información",E138)))</formula>
    </cfRule>
  </conditionalFormatting>
  <conditionalFormatting sqref="C141:D147">
    <cfRule type="containsText" dxfId="5501" priority="6191" operator="containsText" text="NO+$D$4:$D$10">
      <formula>NOT(ISERROR(SEARCH("NO+$D$4:$D$10",C141)))</formula>
    </cfRule>
  </conditionalFormatting>
  <conditionalFormatting sqref="C141:D147">
    <cfRule type="containsText" dxfId="5500" priority="6189" operator="containsText" text="SI">
      <formula>NOT(ISERROR(SEARCH("SI",C141)))</formula>
    </cfRule>
    <cfRule type="containsText" dxfId="5499" priority="6190" operator="containsText" text="NO">
      <formula>NOT(ISERROR(SEARCH("NO",C141)))</formula>
    </cfRule>
  </conditionalFormatting>
  <conditionalFormatting sqref="C141:D147">
    <cfRule type="containsText" dxfId="5498" priority="6188" operator="containsText" text="NUEVO">
      <formula>NOT(ISERROR(SEARCH("NUEVO",C141)))</formula>
    </cfRule>
  </conditionalFormatting>
  <conditionalFormatting sqref="E141:E147">
    <cfRule type="containsText" dxfId="5497" priority="6187" operator="containsText" text="Sin información">
      <formula>NOT(ISERROR(SEARCH("Sin información",E141)))</formula>
    </cfRule>
  </conditionalFormatting>
  <conditionalFormatting sqref="E141:E147">
    <cfRule type="containsText" dxfId="5496" priority="6186" operator="containsText" text="NUEVO">
      <formula>NOT(ISERROR(SEARCH("NUEVO",E141)))</formula>
    </cfRule>
  </conditionalFormatting>
  <conditionalFormatting sqref="E141:E147">
    <cfRule type="containsText" dxfId="5495" priority="6185" operator="containsText" text="Sin Información">
      <formula>NOT(ISERROR(SEARCH("Sin Información",E141)))</formula>
    </cfRule>
  </conditionalFormatting>
  <conditionalFormatting sqref="C148:D149">
    <cfRule type="containsText" dxfId="5494" priority="6184" operator="containsText" text="NO+$D$4:$D$10">
      <formula>NOT(ISERROR(SEARCH("NO+$D$4:$D$10",C148)))</formula>
    </cfRule>
  </conditionalFormatting>
  <conditionalFormatting sqref="C148:D149">
    <cfRule type="containsText" dxfId="5493" priority="6182" operator="containsText" text="SI">
      <formula>NOT(ISERROR(SEARCH("SI",C148)))</formula>
    </cfRule>
    <cfRule type="containsText" dxfId="5492" priority="6183" operator="containsText" text="NO">
      <formula>NOT(ISERROR(SEARCH("NO",C148)))</formula>
    </cfRule>
  </conditionalFormatting>
  <conditionalFormatting sqref="C148:D149">
    <cfRule type="containsText" dxfId="5491" priority="6181" operator="containsText" text="NUEVO">
      <formula>NOT(ISERROR(SEARCH("NUEVO",C148)))</formula>
    </cfRule>
  </conditionalFormatting>
  <conditionalFormatting sqref="E148:E149">
    <cfRule type="containsText" dxfId="5490" priority="6180" operator="containsText" text="Sin información">
      <formula>NOT(ISERROR(SEARCH("Sin información",E148)))</formula>
    </cfRule>
  </conditionalFormatting>
  <conditionalFormatting sqref="E148:E149">
    <cfRule type="containsText" dxfId="5489" priority="6179" operator="containsText" text="NUEVO">
      <formula>NOT(ISERROR(SEARCH("NUEVO",E148)))</formula>
    </cfRule>
  </conditionalFormatting>
  <conditionalFormatting sqref="E148:E149">
    <cfRule type="containsText" dxfId="5488" priority="6178" operator="containsText" text="Sin Información">
      <formula>NOT(ISERROR(SEARCH("Sin Información",E148)))</formula>
    </cfRule>
  </conditionalFormatting>
  <conditionalFormatting sqref="C150:D150">
    <cfRule type="containsText" dxfId="5487" priority="6177" operator="containsText" text="NO+$D$4:$D$10">
      <formula>NOT(ISERROR(SEARCH("NO+$D$4:$D$10",C150)))</formula>
    </cfRule>
  </conditionalFormatting>
  <conditionalFormatting sqref="C150:D150">
    <cfRule type="containsText" dxfId="5486" priority="6175" operator="containsText" text="SI">
      <formula>NOT(ISERROR(SEARCH("SI",C150)))</formula>
    </cfRule>
    <cfRule type="containsText" dxfId="5485" priority="6176" operator="containsText" text="NO">
      <formula>NOT(ISERROR(SEARCH("NO",C150)))</formula>
    </cfRule>
  </conditionalFormatting>
  <conditionalFormatting sqref="C150:D150">
    <cfRule type="containsText" dxfId="5484" priority="6174" operator="containsText" text="NUEVO">
      <formula>NOT(ISERROR(SEARCH("NUEVO",C150)))</formula>
    </cfRule>
  </conditionalFormatting>
  <conditionalFormatting sqref="E150">
    <cfRule type="containsText" dxfId="5483" priority="6173" operator="containsText" text="Sin información">
      <formula>NOT(ISERROR(SEARCH("Sin información",E150)))</formula>
    </cfRule>
  </conditionalFormatting>
  <conditionalFormatting sqref="E150">
    <cfRule type="containsText" dxfId="5482" priority="6172" operator="containsText" text="NUEVO">
      <formula>NOT(ISERROR(SEARCH("NUEVO",E150)))</formula>
    </cfRule>
  </conditionalFormatting>
  <conditionalFormatting sqref="E150">
    <cfRule type="containsText" dxfId="5481" priority="6171" operator="containsText" text="Sin Información">
      <formula>NOT(ISERROR(SEARCH("Sin Información",E150)))</formula>
    </cfRule>
  </conditionalFormatting>
  <conditionalFormatting sqref="C151:D152">
    <cfRule type="containsText" dxfId="5480" priority="6170" operator="containsText" text="NO+$D$4:$D$10">
      <formula>NOT(ISERROR(SEARCH("NO+$D$4:$D$10",C151)))</formula>
    </cfRule>
  </conditionalFormatting>
  <conditionalFormatting sqref="C151:D152">
    <cfRule type="containsText" dxfId="5479" priority="6168" operator="containsText" text="SI">
      <formula>NOT(ISERROR(SEARCH("SI",C151)))</formula>
    </cfRule>
    <cfRule type="containsText" dxfId="5478" priority="6169" operator="containsText" text="NO">
      <formula>NOT(ISERROR(SEARCH("NO",C151)))</formula>
    </cfRule>
  </conditionalFormatting>
  <conditionalFormatting sqref="C151:D152">
    <cfRule type="containsText" dxfId="5477" priority="6167" operator="containsText" text="NUEVO">
      <formula>NOT(ISERROR(SEARCH("NUEVO",C151)))</formula>
    </cfRule>
  </conditionalFormatting>
  <conditionalFormatting sqref="E151:E152">
    <cfRule type="containsText" dxfId="5476" priority="6166" operator="containsText" text="Sin información">
      <formula>NOT(ISERROR(SEARCH("Sin información",E151)))</formula>
    </cfRule>
  </conditionalFormatting>
  <conditionalFormatting sqref="E151:E152">
    <cfRule type="containsText" dxfId="5475" priority="6165" operator="containsText" text="NUEVO">
      <formula>NOT(ISERROR(SEARCH("NUEVO",E151)))</formula>
    </cfRule>
  </conditionalFormatting>
  <conditionalFormatting sqref="E151:E152">
    <cfRule type="containsText" dxfId="5474" priority="6164" operator="containsText" text="Sin Información">
      <formula>NOT(ISERROR(SEARCH("Sin Información",E151)))</formula>
    </cfRule>
  </conditionalFormatting>
  <conditionalFormatting sqref="C153:D154">
    <cfRule type="containsText" dxfId="5473" priority="6163" operator="containsText" text="NO+$D$4:$D$10">
      <formula>NOT(ISERROR(SEARCH("NO+$D$4:$D$10",C153)))</formula>
    </cfRule>
  </conditionalFormatting>
  <conditionalFormatting sqref="C153:D154">
    <cfRule type="containsText" dxfId="5472" priority="6161" operator="containsText" text="SI">
      <formula>NOT(ISERROR(SEARCH("SI",C153)))</formula>
    </cfRule>
    <cfRule type="containsText" dxfId="5471" priority="6162" operator="containsText" text="NO">
      <formula>NOT(ISERROR(SEARCH("NO",C153)))</formula>
    </cfRule>
  </conditionalFormatting>
  <conditionalFormatting sqref="C153:D154">
    <cfRule type="containsText" dxfId="5470" priority="6160" operator="containsText" text="NUEVO">
      <formula>NOT(ISERROR(SEARCH("NUEVO",C153)))</formula>
    </cfRule>
  </conditionalFormatting>
  <conditionalFormatting sqref="E154">
    <cfRule type="containsText" dxfId="5469" priority="6159" operator="containsText" text="Sin información">
      <formula>NOT(ISERROR(SEARCH("Sin información",E154)))</formula>
    </cfRule>
  </conditionalFormatting>
  <conditionalFormatting sqref="E154">
    <cfRule type="containsText" dxfId="5468" priority="6158" operator="containsText" text="NUEVO">
      <formula>NOT(ISERROR(SEARCH("NUEVO",E154)))</formula>
    </cfRule>
  </conditionalFormatting>
  <conditionalFormatting sqref="E154">
    <cfRule type="containsText" dxfId="5467" priority="6157" operator="containsText" text="Sin Información">
      <formula>NOT(ISERROR(SEARCH("Sin Información",E154)))</formula>
    </cfRule>
  </conditionalFormatting>
  <conditionalFormatting sqref="E153">
    <cfRule type="containsText" dxfId="5466" priority="6156" operator="containsText" text="Sin información">
      <formula>NOT(ISERROR(SEARCH("Sin información",E153)))</formula>
    </cfRule>
  </conditionalFormatting>
  <conditionalFormatting sqref="E153">
    <cfRule type="containsText" dxfId="5465" priority="6155" operator="containsText" text="NUEVO">
      <formula>NOT(ISERROR(SEARCH("NUEVO",E153)))</formula>
    </cfRule>
  </conditionalFormatting>
  <conditionalFormatting sqref="E153">
    <cfRule type="containsText" dxfId="5464" priority="6154" operator="containsText" text="Sin Información">
      <formula>NOT(ISERROR(SEARCH("Sin Información",E153)))</formula>
    </cfRule>
  </conditionalFormatting>
  <conditionalFormatting sqref="C157:D157">
    <cfRule type="containsText" dxfId="5463" priority="6153" operator="containsText" text="NO+$D$4:$D$10">
      <formula>NOT(ISERROR(SEARCH("NO+$D$4:$D$10",C157)))</formula>
    </cfRule>
  </conditionalFormatting>
  <conditionalFormatting sqref="C157:D157">
    <cfRule type="containsText" dxfId="5462" priority="6151" operator="containsText" text="SI">
      <formula>NOT(ISERROR(SEARCH("SI",C157)))</formula>
    </cfRule>
    <cfRule type="containsText" dxfId="5461" priority="6152" operator="containsText" text="NO">
      <formula>NOT(ISERROR(SEARCH("NO",C157)))</formula>
    </cfRule>
  </conditionalFormatting>
  <conditionalFormatting sqref="C157:D157">
    <cfRule type="containsText" dxfId="5460" priority="6150" operator="containsText" text="NUEVO">
      <formula>NOT(ISERROR(SEARCH("NUEVO",C157)))</formula>
    </cfRule>
  </conditionalFormatting>
  <conditionalFormatting sqref="E157">
    <cfRule type="containsText" dxfId="5459" priority="6149" operator="containsText" text="Sin información">
      <formula>NOT(ISERROR(SEARCH("Sin información",E157)))</formula>
    </cfRule>
  </conditionalFormatting>
  <conditionalFormatting sqref="E157">
    <cfRule type="containsText" dxfId="5458" priority="6148" operator="containsText" text="NUEVO">
      <formula>NOT(ISERROR(SEARCH("NUEVO",E157)))</formula>
    </cfRule>
  </conditionalFormatting>
  <conditionalFormatting sqref="E157">
    <cfRule type="containsText" dxfId="5457" priority="6147" operator="containsText" text="Sin Información">
      <formula>NOT(ISERROR(SEARCH("Sin Información",E157)))</formula>
    </cfRule>
  </conditionalFormatting>
  <conditionalFormatting sqref="C159:D162">
    <cfRule type="containsText" dxfId="5456" priority="6146" operator="containsText" text="NO+$D$4:$D$10">
      <formula>NOT(ISERROR(SEARCH("NO+$D$4:$D$10",C159)))</formula>
    </cfRule>
  </conditionalFormatting>
  <conditionalFormatting sqref="C159:D162">
    <cfRule type="containsText" dxfId="5455" priority="6144" operator="containsText" text="SI">
      <formula>NOT(ISERROR(SEARCH("SI",C159)))</formula>
    </cfRule>
    <cfRule type="containsText" dxfId="5454" priority="6145" operator="containsText" text="NO">
      <formula>NOT(ISERROR(SEARCH("NO",C159)))</formula>
    </cfRule>
  </conditionalFormatting>
  <conditionalFormatting sqref="C159:D162">
    <cfRule type="containsText" dxfId="5453" priority="6143" operator="containsText" text="NUEVO">
      <formula>NOT(ISERROR(SEARCH("NUEVO",C159)))</formula>
    </cfRule>
  </conditionalFormatting>
  <conditionalFormatting sqref="E159:E162">
    <cfRule type="containsText" dxfId="5452" priority="6141" operator="containsText" text="NUEVO">
      <formula>NOT(ISERROR(SEARCH("NUEVO",E159)))</formula>
    </cfRule>
  </conditionalFormatting>
  <conditionalFormatting sqref="E159:E162">
    <cfRule type="containsText" dxfId="5451" priority="6142" operator="containsText" text="Sin información">
      <formula>NOT(ISERROR(SEARCH("Sin información",E159)))</formula>
    </cfRule>
  </conditionalFormatting>
  <conditionalFormatting sqref="E159:E162">
    <cfRule type="containsText" dxfId="5450" priority="6140" operator="containsText" text="Sin Información">
      <formula>NOT(ISERROR(SEARCH("Sin Información",E159)))</formula>
    </cfRule>
  </conditionalFormatting>
  <conditionalFormatting sqref="C32:D32">
    <cfRule type="containsText" dxfId="5449" priority="6139" operator="containsText" text="NO+$D$4:$D$10">
      <formula>NOT(ISERROR(SEARCH("NO+$D$4:$D$10",C32)))</formula>
    </cfRule>
  </conditionalFormatting>
  <conditionalFormatting sqref="C32:D32">
    <cfRule type="containsText" dxfId="5448" priority="6137" operator="containsText" text="SI">
      <formula>NOT(ISERROR(SEARCH("SI",C32)))</formula>
    </cfRule>
    <cfRule type="containsText" dxfId="5447" priority="6138" operator="containsText" text="NO">
      <formula>NOT(ISERROR(SEARCH("NO",C32)))</formula>
    </cfRule>
  </conditionalFormatting>
  <conditionalFormatting sqref="C32:D32">
    <cfRule type="containsText" dxfId="5446" priority="6136" operator="containsText" text="NUEVO">
      <formula>NOT(ISERROR(SEARCH("NUEVO",C32)))</formula>
    </cfRule>
  </conditionalFormatting>
  <conditionalFormatting sqref="E32">
    <cfRule type="containsText" dxfId="5445" priority="6135" operator="containsText" text="Sin información">
      <formula>NOT(ISERROR(SEARCH("Sin información",E32)))</formula>
    </cfRule>
  </conditionalFormatting>
  <conditionalFormatting sqref="E32">
    <cfRule type="containsText" dxfId="5444" priority="6134" operator="containsText" text="NUEVO">
      <formula>NOT(ISERROR(SEARCH("NUEVO",E32)))</formula>
    </cfRule>
  </conditionalFormatting>
  <conditionalFormatting sqref="E32">
    <cfRule type="containsText" dxfId="5443" priority="6133" operator="containsText" text="Sin Información">
      <formula>NOT(ISERROR(SEARCH("Sin Información",E32)))</formula>
    </cfRule>
  </conditionalFormatting>
  <conditionalFormatting sqref="C140:D140">
    <cfRule type="containsText" dxfId="5442" priority="6132" operator="containsText" text="NO+$D$4:$D$10">
      <formula>NOT(ISERROR(SEARCH("NO+$D$4:$D$10",C140)))</formula>
    </cfRule>
  </conditionalFormatting>
  <conditionalFormatting sqref="C140:D140">
    <cfRule type="containsText" dxfId="5441" priority="6130" operator="containsText" text="SI">
      <formula>NOT(ISERROR(SEARCH("SI",C140)))</formula>
    </cfRule>
    <cfRule type="containsText" dxfId="5440" priority="6131" operator="containsText" text="NO">
      <formula>NOT(ISERROR(SEARCH("NO",C140)))</formula>
    </cfRule>
  </conditionalFormatting>
  <conditionalFormatting sqref="C140:D140">
    <cfRule type="containsText" dxfId="5439" priority="6129" operator="containsText" text="NUEVO">
      <formula>NOT(ISERROR(SEARCH("NUEVO",C140)))</formula>
    </cfRule>
  </conditionalFormatting>
  <conditionalFormatting sqref="E140">
    <cfRule type="containsText" dxfId="5438" priority="6128" operator="containsText" text="Sin información">
      <formula>NOT(ISERROR(SEARCH("Sin información",E140)))</formula>
    </cfRule>
  </conditionalFormatting>
  <conditionalFormatting sqref="E140">
    <cfRule type="containsText" dxfId="5437" priority="6127" operator="containsText" text="NUEVO">
      <formula>NOT(ISERROR(SEARCH("NUEVO",E140)))</formula>
    </cfRule>
  </conditionalFormatting>
  <conditionalFormatting sqref="E140">
    <cfRule type="containsText" dxfId="5436" priority="6126" operator="containsText" text="Sin Información">
      <formula>NOT(ISERROR(SEARCH("Sin Información",E140)))</formula>
    </cfRule>
  </conditionalFormatting>
  <conditionalFormatting sqref="C155:D156">
    <cfRule type="containsText" dxfId="5435" priority="6125" operator="containsText" text="NO+$D$4:$D$10">
      <formula>NOT(ISERROR(SEARCH("NO+$D$4:$D$10",C155)))</formula>
    </cfRule>
  </conditionalFormatting>
  <conditionalFormatting sqref="C155:D156">
    <cfRule type="containsText" dxfId="5434" priority="6123" operator="containsText" text="SI">
      <formula>NOT(ISERROR(SEARCH("SI",C155)))</formula>
    </cfRule>
    <cfRule type="containsText" dxfId="5433" priority="6124" operator="containsText" text="NO">
      <formula>NOT(ISERROR(SEARCH("NO",C155)))</formula>
    </cfRule>
  </conditionalFormatting>
  <conditionalFormatting sqref="C155:D156">
    <cfRule type="containsText" dxfId="5432" priority="6122" operator="containsText" text="NUEVO">
      <formula>NOT(ISERROR(SEARCH("NUEVO",C155)))</formula>
    </cfRule>
  </conditionalFormatting>
  <conditionalFormatting sqref="E155:E156">
    <cfRule type="containsText" dxfId="5431" priority="6121" operator="containsText" text="Sin información">
      <formula>NOT(ISERROR(SEARCH("Sin información",E155)))</formula>
    </cfRule>
  </conditionalFormatting>
  <conditionalFormatting sqref="E155:E156">
    <cfRule type="containsText" dxfId="5430" priority="6120" operator="containsText" text="NUEVO">
      <formula>NOT(ISERROR(SEARCH("NUEVO",E155)))</formula>
    </cfRule>
  </conditionalFormatting>
  <conditionalFormatting sqref="E155:E156">
    <cfRule type="containsText" dxfId="5429" priority="6119" operator="containsText" text="Sin Información">
      <formula>NOT(ISERROR(SEARCH("Sin Información",E155)))</formula>
    </cfRule>
  </conditionalFormatting>
  <conditionalFormatting sqref="C158:D158">
    <cfRule type="containsText" dxfId="5428" priority="6118" operator="containsText" text="NO+$D$4:$D$10">
      <formula>NOT(ISERROR(SEARCH("NO+$D$4:$D$10",C158)))</formula>
    </cfRule>
  </conditionalFormatting>
  <conditionalFormatting sqref="C158:D158">
    <cfRule type="containsText" dxfId="5427" priority="6116" operator="containsText" text="SI">
      <formula>NOT(ISERROR(SEARCH("SI",C158)))</formula>
    </cfRule>
    <cfRule type="containsText" dxfId="5426" priority="6117" operator="containsText" text="NO">
      <formula>NOT(ISERROR(SEARCH("NO",C158)))</formula>
    </cfRule>
  </conditionalFormatting>
  <conditionalFormatting sqref="C158:D158">
    <cfRule type="containsText" dxfId="5425" priority="6115" operator="containsText" text="NUEVO">
      <formula>NOT(ISERROR(SEARCH("NUEVO",C158)))</formula>
    </cfRule>
  </conditionalFormatting>
  <conditionalFormatting sqref="E158">
    <cfRule type="containsText" dxfId="5424" priority="6113" operator="containsText" text="NUEVO">
      <formula>NOT(ISERROR(SEARCH("NUEVO",E158)))</formula>
    </cfRule>
  </conditionalFormatting>
  <conditionalFormatting sqref="E158">
    <cfRule type="containsText" dxfId="5423" priority="6114" operator="containsText" text="Sin información">
      <formula>NOT(ISERROR(SEARCH("Sin información",E158)))</formula>
    </cfRule>
  </conditionalFormatting>
  <conditionalFormatting sqref="E158">
    <cfRule type="containsText" dxfId="5422" priority="6112" operator="containsText" text="Sin Información">
      <formula>NOT(ISERROR(SEARCH("Sin Información",E158)))</formula>
    </cfRule>
  </conditionalFormatting>
  <conditionalFormatting sqref="C182:D182">
    <cfRule type="containsText" dxfId="5421" priority="6111" operator="containsText" text="NO+$D$4:$D$10">
      <formula>NOT(ISERROR(SEARCH("NO+$D$4:$D$10",C182)))</formula>
    </cfRule>
  </conditionalFormatting>
  <conditionalFormatting sqref="C182:D182">
    <cfRule type="containsText" dxfId="5420" priority="6109" operator="containsText" text="SI">
      <formula>NOT(ISERROR(SEARCH("SI",C182)))</formula>
    </cfRule>
    <cfRule type="containsText" dxfId="5419" priority="6110" operator="containsText" text="NO">
      <formula>NOT(ISERROR(SEARCH("NO",C182)))</formula>
    </cfRule>
  </conditionalFormatting>
  <conditionalFormatting sqref="C182:D182">
    <cfRule type="containsText" dxfId="5418" priority="6108" operator="containsText" text="NUEVO">
      <formula>NOT(ISERROR(SEARCH("NUEVO",C182)))</formula>
    </cfRule>
  </conditionalFormatting>
  <conditionalFormatting sqref="E182">
    <cfRule type="containsText" dxfId="5417" priority="6107" operator="containsText" text="NUEVO">
      <formula>NOT(ISERROR(SEARCH("NUEVO",E182)))</formula>
    </cfRule>
  </conditionalFormatting>
  <conditionalFormatting sqref="E182">
    <cfRule type="containsText" dxfId="5416" priority="6106" operator="containsText" text="Sin Información">
      <formula>NOT(ISERROR(SEARCH("Sin Información",E182)))</formula>
    </cfRule>
  </conditionalFormatting>
  <conditionalFormatting sqref="C183:D183">
    <cfRule type="containsText" dxfId="5415" priority="6105" operator="containsText" text="NO+$D$4:$D$10">
      <formula>NOT(ISERROR(SEARCH("NO+$D$4:$D$10",C183)))</formula>
    </cfRule>
  </conditionalFormatting>
  <conditionalFormatting sqref="C183:D183">
    <cfRule type="containsText" dxfId="5414" priority="6103" operator="containsText" text="SI">
      <formula>NOT(ISERROR(SEARCH("SI",C183)))</formula>
    </cfRule>
    <cfRule type="containsText" dxfId="5413" priority="6104" operator="containsText" text="NO">
      <formula>NOT(ISERROR(SEARCH("NO",C183)))</formula>
    </cfRule>
  </conditionalFormatting>
  <conditionalFormatting sqref="C183:D183">
    <cfRule type="containsText" dxfId="5412" priority="6102" operator="containsText" text="NUEVO">
      <formula>NOT(ISERROR(SEARCH("NUEVO",C183)))</formula>
    </cfRule>
  </conditionalFormatting>
  <conditionalFormatting sqref="E183">
    <cfRule type="containsText" dxfId="5411" priority="6101" operator="containsText" text="NUEVO">
      <formula>NOT(ISERROR(SEARCH("NUEVO",E183)))</formula>
    </cfRule>
  </conditionalFormatting>
  <conditionalFormatting sqref="E183">
    <cfRule type="containsText" dxfId="5410" priority="6100" operator="containsText" text="Sin Información">
      <formula>NOT(ISERROR(SEARCH("Sin Información",E183)))</formula>
    </cfRule>
  </conditionalFormatting>
  <conditionalFormatting sqref="C184:D184">
    <cfRule type="containsText" dxfId="5409" priority="6075" operator="containsText" text="NO+$D$4:$D$10">
      <formula>NOT(ISERROR(SEARCH("NO+$D$4:$D$10",C184)))</formula>
    </cfRule>
  </conditionalFormatting>
  <conditionalFormatting sqref="C184:D184">
    <cfRule type="containsText" dxfId="5408" priority="6073" operator="containsText" text="SI">
      <formula>NOT(ISERROR(SEARCH("SI",C184)))</formula>
    </cfRule>
    <cfRule type="containsText" dxfId="5407" priority="6074" operator="containsText" text="NO">
      <formula>NOT(ISERROR(SEARCH("NO",C184)))</formula>
    </cfRule>
  </conditionalFormatting>
  <conditionalFormatting sqref="C184:E184">
    <cfRule type="containsText" dxfId="5406" priority="6072" operator="containsText" text="NUEVO">
      <formula>NOT(ISERROR(SEARCH("NUEVO",C184)))</formula>
    </cfRule>
  </conditionalFormatting>
  <conditionalFormatting sqref="E184">
    <cfRule type="containsText" dxfId="5405" priority="6071" operator="containsText" text="Sin Información">
      <formula>NOT(ISERROR(SEARCH("Sin Información",E184)))</formula>
    </cfRule>
  </conditionalFormatting>
  <conditionalFormatting sqref="C185:D185">
    <cfRule type="containsText" dxfId="5404" priority="6070" operator="containsText" text="NO+$D$4:$D$10">
      <formula>NOT(ISERROR(SEARCH("NO+$D$4:$D$10",C185)))</formula>
    </cfRule>
  </conditionalFormatting>
  <conditionalFormatting sqref="C185:D185">
    <cfRule type="containsText" dxfId="5403" priority="6068" operator="containsText" text="SI">
      <formula>NOT(ISERROR(SEARCH("SI",C185)))</formula>
    </cfRule>
    <cfRule type="containsText" dxfId="5402" priority="6069" operator="containsText" text="NO">
      <formula>NOT(ISERROR(SEARCH("NO",C185)))</formula>
    </cfRule>
  </conditionalFormatting>
  <conditionalFormatting sqref="C185:D185">
    <cfRule type="containsText" dxfId="5401" priority="6067" operator="containsText" text="NUEVO">
      <formula>NOT(ISERROR(SEARCH("NUEVO",C185)))</formula>
    </cfRule>
  </conditionalFormatting>
  <conditionalFormatting sqref="E185">
    <cfRule type="containsText" dxfId="5400" priority="6066" operator="containsText" text="NUEVO">
      <formula>NOT(ISERROR(SEARCH("NUEVO",E185)))</formula>
    </cfRule>
  </conditionalFormatting>
  <conditionalFormatting sqref="E185">
    <cfRule type="containsText" dxfId="5399" priority="6065" operator="containsText" text="Sin Información">
      <formula>NOT(ISERROR(SEARCH("Sin Información",E185)))</formula>
    </cfRule>
  </conditionalFormatting>
  <conditionalFormatting sqref="C186:D186">
    <cfRule type="containsText" dxfId="5398" priority="6050" operator="containsText" text="NO+$D$4:$D$10">
      <formula>NOT(ISERROR(SEARCH("NO+$D$4:$D$10",C186)))</formula>
    </cfRule>
  </conditionalFormatting>
  <conditionalFormatting sqref="C186:D186">
    <cfRule type="containsText" dxfId="5397" priority="6048" operator="containsText" text="SI">
      <formula>NOT(ISERROR(SEARCH("SI",C186)))</formula>
    </cfRule>
    <cfRule type="containsText" dxfId="5396" priority="6049" operator="containsText" text="NO">
      <formula>NOT(ISERROR(SEARCH("NO",C186)))</formula>
    </cfRule>
  </conditionalFormatting>
  <conditionalFormatting sqref="C186:D186">
    <cfRule type="containsText" dxfId="5395" priority="6047" operator="containsText" text="NUEVO">
      <formula>NOT(ISERROR(SEARCH("NUEVO",C186)))</formula>
    </cfRule>
  </conditionalFormatting>
  <conditionalFormatting sqref="C187:D187">
    <cfRule type="containsText" dxfId="5394" priority="6046" operator="containsText" text="NO+$D$4:$D$10">
      <formula>NOT(ISERROR(SEARCH("NO+$D$4:$D$10",C187)))</formula>
    </cfRule>
  </conditionalFormatting>
  <conditionalFormatting sqref="C187:D187">
    <cfRule type="containsText" dxfId="5393" priority="6044" operator="containsText" text="SI">
      <formula>NOT(ISERROR(SEARCH("SI",C187)))</formula>
    </cfRule>
    <cfRule type="containsText" dxfId="5392" priority="6045" operator="containsText" text="NO">
      <formula>NOT(ISERROR(SEARCH("NO",C187)))</formula>
    </cfRule>
  </conditionalFormatting>
  <conditionalFormatting sqref="C187:D187">
    <cfRule type="containsText" dxfId="5391" priority="6043" operator="containsText" text="NUEVO">
      <formula>NOT(ISERROR(SEARCH("NUEVO",C187)))</formula>
    </cfRule>
  </conditionalFormatting>
  <conditionalFormatting sqref="E187">
    <cfRule type="containsText" dxfId="5390" priority="6042" operator="containsText" text="NUEVO">
      <formula>NOT(ISERROR(SEARCH("NUEVO",E187)))</formula>
    </cfRule>
  </conditionalFormatting>
  <conditionalFormatting sqref="E187">
    <cfRule type="containsText" dxfId="5389" priority="6041" operator="containsText" text="Sin Información">
      <formula>NOT(ISERROR(SEARCH("Sin Información",E187)))</formula>
    </cfRule>
  </conditionalFormatting>
  <conditionalFormatting sqref="C188:D188">
    <cfRule type="containsText" dxfId="5388" priority="6027" operator="containsText" text="NO+$D$4:$D$10">
      <formula>NOT(ISERROR(SEARCH("NO+$D$4:$D$10",C188)))</formula>
    </cfRule>
  </conditionalFormatting>
  <conditionalFormatting sqref="C188:D188">
    <cfRule type="containsText" dxfId="5387" priority="6025" operator="containsText" text="SI">
      <formula>NOT(ISERROR(SEARCH("SI",C188)))</formula>
    </cfRule>
    <cfRule type="containsText" dxfId="5386" priority="6026" operator="containsText" text="NO">
      <formula>NOT(ISERROR(SEARCH("NO",C188)))</formula>
    </cfRule>
  </conditionalFormatting>
  <conditionalFormatting sqref="C188:D188">
    <cfRule type="containsText" dxfId="5385" priority="6024" operator="containsText" text="NUEVO">
      <formula>NOT(ISERROR(SEARCH("NUEVO",C188)))</formula>
    </cfRule>
  </conditionalFormatting>
  <conditionalFormatting sqref="C189:D189">
    <cfRule type="containsText" dxfId="5384" priority="6023" operator="containsText" text="NO+$D$4:$D$10">
      <formula>NOT(ISERROR(SEARCH("NO+$D$4:$D$10",C189)))</formula>
    </cfRule>
  </conditionalFormatting>
  <conditionalFormatting sqref="C189:D189">
    <cfRule type="containsText" dxfId="5383" priority="6021" operator="containsText" text="SI">
      <formula>NOT(ISERROR(SEARCH("SI",C189)))</formula>
    </cfRule>
    <cfRule type="containsText" dxfId="5382" priority="6022" operator="containsText" text="NO">
      <formula>NOT(ISERROR(SEARCH("NO",C189)))</formula>
    </cfRule>
  </conditionalFormatting>
  <conditionalFormatting sqref="C189:D189">
    <cfRule type="containsText" dxfId="5381" priority="6020" operator="containsText" text="NUEVO">
      <formula>NOT(ISERROR(SEARCH("NUEVO",C189)))</formula>
    </cfRule>
  </conditionalFormatting>
  <conditionalFormatting sqref="E189">
    <cfRule type="containsText" dxfId="5380" priority="6018" operator="containsText" text="NUEVO">
      <formula>NOT(ISERROR(SEARCH("NUEVO",E189)))</formula>
    </cfRule>
  </conditionalFormatting>
  <conditionalFormatting sqref="E189">
    <cfRule type="containsText" dxfId="5379" priority="6019" operator="containsText" text="Sin información">
      <formula>NOT(ISERROR(SEARCH("Sin información",E189)))</formula>
    </cfRule>
  </conditionalFormatting>
  <conditionalFormatting sqref="E189">
    <cfRule type="containsText" dxfId="5378" priority="6017" operator="containsText" text="Sin Información">
      <formula>NOT(ISERROR(SEARCH("Sin Información",E189)))</formula>
    </cfRule>
  </conditionalFormatting>
  <conditionalFormatting sqref="C190:D190">
    <cfRule type="containsText" dxfId="5377" priority="5998" operator="containsText" text="NO+$D$4:$D$10">
      <formula>NOT(ISERROR(SEARCH("NO+$D$4:$D$10",C190)))</formula>
    </cfRule>
  </conditionalFormatting>
  <conditionalFormatting sqref="C190:D190">
    <cfRule type="containsText" dxfId="5376" priority="5996" operator="containsText" text="SI">
      <formula>NOT(ISERROR(SEARCH("SI",C190)))</formula>
    </cfRule>
    <cfRule type="containsText" dxfId="5375" priority="5997" operator="containsText" text="NO">
      <formula>NOT(ISERROR(SEARCH("NO",C190)))</formula>
    </cfRule>
  </conditionalFormatting>
  <conditionalFormatting sqref="C190:E190">
    <cfRule type="containsText" dxfId="5374" priority="5995" operator="containsText" text="NUEVO">
      <formula>NOT(ISERROR(SEARCH("NUEVO",C190)))</formula>
    </cfRule>
  </conditionalFormatting>
  <conditionalFormatting sqref="E190">
    <cfRule type="containsText" dxfId="5373" priority="5994" operator="containsText" text="Sin Información">
      <formula>NOT(ISERROR(SEARCH("Sin Información",E190)))</formula>
    </cfRule>
  </conditionalFormatting>
  <conditionalFormatting sqref="C191:D191">
    <cfRule type="containsText" dxfId="5372" priority="5988" operator="containsText" text="NO+$D$4:$D$10">
      <formula>NOT(ISERROR(SEARCH("NO+$D$4:$D$10",C191)))</formula>
    </cfRule>
  </conditionalFormatting>
  <conditionalFormatting sqref="C191:D191">
    <cfRule type="containsText" dxfId="5371" priority="5986" operator="containsText" text="SI">
      <formula>NOT(ISERROR(SEARCH("SI",C191)))</formula>
    </cfRule>
    <cfRule type="containsText" dxfId="5370" priority="5987" operator="containsText" text="NO">
      <formula>NOT(ISERROR(SEARCH("NO",C191)))</formula>
    </cfRule>
  </conditionalFormatting>
  <conditionalFormatting sqref="C191:E191">
    <cfRule type="containsText" dxfId="5369" priority="5985" operator="containsText" text="NUEVO">
      <formula>NOT(ISERROR(SEARCH("NUEVO",C191)))</formula>
    </cfRule>
  </conditionalFormatting>
  <conditionalFormatting sqref="E191">
    <cfRule type="containsText" dxfId="5368" priority="5984" operator="containsText" text="Sin Información">
      <formula>NOT(ISERROR(SEARCH("Sin Información",E191)))</formula>
    </cfRule>
  </conditionalFormatting>
  <conditionalFormatting sqref="C192:D192">
    <cfRule type="containsText" dxfId="5367" priority="5983" operator="containsText" text="NO+$D$4:$D$10">
      <formula>NOT(ISERROR(SEARCH("NO+$D$4:$D$10",C192)))</formula>
    </cfRule>
  </conditionalFormatting>
  <conditionalFormatting sqref="C192:D192">
    <cfRule type="containsText" dxfId="5366" priority="5981" operator="containsText" text="SI">
      <formula>NOT(ISERROR(SEARCH("SI",C192)))</formula>
    </cfRule>
    <cfRule type="containsText" dxfId="5365" priority="5982" operator="containsText" text="NO">
      <formula>NOT(ISERROR(SEARCH("NO",C192)))</formula>
    </cfRule>
  </conditionalFormatting>
  <conditionalFormatting sqref="C192:E192">
    <cfRule type="containsText" dxfId="5364" priority="5980" operator="containsText" text="NUEVO">
      <formula>NOT(ISERROR(SEARCH("NUEVO",C192)))</formula>
    </cfRule>
  </conditionalFormatting>
  <conditionalFormatting sqref="E192">
    <cfRule type="containsText" dxfId="5363" priority="5979" operator="containsText" text="Sin Información">
      <formula>NOT(ISERROR(SEARCH("Sin Información",E192)))</formula>
    </cfRule>
  </conditionalFormatting>
  <conditionalFormatting sqref="C193:D193">
    <cfRule type="containsText" dxfId="5362" priority="5967" operator="containsText" text="NO+$D$4:$D$10">
      <formula>NOT(ISERROR(SEARCH("NO+$D$4:$D$10",C193)))</formula>
    </cfRule>
  </conditionalFormatting>
  <conditionalFormatting sqref="C193:D193">
    <cfRule type="containsText" dxfId="5361" priority="5965" operator="containsText" text="SI">
      <formula>NOT(ISERROR(SEARCH("SI",C193)))</formula>
    </cfRule>
    <cfRule type="containsText" dxfId="5360" priority="5966" operator="containsText" text="NO">
      <formula>NOT(ISERROR(SEARCH("NO",C193)))</formula>
    </cfRule>
  </conditionalFormatting>
  <conditionalFormatting sqref="C193:E193">
    <cfRule type="containsText" dxfId="5359" priority="5964" operator="containsText" text="NUEVO">
      <formula>NOT(ISERROR(SEARCH("NUEVO",C193)))</formula>
    </cfRule>
  </conditionalFormatting>
  <conditionalFormatting sqref="E193">
    <cfRule type="containsText" dxfId="5358" priority="5963" operator="containsText" text="Sin Información">
      <formula>NOT(ISERROR(SEARCH("Sin Información",E193)))</formula>
    </cfRule>
  </conditionalFormatting>
  <conditionalFormatting sqref="C194:D194">
    <cfRule type="containsText" dxfId="5357" priority="5962" operator="containsText" text="NO+$D$4:$D$10">
      <formula>NOT(ISERROR(SEARCH("NO+$D$4:$D$10",C194)))</formula>
    </cfRule>
  </conditionalFormatting>
  <conditionalFormatting sqref="C194:D194">
    <cfRule type="containsText" dxfId="5356" priority="5960" operator="containsText" text="SI">
      <formula>NOT(ISERROR(SEARCH("SI",C194)))</formula>
    </cfRule>
    <cfRule type="containsText" dxfId="5355" priority="5961" operator="containsText" text="NO">
      <formula>NOT(ISERROR(SEARCH("NO",C194)))</formula>
    </cfRule>
  </conditionalFormatting>
  <conditionalFormatting sqref="C194:E194">
    <cfRule type="containsText" dxfId="5354" priority="5959" operator="containsText" text="NUEVO">
      <formula>NOT(ISERROR(SEARCH("NUEVO",C194)))</formula>
    </cfRule>
  </conditionalFormatting>
  <conditionalFormatting sqref="E194">
    <cfRule type="containsText" dxfId="5353" priority="5958" operator="containsText" text="Sin Información">
      <formula>NOT(ISERROR(SEARCH("Sin Información",E194)))</formula>
    </cfRule>
  </conditionalFormatting>
  <conditionalFormatting sqref="C195:D195">
    <cfRule type="containsText" dxfId="5352" priority="5945" operator="containsText" text="NO+$D$4:$D$10">
      <formula>NOT(ISERROR(SEARCH("NO+$D$4:$D$10",C195)))</formula>
    </cfRule>
  </conditionalFormatting>
  <conditionalFormatting sqref="C195:D195">
    <cfRule type="containsText" dxfId="5351" priority="5943" operator="containsText" text="SI">
      <formula>NOT(ISERROR(SEARCH("SI",C195)))</formula>
    </cfRule>
    <cfRule type="containsText" dxfId="5350" priority="5944" operator="containsText" text="NO">
      <formula>NOT(ISERROR(SEARCH("NO",C195)))</formula>
    </cfRule>
  </conditionalFormatting>
  <conditionalFormatting sqref="C195:D195">
    <cfRule type="containsText" dxfId="5349" priority="5942" operator="containsText" text="NUEVO">
      <formula>NOT(ISERROR(SEARCH("NUEVO",C195)))</formula>
    </cfRule>
  </conditionalFormatting>
  <conditionalFormatting sqref="E195">
    <cfRule type="containsText" dxfId="5348" priority="5941" operator="containsText" text="NUEVO">
      <formula>NOT(ISERROR(SEARCH("NUEVO",E195)))</formula>
    </cfRule>
  </conditionalFormatting>
  <conditionalFormatting sqref="E195">
    <cfRule type="containsText" dxfId="5347" priority="5940" operator="containsText" text="Sin Información">
      <formula>NOT(ISERROR(SEARCH("Sin Información",E195)))</formula>
    </cfRule>
  </conditionalFormatting>
  <conditionalFormatting sqref="C196:D196">
    <cfRule type="containsText" dxfId="5346" priority="5939" operator="containsText" text="NO+$D$4:$D$10">
      <formula>NOT(ISERROR(SEARCH("NO+$D$4:$D$10",C196)))</formula>
    </cfRule>
  </conditionalFormatting>
  <conditionalFormatting sqref="C196:D196">
    <cfRule type="containsText" dxfId="5345" priority="5937" operator="containsText" text="SI">
      <formula>NOT(ISERROR(SEARCH("SI",C196)))</formula>
    </cfRule>
    <cfRule type="containsText" dxfId="5344" priority="5938" operator="containsText" text="NO">
      <formula>NOT(ISERROR(SEARCH("NO",C196)))</formula>
    </cfRule>
  </conditionalFormatting>
  <conditionalFormatting sqref="C196:D196">
    <cfRule type="containsText" dxfId="5343" priority="5936" operator="containsText" text="NUEVO">
      <formula>NOT(ISERROR(SEARCH("NUEVO",C196)))</formula>
    </cfRule>
  </conditionalFormatting>
  <conditionalFormatting sqref="E196">
    <cfRule type="containsText" dxfId="5342" priority="5934" operator="containsText" text="Sin Información">
      <formula>NOT(ISERROR(SEARCH("Sin Información",E196)))</formula>
    </cfRule>
  </conditionalFormatting>
  <conditionalFormatting sqref="E196">
    <cfRule type="containsText" dxfId="5341" priority="5935" operator="containsText" text="NUEVO">
      <formula>NOT(ISERROR(SEARCH("NUEVO",E196)))</formula>
    </cfRule>
  </conditionalFormatting>
  <conditionalFormatting sqref="C197:D197">
    <cfRule type="containsText" dxfId="5340" priority="5933" operator="containsText" text="NO+$D$4:$D$10">
      <formula>NOT(ISERROR(SEARCH("NO+$D$4:$D$10",C197)))</formula>
    </cfRule>
  </conditionalFormatting>
  <conditionalFormatting sqref="C197:D197">
    <cfRule type="containsText" dxfId="5339" priority="5931" operator="containsText" text="SI">
      <formula>NOT(ISERROR(SEARCH("SI",C197)))</formula>
    </cfRule>
    <cfRule type="containsText" dxfId="5338" priority="5932" operator="containsText" text="NO">
      <formula>NOT(ISERROR(SEARCH("NO",C197)))</formula>
    </cfRule>
  </conditionalFormatting>
  <conditionalFormatting sqref="C197:D197">
    <cfRule type="containsText" dxfId="5337" priority="5930" operator="containsText" text="NUEVO">
      <formula>NOT(ISERROR(SEARCH("NUEVO",C197)))</formula>
    </cfRule>
  </conditionalFormatting>
  <conditionalFormatting sqref="E197">
    <cfRule type="containsText" dxfId="5336" priority="5928" operator="containsText" text="Sin Información">
      <formula>NOT(ISERROR(SEARCH("Sin Información",E197)))</formula>
    </cfRule>
  </conditionalFormatting>
  <conditionalFormatting sqref="E197">
    <cfRule type="containsText" dxfId="5335" priority="5929" operator="containsText" text="NUEVO">
      <formula>NOT(ISERROR(SEARCH("NUEVO",E197)))</formula>
    </cfRule>
  </conditionalFormatting>
  <conditionalFormatting sqref="C198:D198">
    <cfRule type="containsText" dxfId="5334" priority="5927" operator="containsText" text="NO+$D$4:$D$10">
      <formula>NOT(ISERROR(SEARCH("NO+$D$4:$D$10",C198)))</formula>
    </cfRule>
  </conditionalFormatting>
  <conditionalFormatting sqref="C198:D198">
    <cfRule type="containsText" dxfId="5333" priority="5925" operator="containsText" text="SI">
      <formula>NOT(ISERROR(SEARCH("SI",C198)))</formula>
    </cfRule>
    <cfRule type="containsText" dxfId="5332" priority="5926" operator="containsText" text="NO">
      <formula>NOT(ISERROR(SEARCH("NO",C198)))</formula>
    </cfRule>
  </conditionalFormatting>
  <conditionalFormatting sqref="C198:D198">
    <cfRule type="containsText" dxfId="5331" priority="5924" operator="containsText" text="NUEVO">
      <formula>NOT(ISERROR(SEARCH("NUEVO",C198)))</formula>
    </cfRule>
  </conditionalFormatting>
  <conditionalFormatting sqref="E198">
    <cfRule type="containsText" dxfId="5330" priority="5922" operator="containsText" text="Sin Información">
      <formula>NOT(ISERROR(SEARCH("Sin Información",E198)))</formula>
    </cfRule>
  </conditionalFormatting>
  <conditionalFormatting sqref="E198">
    <cfRule type="containsText" dxfId="5329" priority="5923" operator="containsText" text="NUEVO">
      <formula>NOT(ISERROR(SEARCH("NUEVO",E198)))</formula>
    </cfRule>
  </conditionalFormatting>
  <conditionalFormatting sqref="E199">
    <cfRule type="containsText" dxfId="5328" priority="5915" operator="containsText" text="NUEVO">
      <formula>NOT(ISERROR(SEARCH("NUEVO",E199)))</formula>
    </cfRule>
  </conditionalFormatting>
  <conditionalFormatting sqref="E199">
    <cfRule type="containsText" dxfId="5327" priority="5914" operator="containsText" text="Sin Información">
      <formula>NOT(ISERROR(SEARCH("Sin Información",E199)))</formula>
    </cfRule>
  </conditionalFormatting>
  <conditionalFormatting sqref="C200:D200">
    <cfRule type="containsText" dxfId="5326" priority="5913" operator="containsText" text="NO+$D$4:$D$10">
      <formula>NOT(ISERROR(SEARCH("NO+$D$4:$D$10",C200)))</formula>
    </cfRule>
  </conditionalFormatting>
  <conditionalFormatting sqref="C200:D200">
    <cfRule type="containsText" dxfId="5325" priority="5911" operator="containsText" text="SI">
      <formula>NOT(ISERROR(SEARCH("SI",C200)))</formula>
    </cfRule>
    <cfRule type="containsText" dxfId="5324" priority="5912" operator="containsText" text="NO">
      <formula>NOT(ISERROR(SEARCH("NO",C200)))</formula>
    </cfRule>
  </conditionalFormatting>
  <conditionalFormatting sqref="C200:E200">
    <cfRule type="containsText" dxfId="5323" priority="5910" operator="containsText" text="NUEVO">
      <formula>NOT(ISERROR(SEARCH("NUEVO",C200)))</formula>
    </cfRule>
  </conditionalFormatting>
  <conditionalFormatting sqref="E200">
    <cfRule type="containsText" dxfId="5322" priority="5909" operator="containsText" text="Sin Información">
      <formula>NOT(ISERROR(SEARCH("Sin Información",E200)))</formula>
    </cfRule>
  </conditionalFormatting>
  <conditionalFormatting sqref="C201:D201">
    <cfRule type="containsText" dxfId="5321" priority="5908" operator="containsText" text="NO+$D$4:$D$10">
      <formula>NOT(ISERROR(SEARCH("NO+$D$4:$D$10",C201)))</formula>
    </cfRule>
  </conditionalFormatting>
  <conditionalFormatting sqref="C201:D201">
    <cfRule type="containsText" dxfId="5320" priority="5906" operator="containsText" text="SI">
      <formula>NOT(ISERROR(SEARCH("SI",C201)))</formula>
    </cfRule>
    <cfRule type="containsText" dxfId="5319" priority="5907" operator="containsText" text="NO">
      <formula>NOT(ISERROR(SEARCH("NO",C201)))</formula>
    </cfRule>
  </conditionalFormatting>
  <conditionalFormatting sqref="C201:D201">
    <cfRule type="containsText" dxfId="5318" priority="5905" operator="containsText" text="NUEVO">
      <formula>NOT(ISERROR(SEARCH("NUEVO",C201)))</formula>
    </cfRule>
  </conditionalFormatting>
  <conditionalFormatting sqref="E201">
    <cfRule type="containsText" dxfId="5317" priority="5904" operator="containsText" text="NUEVO">
      <formula>NOT(ISERROR(SEARCH("NUEVO",E201)))</formula>
    </cfRule>
  </conditionalFormatting>
  <conditionalFormatting sqref="E201">
    <cfRule type="containsText" dxfId="5316" priority="5903" operator="containsText" text="Sin Información">
      <formula>NOT(ISERROR(SEARCH("Sin Información",E201)))</formula>
    </cfRule>
  </conditionalFormatting>
  <conditionalFormatting sqref="C202:D202">
    <cfRule type="containsText" dxfId="5315" priority="5902" operator="containsText" text="NO+$D$4:$D$10">
      <formula>NOT(ISERROR(SEARCH("NO+$D$4:$D$10",C202)))</formula>
    </cfRule>
  </conditionalFormatting>
  <conditionalFormatting sqref="C202:D202">
    <cfRule type="containsText" dxfId="5314" priority="5900" operator="containsText" text="SI">
      <formula>NOT(ISERROR(SEARCH("SI",C202)))</formula>
    </cfRule>
    <cfRule type="containsText" dxfId="5313" priority="5901" operator="containsText" text="NO">
      <formula>NOT(ISERROR(SEARCH("NO",C202)))</formula>
    </cfRule>
  </conditionalFormatting>
  <conditionalFormatting sqref="C202:D202">
    <cfRule type="containsText" dxfId="5312" priority="5899" operator="containsText" text="NUEVO">
      <formula>NOT(ISERROR(SEARCH("NUEVO",C202)))</formula>
    </cfRule>
  </conditionalFormatting>
  <conditionalFormatting sqref="E202">
    <cfRule type="containsText" dxfId="5311" priority="5898" operator="containsText" text="NUEVO">
      <formula>NOT(ISERROR(SEARCH("NUEVO",E202)))</formula>
    </cfRule>
  </conditionalFormatting>
  <conditionalFormatting sqref="E202">
    <cfRule type="containsText" dxfId="5310" priority="5897" operator="containsText" text="Sin Información">
      <formula>NOT(ISERROR(SEARCH("Sin Información",E202)))</formula>
    </cfRule>
  </conditionalFormatting>
  <conditionalFormatting sqref="C203:D203">
    <cfRule type="containsText" dxfId="5309" priority="5894" operator="containsText" text="NO+$D$4:$D$10">
      <formula>NOT(ISERROR(SEARCH("NO+$D$4:$D$10",C203)))</formula>
    </cfRule>
  </conditionalFormatting>
  <conditionalFormatting sqref="C203:D203">
    <cfRule type="containsText" dxfId="5308" priority="5892" operator="containsText" text="SI">
      <formula>NOT(ISERROR(SEARCH("SI",C203)))</formula>
    </cfRule>
    <cfRule type="containsText" dxfId="5307" priority="5893" operator="containsText" text="NO">
      <formula>NOT(ISERROR(SEARCH("NO",C203)))</formula>
    </cfRule>
  </conditionalFormatting>
  <conditionalFormatting sqref="C203:D203">
    <cfRule type="containsText" dxfId="5306" priority="5891" operator="containsText" text="NUEVO">
      <formula>NOT(ISERROR(SEARCH("NUEVO",C203)))</formula>
    </cfRule>
  </conditionalFormatting>
  <conditionalFormatting sqref="C204:D204">
    <cfRule type="containsText" dxfId="5305" priority="5888" operator="containsText" text="NO+$D$4:$D$10">
      <formula>NOT(ISERROR(SEARCH("NO+$D$4:$D$10",C204)))</formula>
    </cfRule>
  </conditionalFormatting>
  <conditionalFormatting sqref="C204:D204">
    <cfRule type="containsText" dxfId="5304" priority="5886" operator="containsText" text="SI">
      <formula>NOT(ISERROR(SEARCH("SI",C204)))</formula>
    </cfRule>
    <cfRule type="containsText" dxfId="5303" priority="5887" operator="containsText" text="NO">
      <formula>NOT(ISERROR(SEARCH("NO",C204)))</formula>
    </cfRule>
  </conditionalFormatting>
  <conditionalFormatting sqref="C204:D204">
    <cfRule type="containsText" dxfId="5302" priority="5885" operator="containsText" text="NUEVO">
      <formula>NOT(ISERROR(SEARCH("NUEVO",C204)))</formula>
    </cfRule>
  </conditionalFormatting>
  <conditionalFormatting sqref="C205:D205">
    <cfRule type="containsText" dxfId="5301" priority="5884" operator="containsText" text="NO+$D$4:$D$10">
      <formula>NOT(ISERROR(SEARCH("NO+$D$4:$D$10",C205)))</formula>
    </cfRule>
  </conditionalFormatting>
  <conditionalFormatting sqref="C205:D205">
    <cfRule type="containsText" dxfId="5300" priority="5882" operator="containsText" text="SI">
      <formula>NOT(ISERROR(SEARCH("SI",C205)))</formula>
    </cfRule>
    <cfRule type="containsText" dxfId="5299" priority="5883" operator="containsText" text="NO">
      <formula>NOT(ISERROR(SEARCH("NO",C205)))</formula>
    </cfRule>
  </conditionalFormatting>
  <conditionalFormatting sqref="C205:D205">
    <cfRule type="containsText" dxfId="5298" priority="5881" operator="containsText" text="NUEVO">
      <formula>NOT(ISERROR(SEARCH("NUEVO",C205)))</formula>
    </cfRule>
  </conditionalFormatting>
  <conditionalFormatting sqref="E205">
    <cfRule type="containsText" dxfId="5297" priority="5880" operator="containsText" text="NUEVO">
      <formula>NOT(ISERROR(SEARCH("NUEVO",E205)))</formula>
    </cfRule>
  </conditionalFormatting>
  <conditionalFormatting sqref="E205">
    <cfRule type="containsText" dxfId="5296" priority="5879" operator="containsText" text="Sin Información">
      <formula>NOT(ISERROR(SEARCH("Sin Información",E205)))</formula>
    </cfRule>
  </conditionalFormatting>
  <conditionalFormatting sqref="C206:D206">
    <cfRule type="containsText" dxfId="5295" priority="5878" operator="containsText" text="NO+$D$4:$D$10">
      <formula>NOT(ISERROR(SEARCH("NO+$D$4:$D$10",C206)))</formula>
    </cfRule>
  </conditionalFormatting>
  <conditionalFormatting sqref="C206:D206">
    <cfRule type="containsText" dxfId="5294" priority="5876" operator="containsText" text="SI">
      <formula>NOT(ISERROR(SEARCH("SI",C206)))</formula>
    </cfRule>
    <cfRule type="containsText" dxfId="5293" priority="5877" operator="containsText" text="NO">
      <formula>NOT(ISERROR(SEARCH("NO",C206)))</formula>
    </cfRule>
  </conditionalFormatting>
  <conditionalFormatting sqref="C206:D206">
    <cfRule type="containsText" dxfId="5292" priority="5875" operator="containsText" text="NUEVO">
      <formula>NOT(ISERROR(SEARCH("NUEVO",C206)))</formula>
    </cfRule>
  </conditionalFormatting>
  <conditionalFormatting sqref="E206">
    <cfRule type="containsText" dxfId="5291" priority="5874" operator="containsText" text="NUEVO">
      <formula>NOT(ISERROR(SEARCH("NUEVO",E206)))</formula>
    </cfRule>
  </conditionalFormatting>
  <conditionalFormatting sqref="E206">
    <cfRule type="containsText" dxfId="5290" priority="5873" operator="containsText" text="Sin Información">
      <formula>NOT(ISERROR(SEARCH("Sin Información",E206)))</formula>
    </cfRule>
  </conditionalFormatting>
  <conditionalFormatting sqref="C207:D207">
    <cfRule type="containsText" dxfId="5289" priority="5865" operator="containsText" text="NO+$D$4:$D$10">
      <formula>NOT(ISERROR(SEARCH("NO+$D$4:$D$10",C207)))</formula>
    </cfRule>
  </conditionalFormatting>
  <conditionalFormatting sqref="C207:D207">
    <cfRule type="containsText" dxfId="5288" priority="5863" operator="containsText" text="SI">
      <formula>NOT(ISERROR(SEARCH("SI",C207)))</formula>
    </cfRule>
    <cfRule type="containsText" dxfId="5287" priority="5864" operator="containsText" text="NO">
      <formula>NOT(ISERROR(SEARCH("NO",C207)))</formula>
    </cfRule>
  </conditionalFormatting>
  <conditionalFormatting sqref="C207:D207">
    <cfRule type="containsText" dxfId="5286" priority="5862" operator="containsText" text="NUEVO">
      <formula>NOT(ISERROR(SEARCH("NUEVO",C207)))</formula>
    </cfRule>
  </conditionalFormatting>
  <conditionalFormatting sqref="C208:D208">
    <cfRule type="containsText" dxfId="5285" priority="5861" operator="containsText" text="NO+$D$4:$D$10">
      <formula>NOT(ISERROR(SEARCH("NO+$D$4:$D$10",C208)))</formula>
    </cfRule>
  </conditionalFormatting>
  <conditionalFormatting sqref="C208:D208">
    <cfRule type="containsText" dxfId="5284" priority="5859" operator="containsText" text="SI">
      <formula>NOT(ISERROR(SEARCH("SI",C208)))</formula>
    </cfRule>
    <cfRule type="containsText" dxfId="5283" priority="5860" operator="containsText" text="NO">
      <formula>NOT(ISERROR(SEARCH("NO",C208)))</formula>
    </cfRule>
  </conditionalFormatting>
  <conditionalFormatting sqref="C208:D208">
    <cfRule type="containsText" dxfId="5282" priority="5858" operator="containsText" text="NUEVO">
      <formula>NOT(ISERROR(SEARCH("NUEVO",C208)))</formula>
    </cfRule>
  </conditionalFormatting>
  <conditionalFormatting sqref="E208">
    <cfRule type="containsText" dxfId="5281" priority="5856" operator="containsText" text="NUEVO">
      <formula>NOT(ISERROR(SEARCH("NUEVO",E208)))</formula>
    </cfRule>
  </conditionalFormatting>
  <conditionalFormatting sqref="E208">
    <cfRule type="containsText" dxfId="5280" priority="5857" operator="containsText" text="Sin información">
      <formula>NOT(ISERROR(SEARCH("Sin información",E208)))</formula>
    </cfRule>
  </conditionalFormatting>
  <conditionalFormatting sqref="E208">
    <cfRule type="containsText" dxfId="5279" priority="5855" operator="containsText" text="Sin Información">
      <formula>NOT(ISERROR(SEARCH("Sin Información",E208)))</formula>
    </cfRule>
  </conditionalFormatting>
  <conditionalFormatting sqref="C209:D209">
    <cfRule type="containsText" dxfId="5278" priority="5836" operator="containsText" text="NO+$D$4:$D$10">
      <formula>NOT(ISERROR(SEARCH("NO+$D$4:$D$10",C209)))</formula>
    </cfRule>
  </conditionalFormatting>
  <conditionalFormatting sqref="C209:D209">
    <cfRule type="containsText" dxfId="5277" priority="5834" operator="containsText" text="SI">
      <formula>NOT(ISERROR(SEARCH("SI",C209)))</formula>
    </cfRule>
    <cfRule type="containsText" dxfId="5276" priority="5835" operator="containsText" text="NO">
      <formula>NOT(ISERROR(SEARCH("NO",C209)))</formula>
    </cfRule>
  </conditionalFormatting>
  <conditionalFormatting sqref="C209:E209">
    <cfRule type="containsText" dxfId="5275" priority="5833" operator="containsText" text="NUEVO">
      <formula>NOT(ISERROR(SEARCH("NUEVO",C209)))</formula>
    </cfRule>
  </conditionalFormatting>
  <conditionalFormatting sqref="E209">
    <cfRule type="containsText" dxfId="5274" priority="5832" operator="containsText" text="Sin Información">
      <formula>NOT(ISERROR(SEARCH("Sin Información",E209)))</formula>
    </cfRule>
  </conditionalFormatting>
  <conditionalFormatting sqref="C210:D210">
    <cfRule type="containsText" dxfId="5273" priority="5826" operator="containsText" text="NO+$D$4:$D$10">
      <formula>NOT(ISERROR(SEARCH("NO+$D$4:$D$10",C210)))</formula>
    </cfRule>
  </conditionalFormatting>
  <conditionalFormatting sqref="C210:D210">
    <cfRule type="containsText" dxfId="5272" priority="5824" operator="containsText" text="SI">
      <formula>NOT(ISERROR(SEARCH("SI",C210)))</formula>
    </cfRule>
    <cfRule type="containsText" dxfId="5271" priority="5825" operator="containsText" text="NO">
      <formula>NOT(ISERROR(SEARCH("NO",C210)))</formula>
    </cfRule>
  </conditionalFormatting>
  <conditionalFormatting sqref="C210:E210">
    <cfRule type="containsText" dxfId="5270" priority="5823" operator="containsText" text="NUEVO">
      <formula>NOT(ISERROR(SEARCH("NUEVO",C210)))</formula>
    </cfRule>
  </conditionalFormatting>
  <conditionalFormatting sqref="E210">
    <cfRule type="containsText" dxfId="5269" priority="5822" operator="containsText" text="Sin Información">
      <formula>NOT(ISERROR(SEARCH("Sin Información",E210)))</formula>
    </cfRule>
  </conditionalFormatting>
  <conditionalFormatting sqref="C211:D211">
    <cfRule type="containsText" dxfId="5268" priority="5821" operator="containsText" text="NO+$D$4:$D$10">
      <formula>NOT(ISERROR(SEARCH("NO+$D$4:$D$10",C211)))</formula>
    </cfRule>
  </conditionalFormatting>
  <conditionalFormatting sqref="C211:D211">
    <cfRule type="containsText" dxfId="5267" priority="5819" operator="containsText" text="SI">
      <formula>NOT(ISERROR(SEARCH("SI",C211)))</formula>
    </cfRule>
    <cfRule type="containsText" dxfId="5266" priority="5820" operator="containsText" text="NO">
      <formula>NOT(ISERROR(SEARCH("NO",C211)))</formula>
    </cfRule>
  </conditionalFormatting>
  <conditionalFormatting sqref="C211:E211">
    <cfRule type="containsText" dxfId="5265" priority="5818" operator="containsText" text="NUEVO">
      <formula>NOT(ISERROR(SEARCH("NUEVO",C211)))</formula>
    </cfRule>
  </conditionalFormatting>
  <conditionalFormatting sqref="E211">
    <cfRule type="containsText" dxfId="5264" priority="5817" operator="containsText" text="Sin Información">
      <formula>NOT(ISERROR(SEARCH("Sin Información",E211)))</formula>
    </cfRule>
  </conditionalFormatting>
  <conditionalFormatting sqref="C212:D212">
    <cfRule type="containsText" dxfId="5263" priority="5805" operator="containsText" text="NO+$D$4:$D$10">
      <formula>NOT(ISERROR(SEARCH("NO+$D$4:$D$10",C212)))</formula>
    </cfRule>
  </conditionalFormatting>
  <conditionalFormatting sqref="C212:D212">
    <cfRule type="containsText" dxfId="5262" priority="5803" operator="containsText" text="SI">
      <formula>NOT(ISERROR(SEARCH("SI",C212)))</formula>
    </cfRule>
    <cfRule type="containsText" dxfId="5261" priority="5804" operator="containsText" text="NO">
      <formula>NOT(ISERROR(SEARCH("NO",C212)))</formula>
    </cfRule>
  </conditionalFormatting>
  <conditionalFormatting sqref="C212:E212">
    <cfRule type="containsText" dxfId="5260" priority="5802" operator="containsText" text="NUEVO">
      <formula>NOT(ISERROR(SEARCH("NUEVO",C212)))</formula>
    </cfRule>
  </conditionalFormatting>
  <conditionalFormatting sqref="E212">
    <cfRule type="containsText" dxfId="5259" priority="5801" operator="containsText" text="Sin Información">
      <formula>NOT(ISERROR(SEARCH("Sin Información",E212)))</formula>
    </cfRule>
  </conditionalFormatting>
  <conditionalFormatting sqref="C213:D213">
    <cfRule type="containsText" dxfId="5258" priority="5800" operator="containsText" text="NO+$D$4:$D$10">
      <formula>NOT(ISERROR(SEARCH("NO+$D$4:$D$10",C213)))</formula>
    </cfRule>
  </conditionalFormatting>
  <conditionalFormatting sqref="C213:D213">
    <cfRule type="containsText" dxfId="5257" priority="5798" operator="containsText" text="SI">
      <formula>NOT(ISERROR(SEARCH("SI",C213)))</formula>
    </cfRule>
    <cfRule type="containsText" dxfId="5256" priority="5799" operator="containsText" text="NO">
      <formula>NOT(ISERROR(SEARCH("NO",C213)))</formula>
    </cfRule>
  </conditionalFormatting>
  <conditionalFormatting sqref="C213:E213">
    <cfRule type="containsText" dxfId="5255" priority="5797" operator="containsText" text="NUEVO">
      <formula>NOT(ISERROR(SEARCH("NUEVO",C213)))</formula>
    </cfRule>
  </conditionalFormatting>
  <conditionalFormatting sqref="E213">
    <cfRule type="containsText" dxfId="5254" priority="5796" operator="containsText" text="Sin Información">
      <formula>NOT(ISERROR(SEARCH("Sin Información",E213)))</formula>
    </cfRule>
  </conditionalFormatting>
  <conditionalFormatting sqref="C214:D214">
    <cfRule type="containsText" dxfId="5253" priority="5794" operator="containsText" text="NO+$D$4:$D$10">
      <formula>NOT(ISERROR(SEARCH("NO+$D$4:$D$10",C214)))</formula>
    </cfRule>
  </conditionalFormatting>
  <conditionalFormatting sqref="C214:D214">
    <cfRule type="containsText" dxfId="5252" priority="5792" operator="containsText" text="SI">
      <formula>NOT(ISERROR(SEARCH("SI",C214)))</formula>
    </cfRule>
    <cfRule type="containsText" dxfId="5251" priority="5793" operator="containsText" text="NO">
      <formula>NOT(ISERROR(SEARCH("NO",C214)))</formula>
    </cfRule>
  </conditionalFormatting>
  <conditionalFormatting sqref="C214:D214">
    <cfRule type="containsText" dxfId="5250" priority="5791" operator="containsText" text="NUEVO">
      <formula>NOT(ISERROR(SEARCH("NUEVO",C214)))</formula>
    </cfRule>
  </conditionalFormatting>
  <conditionalFormatting sqref="C215:D215">
    <cfRule type="containsText" dxfId="5249" priority="5787" operator="containsText" text="NO+$D$4:$D$10">
      <formula>NOT(ISERROR(SEARCH("NO+$D$4:$D$10",C215)))</formula>
    </cfRule>
  </conditionalFormatting>
  <conditionalFormatting sqref="C215:D215">
    <cfRule type="containsText" dxfId="5248" priority="5785" operator="containsText" text="SI">
      <formula>NOT(ISERROR(SEARCH("SI",C215)))</formula>
    </cfRule>
    <cfRule type="containsText" dxfId="5247" priority="5786" operator="containsText" text="NO">
      <formula>NOT(ISERROR(SEARCH("NO",C215)))</formula>
    </cfRule>
  </conditionalFormatting>
  <conditionalFormatting sqref="C215:D215">
    <cfRule type="containsText" dxfId="5246" priority="5784" operator="containsText" text="NUEVO">
      <formula>NOT(ISERROR(SEARCH("NUEVO",C215)))</formula>
    </cfRule>
  </conditionalFormatting>
  <conditionalFormatting sqref="E215">
    <cfRule type="containsText" dxfId="5245" priority="5788" operator="containsText" text="NUEVO">
      <formula>NOT(ISERROR(SEARCH("NUEVO",E399)))</formula>
    </cfRule>
  </conditionalFormatting>
  <conditionalFormatting sqref="E215">
    <cfRule type="containsText" dxfId="5244" priority="5789" operator="containsText" text="Sin Información">
      <formula>NOT(ISERROR(SEARCH("Sin Información",E399)))</formula>
    </cfRule>
  </conditionalFormatting>
  <conditionalFormatting sqref="C216:D216">
    <cfRule type="containsText" dxfId="5243" priority="5783" operator="containsText" text="NO+$D$4:$D$10">
      <formula>NOT(ISERROR(SEARCH("NO+$D$4:$D$10",C216)))</formula>
    </cfRule>
  </conditionalFormatting>
  <conditionalFormatting sqref="C216:D216">
    <cfRule type="containsText" dxfId="5242" priority="5781" operator="containsText" text="SI">
      <formula>NOT(ISERROR(SEARCH("SI",C216)))</formula>
    </cfRule>
    <cfRule type="containsText" dxfId="5241" priority="5782" operator="containsText" text="NO">
      <formula>NOT(ISERROR(SEARCH("NO",C216)))</formula>
    </cfRule>
  </conditionalFormatting>
  <conditionalFormatting sqref="C216:D216">
    <cfRule type="containsText" dxfId="5240" priority="5780" operator="containsText" text="NUEVO">
      <formula>NOT(ISERROR(SEARCH("NUEVO",C216)))</formula>
    </cfRule>
  </conditionalFormatting>
  <conditionalFormatting sqref="E216">
    <cfRule type="containsText" dxfId="5239" priority="5779" operator="containsText" text="NUEVO">
      <formula>NOT(ISERROR(SEARCH("NUEVO",E216)))</formula>
    </cfRule>
  </conditionalFormatting>
  <conditionalFormatting sqref="E216">
    <cfRule type="containsText" dxfId="5238" priority="5778" operator="containsText" text="Sin Información">
      <formula>NOT(ISERROR(SEARCH("Sin Información",E216)))</formula>
    </cfRule>
  </conditionalFormatting>
  <conditionalFormatting sqref="C217:D217">
    <cfRule type="containsText" dxfId="5237" priority="5777" operator="containsText" text="NO+$D$4:$D$10">
      <formula>NOT(ISERROR(SEARCH("NO+$D$4:$D$10",C217)))</formula>
    </cfRule>
  </conditionalFormatting>
  <conditionalFormatting sqref="C217:D217">
    <cfRule type="containsText" dxfId="5236" priority="5775" operator="containsText" text="SI">
      <formula>NOT(ISERROR(SEARCH("SI",C217)))</formula>
    </cfRule>
    <cfRule type="containsText" dxfId="5235" priority="5776" operator="containsText" text="NO">
      <formula>NOT(ISERROR(SEARCH("NO",C217)))</formula>
    </cfRule>
  </conditionalFormatting>
  <conditionalFormatting sqref="C217:D217">
    <cfRule type="containsText" dxfId="5234" priority="5774" operator="containsText" text="NUEVO">
      <formula>NOT(ISERROR(SEARCH("NUEVO",C217)))</formula>
    </cfRule>
  </conditionalFormatting>
  <conditionalFormatting sqref="E217">
    <cfRule type="containsText" dxfId="5233" priority="5772" operator="containsText" text="Sin Información">
      <formula>NOT(ISERROR(SEARCH("Sin Información",E217)))</formula>
    </cfRule>
  </conditionalFormatting>
  <conditionalFormatting sqref="E217">
    <cfRule type="containsText" dxfId="5232" priority="5773" operator="containsText" text="NUEVO">
      <formula>NOT(ISERROR(SEARCH("NUEVO",E217)))</formula>
    </cfRule>
  </conditionalFormatting>
  <conditionalFormatting sqref="C218:D218">
    <cfRule type="containsText" dxfId="5231" priority="5771" operator="containsText" text="NO+$D$4:$D$10">
      <formula>NOT(ISERROR(SEARCH("NO+$D$4:$D$10",C218)))</formula>
    </cfRule>
  </conditionalFormatting>
  <conditionalFormatting sqref="C218:D218">
    <cfRule type="containsText" dxfId="5230" priority="5769" operator="containsText" text="SI">
      <formula>NOT(ISERROR(SEARCH("SI",C218)))</formula>
    </cfRule>
    <cfRule type="containsText" dxfId="5229" priority="5770" operator="containsText" text="NO">
      <formula>NOT(ISERROR(SEARCH("NO",C218)))</formula>
    </cfRule>
  </conditionalFormatting>
  <conditionalFormatting sqref="C218:D218">
    <cfRule type="containsText" dxfId="5228" priority="5768" operator="containsText" text="NUEVO">
      <formula>NOT(ISERROR(SEARCH("NUEVO",C218)))</formula>
    </cfRule>
  </conditionalFormatting>
  <conditionalFormatting sqref="E218">
    <cfRule type="containsText" dxfId="5227" priority="5766" operator="containsText" text="Sin Información">
      <formula>NOT(ISERROR(SEARCH("Sin Información",E218)))</formula>
    </cfRule>
  </conditionalFormatting>
  <conditionalFormatting sqref="E218">
    <cfRule type="containsText" dxfId="5226" priority="5767" operator="containsText" text="NUEVO">
      <formula>NOT(ISERROR(SEARCH("NUEVO",E218)))</formula>
    </cfRule>
  </conditionalFormatting>
  <conditionalFormatting sqref="C219:D219">
    <cfRule type="containsText" dxfId="5225" priority="5765" operator="containsText" text="NO+$D$4:$D$10">
      <formula>NOT(ISERROR(SEARCH("NO+$D$4:$D$10",C219)))</formula>
    </cfRule>
  </conditionalFormatting>
  <conditionalFormatting sqref="C219:D219">
    <cfRule type="containsText" dxfId="5224" priority="5763" operator="containsText" text="SI">
      <formula>NOT(ISERROR(SEARCH("SI",C219)))</formula>
    </cfRule>
    <cfRule type="containsText" dxfId="5223" priority="5764" operator="containsText" text="NO">
      <formula>NOT(ISERROR(SEARCH("NO",C219)))</formula>
    </cfRule>
  </conditionalFormatting>
  <conditionalFormatting sqref="C219:D219">
    <cfRule type="containsText" dxfId="5222" priority="5762" operator="containsText" text="NUEVO">
      <formula>NOT(ISERROR(SEARCH("NUEVO",C219)))</formula>
    </cfRule>
  </conditionalFormatting>
  <conditionalFormatting sqref="E219">
    <cfRule type="containsText" dxfId="5221" priority="5760" operator="containsText" text="Sin Información">
      <formula>NOT(ISERROR(SEARCH("Sin Información",E219)))</formula>
    </cfRule>
  </conditionalFormatting>
  <conditionalFormatting sqref="E219">
    <cfRule type="containsText" dxfId="5220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19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218" priority="5757" operator="containsText" text="SI">
      <formula>NOT(ISERROR(SEARCH("SI",C246)))</formula>
    </cfRule>
    <cfRule type="containsText" dxfId="5217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216" priority="5756" operator="containsText" text="NUEVO">
      <formula>NOT(ISERROR(SEARCH("NUEVO",C246)))</formula>
    </cfRule>
  </conditionalFormatting>
  <conditionalFormatting sqref="C221:D221">
    <cfRule type="containsText" dxfId="5215" priority="5755" operator="containsText" text="NO+$D$4:$D$10">
      <formula>NOT(ISERROR(SEARCH("NO+$D$4:$D$10",C221)))</formula>
    </cfRule>
  </conditionalFormatting>
  <conditionalFormatting sqref="C221:D221">
    <cfRule type="containsText" dxfId="5214" priority="5753" operator="containsText" text="SI">
      <formula>NOT(ISERROR(SEARCH("SI",C221)))</formula>
    </cfRule>
    <cfRule type="containsText" dxfId="5213" priority="5754" operator="containsText" text="NO">
      <formula>NOT(ISERROR(SEARCH("NO",C221)))</formula>
    </cfRule>
  </conditionalFormatting>
  <conditionalFormatting sqref="E221">
    <cfRule type="containsText" dxfId="5212" priority="5752" operator="containsText" text="Sin información">
      <formula>NOT(ISERROR(SEARCH("Sin información",E221)))</formula>
    </cfRule>
  </conditionalFormatting>
  <conditionalFormatting sqref="C221:E221">
    <cfRule type="containsText" dxfId="5211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210" priority="5750" operator="containsText" text="Sin Información">
      <formula>NOT(ISERROR(SEARCH("Sin Información",E221)))</formula>
    </cfRule>
  </conditionalFormatting>
  <conditionalFormatting sqref="E221">
    <cfRule type="containsText" dxfId="5209" priority="5749" operator="containsText" text="Sin información">
      <formula>NOT(ISERROR(SEARCH("Sin información",E221)))</formula>
    </cfRule>
  </conditionalFormatting>
  <conditionalFormatting sqref="C223:D223">
    <cfRule type="containsText" dxfId="5208" priority="5748" operator="containsText" text="NO+$D$4:$D$10">
      <formula>NOT(ISERROR(SEARCH("NO+$D$4:$D$10",C223)))</formula>
    </cfRule>
  </conditionalFormatting>
  <conditionalFormatting sqref="C223:D223">
    <cfRule type="containsText" dxfId="5207" priority="5746" operator="containsText" text="SI">
      <formula>NOT(ISERROR(SEARCH("SI",C223)))</formula>
    </cfRule>
    <cfRule type="containsText" dxfId="5206" priority="5747" operator="containsText" text="NO">
      <formula>NOT(ISERROR(SEARCH("NO",C223)))</formula>
    </cfRule>
  </conditionalFormatting>
  <conditionalFormatting sqref="C223:E223">
    <cfRule type="containsText" dxfId="5205" priority="5745" operator="containsText" text="NUEVO">
      <formula>NOT(ISERROR(SEARCH("NUEVO",C223)))</formula>
    </cfRule>
  </conditionalFormatting>
  <conditionalFormatting sqref="E223">
    <cfRule type="containsText" dxfId="5204" priority="5744" operator="containsText" text="Sin Información">
      <formula>NOT(ISERROR(SEARCH("Sin Información",E223)))</formula>
    </cfRule>
  </conditionalFormatting>
  <conditionalFormatting sqref="C224:D227">
    <cfRule type="containsText" dxfId="5203" priority="5743" operator="containsText" text="NO+$D$4:$D$10">
      <formula>NOT(ISERROR(SEARCH("NO+$D$4:$D$10",C224)))</formula>
    </cfRule>
  </conditionalFormatting>
  <conditionalFormatting sqref="C224:D227">
    <cfRule type="containsText" dxfId="5202" priority="5741" operator="containsText" text="SI">
      <formula>NOT(ISERROR(SEARCH("SI",C224)))</formula>
    </cfRule>
    <cfRule type="containsText" dxfId="5201" priority="5742" operator="containsText" text="NO">
      <formula>NOT(ISERROR(SEARCH("NO",C224)))</formula>
    </cfRule>
  </conditionalFormatting>
  <conditionalFormatting sqref="C224:D227">
    <cfRule type="containsText" dxfId="5200" priority="5740" operator="containsText" text="NUEVO">
      <formula>NOT(ISERROR(SEARCH("NUEVO",C224)))</formula>
    </cfRule>
  </conditionalFormatting>
  <conditionalFormatting sqref="E227">
    <cfRule type="containsText" dxfId="5199" priority="5739" operator="containsText" text="NUEVO">
      <formula>NOT(ISERROR(SEARCH("NUEVO",E227)))</formula>
    </cfRule>
  </conditionalFormatting>
  <conditionalFormatting sqref="E227">
    <cfRule type="containsText" dxfId="5198" priority="5738" operator="containsText" text="Sin Información">
      <formula>NOT(ISERROR(SEARCH("Sin Información",E227)))</formula>
    </cfRule>
  </conditionalFormatting>
  <conditionalFormatting sqref="E224:E226">
    <cfRule type="containsText" dxfId="5197" priority="5737" operator="containsText" text="NUEVO">
      <formula>NOT(ISERROR(SEARCH("NUEVO",E224)))</formula>
    </cfRule>
  </conditionalFormatting>
  <conditionalFormatting sqref="E224:E226">
    <cfRule type="containsText" dxfId="5196" priority="5736" operator="containsText" text="Sin Información">
      <formula>NOT(ISERROR(SEARCH("Sin Información",E224)))</formula>
    </cfRule>
  </conditionalFormatting>
  <conditionalFormatting sqref="C228:D233">
    <cfRule type="containsText" dxfId="5195" priority="5735" operator="containsText" text="NO+$D$4:$D$10">
      <formula>NOT(ISERROR(SEARCH("NO+$D$4:$D$10",C228)))</formula>
    </cfRule>
  </conditionalFormatting>
  <conditionalFormatting sqref="C228:D233">
    <cfRule type="containsText" dxfId="5194" priority="5733" operator="containsText" text="SI">
      <formula>NOT(ISERROR(SEARCH("SI",C228)))</formula>
    </cfRule>
    <cfRule type="containsText" dxfId="5193" priority="5734" operator="containsText" text="NO">
      <formula>NOT(ISERROR(SEARCH("NO",C228)))</formula>
    </cfRule>
  </conditionalFormatting>
  <conditionalFormatting sqref="C228:D233">
    <cfRule type="containsText" dxfId="5192" priority="5732" operator="containsText" text="NUEVO">
      <formula>NOT(ISERROR(SEARCH("NUEVO",C228)))</formula>
    </cfRule>
  </conditionalFormatting>
  <conditionalFormatting sqref="E228:E229">
    <cfRule type="containsText" dxfId="5191" priority="5731" operator="containsText" text="NUEVO">
      <formula>NOT(ISERROR(SEARCH("NUEVO",E228)))</formula>
    </cfRule>
  </conditionalFormatting>
  <conditionalFormatting sqref="E228:E229">
    <cfRule type="containsText" dxfId="5190" priority="5730" operator="containsText" text="Sin Información">
      <formula>NOT(ISERROR(SEARCH("Sin Información",E228)))</formula>
    </cfRule>
  </conditionalFormatting>
  <conditionalFormatting sqref="E230:E233">
    <cfRule type="containsText" dxfId="5189" priority="5729" operator="containsText" text="NUEVO">
      <formula>NOT(ISERROR(SEARCH("NUEVO",E230)))</formula>
    </cfRule>
  </conditionalFormatting>
  <conditionalFormatting sqref="E230:E233">
    <cfRule type="containsText" dxfId="5188" priority="5728" operator="containsText" text="Sin Información">
      <formula>NOT(ISERROR(SEARCH("Sin Información",E230)))</formula>
    </cfRule>
  </conditionalFormatting>
  <conditionalFormatting sqref="C234:D239">
    <cfRule type="containsText" dxfId="5187" priority="5727" operator="containsText" text="NO+$D$4:$D$10">
      <formula>NOT(ISERROR(SEARCH("NO+$D$4:$D$10",C234)))</formula>
    </cfRule>
  </conditionalFormatting>
  <conditionalFormatting sqref="C234:D239">
    <cfRule type="containsText" dxfId="5186" priority="5725" operator="containsText" text="SI">
      <formula>NOT(ISERROR(SEARCH("SI",C234)))</formula>
    </cfRule>
    <cfRule type="containsText" dxfId="5185" priority="5726" operator="containsText" text="NO">
      <formula>NOT(ISERROR(SEARCH("NO",C234)))</formula>
    </cfRule>
  </conditionalFormatting>
  <conditionalFormatting sqref="E234:E238 C234:D239">
    <cfRule type="containsText" dxfId="5184" priority="5724" operator="containsText" text="NUEVO">
      <formula>NOT(ISERROR(SEARCH("NUEVO",C234)))</formula>
    </cfRule>
  </conditionalFormatting>
  <conditionalFormatting sqref="E234:E238">
    <cfRule type="containsText" dxfId="5183" priority="5723" operator="containsText" text="Sin Información">
      <formula>NOT(ISERROR(SEARCH("Sin Información",E234)))</formula>
    </cfRule>
  </conditionalFormatting>
  <conditionalFormatting sqref="E239">
    <cfRule type="containsText" dxfId="5182" priority="5722" operator="containsText" text="NUEVO">
      <formula>NOT(ISERROR(SEARCH("NUEVO",E239)))</formula>
    </cfRule>
  </conditionalFormatting>
  <conditionalFormatting sqref="E239">
    <cfRule type="containsText" dxfId="5181" priority="5721" operator="containsText" text="Sin Información">
      <formula>NOT(ISERROR(SEARCH("Sin Información",E239)))</formula>
    </cfRule>
  </conditionalFormatting>
  <conditionalFormatting sqref="C240:D241">
    <cfRule type="containsText" dxfId="5180" priority="5720" operator="containsText" text="NO+$D$4:$D$10">
      <formula>NOT(ISERROR(SEARCH("NO+$D$4:$D$10",C240)))</formula>
    </cfRule>
  </conditionalFormatting>
  <conditionalFormatting sqref="C240:D241">
    <cfRule type="containsText" dxfId="5179" priority="5718" operator="containsText" text="SI">
      <formula>NOT(ISERROR(SEARCH("SI",C240)))</formula>
    </cfRule>
    <cfRule type="containsText" dxfId="5178" priority="5719" operator="containsText" text="NO">
      <formula>NOT(ISERROR(SEARCH("NO",C240)))</formula>
    </cfRule>
  </conditionalFormatting>
  <conditionalFormatting sqref="E240 C240:D241">
    <cfRule type="containsText" dxfId="5177" priority="5717" operator="containsText" text="NUEVO">
      <formula>NOT(ISERROR(SEARCH("NUEVO",C240)))</formula>
    </cfRule>
  </conditionalFormatting>
  <conditionalFormatting sqref="E240">
    <cfRule type="containsText" dxfId="5176" priority="5716" operator="containsText" text="Sin Información">
      <formula>NOT(ISERROR(SEARCH("Sin Información",E240)))</formula>
    </cfRule>
  </conditionalFormatting>
  <conditionalFormatting sqref="E241">
    <cfRule type="containsText" dxfId="5175" priority="5715" operator="containsText" text="NUEVO">
      <formula>NOT(ISERROR(SEARCH("NUEVO",E241)))</formula>
    </cfRule>
  </conditionalFormatting>
  <conditionalFormatting sqref="E241">
    <cfRule type="containsText" dxfId="5174" priority="5714" operator="containsText" text="Sin Información">
      <formula>NOT(ISERROR(SEARCH("Sin Información",E241)))</formula>
    </cfRule>
  </conditionalFormatting>
  <conditionalFormatting sqref="C242:D244">
    <cfRule type="containsText" dxfId="5173" priority="5713" operator="containsText" text="NO+$D$4:$D$10">
      <formula>NOT(ISERROR(SEARCH("NO+$D$4:$D$10",C242)))</formula>
    </cfRule>
  </conditionalFormatting>
  <conditionalFormatting sqref="C242:D244">
    <cfRule type="containsText" dxfId="5172" priority="5711" operator="containsText" text="SI">
      <formula>NOT(ISERROR(SEARCH("SI",C242)))</formula>
    </cfRule>
    <cfRule type="containsText" dxfId="5171" priority="5712" operator="containsText" text="NO">
      <formula>NOT(ISERROR(SEARCH("NO",C242)))</formula>
    </cfRule>
  </conditionalFormatting>
  <conditionalFormatting sqref="E242 C242:D244">
    <cfRule type="containsText" dxfId="5170" priority="5710" operator="containsText" text="NUEVO">
      <formula>NOT(ISERROR(SEARCH("NUEVO",C242)))</formula>
    </cfRule>
  </conditionalFormatting>
  <conditionalFormatting sqref="E242">
    <cfRule type="containsText" dxfId="5169" priority="5709" operator="containsText" text="Sin Información">
      <formula>NOT(ISERROR(SEARCH("Sin Información",E242)))</formula>
    </cfRule>
  </conditionalFormatting>
  <conditionalFormatting sqref="E243:E244">
    <cfRule type="containsText" dxfId="5168" priority="5708" operator="containsText" text="NUEVO">
      <formula>NOT(ISERROR(SEARCH("NUEVO",E243)))</formula>
    </cfRule>
  </conditionalFormatting>
  <conditionalFormatting sqref="E243:E244">
    <cfRule type="containsText" dxfId="5167" priority="5707" operator="containsText" text="Sin Información">
      <formula>NOT(ISERROR(SEARCH("Sin Información",E243)))</formula>
    </cfRule>
  </conditionalFormatting>
  <conditionalFormatting sqref="C245:D245">
    <cfRule type="containsText" dxfId="5166" priority="5706" operator="containsText" text="NO+$D$4:$D$10">
      <formula>NOT(ISERROR(SEARCH("NO+$D$4:$D$10",C245)))</formula>
    </cfRule>
  </conditionalFormatting>
  <conditionalFormatting sqref="C245:D245">
    <cfRule type="containsText" dxfId="5165" priority="5704" operator="containsText" text="SI">
      <formula>NOT(ISERROR(SEARCH("SI",C245)))</formula>
    </cfRule>
    <cfRule type="containsText" dxfId="5164" priority="5705" operator="containsText" text="NO">
      <formula>NOT(ISERROR(SEARCH("NO",C245)))</formula>
    </cfRule>
  </conditionalFormatting>
  <conditionalFormatting sqref="C245:E245">
    <cfRule type="containsText" dxfId="5163" priority="5703" operator="containsText" text="NUEVO">
      <formula>NOT(ISERROR(SEARCH("NUEVO",C245)))</formula>
    </cfRule>
  </conditionalFormatting>
  <conditionalFormatting sqref="E245">
    <cfRule type="containsText" dxfId="5162" priority="5702" operator="containsText" text="Sin Información">
      <formula>NOT(ISERROR(SEARCH("Sin Información",E245)))</formula>
    </cfRule>
  </conditionalFormatting>
  <conditionalFormatting sqref="C247:D247">
    <cfRule type="containsText" dxfId="5161" priority="5701" operator="containsText" text="NO+$D$4:$D$10">
      <formula>NOT(ISERROR(SEARCH("NO+$D$4:$D$10",C247)))</formula>
    </cfRule>
  </conditionalFormatting>
  <conditionalFormatting sqref="C247:D247">
    <cfRule type="containsText" dxfId="5160" priority="5699" operator="containsText" text="SI">
      <formula>NOT(ISERROR(SEARCH("SI",C247)))</formula>
    </cfRule>
    <cfRule type="containsText" dxfId="5159" priority="5700" operator="containsText" text="NO">
      <formula>NOT(ISERROR(SEARCH("NO",C247)))</formula>
    </cfRule>
  </conditionalFormatting>
  <conditionalFormatting sqref="C247:E247">
    <cfRule type="containsText" dxfId="5158" priority="5698" operator="containsText" text="NUEVO">
      <formula>NOT(ISERROR(SEARCH("NUEVO",C247)))</formula>
    </cfRule>
  </conditionalFormatting>
  <conditionalFormatting sqref="E247">
    <cfRule type="containsText" dxfId="5157" priority="5697" operator="containsText" text="Sin Información">
      <formula>NOT(ISERROR(SEARCH("Sin Información",E247)))</formula>
    </cfRule>
  </conditionalFormatting>
  <conditionalFormatting sqref="C248:D248">
    <cfRule type="containsText" dxfId="5156" priority="5696" operator="containsText" text="NO+$D$4:$D$10">
      <formula>NOT(ISERROR(SEARCH("NO+$D$4:$D$10",C248)))</formula>
    </cfRule>
  </conditionalFormatting>
  <conditionalFormatting sqref="C248:D248">
    <cfRule type="containsText" dxfId="5155" priority="5694" operator="containsText" text="SI">
      <formula>NOT(ISERROR(SEARCH("SI",C248)))</formula>
    </cfRule>
    <cfRule type="containsText" dxfId="5154" priority="5695" operator="containsText" text="NO">
      <formula>NOT(ISERROR(SEARCH("NO",C248)))</formula>
    </cfRule>
  </conditionalFormatting>
  <conditionalFormatting sqref="C248:E248">
    <cfRule type="containsText" dxfId="5153" priority="5693" operator="containsText" text="NUEVO">
      <formula>NOT(ISERROR(SEARCH("NUEVO",C248)))</formula>
    </cfRule>
  </conditionalFormatting>
  <conditionalFormatting sqref="E248">
    <cfRule type="containsText" dxfId="5152" priority="5692" operator="containsText" text="Sin Información">
      <formula>NOT(ISERROR(SEARCH("Sin Información",E248)))</formula>
    </cfRule>
  </conditionalFormatting>
  <conditionalFormatting sqref="C249:D249">
    <cfRule type="containsText" dxfId="5151" priority="5691" operator="containsText" text="NO+$D$4:$D$10">
      <formula>NOT(ISERROR(SEARCH("NO+$D$4:$D$10",C249)))</formula>
    </cfRule>
  </conditionalFormatting>
  <conditionalFormatting sqref="C249:D249">
    <cfRule type="containsText" dxfId="5150" priority="5689" operator="containsText" text="SI">
      <formula>NOT(ISERROR(SEARCH("SI",C249)))</formula>
    </cfRule>
    <cfRule type="containsText" dxfId="5149" priority="5690" operator="containsText" text="NO">
      <formula>NOT(ISERROR(SEARCH("NO",C249)))</formula>
    </cfRule>
  </conditionalFormatting>
  <conditionalFormatting sqref="C249:E249">
    <cfRule type="containsText" dxfId="5148" priority="5688" operator="containsText" text="NUEVO">
      <formula>NOT(ISERROR(SEARCH("NUEVO",C249)))</formula>
    </cfRule>
  </conditionalFormatting>
  <conditionalFormatting sqref="E249">
    <cfRule type="containsText" dxfId="5147" priority="5687" operator="containsText" text="Sin Información">
      <formula>NOT(ISERROR(SEARCH("Sin Información",E249)))</formula>
    </cfRule>
  </conditionalFormatting>
  <conditionalFormatting sqref="C250:D250">
    <cfRule type="containsText" dxfId="5146" priority="5686" operator="containsText" text="NO+$D$4:$D$10">
      <formula>NOT(ISERROR(SEARCH("NO+$D$4:$D$10",C250)))</formula>
    </cfRule>
  </conditionalFormatting>
  <conditionalFormatting sqref="C250:D250">
    <cfRule type="containsText" dxfId="5145" priority="5684" operator="containsText" text="SI">
      <formula>NOT(ISERROR(SEARCH("SI",C250)))</formula>
    </cfRule>
    <cfRule type="containsText" dxfId="5144" priority="5685" operator="containsText" text="NO">
      <formula>NOT(ISERROR(SEARCH("NO",C250)))</formula>
    </cfRule>
  </conditionalFormatting>
  <conditionalFormatting sqref="C250:E250">
    <cfRule type="containsText" dxfId="5143" priority="5683" operator="containsText" text="NUEVO">
      <formula>NOT(ISERROR(SEARCH("NUEVO",C250)))</formula>
    </cfRule>
  </conditionalFormatting>
  <conditionalFormatting sqref="E250">
    <cfRule type="containsText" dxfId="5142" priority="5682" operator="containsText" text="Sin Información">
      <formula>NOT(ISERROR(SEARCH("Sin Información",E250)))</formula>
    </cfRule>
  </conditionalFormatting>
  <conditionalFormatting sqref="C251:D251">
    <cfRule type="containsText" dxfId="5141" priority="5681" operator="containsText" text="NO+$D$4:$D$10">
      <formula>NOT(ISERROR(SEARCH("NO+$D$4:$D$10",C251)))</formula>
    </cfRule>
  </conditionalFormatting>
  <conditionalFormatting sqref="C251:D251">
    <cfRule type="containsText" dxfId="5140" priority="5679" operator="containsText" text="SI">
      <formula>NOT(ISERROR(SEARCH("SI",C251)))</formula>
    </cfRule>
    <cfRule type="containsText" dxfId="5139" priority="5680" operator="containsText" text="NO">
      <formula>NOT(ISERROR(SEARCH("NO",C251)))</formula>
    </cfRule>
  </conditionalFormatting>
  <conditionalFormatting sqref="C251:E251">
    <cfRule type="containsText" dxfId="5138" priority="5678" operator="containsText" text="NUEVO">
      <formula>NOT(ISERROR(SEARCH("NUEVO",C251)))</formula>
    </cfRule>
  </conditionalFormatting>
  <conditionalFormatting sqref="E251">
    <cfRule type="containsText" dxfId="5137" priority="5677" operator="containsText" text="Sin Información">
      <formula>NOT(ISERROR(SEARCH("Sin Información",E251)))</formula>
    </cfRule>
  </conditionalFormatting>
  <conditionalFormatting sqref="C252:D252">
    <cfRule type="containsText" dxfId="5136" priority="5676" operator="containsText" text="NO+$D$4:$D$10">
      <formula>NOT(ISERROR(SEARCH("NO+$D$4:$D$10",C252)))</formula>
    </cfRule>
  </conditionalFormatting>
  <conditionalFormatting sqref="C252:D252">
    <cfRule type="containsText" dxfId="5135" priority="5674" operator="containsText" text="SI">
      <formula>NOT(ISERROR(SEARCH("SI",C252)))</formula>
    </cfRule>
    <cfRule type="containsText" dxfId="5134" priority="5675" operator="containsText" text="NO">
      <formula>NOT(ISERROR(SEARCH("NO",C252)))</formula>
    </cfRule>
  </conditionalFormatting>
  <conditionalFormatting sqref="C252:E252">
    <cfRule type="containsText" dxfId="5133" priority="5673" operator="containsText" text="NUEVO">
      <formula>NOT(ISERROR(SEARCH("NUEVO",C252)))</formula>
    </cfRule>
  </conditionalFormatting>
  <conditionalFormatting sqref="E252">
    <cfRule type="containsText" dxfId="5132" priority="5672" operator="containsText" text="Sin Información">
      <formula>NOT(ISERROR(SEARCH("Sin Información",E252)))</formula>
    </cfRule>
  </conditionalFormatting>
  <conditionalFormatting sqref="C253:D253">
    <cfRule type="containsText" dxfId="5131" priority="5671" operator="containsText" text="NO+$D$4:$D$10">
      <formula>NOT(ISERROR(SEARCH("NO+$D$4:$D$10",C253)))</formula>
    </cfRule>
  </conditionalFormatting>
  <conditionalFormatting sqref="C253:D253">
    <cfRule type="containsText" dxfId="5130" priority="5669" operator="containsText" text="SI">
      <formula>NOT(ISERROR(SEARCH("SI",C253)))</formula>
    </cfRule>
    <cfRule type="containsText" dxfId="5129" priority="5670" operator="containsText" text="NO">
      <formula>NOT(ISERROR(SEARCH("NO",C253)))</formula>
    </cfRule>
  </conditionalFormatting>
  <conditionalFormatting sqref="C253:E253">
    <cfRule type="containsText" dxfId="5128" priority="5668" operator="containsText" text="NUEVO">
      <formula>NOT(ISERROR(SEARCH("NUEVO",C253)))</formula>
    </cfRule>
  </conditionalFormatting>
  <conditionalFormatting sqref="E253">
    <cfRule type="containsText" dxfId="5127" priority="5667" operator="containsText" text="Sin Información">
      <formula>NOT(ISERROR(SEARCH("Sin Información",E253)))</formula>
    </cfRule>
  </conditionalFormatting>
  <conditionalFormatting sqref="C254:D254">
    <cfRule type="containsText" dxfId="5126" priority="5666" operator="containsText" text="NO+$D$4:$D$10">
      <formula>NOT(ISERROR(SEARCH("NO+$D$4:$D$10",C254)))</formula>
    </cfRule>
  </conditionalFormatting>
  <conditionalFormatting sqref="C254:D254">
    <cfRule type="containsText" dxfId="5125" priority="5664" operator="containsText" text="SI">
      <formula>NOT(ISERROR(SEARCH("SI",C254)))</formula>
    </cfRule>
    <cfRule type="containsText" dxfId="5124" priority="5665" operator="containsText" text="NO">
      <formula>NOT(ISERROR(SEARCH("NO",C254)))</formula>
    </cfRule>
  </conditionalFormatting>
  <conditionalFormatting sqref="C254:E254">
    <cfRule type="containsText" dxfId="5123" priority="5663" operator="containsText" text="NUEVO">
      <formula>NOT(ISERROR(SEARCH("NUEVO",C254)))</formula>
    </cfRule>
  </conditionalFormatting>
  <conditionalFormatting sqref="E254">
    <cfRule type="containsText" dxfId="5122" priority="5662" operator="containsText" text="Sin Información">
      <formula>NOT(ISERROR(SEARCH("Sin Información",E254)))</formula>
    </cfRule>
  </conditionalFormatting>
  <conditionalFormatting sqref="C220:D220">
    <cfRule type="containsText" dxfId="5121" priority="5661" operator="containsText" text="NO+$D$4:$D$10">
      <formula>NOT(ISERROR(SEARCH("NO+$D$4:$D$10",C220)))</formula>
    </cfRule>
  </conditionalFormatting>
  <conditionalFormatting sqref="C220:D220">
    <cfRule type="containsText" dxfId="5120" priority="5659" operator="containsText" text="SI">
      <formula>NOT(ISERROR(SEARCH("SI",C220)))</formula>
    </cfRule>
    <cfRule type="containsText" dxfId="5119" priority="5660" operator="containsText" text="NO">
      <formula>NOT(ISERROR(SEARCH("NO",C220)))</formula>
    </cfRule>
  </conditionalFormatting>
  <conditionalFormatting sqref="C220:E220">
    <cfRule type="containsText" dxfId="5118" priority="5658" operator="containsText" text="NUEVO">
      <formula>NOT(ISERROR(SEARCH("NUEVO",C220)))</formula>
    </cfRule>
  </conditionalFormatting>
  <conditionalFormatting sqref="E220">
    <cfRule type="containsText" dxfId="5117" priority="5657" operator="containsText" text="Sin Información">
      <formula>NOT(ISERROR(SEARCH("Sin Información",E220)))</formula>
    </cfRule>
  </conditionalFormatting>
  <conditionalFormatting sqref="C222:D222">
    <cfRule type="containsText" dxfId="5116" priority="5656" operator="containsText" text="NO+$D$4:$D$10">
      <formula>NOT(ISERROR(SEARCH("NO+$D$4:$D$10",C222)))</formula>
    </cfRule>
  </conditionalFormatting>
  <conditionalFormatting sqref="C222:D222">
    <cfRule type="containsText" dxfId="5115" priority="5654" operator="containsText" text="SI">
      <formula>NOT(ISERROR(SEARCH("SI",C222)))</formula>
    </cfRule>
    <cfRule type="containsText" dxfId="5114" priority="5655" operator="containsText" text="NO">
      <formula>NOT(ISERROR(SEARCH("NO",C222)))</formula>
    </cfRule>
  </conditionalFormatting>
  <conditionalFormatting sqref="C222:E222">
    <cfRule type="containsText" dxfId="5113" priority="5653" operator="containsText" text="NUEVO">
      <formula>NOT(ISERROR(SEARCH("NUEVO",C222)))</formula>
    </cfRule>
  </conditionalFormatting>
  <conditionalFormatting sqref="E222">
    <cfRule type="containsText" dxfId="5112" priority="5652" operator="containsText" text="Sin Información">
      <formula>NOT(ISERROR(SEARCH("Sin Información",E222)))</formula>
    </cfRule>
  </conditionalFormatting>
  <conditionalFormatting sqref="C255:D255">
    <cfRule type="containsText" dxfId="5111" priority="5646" operator="containsText" text="NO+$D$4:$D$10">
      <formula>NOT(ISERROR(SEARCH("NO+$D$4:$D$10",C255)))</formula>
    </cfRule>
  </conditionalFormatting>
  <conditionalFormatting sqref="C255:D255">
    <cfRule type="containsText" dxfId="5110" priority="5644" operator="containsText" text="SI">
      <formula>NOT(ISERROR(SEARCH("SI",C255)))</formula>
    </cfRule>
    <cfRule type="containsText" dxfId="5109" priority="5645" operator="containsText" text="NO">
      <formula>NOT(ISERROR(SEARCH("NO",C255)))</formula>
    </cfRule>
  </conditionalFormatting>
  <conditionalFormatting sqref="C255:E255">
    <cfRule type="containsText" dxfId="5108" priority="5643" operator="containsText" text="NUEVO">
      <formula>NOT(ISERROR(SEARCH("NUEVO",C255)))</formula>
    </cfRule>
  </conditionalFormatting>
  <conditionalFormatting sqref="E255">
    <cfRule type="containsText" dxfId="5107" priority="5642" operator="containsText" text="Sin Información">
      <formula>NOT(ISERROR(SEARCH("Sin Información",E255)))</formula>
    </cfRule>
  </conditionalFormatting>
  <conditionalFormatting sqref="C256:D256">
    <cfRule type="containsText" dxfId="5106" priority="5641" operator="containsText" text="NO+$D$4:$D$10">
      <formula>NOT(ISERROR(SEARCH("NO+$D$4:$D$10",C256)))</formula>
    </cfRule>
  </conditionalFormatting>
  <conditionalFormatting sqref="C256:D256">
    <cfRule type="containsText" dxfId="5105" priority="5639" operator="containsText" text="SI">
      <formula>NOT(ISERROR(SEARCH("SI",C256)))</formula>
    </cfRule>
    <cfRule type="containsText" dxfId="5104" priority="5640" operator="containsText" text="NO">
      <formula>NOT(ISERROR(SEARCH("NO",C256)))</formula>
    </cfRule>
  </conditionalFormatting>
  <conditionalFormatting sqref="C256:E256">
    <cfRule type="containsText" dxfId="5103" priority="5638" operator="containsText" text="NUEVO">
      <formula>NOT(ISERROR(SEARCH("NUEVO",C256)))</formula>
    </cfRule>
  </conditionalFormatting>
  <conditionalFormatting sqref="E256">
    <cfRule type="containsText" dxfId="5102" priority="5637" operator="containsText" text="Sin Información">
      <formula>NOT(ISERROR(SEARCH("Sin Información",E256)))</formula>
    </cfRule>
  </conditionalFormatting>
  <conditionalFormatting sqref="C257:D257">
    <cfRule type="containsText" dxfId="5101" priority="5636" operator="containsText" text="NO+$D$4:$D$10">
      <formula>NOT(ISERROR(SEARCH("NO+$D$4:$D$10",C257)))</formula>
    </cfRule>
  </conditionalFormatting>
  <conditionalFormatting sqref="C257:D257">
    <cfRule type="containsText" dxfId="5100" priority="5634" operator="containsText" text="SI">
      <formula>NOT(ISERROR(SEARCH("SI",C257)))</formula>
    </cfRule>
    <cfRule type="containsText" dxfId="5099" priority="5635" operator="containsText" text="NO">
      <formula>NOT(ISERROR(SEARCH("NO",C257)))</formula>
    </cfRule>
  </conditionalFormatting>
  <conditionalFormatting sqref="C257:E257">
    <cfRule type="containsText" dxfId="5098" priority="5633" operator="containsText" text="NUEVO">
      <formula>NOT(ISERROR(SEARCH("NUEVO",C257)))</formula>
    </cfRule>
  </conditionalFormatting>
  <conditionalFormatting sqref="E257">
    <cfRule type="containsText" dxfId="5097" priority="5632" operator="containsText" text="Sin Información">
      <formula>NOT(ISERROR(SEARCH("Sin Información",E257)))</formula>
    </cfRule>
  </conditionalFormatting>
  <conditionalFormatting sqref="C258:D258">
    <cfRule type="containsText" dxfId="5096" priority="5631" operator="containsText" text="NO+$D$4:$D$10">
      <formula>NOT(ISERROR(SEARCH("NO+$D$4:$D$10",C258)))</formula>
    </cfRule>
  </conditionalFormatting>
  <conditionalFormatting sqref="C258:D258">
    <cfRule type="containsText" dxfId="5095" priority="5629" operator="containsText" text="SI">
      <formula>NOT(ISERROR(SEARCH("SI",C258)))</formula>
    </cfRule>
    <cfRule type="containsText" dxfId="5094" priority="5630" operator="containsText" text="NO">
      <formula>NOT(ISERROR(SEARCH("NO",C258)))</formula>
    </cfRule>
  </conditionalFormatting>
  <conditionalFormatting sqref="C258:E258">
    <cfRule type="containsText" dxfId="5093" priority="5628" operator="containsText" text="NUEVO">
      <formula>NOT(ISERROR(SEARCH("NUEVO",C258)))</formula>
    </cfRule>
  </conditionalFormatting>
  <conditionalFormatting sqref="E258">
    <cfRule type="containsText" dxfId="5092" priority="5627" operator="containsText" text="Sin Información">
      <formula>NOT(ISERROR(SEARCH("Sin Información",E258)))</formula>
    </cfRule>
  </conditionalFormatting>
  <conditionalFormatting sqref="C259:D259">
    <cfRule type="containsText" dxfId="5091" priority="5626" operator="containsText" text="NO+$D$4:$D$10">
      <formula>NOT(ISERROR(SEARCH("NO+$D$4:$D$10",C259)))</formula>
    </cfRule>
  </conditionalFormatting>
  <conditionalFormatting sqref="C259:D259">
    <cfRule type="containsText" dxfId="5090" priority="5624" operator="containsText" text="SI">
      <formula>NOT(ISERROR(SEARCH("SI",C259)))</formula>
    </cfRule>
    <cfRule type="containsText" dxfId="5089" priority="5625" operator="containsText" text="NO">
      <formula>NOT(ISERROR(SEARCH("NO",C259)))</formula>
    </cfRule>
  </conditionalFormatting>
  <conditionalFormatting sqref="C259:E259">
    <cfRule type="containsText" dxfId="5088" priority="5623" operator="containsText" text="NUEVO">
      <formula>NOT(ISERROR(SEARCH("NUEVO",C259)))</formula>
    </cfRule>
  </conditionalFormatting>
  <conditionalFormatting sqref="E259">
    <cfRule type="containsText" dxfId="5087" priority="5622" operator="containsText" text="Sin Información">
      <formula>NOT(ISERROR(SEARCH("Sin Información",E259)))</formula>
    </cfRule>
  </conditionalFormatting>
  <conditionalFormatting sqref="C260:D260">
    <cfRule type="containsText" dxfId="5086" priority="5621" operator="containsText" text="NO+$D$4:$D$10">
      <formula>NOT(ISERROR(SEARCH("NO+$D$4:$D$10",C260)))</formula>
    </cfRule>
  </conditionalFormatting>
  <conditionalFormatting sqref="C260:D260">
    <cfRule type="containsText" dxfId="5085" priority="5619" operator="containsText" text="SI">
      <formula>NOT(ISERROR(SEARCH("SI",C260)))</formula>
    </cfRule>
    <cfRule type="containsText" dxfId="5084" priority="5620" operator="containsText" text="NO">
      <formula>NOT(ISERROR(SEARCH("NO",C260)))</formula>
    </cfRule>
  </conditionalFormatting>
  <conditionalFormatting sqref="C260:E260">
    <cfRule type="containsText" dxfId="5083" priority="5618" operator="containsText" text="NUEVO">
      <formula>NOT(ISERROR(SEARCH("NUEVO",C260)))</formula>
    </cfRule>
  </conditionalFormatting>
  <conditionalFormatting sqref="E260">
    <cfRule type="containsText" dxfId="5082" priority="5617" operator="containsText" text="Sin Información">
      <formula>NOT(ISERROR(SEARCH("Sin Información",E260)))</formula>
    </cfRule>
  </conditionalFormatting>
  <conditionalFormatting sqref="C262:D262">
    <cfRule type="containsText" dxfId="5081" priority="5616" operator="containsText" text="NO+$D$4:$D$10">
      <formula>NOT(ISERROR(SEARCH("NO+$D$4:$D$10",C262)))</formula>
    </cfRule>
  </conditionalFormatting>
  <conditionalFormatting sqref="C262:D262">
    <cfRule type="containsText" dxfId="5080" priority="5614" operator="containsText" text="SI">
      <formula>NOT(ISERROR(SEARCH("SI",C262)))</formula>
    </cfRule>
    <cfRule type="containsText" dxfId="5079" priority="5615" operator="containsText" text="NO">
      <formula>NOT(ISERROR(SEARCH("NO",C262)))</formula>
    </cfRule>
  </conditionalFormatting>
  <conditionalFormatting sqref="E262">
    <cfRule type="containsText" dxfId="5078" priority="5613" operator="containsText" text="Sin información">
      <formula>NOT(ISERROR(SEARCH("Sin información",E262)))</formula>
    </cfRule>
  </conditionalFormatting>
  <conditionalFormatting sqref="C262:E262">
    <cfRule type="containsText" dxfId="5077" priority="5612" operator="containsText" text="NUEVO">
      <formula>NOT(ISERROR(SEARCH("NUEVO",C262)))</formula>
    </cfRule>
  </conditionalFormatting>
  <conditionalFormatting sqref="E262">
    <cfRule type="containsText" dxfId="5076" priority="5611" operator="containsText" text="Sin Información">
      <formula>NOT(ISERROR(SEARCH("Sin Información",E262)))</formula>
    </cfRule>
  </conditionalFormatting>
  <conditionalFormatting sqref="C263:D263">
    <cfRule type="containsText" dxfId="5075" priority="5610" operator="containsText" text="NO+$D$4:$D$10">
      <formula>NOT(ISERROR(SEARCH("NO+$D$4:$D$10",C263)))</formula>
    </cfRule>
  </conditionalFormatting>
  <conditionalFormatting sqref="C263:D263">
    <cfRule type="containsText" dxfId="5074" priority="5608" operator="containsText" text="SI">
      <formula>NOT(ISERROR(SEARCH("SI",C263)))</formula>
    </cfRule>
    <cfRule type="containsText" dxfId="5073" priority="5609" operator="containsText" text="NO">
      <formula>NOT(ISERROR(SEARCH("NO",C263)))</formula>
    </cfRule>
  </conditionalFormatting>
  <conditionalFormatting sqref="E263">
    <cfRule type="containsText" dxfId="5072" priority="5607" operator="containsText" text="Sin información">
      <formula>NOT(ISERROR(SEARCH("Sin información",E263)))</formula>
    </cfRule>
  </conditionalFormatting>
  <conditionalFormatting sqref="C263:E263">
    <cfRule type="containsText" dxfId="5071" priority="5606" operator="containsText" text="NUEVO">
      <formula>NOT(ISERROR(SEARCH("NUEVO",C263)))</formula>
    </cfRule>
  </conditionalFormatting>
  <conditionalFormatting sqref="E263">
    <cfRule type="containsText" dxfId="5070" priority="5605" operator="containsText" text="Sin Información">
      <formula>NOT(ISERROR(SEARCH("Sin Información",E263)))</formula>
    </cfRule>
  </conditionalFormatting>
  <conditionalFormatting sqref="C264:D264">
    <cfRule type="containsText" dxfId="5069" priority="5604" operator="containsText" text="NO+$D$4:$D$10">
      <formula>NOT(ISERROR(SEARCH("NO+$D$4:$D$10",C264)))</formula>
    </cfRule>
  </conditionalFormatting>
  <conditionalFormatting sqref="C264:D264">
    <cfRule type="containsText" dxfId="5068" priority="5602" operator="containsText" text="SI">
      <formula>NOT(ISERROR(SEARCH("SI",C264)))</formula>
    </cfRule>
    <cfRule type="containsText" dxfId="5067" priority="5603" operator="containsText" text="NO">
      <formula>NOT(ISERROR(SEARCH("NO",C264)))</formula>
    </cfRule>
  </conditionalFormatting>
  <conditionalFormatting sqref="E264">
    <cfRule type="containsText" dxfId="5066" priority="5601" operator="containsText" text="Sin información">
      <formula>NOT(ISERROR(SEARCH("Sin información",E264)))</formula>
    </cfRule>
  </conditionalFormatting>
  <conditionalFormatting sqref="C264:E264">
    <cfRule type="containsText" dxfId="5065" priority="5600" operator="containsText" text="NUEVO">
      <formula>NOT(ISERROR(SEARCH("NUEVO",C264)))</formula>
    </cfRule>
  </conditionalFormatting>
  <conditionalFormatting sqref="E264">
    <cfRule type="containsText" dxfId="5064" priority="5599" operator="containsText" text="Sin Información">
      <formula>NOT(ISERROR(SEARCH("Sin Información",E264)))</formula>
    </cfRule>
  </conditionalFormatting>
  <conditionalFormatting sqref="E264">
    <cfRule type="containsText" dxfId="5063" priority="5598" operator="containsText" text="Sin información">
      <formula>NOT(ISERROR(SEARCH("Sin información",E264)))</formula>
    </cfRule>
  </conditionalFormatting>
  <conditionalFormatting sqref="E264">
    <cfRule type="containsText" dxfId="5062" priority="5597" operator="containsText" text="NUEVO">
      <formula>NOT(ISERROR(SEARCH("NUEVO",E264)))</formula>
    </cfRule>
  </conditionalFormatting>
  <conditionalFormatting sqref="C265:D265">
    <cfRule type="containsText" dxfId="5061" priority="5596" operator="containsText" text="NO+$D$4:$D$10">
      <formula>NOT(ISERROR(SEARCH("NO+$D$4:$D$10",C265)))</formula>
    </cfRule>
  </conditionalFormatting>
  <conditionalFormatting sqref="C265:D265">
    <cfRule type="containsText" dxfId="5060" priority="5594" operator="containsText" text="SI">
      <formula>NOT(ISERROR(SEARCH("SI",C265)))</formula>
    </cfRule>
    <cfRule type="containsText" dxfId="5059" priority="5595" operator="containsText" text="NO">
      <formula>NOT(ISERROR(SEARCH("NO",C265)))</formula>
    </cfRule>
  </conditionalFormatting>
  <conditionalFormatting sqref="C265:E265">
    <cfRule type="containsText" dxfId="5058" priority="5593" operator="containsText" text="NUEVO">
      <formula>NOT(ISERROR(SEARCH("NUEVO",C265)))</formula>
    </cfRule>
  </conditionalFormatting>
  <conditionalFormatting sqref="E265">
    <cfRule type="containsText" dxfId="5057" priority="5592" operator="containsText" text="Sin Información">
      <formula>NOT(ISERROR(SEARCH("Sin Información",E265)))</formula>
    </cfRule>
  </conditionalFormatting>
  <conditionalFormatting sqref="C266:D266">
    <cfRule type="containsText" dxfId="5056" priority="5591" operator="containsText" text="NO+$D$4:$D$10">
      <formula>NOT(ISERROR(SEARCH("NO+$D$4:$D$10",C266)))</formula>
    </cfRule>
  </conditionalFormatting>
  <conditionalFormatting sqref="C266:D266">
    <cfRule type="containsText" dxfId="5055" priority="5589" operator="containsText" text="SI">
      <formula>NOT(ISERROR(SEARCH("SI",C266)))</formula>
    </cfRule>
    <cfRule type="containsText" dxfId="5054" priority="5590" operator="containsText" text="NO">
      <formula>NOT(ISERROR(SEARCH("NO",C266)))</formula>
    </cfRule>
  </conditionalFormatting>
  <conditionalFormatting sqref="C266:E266">
    <cfRule type="containsText" dxfId="5053" priority="5588" operator="containsText" text="NUEVO">
      <formula>NOT(ISERROR(SEARCH("NUEVO",C266)))</formula>
    </cfRule>
  </conditionalFormatting>
  <conditionalFormatting sqref="E266">
    <cfRule type="containsText" dxfId="5052" priority="5587" operator="containsText" text="Sin Información">
      <formula>NOT(ISERROR(SEARCH("Sin Información",E266)))</formula>
    </cfRule>
  </conditionalFormatting>
  <conditionalFormatting sqref="C267:D267">
    <cfRule type="containsText" dxfId="5051" priority="5586" operator="containsText" text="NO+$D$4:$D$10">
      <formula>NOT(ISERROR(SEARCH("NO+$D$4:$D$10",C267)))</formula>
    </cfRule>
  </conditionalFormatting>
  <conditionalFormatting sqref="C267:D267">
    <cfRule type="containsText" dxfId="5050" priority="5584" operator="containsText" text="SI">
      <formula>NOT(ISERROR(SEARCH("SI",C267)))</formula>
    </cfRule>
    <cfRule type="containsText" dxfId="5049" priority="5585" operator="containsText" text="NO">
      <formula>NOT(ISERROR(SEARCH("NO",C267)))</formula>
    </cfRule>
  </conditionalFormatting>
  <conditionalFormatting sqref="C267:E267">
    <cfRule type="containsText" dxfId="5048" priority="5583" operator="containsText" text="NUEVO">
      <formula>NOT(ISERROR(SEARCH("NUEVO",C267)))</formula>
    </cfRule>
  </conditionalFormatting>
  <conditionalFormatting sqref="E267">
    <cfRule type="containsText" dxfId="5047" priority="5582" operator="containsText" text="Sin Información">
      <formula>NOT(ISERROR(SEARCH("Sin Información",E267)))</formula>
    </cfRule>
  </conditionalFormatting>
  <conditionalFormatting sqref="C268:D268">
    <cfRule type="containsText" dxfId="5046" priority="5581" operator="containsText" text="NO+$D$4:$D$10">
      <formula>NOT(ISERROR(SEARCH("NO+$D$4:$D$10",C268)))</formula>
    </cfRule>
  </conditionalFormatting>
  <conditionalFormatting sqref="C268:D268">
    <cfRule type="containsText" dxfId="5045" priority="5579" operator="containsText" text="SI">
      <formula>NOT(ISERROR(SEARCH("SI",C268)))</formula>
    </cfRule>
    <cfRule type="containsText" dxfId="5044" priority="5580" operator="containsText" text="NO">
      <formula>NOT(ISERROR(SEARCH("NO",C268)))</formula>
    </cfRule>
  </conditionalFormatting>
  <conditionalFormatting sqref="C268:E268">
    <cfRule type="containsText" dxfId="5043" priority="5578" operator="containsText" text="NUEVO">
      <formula>NOT(ISERROR(SEARCH("NUEVO",C268)))</formula>
    </cfRule>
  </conditionalFormatting>
  <conditionalFormatting sqref="E268">
    <cfRule type="containsText" dxfId="5042" priority="5577" operator="containsText" text="Sin Información">
      <formula>NOT(ISERROR(SEARCH("Sin Información",E268)))</formula>
    </cfRule>
  </conditionalFormatting>
  <conditionalFormatting sqref="C269:D269">
    <cfRule type="containsText" dxfId="5041" priority="5576" operator="containsText" text="NO+$D$4:$D$10">
      <formula>NOT(ISERROR(SEARCH("NO+$D$4:$D$10",C269)))</formula>
    </cfRule>
  </conditionalFormatting>
  <conditionalFormatting sqref="C269:D269">
    <cfRule type="containsText" dxfId="5040" priority="5574" operator="containsText" text="SI">
      <formula>NOT(ISERROR(SEARCH("SI",C269)))</formula>
    </cfRule>
    <cfRule type="containsText" dxfId="5039" priority="5575" operator="containsText" text="NO">
      <formula>NOT(ISERROR(SEARCH("NO",C269)))</formula>
    </cfRule>
  </conditionalFormatting>
  <conditionalFormatting sqref="C269:E269">
    <cfRule type="containsText" dxfId="5038" priority="5573" operator="containsText" text="NUEVO">
      <formula>NOT(ISERROR(SEARCH("NUEVO",C269)))</formula>
    </cfRule>
  </conditionalFormatting>
  <conditionalFormatting sqref="E269">
    <cfRule type="containsText" dxfId="5037" priority="5572" operator="containsText" text="Sin Información">
      <formula>NOT(ISERROR(SEARCH("Sin Información",E269)))</formula>
    </cfRule>
  </conditionalFormatting>
  <conditionalFormatting sqref="C270:D270">
    <cfRule type="containsText" dxfId="5036" priority="5571" operator="containsText" text="NO+$D$4:$D$10">
      <formula>NOT(ISERROR(SEARCH("NO+$D$4:$D$10",C270)))</formula>
    </cfRule>
  </conditionalFormatting>
  <conditionalFormatting sqref="C270:D270">
    <cfRule type="containsText" dxfId="5035" priority="5569" operator="containsText" text="SI">
      <formula>NOT(ISERROR(SEARCH("SI",C270)))</formula>
    </cfRule>
    <cfRule type="containsText" dxfId="5034" priority="5570" operator="containsText" text="NO">
      <formula>NOT(ISERROR(SEARCH("NO",C270)))</formula>
    </cfRule>
  </conditionalFormatting>
  <conditionalFormatting sqref="C270:E270">
    <cfRule type="containsText" dxfId="5033" priority="5568" operator="containsText" text="NUEVO">
      <formula>NOT(ISERROR(SEARCH("NUEVO",C270)))</formula>
    </cfRule>
  </conditionalFormatting>
  <conditionalFormatting sqref="E270">
    <cfRule type="containsText" dxfId="5032" priority="5567" operator="containsText" text="Sin Información">
      <formula>NOT(ISERROR(SEARCH("Sin Información",E270)))</formula>
    </cfRule>
  </conditionalFormatting>
  <conditionalFormatting sqref="C271:D271">
    <cfRule type="containsText" dxfId="5031" priority="5566" operator="containsText" text="NO+$D$4:$D$10">
      <formula>NOT(ISERROR(SEARCH("NO+$D$4:$D$10",C271)))</formula>
    </cfRule>
  </conditionalFormatting>
  <conditionalFormatting sqref="C271:D271">
    <cfRule type="containsText" dxfId="5030" priority="5564" operator="containsText" text="SI">
      <formula>NOT(ISERROR(SEARCH("SI",C271)))</formula>
    </cfRule>
    <cfRule type="containsText" dxfId="5029" priority="5565" operator="containsText" text="NO">
      <formula>NOT(ISERROR(SEARCH("NO",C271)))</formula>
    </cfRule>
  </conditionalFormatting>
  <conditionalFormatting sqref="C271:E271">
    <cfRule type="containsText" dxfId="5028" priority="5563" operator="containsText" text="NUEVO">
      <formula>NOT(ISERROR(SEARCH("NUEVO",C271)))</formula>
    </cfRule>
  </conditionalFormatting>
  <conditionalFormatting sqref="E271">
    <cfRule type="containsText" dxfId="5027" priority="5562" operator="containsText" text="Sin Información">
      <formula>NOT(ISERROR(SEARCH("Sin Información",E271)))</formula>
    </cfRule>
  </conditionalFormatting>
  <conditionalFormatting sqref="C272:D272">
    <cfRule type="containsText" dxfId="5026" priority="5561" operator="containsText" text="NO+$D$4:$D$10">
      <formula>NOT(ISERROR(SEARCH("NO+$D$4:$D$10",C272)))</formula>
    </cfRule>
  </conditionalFormatting>
  <conditionalFormatting sqref="C272:D272">
    <cfRule type="containsText" dxfId="5025" priority="5559" operator="containsText" text="SI">
      <formula>NOT(ISERROR(SEARCH("SI",C272)))</formula>
    </cfRule>
    <cfRule type="containsText" dxfId="5024" priority="5560" operator="containsText" text="NO">
      <formula>NOT(ISERROR(SEARCH("NO",C272)))</formula>
    </cfRule>
  </conditionalFormatting>
  <conditionalFormatting sqref="C272:E272">
    <cfRule type="containsText" dxfId="5023" priority="5558" operator="containsText" text="NUEVO">
      <formula>NOT(ISERROR(SEARCH("NUEVO",C272)))</formula>
    </cfRule>
  </conditionalFormatting>
  <conditionalFormatting sqref="E272">
    <cfRule type="containsText" dxfId="5022" priority="5557" operator="containsText" text="Sin Información">
      <formula>NOT(ISERROR(SEARCH("Sin Información",E272)))</formula>
    </cfRule>
  </conditionalFormatting>
  <conditionalFormatting sqref="C273:D273">
    <cfRule type="containsText" dxfId="5021" priority="5556" operator="containsText" text="NO+$D$4:$D$10">
      <formula>NOT(ISERROR(SEARCH("NO+$D$4:$D$10",C273)))</formula>
    </cfRule>
  </conditionalFormatting>
  <conditionalFormatting sqref="C273:D273">
    <cfRule type="containsText" dxfId="5020" priority="5554" operator="containsText" text="SI">
      <formula>NOT(ISERROR(SEARCH("SI",C273)))</formula>
    </cfRule>
    <cfRule type="containsText" dxfId="5019" priority="5555" operator="containsText" text="NO">
      <formula>NOT(ISERROR(SEARCH("NO",C273)))</formula>
    </cfRule>
  </conditionalFormatting>
  <conditionalFormatting sqref="C273:E273">
    <cfRule type="containsText" dxfId="5018" priority="5553" operator="containsText" text="NUEVO">
      <formula>NOT(ISERROR(SEARCH("NUEVO",C273)))</formula>
    </cfRule>
  </conditionalFormatting>
  <conditionalFormatting sqref="E273">
    <cfRule type="containsText" dxfId="5017" priority="5552" operator="containsText" text="Sin Información">
      <formula>NOT(ISERROR(SEARCH("Sin Información",E273)))</formula>
    </cfRule>
  </conditionalFormatting>
  <conditionalFormatting sqref="C274:D274">
    <cfRule type="containsText" dxfId="5016" priority="5551" operator="containsText" text="NO+$D$4:$D$10">
      <formula>NOT(ISERROR(SEARCH("NO+$D$4:$D$10",C274)))</formula>
    </cfRule>
  </conditionalFormatting>
  <conditionalFormatting sqref="C274:D274">
    <cfRule type="containsText" dxfId="5015" priority="5549" operator="containsText" text="SI">
      <formula>NOT(ISERROR(SEARCH("SI",C274)))</formula>
    </cfRule>
    <cfRule type="containsText" dxfId="5014" priority="5550" operator="containsText" text="NO">
      <formula>NOT(ISERROR(SEARCH("NO",C274)))</formula>
    </cfRule>
  </conditionalFormatting>
  <conditionalFormatting sqref="C274:D274">
    <cfRule type="containsText" dxfId="5013" priority="5548" operator="containsText" text="NUEVO">
      <formula>NOT(ISERROR(SEARCH("NUEVO",C274)))</formula>
    </cfRule>
  </conditionalFormatting>
  <conditionalFormatting sqref="E274">
    <cfRule type="containsText" dxfId="5012" priority="5547" operator="containsText" text="NUEVO">
      <formula>NOT(ISERROR(SEARCH("NUEVO",E274)))</formula>
    </cfRule>
  </conditionalFormatting>
  <conditionalFormatting sqref="E274">
    <cfRule type="containsText" dxfId="5011" priority="5546" operator="containsText" text="Sin Información">
      <formula>NOT(ISERROR(SEARCH("Sin Información",E274)))</formula>
    </cfRule>
  </conditionalFormatting>
  <conditionalFormatting sqref="C276:D276">
    <cfRule type="containsText" dxfId="5010" priority="5545" operator="containsText" text="NO+$D$4:$D$10">
      <formula>NOT(ISERROR(SEARCH("NO+$D$4:$D$10",C276)))</formula>
    </cfRule>
  </conditionalFormatting>
  <conditionalFormatting sqref="C276:D276">
    <cfRule type="containsText" dxfId="5009" priority="5543" operator="containsText" text="SI">
      <formula>NOT(ISERROR(SEARCH("SI",C276)))</formula>
    </cfRule>
    <cfRule type="containsText" dxfId="5008" priority="5544" operator="containsText" text="NO">
      <formula>NOT(ISERROR(SEARCH("NO",C276)))</formula>
    </cfRule>
  </conditionalFormatting>
  <conditionalFormatting sqref="C276:D276">
    <cfRule type="containsText" dxfId="5007" priority="5542" operator="containsText" text="NUEVO">
      <formula>NOT(ISERROR(SEARCH("NUEVO",C276)))</formula>
    </cfRule>
  </conditionalFormatting>
  <conditionalFormatting sqref="E276">
    <cfRule type="containsText" dxfId="5006" priority="5541" operator="containsText" text="NUEVO">
      <formula>NOT(ISERROR(SEARCH("NUEVO",E276)))</formula>
    </cfRule>
  </conditionalFormatting>
  <conditionalFormatting sqref="E276">
    <cfRule type="containsText" dxfId="5005" priority="5540" operator="containsText" text="Sin Información">
      <formula>NOT(ISERROR(SEARCH("Sin Información",E276)))</formula>
    </cfRule>
  </conditionalFormatting>
  <conditionalFormatting sqref="C277:D277">
    <cfRule type="containsText" dxfId="5004" priority="5539" operator="containsText" text="NO+$D$4:$D$10">
      <formula>NOT(ISERROR(SEARCH("NO+$D$4:$D$10",C277)))</formula>
    </cfRule>
  </conditionalFormatting>
  <conditionalFormatting sqref="C277:D277">
    <cfRule type="containsText" dxfId="5003" priority="5537" operator="containsText" text="SI">
      <formula>NOT(ISERROR(SEARCH("SI",C277)))</formula>
    </cfRule>
    <cfRule type="containsText" dxfId="5002" priority="5538" operator="containsText" text="NO">
      <formula>NOT(ISERROR(SEARCH("NO",C277)))</formula>
    </cfRule>
  </conditionalFormatting>
  <conditionalFormatting sqref="C277:E277">
    <cfRule type="containsText" dxfId="5001" priority="5536" operator="containsText" text="NUEVO">
      <formula>NOT(ISERROR(SEARCH("NUEVO",C277)))</formula>
    </cfRule>
  </conditionalFormatting>
  <conditionalFormatting sqref="E277">
    <cfRule type="containsText" dxfId="5000" priority="5535" operator="containsText" text="Sin Información">
      <formula>NOT(ISERROR(SEARCH("Sin Información",E277)))</formula>
    </cfRule>
  </conditionalFormatting>
  <conditionalFormatting sqref="C278:D278">
    <cfRule type="containsText" dxfId="4999" priority="5534" operator="containsText" text="NO+$D$4:$D$10">
      <formula>NOT(ISERROR(SEARCH("NO+$D$4:$D$10",C278)))</formula>
    </cfRule>
  </conditionalFormatting>
  <conditionalFormatting sqref="C278:D278">
    <cfRule type="containsText" dxfId="4998" priority="5532" operator="containsText" text="SI">
      <formula>NOT(ISERROR(SEARCH("SI",C278)))</formula>
    </cfRule>
    <cfRule type="containsText" dxfId="4997" priority="5533" operator="containsText" text="NO">
      <formula>NOT(ISERROR(SEARCH("NO",C278)))</formula>
    </cfRule>
  </conditionalFormatting>
  <conditionalFormatting sqref="C278:E278">
    <cfRule type="containsText" dxfId="4996" priority="5531" operator="containsText" text="NUEVO">
      <formula>NOT(ISERROR(SEARCH("NUEVO",C278)))</formula>
    </cfRule>
  </conditionalFormatting>
  <conditionalFormatting sqref="E278">
    <cfRule type="containsText" dxfId="4995" priority="5530" operator="containsText" text="Sin Información">
      <formula>NOT(ISERROR(SEARCH("Sin Información",E278)))</formula>
    </cfRule>
  </conditionalFormatting>
  <conditionalFormatting sqref="C279:D279">
    <cfRule type="containsText" dxfId="4994" priority="5529" operator="containsText" text="NO+$D$4:$D$10">
      <formula>NOT(ISERROR(SEARCH("NO+$D$4:$D$10",C279)))</formula>
    </cfRule>
  </conditionalFormatting>
  <conditionalFormatting sqref="C279:D279">
    <cfRule type="containsText" dxfId="4993" priority="5527" operator="containsText" text="SI">
      <formula>NOT(ISERROR(SEARCH("SI",C279)))</formula>
    </cfRule>
    <cfRule type="containsText" dxfId="4992" priority="5528" operator="containsText" text="NO">
      <formula>NOT(ISERROR(SEARCH("NO",C279)))</formula>
    </cfRule>
  </conditionalFormatting>
  <conditionalFormatting sqref="C279:E279">
    <cfRule type="containsText" dxfId="4991" priority="5526" operator="containsText" text="NUEVO">
      <formula>NOT(ISERROR(SEARCH("NUEVO",C279)))</formula>
    </cfRule>
  </conditionalFormatting>
  <conditionalFormatting sqref="E279">
    <cfRule type="containsText" dxfId="4990" priority="5525" operator="containsText" text="Sin Información">
      <formula>NOT(ISERROR(SEARCH("Sin Información",E279)))</formula>
    </cfRule>
  </conditionalFormatting>
  <conditionalFormatting sqref="C280:D280">
    <cfRule type="containsText" dxfId="4989" priority="5524" operator="containsText" text="NO+$D$4:$D$10">
      <formula>NOT(ISERROR(SEARCH("NO+$D$4:$D$10",C280)))</formula>
    </cfRule>
  </conditionalFormatting>
  <conditionalFormatting sqref="C280:D280">
    <cfRule type="containsText" dxfId="4988" priority="5522" operator="containsText" text="SI">
      <formula>NOT(ISERROR(SEARCH("SI",C280)))</formula>
    </cfRule>
    <cfRule type="containsText" dxfId="4987" priority="5523" operator="containsText" text="NO">
      <formula>NOT(ISERROR(SEARCH("NO",C280)))</formula>
    </cfRule>
  </conditionalFormatting>
  <conditionalFormatting sqref="C280:E280">
    <cfRule type="containsText" dxfId="4986" priority="5521" operator="containsText" text="NUEVO">
      <formula>NOT(ISERROR(SEARCH("NUEVO",C280)))</formula>
    </cfRule>
  </conditionalFormatting>
  <conditionalFormatting sqref="E280">
    <cfRule type="containsText" dxfId="4985" priority="5520" operator="containsText" text="Sin Información">
      <formula>NOT(ISERROR(SEARCH("Sin Información",E280)))</formula>
    </cfRule>
  </conditionalFormatting>
  <conditionalFormatting sqref="C281:D281">
    <cfRule type="containsText" dxfId="4984" priority="5519" operator="containsText" text="NO+$D$4:$D$10">
      <formula>NOT(ISERROR(SEARCH("NO+$D$4:$D$10",C281)))</formula>
    </cfRule>
  </conditionalFormatting>
  <conditionalFormatting sqref="C281:D281">
    <cfRule type="containsText" dxfId="4983" priority="5517" operator="containsText" text="SI">
      <formula>NOT(ISERROR(SEARCH("SI",C281)))</formula>
    </cfRule>
    <cfRule type="containsText" dxfId="4982" priority="5518" operator="containsText" text="NO">
      <formula>NOT(ISERROR(SEARCH("NO",C281)))</formula>
    </cfRule>
  </conditionalFormatting>
  <conditionalFormatting sqref="C281:E281">
    <cfRule type="containsText" dxfId="4981" priority="5516" operator="containsText" text="NUEVO">
      <formula>NOT(ISERROR(SEARCH("NUEVO",C281)))</formula>
    </cfRule>
  </conditionalFormatting>
  <conditionalFormatting sqref="E281">
    <cfRule type="containsText" dxfId="4980" priority="5515" operator="containsText" text="Sin Información">
      <formula>NOT(ISERROR(SEARCH("Sin Información",E281)))</formula>
    </cfRule>
  </conditionalFormatting>
  <conditionalFormatting sqref="C282:D282">
    <cfRule type="containsText" dxfId="4979" priority="5514" operator="containsText" text="NO+$D$4:$D$10">
      <formula>NOT(ISERROR(SEARCH("NO+$D$4:$D$10",C282)))</formula>
    </cfRule>
  </conditionalFormatting>
  <conditionalFormatting sqref="C282:D282">
    <cfRule type="containsText" dxfId="4978" priority="5512" operator="containsText" text="SI">
      <formula>NOT(ISERROR(SEARCH("SI",C282)))</formula>
    </cfRule>
    <cfRule type="containsText" dxfId="4977" priority="5513" operator="containsText" text="NO">
      <formula>NOT(ISERROR(SEARCH("NO",C282)))</formula>
    </cfRule>
  </conditionalFormatting>
  <conditionalFormatting sqref="C282:E282">
    <cfRule type="containsText" dxfId="4976" priority="5511" operator="containsText" text="NUEVO">
      <formula>NOT(ISERROR(SEARCH("NUEVO",C282)))</formula>
    </cfRule>
  </conditionalFormatting>
  <conditionalFormatting sqref="E282">
    <cfRule type="containsText" dxfId="4975" priority="5510" operator="containsText" text="Sin Información">
      <formula>NOT(ISERROR(SEARCH("Sin Información",E282)))</formula>
    </cfRule>
  </conditionalFormatting>
  <conditionalFormatting sqref="C284:D284">
    <cfRule type="containsText" dxfId="4974" priority="5509" operator="containsText" text="NO+$D$4:$D$10">
      <formula>NOT(ISERROR(SEARCH("NO+$D$4:$D$10",C284)))</formula>
    </cfRule>
  </conditionalFormatting>
  <conditionalFormatting sqref="C284:D284">
    <cfRule type="containsText" dxfId="4973" priority="5507" operator="containsText" text="SI">
      <formula>NOT(ISERROR(SEARCH("SI",C284)))</formula>
    </cfRule>
    <cfRule type="containsText" dxfId="4972" priority="5508" operator="containsText" text="NO">
      <formula>NOT(ISERROR(SEARCH("NO",C284)))</formula>
    </cfRule>
  </conditionalFormatting>
  <conditionalFormatting sqref="C284:D284">
    <cfRule type="containsText" dxfId="4971" priority="5506" operator="containsText" text="NUEVO">
      <formula>NOT(ISERROR(SEARCH("NUEVO",C284)))</formula>
    </cfRule>
  </conditionalFormatting>
  <conditionalFormatting sqref="E284">
    <cfRule type="containsText" dxfId="4970" priority="5505" operator="containsText" text="NUEVO">
      <formula>NOT(ISERROR(SEARCH("NUEVO",E284)))</formula>
    </cfRule>
  </conditionalFormatting>
  <conditionalFormatting sqref="E284">
    <cfRule type="containsText" dxfId="4969" priority="5504" operator="containsText" text="Sin Información">
      <formula>NOT(ISERROR(SEARCH("Sin Información",E284)))</formula>
    </cfRule>
  </conditionalFormatting>
  <conditionalFormatting sqref="C285:D285">
    <cfRule type="containsText" dxfId="4968" priority="5503" operator="containsText" text="NO+$D$4:$D$10">
      <formula>NOT(ISERROR(SEARCH("NO+$D$4:$D$10",C285)))</formula>
    </cfRule>
  </conditionalFormatting>
  <conditionalFormatting sqref="C285:D285">
    <cfRule type="containsText" dxfId="4967" priority="5501" operator="containsText" text="SI">
      <formula>NOT(ISERROR(SEARCH("SI",C285)))</formula>
    </cfRule>
    <cfRule type="containsText" dxfId="4966" priority="5502" operator="containsText" text="NO">
      <formula>NOT(ISERROR(SEARCH("NO",C285)))</formula>
    </cfRule>
  </conditionalFormatting>
  <conditionalFormatting sqref="E285">
    <cfRule type="containsText" dxfId="4965" priority="5500" operator="containsText" text="Sin información">
      <formula>NOT(ISERROR(SEARCH("Sin información",E285)))</formula>
    </cfRule>
  </conditionalFormatting>
  <conditionalFormatting sqref="C285:E285">
    <cfRule type="containsText" dxfId="4964" priority="5499" operator="containsText" text="NUEVO">
      <formula>NOT(ISERROR(SEARCH("NUEVO",C285)))</formula>
    </cfRule>
  </conditionalFormatting>
  <conditionalFormatting sqref="E285">
    <cfRule type="containsText" dxfId="4963" priority="5498" operator="containsText" text="Sin Información">
      <formula>NOT(ISERROR(SEARCH("Sin Información",E285)))</formula>
    </cfRule>
  </conditionalFormatting>
  <conditionalFormatting sqref="E285">
    <cfRule type="containsText" dxfId="4962" priority="5497" operator="containsText" text="Sin información">
      <formula>NOT(ISERROR(SEARCH("Sin información",E285)))</formula>
    </cfRule>
  </conditionalFormatting>
  <conditionalFormatting sqref="E285">
    <cfRule type="containsText" dxfId="4961" priority="5496" operator="containsText" text="NUEVO">
      <formula>NOT(ISERROR(SEARCH("NUEVO",E285)))</formula>
    </cfRule>
  </conditionalFormatting>
  <conditionalFormatting sqref="C286:D286">
    <cfRule type="containsText" dxfId="4960" priority="5495" operator="containsText" text="NO+$D$4:$D$10">
      <formula>NOT(ISERROR(SEARCH("NO+$D$4:$D$10",C286)))</formula>
    </cfRule>
  </conditionalFormatting>
  <conditionalFormatting sqref="C286:D286">
    <cfRule type="containsText" dxfId="4959" priority="5493" operator="containsText" text="SI">
      <formula>NOT(ISERROR(SEARCH("SI",C286)))</formula>
    </cfRule>
    <cfRule type="containsText" dxfId="4958" priority="5494" operator="containsText" text="NO">
      <formula>NOT(ISERROR(SEARCH("NO",C286)))</formula>
    </cfRule>
  </conditionalFormatting>
  <conditionalFormatting sqref="E286">
    <cfRule type="containsText" dxfId="4957" priority="5492" operator="containsText" text="Sin información">
      <formula>NOT(ISERROR(SEARCH("Sin información",E286)))</formula>
    </cfRule>
  </conditionalFormatting>
  <conditionalFormatting sqref="C286:E286">
    <cfRule type="containsText" dxfId="4956" priority="5491" operator="containsText" text="NUEVO">
      <formula>NOT(ISERROR(SEARCH("NUEVO",C286)))</formula>
    </cfRule>
  </conditionalFormatting>
  <conditionalFormatting sqref="E286">
    <cfRule type="containsText" dxfId="4955" priority="5490" operator="containsText" text="Sin Información">
      <formula>NOT(ISERROR(SEARCH("Sin Información",E286)))</formula>
    </cfRule>
  </conditionalFormatting>
  <conditionalFormatting sqref="E286">
    <cfRule type="containsText" dxfId="4954" priority="5489" operator="containsText" text="Sin información">
      <formula>NOT(ISERROR(SEARCH("Sin información",E286)))</formula>
    </cfRule>
  </conditionalFormatting>
  <conditionalFormatting sqref="E286">
    <cfRule type="containsText" dxfId="4953" priority="5488" operator="containsText" text="NUEVO">
      <formula>NOT(ISERROR(SEARCH("NUEVO",E286)))</formula>
    </cfRule>
  </conditionalFormatting>
  <conditionalFormatting sqref="C287:D287">
    <cfRule type="containsText" dxfId="4952" priority="5487" operator="containsText" text="NO+$D$4:$D$10">
      <formula>NOT(ISERROR(SEARCH("NO+$D$4:$D$10",C287)))</formula>
    </cfRule>
  </conditionalFormatting>
  <conditionalFormatting sqref="C287:D287">
    <cfRule type="containsText" dxfId="4951" priority="5485" operator="containsText" text="SI">
      <formula>NOT(ISERROR(SEARCH("SI",C287)))</formula>
    </cfRule>
    <cfRule type="containsText" dxfId="4950" priority="5486" operator="containsText" text="NO">
      <formula>NOT(ISERROR(SEARCH("NO",C287)))</formula>
    </cfRule>
  </conditionalFormatting>
  <conditionalFormatting sqref="C287:E287">
    <cfRule type="containsText" dxfId="4949" priority="5484" operator="containsText" text="NUEVO">
      <formula>NOT(ISERROR(SEARCH("NUEVO",C287)))</formula>
    </cfRule>
  </conditionalFormatting>
  <conditionalFormatting sqref="E287">
    <cfRule type="containsText" dxfId="4948" priority="5483" operator="containsText" text="Sin Información">
      <formula>NOT(ISERROR(SEARCH("Sin Información",E287)))</formula>
    </cfRule>
  </conditionalFormatting>
  <conditionalFormatting sqref="C288:D288">
    <cfRule type="containsText" dxfId="4947" priority="5482" operator="containsText" text="NO+$D$4:$D$10">
      <formula>NOT(ISERROR(SEARCH("NO+$D$4:$D$10",C288)))</formula>
    </cfRule>
  </conditionalFormatting>
  <conditionalFormatting sqref="C288:D288">
    <cfRule type="containsText" dxfId="4946" priority="5480" operator="containsText" text="SI">
      <formula>NOT(ISERROR(SEARCH("SI",C288)))</formula>
    </cfRule>
    <cfRule type="containsText" dxfId="4945" priority="5481" operator="containsText" text="NO">
      <formula>NOT(ISERROR(SEARCH("NO",C288)))</formula>
    </cfRule>
  </conditionalFormatting>
  <conditionalFormatting sqref="C288:E288">
    <cfRule type="containsText" dxfId="4944" priority="5479" operator="containsText" text="NUEVO">
      <formula>NOT(ISERROR(SEARCH("NUEVO",C288)))</formula>
    </cfRule>
  </conditionalFormatting>
  <conditionalFormatting sqref="E288">
    <cfRule type="containsText" dxfId="4943" priority="5478" operator="containsText" text="Sin Información">
      <formula>NOT(ISERROR(SEARCH("Sin Información",E288)))</formula>
    </cfRule>
  </conditionalFormatting>
  <conditionalFormatting sqref="C289:D289">
    <cfRule type="containsText" dxfId="4942" priority="5477" operator="containsText" text="NO+$D$4:$D$10">
      <formula>NOT(ISERROR(SEARCH("NO+$D$4:$D$10",C289)))</formula>
    </cfRule>
  </conditionalFormatting>
  <conditionalFormatting sqref="C289:D289">
    <cfRule type="containsText" dxfId="4941" priority="5475" operator="containsText" text="SI">
      <formula>NOT(ISERROR(SEARCH("SI",C289)))</formula>
    </cfRule>
    <cfRule type="containsText" dxfId="4940" priority="5476" operator="containsText" text="NO">
      <formula>NOT(ISERROR(SEARCH("NO",C289)))</formula>
    </cfRule>
  </conditionalFormatting>
  <conditionalFormatting sqref="C289:E289">
    <cfRule type="containsText" dxfId="4939" priority="5474" operator="containsText" text="NUEVO">
      <formula>NOT(ISERROR(SEARCH("NUEVO",C289)))</formula>
    </cfRule>
  </conditionalFormatting>
  <conditionalFormatting sqref="E289">
    <cfRule type="containsText" dxfId="4938" priority="5473" operator="containsText" text="Sin Información">
      <formula>NOT(ISERROR(SEARCH("Sin Información",E289)))</formula>
    </cfRule>
  </conditionalFormatting>
  <conditionalFormatting sqref="C290:D290">
    <cfRule type="containsText" dxfId="4937" priority="5472" operator="containsText" text="NO+$D$4:$D$10">
      <formula>NOT(ISERROR(SEARCH("NO+$D$4:$D$10",C290)))</formula>
    </cfRule>
  </conditionalFormatting>
  <conditionalFormatting sqref="C290:D290">
    <cfRule type="containsText" dxfId="4936" priority="5470" operator="containsText" text="SI">
      <formula>NOT(ISERROR(SEARCH("SI",C290)))</formula>
    </cfRule>
    <cfRule type="containsText" dxfId="4935" priority="5471" operator="containsText" text="NO">
      <formula>NOT(ISERROR(SEARCH("NO",C290)))</formula>
    </cfRule>
  </conditionalFormatting>
  <conditionalFormatting sqref="C290:E290">
    <cfRule type="containsText" dxfId="4934" priority="5469" operator="containsText" text="NUEVO">
      <formula>NOT(ISERROR(SEARCH("NUEVO",C290)))</formula>
    </cfRule>
  </conditionalFormatting>
  <conditionalFormatting sqref="E290">
    <cfRule type="containsText" dxfId="4933" priority="5468" operator="containsText" text="Sin Información">
      <formula>NOT(ISERROR(SEARCH("Sin Información",E290)))</formula>
    </cfRule>
  </conditionalFormatting>
  <conditionalFormatting sqref="C291:D291">
    <cfRule type="containsText" dxfId="4932" priority="5467" operator="containsText" text="NO+$D$4:$D$10">
      <formula>NOT(ISERROR(SEARCH("NO+$D$4:$D$10",C291)))</formula>
    </cfRule>
  </conditionalFormatting>
  <conditionalFormatting sqref="C291:D291">
    <cfRule type="containsText" dxfId="4931" priority="5465" operator="containsText" text="SI">
      <formula>NOT(ISERROR(SEARCH("SI",C291)))</formula>
    </cfRule>
    <cfRule type="containsText" dxfId="4930" priority="5466" operator="containsText" text="NO">
      <formula>NOT(ISERROR(SEARCH("NO",C291)))</formula>
    </cfRule>
  </conditionalFormatting>
  <conditionalFormatting sqref="C291:E291">
    <cfRule type="containsText" dxfId="4929" priority="5464" operator="containsText" text="NUEVO">
      <formula>NOT(ISERROR(SEARCH("NUEVO",C291)))</formula>
    </cfRule>
  </conditionalFormatting>
  <conditionalFormatting sqref="E291">
    <cfRule type="containsText" dxfId="4928" priority="5463" operator="containsText" text="Sin Información">
      <formula>NOT(ISERROR(SEARCH("Sin Información",E291)))</formula>
    </cfRule>
  </conditionalFormatting>
  <conditionalFormatting sqref="C292:D292">
    <cfRule type="containsText" dxfId="4927" priority="5462" operator="containsText" text="NO+$D$4:$D$10">
      <formula>NOT(ISERROR(SEARCH("NO+$D$4:$D$10",C292)))</formula>
    </cfRule>
  </conditionalFormatting>
  <conditionalFormatting sqref="C292:D292">
    <cfRule type="containsText" dxfId="4926" priority="5460" operator="containsText" text="SI">
      <formula>NOT(ISERROR(SEARCH("SI",C292)))</formula>
    </cfRule>
    <cfRule type="containsText" dxfId="4925" priority="5461" operator="containsText" text="NO">
      <formula>NOT(ISERROR(SEARCH("NO",C292)))</formula>
    </cfRule>
  </conditionalFormatting>
  <conditionalFormatting sqref="C292:D292">
    <cfRule type="containsText" dxfId="4924" priority="5459" operator="containsText" text="NUEVO">
      <formula>NOT(ISERROR(SEARCH("NUEVO",C292)))</formula>
    </cfRule>
  </conditionalFormatting>
  <conditionalFormatting sqref="E292">
    <cfRule type="containsText" dxfId="4923" priority="5458" operator="containsText" text="NUEVO">
      <formula>NOT(ISERROR(SEARCH("NUEVO",E292)))</formula>
    </cfRule>
  </conditionalFormatting>
  <conditionalFormatting sqref="E292">
    <cfRule type="containsText" dxfId="4922" priority="5457" operator="containsText" text="Sin Información">
      <formula>NOT(ISERROR(SEARCH("Sin Información",E292)))</formula>
    </cfRule>
  </conditionalFormatting>
  <conditionalFormatting sqref="C293:D293">
    <cfRule type="containsText" dxfId="4921" priority="5450" operator="containsText" text="NO+$D$4:$D$10">
      <formula>NOT(ISERROR(SEARCH("NO+$D$4:$D$10",C293)))</formula>
    </cfRule>
  </conditionalFormatting>
  <conditionalFormatting sqref="C293:D293">
    <cfRule type="containsText" dxfId="4920" priority="5448" operator="containsText" text="SI">
      <formula>NOT(ISERROR(SEARCH("SI",C293)))</formula>
    </cfRule>
    <cfRule type="containsText" dxfId="4919" priority="5449" operator="containsText" text="NO">
      <formula>NOT(ISERROR(SEARCH("NO",C293)))</formula>
    </cfRule>
  </conditionalFormatting>
  <conditionalFormatting sqref="C293:D293">
    <cfRule type="containsText" dxfId="4918" priority="5447" operator="containsText" text="NUEVO">
      <formula>NOT(ISERROR(SEARCH("NUEVO",C293)))</formula>
    </cfRule>
  </conditionalFormatting>
  <conditionalFormatting sqref="E293">
    <cfRule type="containsText" dxfId="4917" priority="5446" operator="containsText" text="NUEVO">
      <formula>NOT(ISERROR(SEARCH("NUEVO",E293)))</formula>
    </cfRule>
  </conditionalFormatting>
  <conditionalFormatting sqref="E293">
    <cfRule type="containsText" dxfId="4916" priority="5445" operator="containsText" text="Sin Información">
      <formula>NOT(ISERROR(SEARCH("Sin Información",E293)))</formula>
    </cfRule>
  </conditionalFormatting>
  <conditionalFormatting sqref="C294:D294">
    <cfRule type="containsText" dxfId="4915" priority="5444" operator="containsText" text="NO+$D$4:$D$10">
      <formula>NOT(ISERROR(SEARCH("NO+$D$4:$D$10",C294)))</formula>
    </cfRule>
  </conditionalFormatting>
  <conditionalFormatting sqref="C294:D294">
    <cfRule type="containsText" dxfId="4914" priority="5442" operator="containsText" text="SI">
      <formula>NOT(ISERROR(SEARCH("SI",C294)))</formula>
    </cfRule>
    <cfRule type="containsText" dxfId="4913" priority="5443" operator="containsText" text="NO">
      <formula>NOT(ISERROR(SEARCH("NO",C294)))</formula>
    </cfRule>
  </conditionalFormatting>
  <conditionalFormatting sqref="C294:D294">
    <cfRule type="containsText" dxfId="4912" priority="5441" operator="containsText" text="NUEVO">
      <formula>NOT(ISERROR(SEARCH("NUEVO",C294)))</formula>
    </cfRule>
  </conditionalFormatting>
  <conditionalFormatting sqref="E294">
    <cfRule type="containsText" dxfId="4911" priority="5440" operator="containsText" text="NUEVO">
      <formula>NOT(ISERROR(SEARCH("NUEVO",E294)))</formula>
    </cfRule>
  </conditionalFormatting>
  <conditionalFormatting sqref="E294">
    <cfRule type="containsText" dxfId="4910" priority="5439" operator="containsText" text="Sin Información">
      <formula>NOT(ISERROR(SEARCH("Sin Información",E294)))</formula>
    </cfRule>
  </conditionalFormatting>
  <conditionalFormatting sqref="C295:D295">
    <cfRule type="containsText" dxfId="4909" priority="5438" operator="containsText" text="NO+$D$4:$D$10">
      <formula>NOT(ISERROR(SEARCH("NO+$D$4:$D$10",C295)))</formula>
    </cfRule>
  </conditionalFormatting>
  <conditionalFormatting sqref="C295:D295">
    <cfRule type="containsText" dxfId="4908" priority="5436" operator="containsText" text="SI">
      <formula>NOT(ISERROR(SEARCH("SI",C295)))</formula>
    </cfRule>
    <cfRule type="containsText" dxfId="4907" priority="5437" operator="containsText" text="NO">
      <formula>NOT(ISERROR(SEARCH("NO",C295)))</formula>
    </cfRule>
  </conditionalFormatting>
  <conditionalFormatting sqref="C295:D295">
    <cfRule type="containsText" dxfId="4906" priority="5435" operator="containsText" text="NUEVO">
      <formula>NOT(ISERROR(SEARCH("NUEVO",C295)))</formula>
    </cfRule>
  </conditionalFormatting>
  <conditionalFormatting sqref="E295">
    <cfRule type="containsText" dxfId="4905" priority="5434" operator="containsText" text="NUEVO">
      <formula>NOT(ISERROR(SEARCH("NUEVO",E295)))</formula>
    </cfRule>
  </conditionalFormatting>
  <conditionalFormatting sqref="E295">
    <cfRule type="containsText" dxfId="4904" priority="5433" operator="containsText" text="Sin Información">
      <formula>NOT(ISERROR(SEARCH("Sin Información",E295)))</formula>
    </cfRule>
  </conditionalFormatting>
  <conditionalFormatting sqref="C298:D298">
    <cfRule type="containsText" dxfId="4903" priority="5432" operator="containsText" text="NO+$D$4:$D$10">
      <formula>NOT(ISERROR(SEARCH("NO+$D$4:$D$10",C298)))</formula>
    </cfRule>
  </conditionalFormatting>
  <conditionalFormatting sqref="C298:D298">
    <cfRule type="containsText" dxfId="4902" priority="5430" operator="containsText" text="SI">
      <formula>NOT(ISERROR(SEARCH("SI",C298)))</formula>
    </cfRule>
    <cfRule type="containsText" dxfId="4901" priority="5431" operator="containsText" text="NO">
      <formula>NOT(ISERROR(SEARCH("NO",C298)))</formula>
    </cfRule>
  </conditionalFormatting>
  <conditionalFormatting sqref="C298:D298">
    <cfRule type="containsText" dxfId="4900" priority="5429" operator="containsText" text="NUEVO">
      <formula>NOT(ISERROR(SEARCH("NUEVO",C298)))</formula>
    </cfRule>
  </conditionalFormatting>
  <conditionalFormatting sqref="E298">
    <cfRule type="containsText" dxfId="4899" priority="5428" operator="containsText" text="NUEVO">
      <formula>NOT(ISERROR(SEARCH("NUEVO",E298)))</formula>
    </cfRule>
  </conditionalFormatting>
  <conditionalFormatting sqref="E298">
    <cfRule type="containsText" dxfId="4898" priority="5427" operator="containsText" text="Sin Información">
      <formula>NOT(ISERROR(SEARCH("Sin Información",E298)))</formula>
    </cfRule>
  </conditionalFormatting>
  <conditionalFormatting sqref="C299:D299">
    <cfRule type="containsText" dxfId="4897" priority="5426" operator="containsText" text="NO+$D$4:$D$10">
      <formula>NOT(ISERROR(SEARCH("NO+$D$4:$D$10",C299)))</formula>
    </cfRule>
  </conditionalFormatting>
  <conditionalFormatting sqref="C299:D299">
    <cfRule type="containsText" dxfId="4896" priority="5424" operator="containsText" text="SI">
      <formula>NOT(ISERROR(SEARCH("SI",C299)))</formula>
    </cfRule>
    <cfRule type="containsText" dxfId="4895" priority="5425" operator="containsText" text="NO">
      <formula>NOT(ISERROR(SEARCH("NO",C299)))</formula>
    </cfRule>
  </conditionalFormatting>
  <conditionalFormatting sqref="C299:E299">
    <cfRule type="containsText" dxfId="4894" priority="5423" operator="containsText" text="NUEVO">
      <formula>NOT(ISERROR(SEARCH("NUEVO",C299)))</formula>
    </cfRule>
  </conditionalFormatting>
  <conditionalFormatting sqref="E299">
    <cfRule type="containsText" dxfId="4893" priority="5422" operator="containsText" text="Sin Información">
      <formula>NOT(ISERROR(SEARCH("Sin Información",E299)))</formula>
    </cfRule>
  </conditionalFormatting>
  <conditionalFormatting sqref="C300:D300">
    <cfRule type="containsText" dxfId="4892" priority="5421" operator="containsText" text="NO+$D$4:$D$10">
      <formula>NOT(ISERROR(SEARCH("NO+$D$4:$D$10",C300)))</formula>
    </cfRule>
  </conditionalFormatting>
  <conditionalFormatting sqref="C300:D300">
    <cfRule type="containsText" dxfId="4891" priority="5419" operator="containsText" text="SI">
      <formula>NOT(ISERROR(SEARCH("SI",C300)))</formula>
    </cfRule>
    <cfRule type="containsText" dxfId="4890" priority="5420" operator="containsText" text="NO">
      <formula>NOT(ISERROR(SEARCH("NO",C300)))</formula>
    </cfRule>
  </conditionalFormatting>
  <conditionalFormatting sqref="C300:E300">
    <cfRule type="containsText" dxfId="4889" priority="5418" operator="containsText" text="NUEVO">
      <formula>NOT(ISERROR(SEARCH("NUEVO",C300)))</formula>
    </cfRule>
  </conditionalFormatting>
  <conditionalFormatting sqref="E300">
    <cfRule type="containsText" dxfId="4888" priority="5417" operator="containsText" text="Sin Información">
      <formula>NOT(ISERROR(SEARCH("Sin Información",E300)))</formula>
    </cfRule>
  </conditionalFormatting>
  <conditionalFormatting sqref="C301:D301">
    <cfRule type="containsText" dxfId="4887" priority="5416" operator="containsText" text="NO+$D$4:$D$10">
      <formula>NOT(ISERROR(SEARCH("NO+$D$4:$D$10",C301)))</formula>
    </cfRule>
  </conditionalFormatting>
  <conditionalFormatting sqref="C301:D301">
    <cfRule type="containsText" dxfId="4886" priority="5414" operator="containsText" text="SI">
      <formula>NOT(ISERROR(SEARCH("SI",C301)))</formula>
    </cfRule>
    <cfRule type="containsText" dxfId="4885" priority="5415" operator="containsText" text="NO">
      <formula>NOT(ISERROR(SEARCH("NO",C301)))</formula>
    </cfRule>
  </conditionalFormatting>
  <conditionalFormatting sqref="C301:E301">
    <cfRule type="containsText" dxfId="4884" priority="5413" operator="containsText" text="NUEVO">
      <formula>NOT(ISERROR(SEARCH("NUEVO",C301)))</formula>
    </cfRule>
  </conditionalFormatting>
  <conditionalFormatting sqref="E301">
    <cfRule type="containsText" dxfId="4883" priority="5412" operator="containsText" text="Sin Información">
      <formula>NOT(ISERROR(SEARCH("Sin Información",E301)))</formula>
    </cfRule>
  </conditionalFormatting>
  <conditionalFormatting sqref="C302:D302">
    <cfRule type="containsText" dxfId="4882" priority="5411" operator="containsText" text="NO+$D$4:$D$10">
      <formula>NOT(ISERROR(SEARCH("NO+$D$4:$D$10",C302)))</formula>
    </cfRule>
  </conditionalFormatting>
  <conditionalFormatting sqref="C302:D302">
    <cfRule type="containsText" dxfId="4881" priority="5409" operator="containsText" text="SI">
      <formula>NOT(ISERROR(SEARCH("SI",C302)))</formula>
    </cfRule>
    <cfRule type="containsText" dxfId="4880" priority="5410" operator="containsText" text="NO">
      <formula>NOT(ISERROR(SEARCH("NO",C302)))</formula>
    </cfRule>
  </conditionalFormatting>
  <conditionalFormatting sqref="C302:E302">
    <cfRule type="containsText" dxfId="4879" priority="5408" operator="containsText" text="NUEVO">
      <formula>NOT(ISERROR(SEARCH("NUEVO",C302)))</formula>
    </cfRule>
  </conditionalFormatting>
  <conditionalFormatting sqref="E302">
    <cfRule type="containsText" dxfId="4878" priority="5407" operator="containsText" text="Sin Información">
      <formula>NOT(ISERROR(SEARCH("Sin Información",E302)))</formula>
    </cfRule>
  </conditionalFormatting>
  <conditionalFormatting sqref="C303:D303">
    <cfRule type="containsText" dxfId="4877" priority="5406" operator="containsText" text="NO+$D$4:$D$10">
      <formula>NOT(ISERROR(SEARCH("NO+$D$4:$D$10",C303)))</formula>
    </cfRule>
  </conditionalFormatting>
  <conditionalFormatting sqref="C303:D303">
    <cfRule type="containsText" dxfId="4876" priority="5404" operator="containsText" text="SI">
      <formula>NOT(ISERROR(SEARCH("SI",C303)))</formula>
    </cfRule>
    <cfRule type="containsText" dxfId="4875" priority="5405" operator="containsText" text="NO">
      <formula>NOT(ISERROR(SEARCH("NO",C303)))</formula>
    </cfRule>
  </conditionalFormatting>
  <conditionalFormatting sqref="C303:E303">
    <cfRule type="containsText" dxfId="4874" priority="5403" operator="containsText" text="NUEVO">
      <formula>NOT(ISERROR(SEARCH("NUEVO",C303)))</formula>
    </cfRule>
  </conditionalFormatting>
  <conditionalFormatting sqref="E303">
    <cfRule type="containsText" dxfId="4873" priority="5402" operator="containsText" text="Sin Información">
      <formula>NOT(ISERROR(SEARCH("Sin Información",E303)))</formula>
    </cfRule>
  </conditionalFormatting>
  <conditionalFormatting sqref="C304:D304">
    <cfRule type="containsText" dxfId="4872" priority="5395" operator="containsText" text="NO+$D$4:$D$10">
      <formula>NOT(ISERROR(SEARCH("NO+$D$4:$D$10",C304)))</formula>
    </cfRule>
  </conditionalFormatting>
  <conditionalFormatting sqref="C304:D304">
    <cfRule type="containsText" dxfId="4871" priority="5393" operator="containsText" text="SI">
      <formula>NOT(ISERROR(SEARCH("SI",C304)))</formula>
    </cfRule>
    <cfRule type="containsText" dxfId="4870" priority="5394" operator="containsText" text="NO">
      <formula>NOT(ISERROR(SEARCH("NO",C304)))</formula>
    </cfRule>
  </conditionalFormatting>
  <conditionalFormatting sqref="C304:D304">
    <cfRule type="containsText" dxfId="4869" priority="5392" operator="containsText" text="NUEVO">
      <formula>NOT(ISERROR(SEARCH("NUEVO",C304)))</formula>
    </cfRule>
  </conditionalFormatting>
  <conditionalFormatting sqref="E304">
    <cfRule type="containsText" dxfId="4868" priority="5391" operator="containsText" text="NUEVO">
      <formula>NOT(ISERROR(SEARCH("NUEVO",E304)))</formula>
    </cfRule>
  </conditionalFormatting>
  <conditionalFormatting sqref="E304">
    <cfRule type="containsText" dxfId="4867" priority="5390" operator="containsText" text="Sin Información">
      <formula>NOT(ISERROR(SEARCH("Sin Información",E304)))</formula>
    </cfRule>
  </conditionalFormatting>
  <conditionalFormatting sqref="C305:D305">
    <cfRule type="containsText" dxfId="4866" priority="5389" operator="containsText" text="NO+$D$4:$D$10">
      <formula>NOT(ISERROR(SEARCH("NO+$D$4:$D$10",C305)))</formula>
    </cfRule>
  </conditionalFormatting>
  <conditionalFormatting sqref="C305:D305">
    <cfRule type="containsText" dxfId="4865" priority="5387" operator="containsText" text="SI">
      <formula>NOT(ISERROR(SEARCH("SI",C305)))</formula>
    </cfRule>
    <cfRule type="containsText" dxfId="4864" priority="5388" operator="containsText" text="NO">
      <formula>NOT(ISERROR(SEARCH("NO",C305)))</formula>
    </cfRule>
  </conditionalFormatting>
  <conditionalFormatting sqref="C305:E305">
    <cfRule type="containsText" dxfId="4863" priority="5386" operator="containsText" text="NUEVO">
      <formula>NOT(ISERROR(SEARCH("NUEVO",C305)))</formula>
    </cfRule>
  </conditionalFormatting>
  <conditionalFormatting sqref="E305">
    <cfRule type="containsText" dxfId="4862" priority="5385" operator="containsText" text="Sin Información">
      <formula>NOT(ISERROR(SEARCH("Sin Información",E305)))</formula>
    </cfRule>
  </conditionalFormatting>
  <conditionalFormatting sqref="C306:D306">
    <cfRule type="containsText" dxfId="4861" priority="5384" operator="containsText" text="NO+$D$4:$D$10">
      <formula>NOT(ISERROR(SEARCH("NO+$D$4:$D$10",C306)))</formula>
    </cfRule>
  </conditionalFormatting>
  <conditionalFormatting sqref="C306:D306">
    <cfRule type="containsText" dxfId="4860" priority="5382" operator="containsText" text="SI">
      <formula>NOT(ISERROR(SEARCH("SI",C306)))</formula>
    </cfRule>
    <cfRule type="containsText" dxfId="4859" priority="5383" operator="containsText" text="NO">
      <formula>NOT(ISERROR(SEARCH("NO",C306)))</formula>
    </cfRule>
  </conditionalFormatting>
  <conditionalFormatting sqref="C306:E306">
    <cfRule type="containsText" dxfId="4858" priority="5381" operator="containsText" text="NUEVO">
      <formula>NOT(ISERROR(SEARCH("NUEVO",C306)))</formula>
    </cfRule>
  </conditionalFormatting>
  <conditionalFormatting sqref="E306">
    <cfRule type="containsText" dxfId="4857" priority="5380" operator="containsText" text="Sin Información">
      <formula>NOT(ISERROR(SEARCH("Sin Información",E306)))</formula>
    </cfRule>
  </conditionalFormatting>
  <conditionalFormatting sqref="C307:D307">
    <cfRule type="containsText" dxfId="4856" priority="5379" operator="containsText" text="NO+$D$4:$D$10">
      <formula>NOT(ISERROR(SEARCH("NO+$D$4:$D$10",C307)))</formula>
    </cfRule>
  </conditionalFormatting>
  <conditionalFormatting sqref="C307:D307">
    <cfRule type="containsText" dxfId="4855" priority="5377" operator="containsText" text="SI">
      <formula>NOT(ISERROR(SEARCH("SI",C307)))</formula>
    </cfRule>
    <cfRule type="containsText" dxfId="4854" priority="5378" operator="containsText" text="NO">
      <formula>NOT(ISERROR(SEARCH("NO",C307)))</formula>
    </cfRule>
  </conditionalFormatting>
  <conditionalFormatting sqref="C307:E307">
    <cfRule type="containsText" dxfId="4853" priority="5376" operator="containsText" text="NUEVO">
      <formula>NOT(ISERROR(SEARCH("NUEVO",C307)))</formula>
    </cfRule>
  </conditionalFormatting>
  <conditionalFormatting sqref="E307">
    <cfRule type="containsText" dxfId="4852" priority="5375" operator="containsText" text="Sin Información">
      <formula>NOT(ISERROR(SEARCH("Sin Información",E307)))</formula>
    </cfRule>
  </conditionalFormatting>
  <conditionalFormatting sqref="C308:D308">
    <cfRule type="containsText" dxfId="4851" priority="5374" operator="containsText" text="NO+$D$4:$D$10">
      <formula>NOT(ISERROR(SEARCH("NO+$D$4:$D$10",C308)))</formula>
    </cfRule>
  </conditionalFormatting>
  <conditionalFormatting sqref="C308:D308">
    <cfRule type="containsText" dxfId="4850" priority="5372" operator="containsText" text="SI">
      <formula>NOT(ISERROR(SEARCH("SI",C308)))</formula>
    </cfRule>
    <cfRule type="containsText" dxfId="4849" priority="5373" operator="containsText" text="NO">
      <formula>NOT(ISERROR(SEARCH("NO",C308)))</formula>
    </cfRule>
  </conditionalFormatting>
  <conditionalFormatting sqref="C308:E308">
    <cfRule type="containsText" dxfId="4848" priority="5371" operator="containsText" text="NUEVO">
      <formula>NOT(ISERROR(SEARCH("NUEVO",C308)))</formula>
    </cfRule>
  </conditionalFormatting>
  <conditionalFormatting sqref="E308">
    <cfRule type="containsText" dxfId="4847" priority="5370" operator="containsText" text="Sin Información">
      <formula>NOT(ISERROR(SEARCH("Sin Información",E308)))</formula>
    </cfRule>
  </conditionalFormatting>
  <conditionalFormatting sqref="C309:D311">
    <cfRule type="containsText" dxfId="4846" priority="5369" operator="containsText" text="NO+$D$4:$D$10">
      <formula>NOT(ISERROR(SEARCH("NO+$D$4:$D$10",C309)))</formula>
    </cfRule>
  </conditionalFormatting>
  <conditionalFormatting sqref="C309:D311">
    <cfRule type="containsText" dxfId="4845" priority="5367" operator="containsText" text="SI">
      <formula>NOT(ISERROR(SEARCH("SI",C309)))</formula>
    </cfRule>
    <cfRule type="containsText" dxfId="4844" priority="5368" operator="containsText" text="NO">
      <formula>NOT(ISERROR(SEARCH("NO",C309)))</formula>
    </cfRule>
  </conditionalFormatting>
  <conditionalFormatting sqref="C309:E311">
    <cfRule type="containsText" dxfId="4843" priority="5366" operator="containsText" text="NUEVO">
      <formula>NOT(ISERROR(SEARCH("NUEVO",C309)))</formula>
    </cfRule>
  </conditionalFormatting>
  <conditionalFormatting sqref="E309:E311">
    <cfRule type="containsText" dxfId="4842" priority="5365" operator="containsText" text="Sin Información">
      <formula>NOT(ISERROR(SEARCH("Sin Información",E309)))</formula>
    </cfRule>
  </conditionalFormatting>
  <conditionalFormatting sqref="C312:D312">
    <cfRule type="containsText" dxfId="4841" priority="5364" operator="containsText" text="NO+$D$4:$D$10">
      <formula>NOT(ISERROR(SEARCH("NO+$D$4:$D$10",C312)))</formula>
    </cfRule>
  </conditionalFormatting>
  <conditionalFormatting sqref="C312:D312">
    <cfRule type="containsText" dxfId="4840" priority="5362" operator="containsText" text="SI">
      <formula>NOT(ISERROR(SEARCH("SI",C312)))</formula>
    </cfRule>
    <cfRule type="containsText" dxfId="4839" priority="5363" operator="containsText" text="NO">
      <formula>NOT(ISERROR(SEARCH("NO",C312)))</formula>
    </cfRule>
  </conditionalFormatting>
  <conditionalFormatting sqref="E312">
    <cfRule type="containsText" dxfId="4838" priority="5361" operator="containsText" text="Sin información">
      <formula>NOT(ISERROR(SEARCH("Sin información",E312)))</formula>
    </cfRule>
  </conditionalFormatting>
  <conditionalFormatting sqref="C312:E312">
    <cfRule type="containsText" dxfId="4837" priority="5360" operator="containsText" text="NUEVO">
      <formula>NOT(ISERROR(SEARCH("NUEVO",C312)))</formula>
    </cfRule>
  </conditionalFormatting>
  <conditionalFormatting sqref="E312">
    <cfRule type="containsText" dxfId="4836" priority="5359" operator="containsText" text="Sin Información">
      <formula>NOT(ISERROR(SEARCH("Sin Información",E312)))</formula>
    </cfRule>
  </conditionalFormatting>
  <conditionalFormatting sqref="E312">
    <cfRule type="containsText" dxfId="4835" priority="5358" operator="containsText" text="Sin información">
      <formula>NOT(ISERROR(SEARCH("Sin información",E312)))</formula>
    </cfRule>
  </conditionalFormatting>
  <conditionalFormatting sqref="C313:D313">
    <cfRule type="containsText" dxfId="4834" priority="5357" operator="containsText" text="NO+$D$4:$D$10">
      <formula>NOT(ISERROR(SEARCH("NO+$D$4:$D$10",C313)))</formula>
    </cfRule>
  </conditionalFormatting>
  <conditionalFormatting sqref="C313:D313">
    <cfRule type="containsText" dxfId="4833" priority="5355" operator="containsText" text="SI">
      <formula>NOT(ISERROR(SEARCH("SI",C313)))</formula>
    </cfRule>
    <cfRule type="containsText" dxfId="4832" priority="5356" operator="containsText" text="NO">
      <formula>NOT(ISERROR(SEARCH("NO",C313)))</formula>
    </cfRule>
  </conditionalFormatting>
  <conditionalFormatting sqref="C313:E313">
    <cfRule type="containsText" dxfId="4831" priority="5354" operator="containsText" text="NUEVO">
      <formula>NOT(ISERROR(SEARCH("NUEVO",C313)))</formula>
    </cfRule>
  </conditionalFormatting>
  <conditionalFormatting sqref="E313">
    <cfRule type="containsText" dxfId="4830" priority="5353" operator="containsText" text="Sin Información">
      <formula>NOT(ISERROR(SEARCH("Sin Información",E313)))</formula>
    </cfRule>
  </conditionalFormatting>
  <conditionalFormatting sqref="E316">
    <cfRule type="containsText" dxfId="4829" priority="5352" operator="containsText" text="NUEVO">
      <formula>NOT(ISERROR(SEARCH("NUEVO",E316)))</formula>
    </cfRule>
  </conditionalFormatting>
  <conditionalFormatting sqref="E316">
    <cfRule type="containsText" dxfId="4828" priority="5351" operator="containsText" text="Sin Información">
      <formula>NOT(ISERROR(SEARCH("Sin Información",E316)))</formula>
    </cfRule>
  </conditionalFormatting>
  <conditionalFormatting sqref="E315">
    <cfRule type="containsText" dxfId="4827" priority="5350" operator="containsText" text="Sin Información">
      <formula>NOT(ISERROR(SEARCH("Sin Información",E315)))</formula>
    </cfRule>
  </conditionalFormatting>
  <conditionalFormatting sqref="E315">
    <cfRule type="containsText" dxfId="4826" priority="5349" operator="containsText" text="NUEVO">
      <formula>NOT(ISERROR(SEARCH("NUEVO",E315)))</formula>
    </cfRule>
  </conditionalFormatting>
  <conditionalFormatting sqref="E317">
    <cfRule type="containsText" dxfId="4825" priority="5348" operator="containsText" text="NUEVO">
      <formula>NOT(ISERROR(SEARCH("NUEVO",E317)))</formula>
    </cfRule>
  </conditionalFormatting>
  <conditionalFormatting sqref="E317">
    <cfRule type="containsText" dxfId="4824" priority="5347" operator="containsText" text="Sin Información">
      <formula>NOT(ISERROR(SEARCH("Sin Información",E317)))</formula>
    </cfRule>
  </conditionalFormatting>
  <conditionalFormatting sqref="E321">
    <cfRule type="containsText" dxfId="4823" priority="5346" operator="containsText" text="NUEVO">
      <formula>NOT(ISERROR(SEARCH("NUEVO",E321)))</formula>
    </cfRule>
  </conditionalFormatting>
  <conditionalFormatting sqref="E321">
    <cfRule type="containsText" dxfId="4822" priority="5345" operator="containsText" text="Sin Información">
      <formula>NOT(ISERROR(SEARCH("Sin Información",E321)))</formula>
    </cfRule>
  </conditionalFormatting>
  <conditionalFormatting sqref="E318:E320">
    <cfRule type="containsText" dxfId="4821" priority="5344" operator="containsText" text="NUEVO">
      <formula>NOT(ISERROR(SEARCH("NUEVO",E318)))</formula>
    </cfRule>
  </conditionalFormatting>
  <conditionalFormatting sqref="E318:E320">
    <cfRule type="containsText" dxfId="4820" priority="5343" operator="containsText" text="Sin Información">
      <formula>NOT(ISERROR(SEARCH("Sin Información",E318)))</formula>
    </cfRule>
  </conditionalFormatting>
  <conditionalFormatting sqref="C326:D326">
    <cfRule type="containsText" dxfId="4819" priority="5342" operator="containsText" text="NO+$D$4:$D$10">
      <formula>NOT(ISERROR(SEARCH("NO+$D$4:$D$10",C326)))</formula>
    </cfRule>
  </conditionalFormatting>
  <conditionalFormatting sqref="C326:D326">
    <cfRule type="containsText" dxfId="4818" priority="5340" operator="containsText" text="SI">
      <formula>NOT(ISERROR(SEARCH("SI",C326)))</formula>
    </cfRule>
    <cfRule type="containsText" dxfId="4817" priority="5341" operator="containsText" text="NO">
      <formula>NOT(ISERROR(SEARCH("NO",C326)))</formula>
    </cfRule>
  </conditionalFormatting>
  <conditionalFormatting sqref="C326:E326">
    <cfRule type="containsText" dxfId="4816" priority="5339" operator="containsText" text="NUEVO">
      <formula>NOT(ISERROR(SEARCH("NUEVO",C326)))</formula>
    </cfRule>
  </conditionalFormatting>
  <conditionalFormatting sqref="E326">
    <cfRule type="containsText" dxfId="4815" priority="5338" operator="containsText" text="Sin Información">
      <formula>NOT(ISERROR(SEARCH("Sin Información",E326)))</formula>
    </cfRule>
  </conditionalFormatting>
  <conditionalFormatting sqref="C327:D327">
    <cfRule type="containsText" dxfId="4814" priority="5337" operator="containsText" text="NO+$D$4:$D$10">
      <formula>NOT(ISERROR(SEARCH("NO+$D$4:$D$10",C327)))</formula>
    </cfRule>
  </conditionalFormatting>
  <conditionalFormatting sqref="C327:D327">
    <cfRule type="containsText" dxfId="4813" priority="5335" operator="containsText" text="SI">
      <formula>NOT(ISERROR(SEARCH("SI",C327)))</formula>
    </cfRule>
    <cfRule type="containsText" dxfId="4812" priority="5336" operator="containsText" text="NO">
      <formula>NOT(ISERROR(SEARCH("NO",C327)))</formula>
    </cfRule>
  </conditionalFormatting>
  <conditionalFormatting sqref="C327:E327">
    <cfRule type="containsText" dxfId="4811" priority="5334" operator="containsText" text="NUEVO">
      <formula>NOT(ISERROR(SEARCH("NUEVO",C327)))</formula>
    </cfRule>
  </conditionalFormatting>
  <conditionalFormatting sqref="E327">
    <cfRule type="containsText" dxfId="4810" priority="5333" operator="containsText" text="Sin Información">
      <formula>NOT(ISERROR(SEARCH("Sin Información",E327)))</formula>
    </cfRule>
  </conditionalFormatting>
  <conditionalFormatting sqref="C328:D332">
    <cfRule type="containsText" dxfId="4809" priority="5332" operator="containsText" text="NO+$D$4:$D$10">
      <formula>NOT(ISERROR(SEARCH("NO+$D$4:$D$10",C328)))</formula>
    </cfRule>
  </conditionalFormatting>
  <conditionalFormatting sqref="C328:D332">
    <cfRule type="containsText" dxfId="4808" priority="5330" operator="containsText" text="SI">
      <formula>NOT(ISERROR(SEARCH("SI",C328)))</formula>
    </cfRule>
    <cfRule type="containsText" dxfId="4807" priority="5331" operator="containsText" text="NO">
      <formula>NOT(ISERROR(SEARCH("NO",C328)))</formula>
    </cfRule>
  </conditionalFormatting>
  <conditionalFormatting sqref="C328:E332">
    <cfRule type="containsText" dxfId="4806" priority="5329" operator="containsText" text="NUEVO">
      <formula>NOT(ISERROR(SEARCH("NUEVO",C328)))</formula>
    </cfRule>
  </conditionalFormatting>
  <conditionalFormatting sqref="E328:E332">
    <cfRule type="containsText" dxfId="4805" priority="5328" operator="containsText" text="Sin Información">
      <formula>NOT(ISERROR(SEARCH("Sin Información",E328)))</formula>
    </cfRule>
  </conditionalFormatting>
  <conditionalFormatting sqref="C333:D337">
    <cfRule type="containsText" dxfId="4804" priority="5327" operator="containsText" text="NO+$D$4:$D$10">
      <formula>NOT(ISERROR(SEARCH("NO+$D$4:$D$10",C333)))</formula>
    </cfRule>
  </conditionalFormatting>
  <conditionalFormatting sqref="C333:D337">
    <cfRule type="containsText" dxfId="4803" priority="5325" operator="containsText" text="SI">
      <formula>NOT(ISERROR(SEARCH("SI",C333)))</formula>
    </cfRule>
    <cfRule type="containsText" dxfId="4802" priority="5326" operator="containsText" text="NO">
      <formula>NOT(ISERROR(SEARCH("NO",C333)))</formula>
    </cfRule>
  </conditionalFormatting>
  <conditionalFormatting sqref="E334 C333:D337">
    <cfRule type="containsText" dxfId="4801" priority="5324" operator="containsText" text="NUEVO">
      <formula>NOT(ISERROR(SEARCH("NUEVO",C333)))</formula>
    </cfRule>
  </conditionalFormatting>
  <conditionalFormatting sqref="E334">
    <cfRule type="containsText" dxfId="4800" priority="5323" operator="containsText" text="Sin Información">
      <formula>NOT(ISERROR(SEARCH("Sin Información",E334)))</formula>
    </cfRule>
  </conditionalFormatting>
  <conditionalFormatting sqref="E333">
    <cfRule type="containsText" dxfId="4799" priority="5322" operator="containsText" text="NUEVO">
      <formula>NOT(ISERROR(SEARCH("NUEVO",E333)))</formula>
    </cfRule>
  </conditionalFormatting>
  <conditionalFormatting sqref="E333">
    <cfRule type="containsText" dxfId="4798" priority="5321" operator="containsText" text="Sin Información">
      <formula>NOT(ISERROR(SEARCH("Sin Información",E333)))</formula>
    </cfRule>
  </conditionalFormatting>
  <conditionalFormatting sqref="E335:E337">
    <cfRule type="containsText" dxfId="4797" priority="5320" operator="containsText" text="NUEVO">
      <formula>NOT(ISERROR(SEARCH("NUEVO",E335)))</formula>
    </cfRule>
  </conditionalFormatting>
  <conditionalFormatting sqref="E335:E337">
    <cfRule type="containsText" dxfId="4796" priority="5319" operator="containsText" text="Sin Información">
      <formula>NOT(ISERROR(SEARCH("Sin Información",E335)))</formula>
    </cfRule>
  </conditionalFormatting>
  <conditionalFormatting sqref="C338:D342">
    <cfRule type="containsText" dxfId="4795" priority="5318" operator="containsText" text="NO+$D$4:$D$10">
      <formula>NOT(ISERROR(SEARCH("NO+$D$4:$D$10",C338)))</formula>
    </cfRule>
  </conditionalFormatting>
  <conditionalFormatting sqref="C338:D342">
    <cfRule type="containsText" dxfId="4794" priority="5316" operator="containsText" text="SI">
      <formula>NOT(ISERROR(SEARCH("SI",C338)))</formula>
    </cfRule>
    <cfRule type="containsText" dxfId="4793" priority="5317" operator="containsText" text="NO">
      <formula>NOT(ISERROR(SEARCH("NO",C338)))</formula>
    </cfRule>
  </conditionalFormatting>
  <conditionalFormatting sqref="E340:E342 C338:D342">
    <cfRule type="containsText" dxfId="4792" priority="5315" operator="containsText" text="NUEVO">
      <formula>NOT(ISERROR(SEARCH("NUEVO",C338)))</formula>
    </cfRule>
  </conditionalFormatting>
  <conditionalFormatting sqref="E340:E342">
    <cfRule type="containsText" dxfId="4791" priority="5314" operator="containsText" text="Sin Información">
      <formula>NOT(ISERROR(SEARCH("Sin Información",E340)))</formula>
    </cfRule>
  </conditionalFormatting>
  <conditionalFormatting sqref="E338">
    <cfRule type="containsText" dxfId="4790" priority="5313" operator="containsText" text="NUEVO">
      <formula>NOT(ISERROR(SEARCH("NUEVO",E338)))</formula>
    </cfRule>
  </conditionalFormatting>
  <conditionalFormatting sqref="E338">
    <cfRule type="containsText" dxfId="4789" priority="5312" operator="containsText" text="Sin Información">
      <formula>NOT(ISERROR(SEARCH("Sin Información",E338)))</formula>
    </cfRule>
  </conditionalFormatting>
  <conditionalFormatting sqref="E339">
    <cfRule type="containsText" dxfId="4788" priority="5311" operator="containsText" text="NUEVO">
      <formula>NOT(ISERROR(SEARCH("NUEVO",E339)))</formula>
    </cfRule>
  </conditionalFormatting>
  <conditionalFormatting sqref="E339">
    <cfRule type="containsText" dxfId="4787" priority="5310" operator="containsText" text="Sin Información">
      <formula>NOT(ISERROR(SEARCH("Sin Información",E339)))</formula>
    </cfRule>
  </conditionalFormatting>
  <conditionalFormatting sqref="C343:D343">
    <cfRule type="containsText" dxfId="4786" priority="5309" operator="containsText" text="NO+$D$4:$D$10">
      <formula>NOT(ISERROR(SEARCH("NO+$D$4:$D$10",C343)))</formula>
    </cfRule>
  </conditionalFormatting>
  <conditionalFormatting sqref="C343:D343">
    <cfRule type="containsText" dxfId="4785" priority="5307" operator="containsText" text="SI">
      <formula>NOT(ISERROR(SEARCH("SI",C343)))</formula>
    </cfRule>
    <cfRule type="containsText" dxfId="4784" priority="5308" operator="containsText" text="NO">
      <formula>NOT(ISERROR(SEARCH("NO",C343)))</formula>
    </cfRule>
  </conditionalFormatting>
  <conditionalFormatting sqref="C343:D343">
    <cfRule type="containsText" dxfId="4783" priority="5306" operator="containsText" text="NUEVO">
      <formula>NOT(ISERROR(SEARCH("NUEVO",C343)))</formula>
    </cfRule>
  </conditionalFormatting>
  <conditionalFormatting sqref="E343">
    <cfRule type="containsText" dxfId="4782" priority="5305" operator="containsText" text="NUEVO">
      <formula>NOT(ISERROR(SEARCH("NUEVO",E343)))</formula>
    </cfRule>
  </conditionalFormatting>
  <conditionalFormatting sqref="E343">
    <cfRule type="containsText" dxfId="4781" priority="5304" operator="containsText" text="Sin Información">
      <formula>NOT(ISERROR(SEARCH("Sin Información",E343)))</formula>
    </cfRule>
  </conditionalFormatting>
  <conditionalFormatting sqref="C344:D344">
    <cfRule type="containsText" dxfId="4780" priority="5303" operator="containsText" text="NO+$D$4:$D$10">
      <formula>NOT(ISERROR(SEARCH("NO+$D$4:$D$10",C344)))</formula>
    </cfRule>
  </conditionalFormatting>
  <conditionalFormatting sqref="C344:D344">
    <cfRule type="containsText" dxfId="4779" priority="5301" operator="containsText" text="SI">
      <formula>NOT(ISERROR(SEARCH("SI",C344)))</formula>
    </cfRule>
    <cfRule type="containsText" dxfId="4778" priority="5302" operator="containsText" text="NO">
      <formula>NOT(ISERROR(SEARCH("NO",C344)))</formula>
    </cfRule>
  </conditionalFormatting>
  <conditionalFormatting sqref="C344:E344">
    <cfRule type="containsText" dxfId="4777" priority="5300" operator="containsText" text="NUEVO">
      <formula>NOT(ISERROR(SEARCH("NUEVO",C344)))</formula>
    </cfRule>
  </conditionalFormatting>
  <conditionalFormatting sqref="E344">
    <cfRule type="containsText" dxfId="4776" priority="5299" operator="containsText" text="Sin Información">
      <formula>NOT(ISERROR(SEARCH("Sin Información",E344)))</formula>
    </cfRule>
  </conditionalFormatting>
  <conditionalFormatting sqref="C345:D345">
    <cfRule type="containsText" dxfId="4775" priority="5298" operator="containsText" text="NO+$D$4:$D$10">
      <formula>NOT(ISERROR(SEARCH("NO+$D$4:$D$10",C345)))</formula>
    </cfRule>
  </conditionalFormatting>
  <conditionalFormatting sqref="C345:D345">
    <cfRule type="containsText" dxfId="4774" priority="5296" operator="containsText" text="SI">
      <formula>NOT(ISERROR(SEARCH("SI",C345)))</formula>
    </cfRule>
    <cfRule type="containsText" dxfId="4773" priority="5297" operator="containsText" text="NO">
      <formula>NOT(ISERROR(SEARCH("NO",C345)))</formula>
    </cfRule>
  </conditionalFormatting>
  <conditionalFormatting sqref="C345:E345">
    <cfRule type="containsText" dxfId="4772" priority="5295" operator="containsText" text="NUEVO">
      <formula>NOT(ISERROR(SEARCH("NUEVO",C345)))</formula>
    </cfRule>
  </conditionalFormatting>
  <conditionalFormatting sqref="E345">
    <cfRule type="containsText" dxfId="4771" priority="5294" operator="containsText" text="Sin Información">
      <formula>NOT(ISERROR(SEARCH("Sin Información",E345)))</formula>
    </cfRule>
  </conditionalFormatting>
  <conditionalFormatting sqref="C346:D346">
    <cfRule type="containsText" dxfId="4770" priority="5293" operator="containsText" text="NO+$D$4:$D$10">
      <formula>NOT(ISERROR(SEARCH("NO+$D$4:$D$10",C346)))</formula>
    </cfRule>
  </conditionalFormatting>
  <conditionalFormatting sqref="C346:D346">
    <cfRule type="containsText" dxfId="4769" priority="5291" operator="containsText" text="SI">
      <formula>NOT(ISERROR(SEARCH("SI",C346)))</formula>
    </cfRule>
    <cfRule type="containsText" dxfId="4768" priority="5292" operator="containsText" text="NO">
      <formula>NOT(ISERROR(SEARCH("NO",C346)))</formula>
    </cfRule>
  </conditionalFormatting>
  <conditionalFormatting sqref="C346:E346">
    <cfRule type="containsText" dxfId="4767" priority="5290" operator="containsText" text="NUEVO">
      <formula>NOT(ISERROR(SEARCH("NUEVO",C346)))</formula>
    </cfRule>
  </conditionalFormatting>
  <conditionalFormatting sqref="E346">
    <cfRule type="containsText" dxfId="4766" priority="5289" operator="containsText" text="Sin Información">
      <formula>NOT(ISERROR(SEARCH("Sin Información",E346)))</formula>
    </cfRule>
  </conditionalFormatting>
  <conditionalFormatting sqref="C347:D347">
    <cfRule type="containsText" dxfId="4765" priority="5288" operator="containsText" text="NO+$D$4:$D$10">
      <formula>NOT(ISERROR(SEARCH("NO+$D$4:$D$10",C347)))</formula>
    </cfRule>
  </conditionalFormatting>
  <conditionalFormatting sqref="C347:D347">
    <cfRule type="containsText" dxfId="4764" priority="5286" operator="containsText" text="SI">
      <formula>NOT(ISERROR(SEARCH("SI",C347)))</formula>
    </cfRule>
    <cfRule type="containsText" dxfId="4763" priority="5287" operator="containsText" text="NO">
      <formula>NOT(ISERROR(SEARCH("NO",C347)))</formula>
    </cfRule>
  </conditionalFormatting>
  <conditionalFormatting sqref="C347:E347">
    <cfRule type="containsText" dxfId="4762" priority="5285" operator="containsText" text="NUEVO">
      <formula>NOT(ISERROR(SEARCH("NUEVO",C347)))</formula>
    </cfRule>
  </conditionalFormatting>
  <conditionalFormatting sqref="E347">
    <cfRule type="containsText" dxfId="4761" priority="5284" operator="containsText" text="Sin Información">
      <formula>NOT(ISERROR(SEARCH("Sin Información",E347)))</formula>
    </cfRule>
  </conditionalFormatting>
  <conditionalFormatting sqref="C348:D348">
    <cfRule type="containsText" dxfId="4760" priority="5283" operator="containsText" text="NO+$D$4:$D$10">
      <formula>NOT(ISERROR(SEARCH("NO+$D$4:$D$10",C348)))</formula>
    </cfRule>
  </conditionalFormatting>
  <conditionalFormatting sqref="C348:D348">
    <cfRule type="containsText" dxfId="4759" priority="5281" operator="containsText" text="SI">
      <formula>NOT(ISERROR(SEARCH("SI",C348)))</formula>
    </cfRule>
    <cfRule type="containsText" dxfId="4758" priority="5282" operator="containsText" text="NO">
      <formula>NOT(ISERROR(SEARCH("NO",C348)))</formula>
    </cfRule>
  </conditionalFormatting>
  <conditionalFormatting sqref="C348:E348">
    <cfRule type="containsText" dxfId="4757" priority="5280" operator="containsText" text="NUEVO">
      <formula>NOT(ISERROR(SEARCH("NUEVO",C348)))</formula>
    </cfRule>
  </conditionalFormatting>
  <conditionalFormatting sqref="E348">
    <cfRule type="containsText" dxfId="4756" priority="5279" operator="containsText" text="Sin Información">
      <formula>NOT(ISERROR(SEARCH("Sin Información",E348)))</formula>
    </cfRule>
  </conditionalFormatting>
  <conditionalFormatting sqref="C349:D349">
    <cfRule type="containsText" dxfId="4755" priority="5278" operator="containsText" text="NO+$D$4:$D$10">
      <formula>NOT(ISERROR(SEARCH("NO+$D$4:$D$10",C349)))</formula>
    </cfRule>
  </conditionalFormatting>
  <conditionalFormatting sqref="C349:D349">
    <cfRule type="containsText" dxfId="4754" priority="5276" operator="containsText" text="SI">
      <formula>NOT(ISERROR(SEARCH("SI",C349)))</formula>
    </cfRule>
    <cfRule type="containsText" dxfId="4753" priority="5277" operator="containsText" text="NO">
      <formula>NOT(ISERROR(SEARCH("NO",C349)))</formula>
    </cfRule>
  </conditionalFormatting>
  <conditionalFormatting sqref="C349:D349">
    <cfRule type="containsText" dxfId="4752" priority="5275" operator="containsText" text="NUEVO">
      <formula>NOT(ISERROR(SEARCH("NUEVO",C349)))</formula>
    </cfRule>
  </conditionalFormatting>
  <conditionalFormatting sqref="E349">
    <cfRule type="containsText" dxfId="4751" priority="5274" operator="containsText" text="NUEVO">
      <formula>NOT(ISERROR(SEARCH("NUEVO",E349)))</formula>
    </cfRule>
  </conditionalFormatting>
  <conditionalFormatting sqref="E349">
    <cfRule type="containsText" dxfId="4750" priority="5273" operator="containsText" text="Sin Información">
      <formula>NOT(ISERROR(SEARCH("Sin Información",E349)))</formula>
    </cfRule>
  </conditionalFormatting>
  <conditionalFormatting sqref="C350:D350">
    <cfRule type="containsText" dxfId="4749" priority="5272" operator="containsText" text="NO+$D$4:$D$10">
      <formula>NOT(ISERROR(SEARCH("NO+$D$4:$D$10",C350)))</formula>
    </cfRule>
  </conditionalFormatting>
  <conditionalFormatting sqref="C350:D350">
    <cfRule type="containsText" dxfId="4748" priority="5270" operator="containsText" text="SI">
      <formula>NOT(ISERROR(SEARCH("SI",C350)))</formula>
    </cfRule>
    <cfRule type="containsText" dxfId="4747" priority="5271" operator="containsText" text="NO">
      <formula>NOT(ISERROR(SEARCH("NO",C350)))</formula>
    </cfRule>
  </conditionalFormatting>
  <conditionalFormatting sqref="C350:D350">
    <cfRule type="containsText" dxfId="4746" priority="5269" operator="containsText" text="NUEVO">
      <formula>NOT(ISERROR(SEARCH("NUEVO",C350)))</formula>
    </cfRule>
  </conditionalFormatting>
  <conditionalFormatting sqref="E350">
    <cfRule type="containsText" dxfId="4745" priority="5268" operator="containsText" text="NUEVO">
      <formula>NOT(ISERROR(SEARCH("NUEVO",E350)))</formula>
    </cfRule>
  </conditionalFormatting>
  <conditionalFormatting sqref="E350">
    <cfRule type="containsText" dxfId="4744" priority="5267" operator="containsText" text="Sin Información">
      <formula>NOT(ISERROR(SEARCH("Sin Información",E350)))</formula>
    </cfRule>
  </conditionalFormatting>
  <conditionalFormatting sqref="C351:D351">
    <cfRule type="containsText" dxfId="4743" priority="5266" operator="containsText" text="NO+$D$4:$D$10">
      <formula>NOT(ISERROR(SEARCH("NO+$D$4:$D$10",C351)))</formula>
    </cfRule>
  </conditionalFormatting>
  <conditionalFormatting sqref="C351:D351">
    <cfRule type="containsText" dxfId="4742" priority="5264" operator="containsText" text="SI">
      <formula>NOT(ISERROR(SEARCH("SI",C351)))</formula>
    </cfRule>
    <cfRule type="containsText" dxfId="4741" priority="5265" operator="containsText" text="NO">
      <formula>NOT(ISERROR(SEARCH("NO",C351)))</formula>
    </cfRule>
  </conditionalFormatting>
  <conditionalFormatting sqref="C351:D351">
    <cfRule type="containsText" dxfId="4740" priority="5263" operator="containsText" text="NUEVO">
      <formula>NOT(ISERROR(SEARCH("NUEVO",C351)))</formula>
    </cfRule>
  </conditionalFormatting>
  <conditionalFormatting sqref="E351">
    <cfRule type="containsText" dxfId="4739" priority="5262" operator="containsText" text="NUEVO">
      <formula>NOT(ISERROR(SEARCH("NUEVO",E351)))</formula>
    </cfRule>
  </conditionalFormatting>
  <conditionalFormatting sqref="E351">
    <cfRule type="containsText" dxfId="4738" priority="5261" operator="containsText" text="Sin Información">
      <formula>NOT(ISERROR(SEARCH("Sin Información",E351)))</formula>
    </cfRule>
  </conditionalFormatting>
  <conditionalFormatting sqref="C352:D352">
    <cfRule type="containsText" dxfId="4737" priority="5260" operator="containsText" text="NO+$D$4:$D$10">
      <formula>NOT(ISERROR(SEARCH("NO+$D$4:$D$10",C352)))</formula>
    </cfRule>
  </conditionalFormatting>
  <conditionalFormatting sqref="C352:D352">
    <cfRule type="containsText" dxfId="4736" priority="5258" operator="containsText" text="SI">
      <formula>NOT(ISERROR(SEARCH("SI",C352)))</formula>
    </cfRule>
    <cfRule type="containsText" dxfId="4735" priority="5259" operator="containsText" text="NO">
      <formula>NOT(ISERROR(SEARCH("NO",C352)))</formula>
    </cfRule>
  </conditionalFormatting>
  <conditionalFormatting sqref="C352:D352">
    <cfRule type="containsText" dxfId="4734" priority="5257" operator="containsText" text="NUEVO">
      <formula>NOT(ISERROR(SEARCH("NUEVO",C352)))</formula>
    </cfRule>
  </conditionalFormatting>
  <conditionalFormatting sqref="E352">
    <cfRule type="containsText" dxfId="4733" priority="5256" operator="containsText" text="NUEVO">
      <formula>NOT(ISERROR(SEARCH("NUEVO",E352)))</formula>
    </cfRule>
  </conditionalFormatting>
  <conditionalFormatting sqref="E352">
    <cfRule type="containsText" dxfId="4732" priority="5255" operator="containsText" text="Sin Información">
      <formula>NOT(ISERROR(SEARCH("Sin Información",E352)))</formula>
    </cfRule>
  </conditionalFormatting>
  <conditionalFormatting sqref="C353:D353">
    <cfRule type="containsText" dxfId="4731" priority="5254" operator="containsText" text="NO+$D$4:$D$10">
      <formula>NOT(ISERROR(SEARCH("NO+$D$4:$D$10",C353)))</formula>
    </cfRule>
  </conditionalFormatting>
  <conditionalFormatting sqref="C353:D353">
    <cfRule type="containsText" dxfId="4730" priority="5252" operator="containsText" text="SI">
      <formula>NOT(ISERROR(SEARCH("SI",C353)))</formula>
    </cfRule>
    <cfRule type="containsText" dxfId="4729" priority="5253" operator="containsText" text="NO">
      <formula>NOT(ISERROR(SEARCH("NO",C353)))</formula>
    </cfRule>
  </conditionalFormatting>
  <conditionalFormatting sqref="C353:D353">
    <cfRule type="containsText" dxfId="4728" priority="5251" operator="containsText" text="NUEVO">
      <formula>NOT(ISERROR(SEARCH("NUEVO",C353)))</formula>
    </cfRule>
  </conditionalFormatting>
  <conditionalFormatting sqref="E353">
    <cfRule type="containsText" dxfId="4727" priority="5250" operator="containsText" text="NUEVO">
      <formula>NOT(ISERROR(SEARCH("NUEVO",E353)))</formula>
    </cfRule>
  </conditionalFormatting>
  <conditionalFormatting sqref="E353">
    <cfRule type="containsText" dxfId="4726" priority="5249" operator="containsText" text="Sin Información">
      <formula>NOT(ISERROR(SEARCH("Sin Información",E353)))</formula>
    </cfRule>
  </conditionalFormatting>
  <conditionalFormatting sqref="C354:D354">
    <cfRule type="containsText" dxfId="4725" priority="5242" operator="containsText" text="NO+$D$4:$D$10">
      <formula>NOT(ISERROR(SEARCH("NO+$D$4:$D$10",C354)))</formula>
    </cfRule>
  </conditionalFormatting>
  <conditionalFormatting sqref="C354:D354">
    <cfRule type="containsText" dxfId="4724" priority="5240" operator="containsText" text="SI">
      <formula>NOT(ISERROR(SEARCH("SI",C354)))</formula>
    </cfRule>
    <cfRule type="containsText" dxfId="4723" priority="5241" operator="containsText" text="NO">
      <formula>NOT(ISERROR(SEARCH("NO",C354)))</formula>
    </cfRule>
  </conditionalFormatting>
  <conditionalFormatting sqref="C354:D354">
    <cfRule type="containsText" dxfId="4722" priority="5239" operator="containsText" text="NUEVO">
      <formula>NOT(ISERROR(SEARCH("NUEVO",C354)))</formula>
    </cfRule>
  </conditionalFormatting>
  <conditionalFormatting sqref="E354">
    <cfRule type="containsText" dxfId="4721" priority="5238" operator="containsText" text="NUEVO">
      <formula>NOT(ISERROR(SEARCH("NUEVO",E354)))</formula>
    </cfRule>
  </conditionalFormatting>
  <conditionalFormatting sqref="E354">
    <cfRule type="containsText" dxfId="4720" priority="5237" operator="containsText" text="Sin Información">
      <formula>NOT(ISERROR(SEARCH("Sin Información",E354)))</formula>
    </cfRule>
  </conditionalFormatting>
  <conditionalFormatting sqref="C355:D355">
    <cfRule type="containsText" dxfId="4719" priority="5236" operator="containsText" text="NO+$D$4:$D$10">
      <formula>NOT(ISERROR(SEARCH("NO+$D$4:$D$10",C355)))</formula>
    </cfRule>
  </conditionalFormatting>
  <conditionalFormatting sqref="C355:D355">
    <cfRule type="containsText" dxfId="4718" priority="5234" operator="containsText" text="SI">
      <formula>NOT(ISERROR(SEARCH("SI",C355)))</formula>
    </cfRule>
    <cfRule type="containsText" dxfId="4717" priority="5235" operator="containsText" text="NO">
      <formula>NOT(ISERROR(SEARCH("NO",C355)))</formula>
    </cfRule>
  </conditionalFormatting>
  <conditionalFormatting sqref="C355:D355">
    <cfRule type="containsText" dxfId="4716" priority="5233" operator="containsText" text="NUEVO">
      <formula>NOT(ISERROR(SEARCH("NUEVO",C355)))</formula>
    </cfRule>
  </conditionalFormatting>
  <conditionalFormatting sqref="E355">
    <cfRule type="containsText" dxfId="4715" priority="5232" operator="containsText" text="NUEVO">
      <formula>NOT(ISERROR(SEARCH("NUEVO",E355)))</formula>
    </cfRule>
  </conditionalFormatting>
  <conditionalFormatting sqref="E355">
    <cfRule type="containsText" dxfId="4714" priority="5231" operator="containsText" text="Sin Información">
      <formula>NOT(ISERROR(SEARCH("Sin Información",E355)))</formula>
    </cfRule>
  </conditionalFormatting>
  <conditionalFormatting sqref="C356:D356">
    <cfRule type="containsText" dxfId="4713" priority="5230" operator="containsText" text="NO+$D$4:$D$10">
      <formula>NOT(ISERROR(SEARCH("NO+$D$4:$D$10",C356)))</formula>
    </cfRule>
  </conditionalFormatting>
  <conditionalFormatting sqref="C356:D356">
    <cfRule type="containsText" dxfId="4712" priority="5228" operator="containsText" text="SI">
      <formula>NOT(ISERROR(SEARCH("SI",C356)))</formula>
    </cfRule>
    <cfRule type="containsText" dxfId="4711" priority="5229" operator="containsText" text="NO">
      <formula>NOT(ISERROR(SEARCH("NO",C356)))</formula>
    </cfRule>
  </conditionalFormatting>
  <conditionalFormatting sqref="C356:D356">
    <cfRule type="containsText" dxfId="4710" priority="5227" operator="containsText" text="NUEVO">
      <formula>NOT(ISERROR(SEARCH("NUEVO",C356)))</formula>
    </cfRule>
  </conditionalFormatting>
  <conditionalFormatting sqref="E356">
    <cfRule type="containsText" dxfId="4709" priority="5226" operator="containsText" text="NUEVO">
      <formula>NOT(ISERROR(SEARCH("NUEVO",E356)))</formula>
    </cfRule>
  </conditionalFormatting>
  <conditionalFormatting sqref="E356">
    <cfRule type="containsText" dxfId="4708" priority="5225" operator="containsText" text="Sin Información">
      <formula>NOT(ISERROR(SEARCH("Sin Información",E356)))</formula>
    </cfRule>
  </conditionalFormatting>
  <conditionalFormatting sqref="C357:D357">
    <cfRule type="containsText" dxfId="4707" priority="5224" operator="containsText" text="NO+$D$4:$D$10">
      <formula>NOT(ISERROR(SEARCH("NO+$D$4:$D$10",C357)))</formula>
    </cfRule>
  </conditionalFormatting>
  <conditionalFormatting sqref="C357:D357">
    <cfRule type="containsText" dxfId="4706" priority="5222" operator="containsText" text="SI">
      <formula>NOT(ISERROR(SEARCH("SI",C357)))</formula>
    </cfRule>
    <cfRule type="containsText" dxfId="4705" priority="5223" operator="containsText" text="NO">
      <formula>NOT(ISERROR(SEARCH("NO",C357)))</formula>
    </cfRule>
  </conditionalFormatting>
  <conditionalFormatting sqref="C357:E357">
    <cfRule type="containsText" dxfId="4704" priority="5221" operator="containsText" text="NUEVO">
      <formula>NOT(ISERROR(SEARCH("NUEVO",C357)))</formula>
    </cfRule>
  </conditionalFormatting>
  <conditionalFormatting sqref="E357">
    <cfRule type="containsText" dxfId="4703" priority="5220" operator="containsText" text="Sin Información">
      <formula>NOT(ISERROR(SEARCH("Sin Información",E357)))</formula>
    </cfRule>
  </conditionalFormatting>
  <conditionalFormatting sqref="C361:D361">
    <cfRule type="containsText" dxfId="4702" priority="5219" operator="containsText" text="NO+$D$4:$D$10">
      <formula>NOT(ISERROR(SEARCH("NO+$D$4:$D$10",C361)))</formula>
    </cfRule>
  </conditionalFormatting>
  <conditionalFormatting sqref="C361:D361">
    <cfRule type="containsText" dxfId="4701" priority="5217" operator="containsText" text="SI">
      <formula>NOT(ISERROR(SEARCH("SI",C361)))</formula>
    </cfRule>
    <cfRule type="containsText" dxfId="4700" priority="5218" operator="containsText" text="NO">
      <formula>NOT(ISERROR(SEARCH("NO",C361)))</formula>
    </cfRule>
  </conditionalFormatting>
  <conditionalFormatting sqref="C361:D361">
    <cfRule type="containsText" dxfId="4699" priority="5216" operator="containsText" text="NUEVO">
      <formula>NOT(ISERROR(SEARCH("NUEVO",C361)))</formula>
    </cfRule>
  </conditionalFormatting>
  <conditionalFormatting sqref="E361">
    <cfRule type="containsText" dxfId="4698" priority="5215" operator="containsText" text="NUEVO">
      <formula>NOT(ISERROR(SEARCH("NUEVO",E361)))</formula>
    </cfRule>
  </conditionalFormatting>
  <conditionalFormatting sqref="E361">
    <cfRule type="containsText" dxfId="4697" priority="5214" operator="containsText" text="Sin Información">
      <formula>NOT(ISERROR(SEARCH("Sin Información",E361)))</formula>
    </cfRule>
  </conditionalFormatting>
  <conditionalFormatting sqref="C362:D362">
    <cfRule type="containsText" dxfId="4696" priority="5213" operator="containsText" text="NO+$D$4:$D$10">
      <formula>NOT(ISERROR(SEARCH("NO+$D$4:$D$10",C362)))</formula>
    </cfRule>
  </conditionalFormatting>
  <conditionalFormatting sqref="C362:D362">
    <cfRule type="containsText" dxfId="4695" priority="5211" operator="containsText" text="SI">
      <formula>NOT(ISERROR(SEARCH("SI",C362)))</formula>
    </cfRule>
    <cfRule type="containsText" dxfId="4694" priority="5212" operator="containsText" text="NO">
      <formula>NOT(ISERROR(SEARCH("NO",C362)))</formula>
    </cfRule>
  </conditionalFormatting>
  <conditionalFormatting sqref="C362:E362">
    <cfRule type="containsText" dxfId="4693" priority="5210" operator="containsText" text="NUEVO">
      <formula>NOT(ISERROR(SEARCH("NUEVO",C362)))</formula>
    </cfRule>
  </conditionalFormatting>
  <conditionalFormatting sqref="E362">
    <cfRule type="containsText" dxfId="4692" priority="5209" operator="containsText" text="Sin Información">
      <formula>NOT(ISERROR(SEARCH("Sin Información",E362)))</formula>
    </cfRule>
  </conditionalFormatting>
  <conditionalFormatting sqref="E363">
    <cfRule type="containsText" dxfId="4691" priority="5208" operator="containsText" text="NUEVO">
      <formula>NOT(ISERROR(SEARCH("NUEVO",E363)))</formula>
    </cfRule>
  </conditionalFormatting>
  <conditionalFormatting sqref="E363">
    <cfRule type="containsText" dxfId="4690" priority="5207" operator="containsText" text="Sin Información">
      <formula>NOT(ISERROR(SEARCH("Sin Información",E363)))</formula>
    </cfRule>
  </conditionalFormatting>
  <conditionalFormatting sqref="C364:D364">
    <cfRule type="containsText" dxfId="4689" priority="5206" operator="containsText" text="NO+$D$4:$D$10">
      <formula>NOT(ISERROR(SEARCH("NO+$D$4:$D$10",C364)))</formula>
    </cfRule>
  </conditionalFormatting>
  <conditionalFormatting sqref="C364:D364">
    <cfRule type="containsText" dxfId="4688" priority="5204" operator="containsText" text="SI">
      <formula>NOT(ISERROR(SEARCH("SI",C364)))</formula>
    </cfRule>
    <cfRule type="containsText" dxfId="4687" priority="5205" operator="containsText" text="NO">
      <formula>NOT(ISERROR(SEARCH("NO",C364)))</formula>
    </cfRule>
  </conditionalFormatting>
  <conditionalFormatting sqref="C364:E364">
    <cfRule type="containsText" dxfId="4686" priority="5203" operator="containsText" text="NUEVO">
      <formula>NOT(ISERROR(SEARCH("NUEVO",C364)))</formula>
    </cfRule>
  </conditionalFormatting>
  <conditionalFormatting sqref="E364">
    <cfRule type="containsText" dxfId="4685" priority="5202" operator="containsText" text="Sin Información">
      <formula>NOT(ISERROR(SEARCH("Sin Información",E364)))</formula>
    </cfRule>
  </conditionalFormatting>
  <conditionalFormatting sqref="C366:D366">
    <cfRule type="containsText" dxfId="4684" priority="5201" operator="containsText" text="NO+$D$4:$D$10">
      <formula>NOT(ISERROR(SEARCH("NO+$D$4:$D$10",C366)))</formula>
    </cfRule>
  </conditionalFormatting>
  <conditionalFormatting sqref="C366:D366">
    <cfRule type="containsText" dxfId="4683" priority="5199" operator="containsText" text="SI">
      <formula>NOT(ISERROR(SEARCH("SI",C366)))</formula>
    </cfRule>
    <cfRule type="containsText" dxfId="4682" priority="5200" operator="containsText" text="NO">
      <formula>NOT(ISERROR(SEARCH("NO",C366)))</formula>
    </cfRule>
  </conditionalFormatting>
  <conditionalFormatting sqref="C366:E366">
    <cfRule type="containsText" dxfId="4681" priority="5198" operator="containsText" text="NUEVO">
      <formula>NOT(ISERROR(SEARCH("NUEVO",C366)))</formula>
    </cfRule>
  </conditionalFormatting>
  <conditionalFormatting sqref="E366">
    <cfRule type="containsText" dxfId="4680" priority="5197" operator="containsText" text="Sin Información">
      <formula>NOT(ISERROR(SEARCH("Sin Información",E366)))</formula>
    </cfRule>
  </conditionalFormatting>
  <conditionalFormatting sqref="C367:D367">
    <cfRule type="containsText" dxfId="4679" priority="5196" operator="containsText" text="NO+$D$4:$D$10">
      <formula>NOT(ISERROR(SEARCH("NO+$D$4:$D$10",C367)))</formula>
    </cfRule>
  </conditionalFormatting>
  <conditionalFormatting sqref="C367:D367">
    <cfRule type="containsText" dxfId="4678" priority="5194" operator="containsText" text="SI">
      <formula>NOT(ISERROR(SEARCH("SI",C367)))</formula>
    </cfRule>
    <cfRule type="containsText" dxfId="4677" priority="5195" operator="containsText" text="NO">
      <formula>NOT(ISERROR(SEARCH("NO",C367)))</formula>
    </cfRule>
  </conditionalFormatting>
  <conditionalFormatting sqref="C367:E367">
    <cfRule type="containsText" dxfId="4676" priority="5193" operator="containsText" text="NUEVO">
      <formula>NOT(ISERROR(SEARCH("NUEVO",C367)))</formula>
    </cfRule>
  </conditionalFormatting>
  <conditionalFormatting sqref="E367">
    <cfRule type="containsText" dxfId="4675" priority="5192" operator="containsText" text="Sin Información">
      <formula>NOT(ISERROR(SEARCH("Sin Información",E367)))</formula>
    </cfRule>
  </conditionalFormatting>
  <conditionalFormatting sqref="C368:D368">
    <cfRule type="containsText" dxfId="4674" priority="5191" operator="containsText" text="NO+$D$4:$D$10">
      <formula>NOT(ISERROR(SEARCH("NO+$D$4:$D$10",C368)))</formula>
    </cfRule>
  </conditionalFormatting>
  <conditionalFormatting sqref="C368:D368">
    <cfRule type="containsText" dxfId="4673" priority="5189" operator="containsText" text="SI">
      <formula>NOT(ISERROR(SEARCH("SI",C368)))</formula>
    </cfRule>
    <cfRule type="containsText" dxfId="4672" priority="5190" operator="containsText" text="NO">
      <formula>NOT(ISERROR(SEARCH("NO",C368)))</formula>
    </cfRule>
  </conditionalFormatting>
  <conditionalFormatting sqref="C368:D368">
    <cfRule type="containsText" dxfId="4671" priority="5188" operator="containsText" text="NUEVO">
      <formula>NOT(ISERROR(SEARCH("NUEVO",C368)))</formula>
    </cfRule>
  </conditionalFormatting>
  <conditionalFormatting sqref="E368">
    <cfRule type="containsText" dxfId="4670" priority="5187" operator="containsText" text="NUEVO">
      <formula>NOT(ISERROR(SEARCH("NUEVO",E368)))</formula>
    </cfRule>
  </conditionalFormatting>
  <conditionalFormatting sqref="E368">
    <cfRule type="containsText" dxfId="4669" priority="5186" operator="containsText" text="Sin Información">
      <formula>NOT(ISERROR(SEARCH("Sin Información",E368)))</formula>
    </cfRule>
  </conditionalFormatting>
  <conditionalFormatting sqref="C369:D369">
    <cfRule type="containsText" dxfId="4668" priority="5185" operator="containsText" text="NO+$D$4:$D$10">
      <formula>NOT(ISERROR(SEARCH("NO+$D$4:$D$10",C369)))</formula>
    </cfRule>
  </conditionalFormatting>
  <conditionalFormatting sqref="C369:D369">
    <cfRule type="containsText" dxfId="4667" priority="5183" operator="containsText" text="SI">
      <formula>NOT(ISERROR(SEARCH("SI",C369)))</formula>
    </cfRule>
    <cfRule type="containsText" dxfId="4666" priority="5184" operator="containsText" text="NO">
      <formula>NOT(ISERROR(SEARCH("NO",C369)))</formula>
    </cfRule>
  </conditionalFormatting>
  <conditionalFormatting sqref="C369:E369">
    <cfRule type="containsText" dxfId="4665" priority="5182" operator="containsText" text="NUEVO">
      <formula>NOT(ISERROR(SEARCH("NUEVO",C369)))</formula>
    </cfRule>
  </conditionalFormatting>
  <conditionalFormatting sqref="E369">
    <cfRule type="containsText" dxfId="4664" priority="5181" operator="containsText" text="Sin Información">
      <formula>NOT(ISERROR(SEARCH("Sin Información",E369)))</formula>
    </cfRule>
  </conditionalFormatting>
  <conditionalFormatting sqref="C370:D370">
    <cfRule type="containsText" dxfId="4663" priority="5180" operator="containsText" text="NO+$D$4:$D$10">
      <formula>NOT(ISERROR(SEARCH("NO+$D$4:$D$10",C370)))</formula>
    </cfRule>
  </conditionalFormatting>
  <conditionalFormatting sqref="C370:D370">
    <cfRule type="containsText" dxfId="4662" priority="5178" operator="containsText" text="SI">
      <formula>NOT(ISERROR(SEARCH("SI",C370)))</formula>
    </cfRule>
    <cfRule type="containsText" dxfId="4661" priority="5179" operator="containsText" text="NO">
      <formula>NOT(ISERROR(SEARCH("NO",C370)))</formula>
    </cfRule>
  </conditionalFormatting>
  <conditionalFormatting sqref="C370:E370">
    <cfRule type="containsText" dxfId="4660" priority="5177" operator="containsText" text="NUEVO">
      <formula>NOT(ISERROR(SEARCH("NUEVO",C370)))</formula>
    </cfRule>
  </conditionalFormatting>
  <conditionalFormatting sqref="E370">
    <cfRule type="containsText" dxfId="4659" priority="5176" operator="containsText" text="Sin Información">
      <formula>NOT(ISERROR(SEARCH("Sin Información",E370)))</formula>
    </cfRule>
  </conditionalFormatting>
  <conditionalFormatting sqref="E372:E374">
    <cfRule type="containsText" dxfId="4658" priority="5175" operator="containsText" text="NUEVO">
      <formula>NOT(ISERROR(SEARCH("NUEVO",E372)))</formula>
    </cfRule>
  </conditionalFormatting>
  <conditionalFormatting sqref="E372:E374">
    <cfRule type="containsText" dxfId="4657" priority="5174" operator="containsText" text="Sin Información">
      <formula>NOT(ISERROR(SEARCH("Sin Información",E372)))</formula>
    </cfRule>
  </conditionalFormatting>
  <conditionalFormatting sqref="E371">
    <cfRule type="containsText" dxfId="4656" priority="5173" operator="containsText" text="NUEVO">
      <formula>NOT(ISERROR(SEARCH("NUEVO",E371)))</formula>
    </cfRule>
  </conditionalFormatting>
  <conditionalFormatting sqref="E371">
    <cfRule type="containsText" dxfId="4655" priority="5172" operator="containsText" text="Sin Información">
      <formula>NOT(ISERROR(SEARCH("Sin Información",E371)))</formula>
    </cfRule>
  </conditionalFormatting>
  <conditionalFormatting sqref="E383">
    <cfRule type="containsText" dxfId="4654" priority="5169" operator="containsText" text="NUEVO">
      <formula>NOT(ISERROR(SEARCH("NUEVO",E383)))</formula>
    </cfRule>
  </conditionalFormatting>
  <conditionalFormatting sqref="E383">
    <cfRule type="containsText" dxfId="4653" priority="5168" operator="containsText" text="Sin Información">
      <formula>NOT(ISERROR(SEARCH("Sin Información",E383)))</formula>
    </cfRule>
  </conditionalFormatting>
  <conditionalFormatting sqref="C386:D387">
    <cfRule type="containsText" dxfId="4652" priority="5167" operator="containsText" text="NO+$D$4:$D$10">
      <formula>NOT(ISERROR(SEARCH("NO+$D$4:$D$10",C386)))</formula>
    </cfRule>
  </conditionalFormatting>
  <conditionalFormatting sqref="C386:D387">
    <cfRule type="containsText" dxfId="4651" priority="5165" operator="containsText" text="SI">
      <formula>NOT(ISERROR(SEARCH("SI",C386)))</formula>
    </cfRule>
    <cfRule type="containsText" dxfId="4650" priority="5166" operator="containsText" text="NO">
      <formula>NOT(ISERROR(SEARCH("NO",C386)))</formula>
    </cfRule>
  </conditionalFormatting>
  <conditionalFormatting sqref="E386:E387">
    <cfRule type="containsText" dxfId="4649" priority="5164" operator="containsText" text="Sin información">
      <formula>NOT(ISERROR(SEARCH("Sin información",E386)))</formula>
    </cfRule>
  </conditionalFormatting>
  <conditionalFormatting sqref="C386:E387">
    <cfRule type="containsText" dxfId="4648" priority="5163" operator="containsText" text="NUEVO">
      <formula>NOT(ISERROR(SEARCH("NUEVO",C386)))</formula>
    </cfRule>
  </conditionalFormatting>
  <conditionalFormatting sqref="E386:E387">
    <cfRule type="containsText" dxfId="4647" priority="5162" operator="containsText" text="Sin Información">
      <formula>NOT(ISERROR(SEARCH("Sin Información",E386)))</formula>
    </cfRule>
  </conditionalFormatting>
  <conditionalFormatting sqref="C389:D389">
    <cfRule type="containsText" dxfId="4646" priority="5161" operator="containsText" text="NO+$D$4:$D$10">
      <formula>NOT(ISERROR(SEARCH("NO+$D$4:$D$10",C389)))</formula>
    </cfRule>
  </conditionalFormatting>
  <conditionalFormatting sqref="C389:D389">
    <cfRule type="containsText" dxfId="4645" priority="5159" operator="containsText" text="SI">
      <formula>NOT(ISERROR(SEARCH("SI",C389)))</formula>
    </cfRule>
    <cfRule type="containsText" dxfId="4644" priority="5160" operator="containsText" text="NO">
      <formula>NOT(ISERROR(SEARCH("NO",C389)))</formula>
    </cfRule>
  </conditionalFormatting>
  <conditionalFormatting sqref="C389:E389">
    <cfRule type="containsText" dxfId="4643" priority="5158" operator="containsText" text="NUEVO">
      <formula>NOT(ISERROR(SEARCH("NUEVO",C389)))</formula>
    </cfRule>
  </conditionalFormatting>
  <conditionalFormatting sqref="E389">
    <cfRule type="containsText" dxfId="4642" priority="5157" operator="containsText" text="Sin Información">
      <formula>NOT(ISERROR(SEARCH("Sin Información",E389)))</formula>
    </cfRule>
  </conditionalFormatting>
  <conditionalFormatting sqref="C390:D390">
    <cfRule type="containsText" dxfId="4641" priority="5156" operator="containsText" text="NO+$D$4:$D$10">
      <formula>NOT(ISERROR(SEARCH("NO+$D$4:$D$10",C390)))</formula>
    </cfRule>
  </conditionalFormatting>
  <conditionalFormatting sqref="C390:D390">
    <cfRule type="containsText" dxfId="4640" priority="5154" operator="containsText" text="SI">
      <formula>NOT(ISERROR(SEARCH("SI",C390)))</formula>
    </cfRule>
    <cfRule type="containsText" dxfId="4639" priority="5155" operator="containsText" text="NO">
      <formula>NOT(ISERROR(SEARCH("NO",C390)))</formula>
    </cfRule>
  </conditionalFormatting>
  <conditionalFormatting sqref="C390:E390">
    <cfRule type="containsText" dxfId="4638" priority="5153" operator="containsText" text="NUEVO">
      <formula>NOT(ISERROR(SEARCH("NUEVO",C390)))</formula>
    </cfRule>
  </conditionalFormatting>
  <conditionalFormatting sqref="E390">
    <cfRule type="containsText" dxfId="4637" priority="5152" operator="containsText" text="Sin Información">
      <formula>NOT(ISERROR(SEARCH("Sin Información",E390)))</formula>
    </cfRule>
  </conditionalFormatting>
  <conditionalFormatting sqref="C391:D392">
    <cfRule type="containsText" dxfId="4636" priority="5151" operator="containsText" text="NO+$D$4:$D$10">
      <formula>NOT(ISERROR(SEARCH("NO+$D$4:$D$10",C391)))</formula>
    </cfRule>
  </conditionalFormatting>
  <conditionalFormatting sqref="C391:D392">
    <cfRule type="containsText" dxfId="4635" priority="5149" operator="containsText" text="SI">
      <formula>NOT(ISERROR(SEARCH("SI",C391)))</formula>
    </cfRule>
    <cfRule type="containsText" dxfId="4634" priority="5150" operator="containsText" text="NO">
      <formula>NOT(ISERROR(SEARCH("NO",C391)))</formula>
    </cfRule>
  </conditionalFormatting>
  <conditionalFormatting sqref="E391:E392">
    <cfRule type="containsText" dxfId="4633" priority="5148" operator="containsText" text="Sin información">
      <formula>NOT(ISERROR(SEARCH("Sin información",E391)))</formula>
    </cfRule>
  </conditionalFormatting>
  <conditionalFormatting sqref="C391:E392">
    <cfRule type="containsText" dxfId="4632" priority="5147" operator="containsText" text="NUEVO">
      <formula>NOT(ISERROR(SEARCH("NUEVO",C391)))</formula>
    </cfRule>
  </conditionalFormatting>
  <conditionalFormatting sqref="E391:E392">
    <cfRule type="containsText" dxfId="4631" priority="5146" operator="containsText" text="Sin Información">
      <formula>NOT(ISERROR(SEARCH("Sin Información",E391)))</formula>
    </cfRule>
  </conditionalFormatting>
  <conditionalFormatting sqref="C393:D393">
    <cfRule type="containsText" dxfId="4630" priority="5145" operator="containsText" text="NO+$D$4:$D$10">
      <formula>NOT(ISERROR(SEARCH("NO+$D$4:$D$10",C393)))</formula>
    </cfRule>
  </conditionalFormatting>
  <conditionalFormatting sqref="C393:D393">
    <cfRule type="containsText" dxfId="4629" priority="5143" operator="containsText" text="SI">
      <formula>NOT(ISERROR(SEARCH("SI",C393)))</formula>
    </cfRule>
    <cfRule type="containsText" dxfId="4628" priority="5144" operator="containsText" text="NO">
      <formula>NOT(ISERROR(SEARCH("NO",C393)))</formula>
    </cfRule>
  </conditionalFormatting>
  <conditionalFormatting sqref="C393:E393">
    <cfRule type="containsText" dxfId="4627" priority="5142" operator="containsText" text="NUEVO">
      <formula>NOT(ISERROR(SEARCH("NUEVO",C393)))</formula>
    </cfRule>
  </conditionalFormatting>
  <conditionalFormatting sqref="E393">
    <cfRule type="containsText" dxfId="4626" priority="5141" operator="containsText" text="Sin Información">
      <formula>NOT(ISERROR(SEARCH("Sin Información",E393)))</formula>
    </cfRule>
  </conditionalFormatting>
  <conditionalFormatting sqref="C394:D394">
    <cfRule type="containsText" dxfId="4625" priority="5140" operator="containsText" text="NO+$D$4:$D$10">
      <formula>NOT(ISERROR(SEARCH("NO+$D$4:$D$10",C394)))</formula>
    </cfRule>
  </conditionalFormatting>
  <conditionalFormatting sqref="C394:D394">
    <cfRule type="containsText" dxfId="4624" priority="5138" operator="containsText" text="SI">
      <formula>NOT(ISERROR(SEARCH("SI",C394)))</formula>
    </cfRule>
    <cfRule type="containsText" dxfId="4623" priority="5139" operator="containsText" text="NO">
      <formula>NOT(ISERROR(SEARCH("NO",C394)))</formula>
    </cfRule>
  </conditionalFormatting>
  <conditionalFormatting sqref="C394:D394">
    <cfRule type="containsText" dxfId="4622" priority="5137" operator="containsText" text="NUEVO">
      <formula>NOT(ISERROR(SEARCH("NUEVO",C394)))</formula>
    </cfRule>
  </conditionalFormatting>
  <conditionalFormatting sqref="E394">
    <cfRule type="containsText" dxfId="4621" priority="5136" operator="containsText" text="NUEVO">
      <formula>NOT(ISERROR(SEARCH("NUEVO",E394)))</formula>
    </cfRule>
  </conditionalFormatting>
  <conditionalFormatting sqref="E394">
    <cfRule type="containsText" dxfId="4620" priority="5135" operator="containsText" text="Sin Información">
      <formula>NOT(ISERROR(SEARCH("Sin Información",E394)))</formula>
    </cfRule>
  </conditionalFormatting>
  <conditionalFormatting sqref="C395:D395">
    <cfRule type="containsText" dxfId="4619" priority="5134" operator="containsText" text="NO+$D$4:$D$10">
      <formula>NOT(ISERROR(SEARCH("NO+$D$4:$D$10",C395)))</formula>
    </cfRule>
  </conditionalFormatting>
  <conditionalFormatting sqref="C395:D395">
    <cfRule type="containsText" dxfId="4618" priority="5132" operator="containsText" text="SI">
      <formula>NOT(ISERROR(SEARCH("SI",C395)))</formula>
    </cfRule>
    <cfRule type="containsText" dxfId="4617" priority="5133" operator="containsText" text="NO">
      <formula>NOT(ISERROR(SEARCH("NO",C395)))</formula>
    </cfRule>
  </conditionalFormatting>
  <conditionalFormatting sqref="C395:E395">
    <cfRule type="containsText" dxfId="4616" priority="5131" operator="containsText" text="NUEVO">
      <formula>NOT(ISERROR(SEARCH("NUEVO",C395)))</formula>
    </cfRule>
  </conditionalFormatting>
  <conditionalFormatting sqref="E395">
    <cfRule type="containsText" dxfId="4615" priority="5130" operator="containsText" text="Sin Información">
      <formula>NOT(ISERROR(SEARCH("Sin Información",E395)))</formula>
    </cfRule>
  </conditionalFormatting>
  <conditionalFormatting sqref="C396:D396">
    <cfRule type="containsText" dxfId="4614" priority="5129" operator="containsText" text="NO+$D$4:$D$10">
      <formula>NOT(ISERROR(SEARCH("NO+$D$4:$D$10",C396)))</formula>
    </cfRule>
  </conditionalFormatting>
  <conditionalFormatting sqref="C396:D396">
    <cfRule type="containsText" dxfId="4613" priority="5127" operator="containsText" text="SI">
      <formula>NOT(ISERROR(SEARCH("SI",C396)))</formula>
    </cfRule>
    <cfRule type="containsText" dxfId="4612" priority="5128" operator="containsText" text="NO">
      <formula>NOT(ISERROR(SEARCH("NO",C396)))</formula>
    </cfRule>
  </conditionalFormatting>
  <conditionalFormatting sqref="C396:E396">
    <cfRule type="containsText" dxfId="4611" priority="5126" operator="containsText" text="NUEVO">
      <formula>NOT(ISERROR(SEARCH("NUEVO",C396)))</formula>
    </cfRule>
  </conditionalFormatting>
  <conditionalFormatting sqref="E396">
    <cfRule type="containsText" dxfId="4610" priority="5125" operator="containsText" text="Sin Información">
      <formula>NOT(ISERROR(SEARCH("Sin Información",E396)))</formula>
    </cfRule>
  </conditionalFormatting>
  <conditionalFormatting sqref="C397:D399">
    <cfRule type="containsText" dxfId="4609" priority="5124" operator="containsText" text="NO+$D$4:$D$10">
      <formula>NOT(ISERROR(SEARCH("NO+$D$4:$D$10",C397)))</formula>
    </cfRule>
  </conditionalFormatting>
  <conditionalFormatting sqref="C397:D399">
    <cfRule type="containsText" dxfId="4608" priority="5122" operator="containsText" text="SI">
      <formula>NOT(ISERROR(SEARCH("SI",C397)))</formula>
    </cfRule>
    <cfRule type="containsText" dxfId="4607" priority="5123" operator="containsText" text="NO">
      <formula>NOT(ISERROR(SEARCH("NO",C397)))</formula>
    </cfRule>
  </conditionalFormatting>
  <conditionalFormatting sqref="C397:E399">
    <cfRule type="containsText" dxfId="4606" priority="5121" operator="containsText" text="NUEVO">
      <formula>NOT(ISERROR(SEARCH("NUEVO",C397)))</formula>
    </cfRule>
  </conditionalFormatting>
  <conditionalFormatting sqref="E397:E399">
    <cfRule type="containsText" dxfId="4605" priority="5120" operator="containsText" text="Sin Información">
      <formula>NOT(ISERROR(SEARCH("Sin Información",E397)))</formula>
    </cfRule>
  </conditionalFormatting>
  <conditionalFormatting sqref="C400:D401">
    <cfRule type="containsText" dxfId="4604" priority="5119" operator="containsText" text="NO+$D$4:$D$10">
      <formula>NOT(ISERROR(SEARCH("NO+$D$4:$D$10",C400)))</formula>
    </cfRule>
  </conditionalFormatting>
  <conditionalFormatting sqref="C400:D401">
    <cfRule type="containsText" dxfId="4603" priority="5117" operator="containsText" text="SI">
      <formula>NOT(ISERROR(SEARCH("SI",C400)))</formula>
    </cfRule>
    <cfRule type="containsText" dxfId="4602" priority="5118" operator="containsText" text="NO">
      <formula>NOT(ISERROR(SEARCH("NO",C400)))</formula>
    </cfRule>
  </conditionalFormatting>
  <conditionalFormatting sqref="C400:E401">
    <cfRule type="containsText" dxfId="4601" priority="5116" operator="containsText" text="NUEVO">
      <formula>NOT(ISERROR(SEARCH("NUEVO",C400)))</formula>
    </cfRule>
  </conditionalFormatting>
  <conditionalFormatting sqref="E400:E401">
    <cfRule type="containsText" dxfId="4600" priority="5115" operator="containsText" text="Sin Información">
      <formula>NOT(ISERROR(SEARCH("Sin Información",E400)))</formula>
    </cfRule>
  </conditionalFormatting>
  <conditionalFormatting sqref="C402:D404">
    <cfRule type="containsText" dxfId="4599" priority="5114" operator="containsText" text="NO+$D$4:$D$10">
      <formula>NOT(ISERROR(SEARCH("NO+$D$4:$D$10",C402)))</formula>
    </cfRule>
  </conditionalFormatting>
  <conditionalFormatting sqref="C402:D404">
    <cfRule type="containsText" dxfId="4598" priority="5112" operator="containsText" text="SI">
      <formula>NOT(ISERROR(SEARCH("SI",C402)))</formula>
    </cfRule>
    <cfRule type="containsText" dxfId="4597" priority="5113" operator="containsText" text="NO">
      <formula>NOT(ISERROR(SEARCH("NO",C402)))</formula>
    </cfRule>
  </conditionalFormatting>
  <conditionalFormatting sqref="C402:D404">
    <cfRule type="containsText" dxfId="4596" priority="5111" operator="containsText" text="NUEVO">
      <formula>NOT(ISERROR(SEARCH("NUEVO",C402)))</formula>
    </cfRule>
  </conditionalFormatting>
  <conditionalFormatting sqref="E402:E404">
    <cfRule type="containsText" dxfId="4595" priority="5110" operator="containsText" text="NUEVO">
      <formula>NOT(ISERROR(SEARCH("NUEVO",E402)))</formula>
    </cfRule>
  </conditionalFormatting>
  <conditionalFormatting sqref="E402:E404">
    <cfRule type="containsText" dxfId="4594" priority="5109" operator="containsText" text="Sin Información">
      <formula>NOT(ISERROR(SEARCH("Sin Información",E402)))</formula>
    </cfRule>
  </conditionalFormatting>
  <conditionalFormatting sqref="C405:D405">
    <cfRule type="containsText" dxfId="4593" priority="5108" operator="containsText" text="NO+$D$4:$D$10">
      <formula>NOT(ISERROR(SEARCH("NO+$D$4:$D$10",C405)))</formula>
    </cfRule>
  </conditionalFormatting>
  <conditionalFormatting sqref="C405:D405">
    <cfRule type="containsText" dxfId="4592" priority="5106" operator="containsText" text="SI">
      <formula>NOT(ISERROR(SEARCH("SI",C405)))</formula>
    </cfRule>
    <cfRule type="containsText" dxfId="4591" priority="5107" operator="containsText" text="NO">
      <formula>NOT(ISERROR(SEARCH("NO",C405)))</formula>
    </cfRule>
  </conditionalFormatting>
  <conditionalFormatting sqref="C405:D405">
    <cfRule type="containsText" dxfId="4590" priority="5105" operator="containsText" text="NUEVO">
      <formula>NOT(ISERROR(SEARCH("NUEVO",C405)))</formula>
    </cfRule>
  </conditionalFormatting>
  <conditionalFormatting sqref="E405">
    <cfRule type="containsText" dxfId="4589" priority="5104" operator="containsText" text="NUEVO">
      <formula>NOT(ISERROR(SEARCH("NUEVO",E405)))</formula>
    </cfRule>
  </conditionalFormatting>
  <conditionalFormatting sqref="E405">
    <cfRule type="containsText" dxfId="4588" priority="5103" operator="containsText" text="Sin Información">
      <formula>NOT(ISERROR(SEARCH("Sin Información",E405)))</formula>
    </cfRule>
  </conditionalFormatting>
  <conditionalFormatting sqref="C406:D407">
    <cfRule type="containsText" dxfId="4587" priority="5102" operator="containsText" text="NO+$D$4:$D$10">
      <formula>NOT(ISERROR(SEARCH("NO+$D$4:$D$10",C406)))</formula>
    </cfRule>
  </conditionalFormatting>
  <conditionalFormatting sqref="C406:D407">
    <cfRule type="containsText" dxfId="4586" priority="5100" operator="containsText" text="SI">
      <formula>NOT(ISERROR(SEARCH("SI",C406)))</formula>
    </cfRule>
    <cfRule type="containsText" dxfId="4585" priority="5101" operator="containsText" text="NO">
      <formula>NOT(ISERROR(SEARCH("NO",C406)))</formula>
    </cfRule>
  </conditionalFormatting>
  <conditionalFormatting sqref="C406:E407">
    <cfRule type="containsText" dxfId="4584" priority="5099" operator="containsText" text="NUEVO">
      <formula>NOT(ISERROR(SEARCH("NUEVO",C406)))</formula>
    </cfRule>
  </conditionalFormatting>
  <conditionalFormatting sqref="E406:E407">
    <cfRule type="containsText" dxfId="4583" priority="5098" operator="containsText" text="Sin Información">
      <formula>NOT(ISERROR(SEARCH("Sin Información",E406)))</formula>
    </cfRule>
  </conditionalFormatting>
  <conditionalFormatting sqref="C408:D409">
    <cfRule type="containsText" dxfId="4582" priority="5097" operator="containsText" text="NO+$D$4:$D$10">
      <formula>NOT(ISERROR(SEARCH("NO+$D$4:$D$10",C408)))</formula>
    </cfRule>
  </conditionalFormatting>
  <conditionalFormatting sqref="C408:D409">
    <cfRule type="containsText" dxfId="4581" priority="5095" operator="containsText" text="SI">
      <formula>NOT(ISERROR(SEARCH("SI",C408)))</formula>
    </cfRule>
    <cfRule type="containsText" dxfId="4580" priority="5096" operator="containsText" text="NO">
      <formula>NOT(ISERROR(SEARCH("NO",C408)))</formula>
    </cfRule>
  </conditionalFormatting>
  <conditionalFormatting sqref="C408:E409">
    <cfRule type="containsText" dxfId="4579" priority="5094" operator="containsText" text="NUEVO">
      <formula>NOT(ISERROR(SEARCH("NUEVO",C408)))</formula>
    </cfRule>
  </conditionalFormatting>
  <conditionalFormatting sqref="E408:E409">
    <cfRule type="containsText" dxfId="4578" priority="5093" operator="containsText" text="Sin Información">
      <formula>NOT(ISERROR(SEARCH("Sin Información",E408)))</formula>
    </cfRule>
  </conditionalFormatting>
  <conditionalFormatting sqref="C410:D414">
    <cfRule type="containsText" dxfId="4577" priority="5092" operator="containsText" text="NO+$D$4:$D$10">
      <formula>NOT(ISERROR(SEARCH("NO+$D$4:$D$10",C410)))</formula>
    </cfRule>
  </conditionalFormatting>
  <conditionalFormatting sqref="C410:D414">
    <cfRule type="containsText" dxfId="4576" priority="5090" operator="containsText" text="SI">
      <formula>NOT(ISERROR(SEARCH("SI",C410)))</formula>
    </cfRule>
    <cfRule type="containsText" dxfId="4575" priority="5091" operator="containsText" text="NO">
      <formula>NOT(ISERROR(SEARCH("NO",C410)))</formula>
    </cfRule>
  </conditionalFormatting>
  <conditionalFormatting sqref="C410:E414">
    <cfRule type="containsText" dxfId="4574" priority="5089" operator="containsText" text="NUEVO">
      <formula>NOT(ISERROR(SEARCH("NUEVO",C410)))</formula>
    </cfRule>
  </conditionalFormatting>
  <conditionalFormatting sqref="E410:E414">
    <cfRule type="containsText" dxfId="4573" priority="5088" operator="containsText" text="Sin Información">
      <formula>NOT(ISERROR(SEARCH("Sin Información",E410)))</formula>
    </cfRule>
  </conditionalFormatting>
  <conditionalFormatting sqref="C425:D425">
    <cfRule type="containsText" dxfId="4572" priority="5082" operator="containsText" text="NO+$D$4:$D$10">
      <formula>NOT(ISERROR(SEARCH("NO+$D$4:$D$10",C425)))</formula>
    </cfRule>
  </conditionalFormatting>
  <conditionalFormatting sqref="C425:D425">
    <cfRule type="containsText" dxfId="4571" priority="5080" operator="containsText" text="SI">
      <formula>NOT(ISERROR(SEARCH("SI",C425)))</formula>
    </cfRule>
    <cfRule type="containsText" dxfId="4570" priority="5081" operator="containsText" text="NO">
      <formula>NOT(ISERROR(SEARCH("NO",C425)))</formula>
    </cfRule>
  </conditionalFormatting>
  <conditionalFormatting sqref="C425:E425">
    <cfRule type="containsText" dxfId="4569" priority="5079" operator="containsText" text="NUEVO">
      <formula>NOT(ISERROR(SEARCH("NUEVO",C425)))</formula>
    </cfRule>
  </conditionalFormatting>
  <conditionalFormatting sqref="E425">
    <cfRule type="containsText" dxfId="4568" priority="5078" operator="containsText" text="Sin Información">
      <formula>NOT(ISERROR(SEARCH("Sin Información",E425)))</formula>
    </cfRule>
  </conditionalFormatting>
  <conditionalFormatting sqref="C426:D426">
    <cfRule type="containsText" dxfId="4567" priority="5077" operator="containsText" text="NO+$D$4:$D$10">
      <formula>NOT(ISERROR(SEARCH("NO+$D$4:$D$10",C426)))</formula>
    </cfRule>
  </conditionalFormatting>
  <conditionalFormatting sqref="C426:D426">
    <cfRule type="containsText" dxfId="4566" priority="5075" operator="containsText" text="SI">
      <formula>NOT(ISERROR(SEARCH("SI",C426)))</formula>
    </cfRule>
    <cfRule type="containsText" dxfId="4565" priority="5076" operator="containsText" text="NO">
      <formula>NOT(ISERROR(SEARCH("NO",C426)))</formula>
    </cfRule>
  </conditionalFormatting>
  <conditionalFormatting sqref="C426:E426">
    <cfRule type="containsText" dxfId="4564" priority="5074" operator="containsText" text="NUEVO">
      <formula>NOT(ISERROR(SEARCH("NUEVO",C426)))</formula>
    </cfRule>
  </conditionalFormatting>
  <conditionalFormatting sqref="E426">
    <cfRule type="containsText" dxfId="4563" priority="5073" operator="containsText" text="Sin Información">
      <formula>NOT(ISERROR(SEARCH("Sin Información",E426)))</formula>
    </cfRule>
  </conditionalFormatting>
  <conditionalFormatting sqref="C427:D427">
    <cfRule type="containsText" dxfId="4562" priority="5072" operator="containsText" text="NO+$D$4:$D$10">
      <formula>NOT(ISERROR(SEARCH("NO+$D$4:$D$10",C427)))</formula>
    </cfRule>
  </conditionalFormatting>
  <conditionalFormatting sqref="C427:D427">
    <cfRule type="containsText" dxfId="4561" priority="5070" operator="containsText" text="SI">
      <formula>NOT(ISERROR(SEARCH("SI",C427)))</formula>
    </cfRule>
    <cfRule type="containsText" dxfId="4560" priority="5071" operator="containsText" text="NO">
      <formula>NOT(ISERROR(SEARCH("NO",C427)))</formula>
    </cfRule>
  </conditionalFormatting>
  <conditionalFormatting sqref="C427:E427">
    <cfRule type="containsText" dxfId="4559" priority="5069" operator="containsText" text="NUEVO">
      <formula>NOT(ISERROR(SEARCH("NUEVO",C427)))</formula>
    </cfRule>
  </conditionalFormatting>
  <conditionalFormatting sqref="E427">
    <cfRule type="containsText" dxfId="4558" priority="5068" operator="containsText" text="Sin Información">
      <formula>NOT(ISERROR(SEARCH("Sin Información",E427)))</formula>
    </cfRule>
  </conditionalFormatting>
  <conditionalFormatting sqref="C428:D428">
    <cfRule type="containsText" dxfId="4557" priority="5067" operator="containsText" text="NO+$D$4:$D$10">
      <formula>NOT(ISERROR(SEARCH("NO+$D$4:$D$10",C428)))</formula>
    </cfRule>
  </conditionalFormatting>
  <conditionalFormatting sqref="C428:D428">
    <cfRule type="containsText" dxfId="4556" priority="5065" operator="containsText" text="SI">
      <formula>NOT(ISERROR(SEARCH("SI",C428)))</formula>
    </cfRule>
    <cfRule type="containsText" dxfId="4555" priority="5066" operator="containsText" text="NO">
      <formula>NOT(ISERROR(SEARCH("NO",C428)))</formula>
    </cfRule>
  </conditionalFormatting>
  <conditionalFormatting sqref="C428:E428">
    <cfRule type="containsText" dxfId="4554" priority="5064" operator="containsText" text="NUEVO">
      <formula>NOT(ISERROR(SEARCH("NUEVO",C428)))</formula>
    </cfRule>
  </conditionalFormatting>
  <conditionalFormatting sqref="E428">
    <cfRule type="containsText" dxfId="4553" priority="5063" operator="containsText" text="Sin Información">
      <formula>NOT(ISERROR(SEARCH("Sin Información",E428)))</formula>
    </cfRule>
  </conditionalFormatting>
  <conditionalFormatting sqref="C429:D429">
    <cfRule type="containsText" dxfId="4552" priority="5062" operator="containsText" text="NO+$D$4:$D$10">
      <formula>NOT(ISERROR(SEARCH("NO+$D$4:$D$10",C429)))</formula>
    </cfRule>
  </conditionalFormatting>
  <conditionalFormatting sqref="C429:D429">
    <cfRule type="containsText" dxfId="4551" priority="5060" operator="containsText" text="SI">
      <formula>NOT(ISERROR(SEARCH("SI",C429)))</formula>
    </cfRule>
    <cfRule type="containsText" dxfId="4550" priority="5061" operator="containsText" text="NO">
      <formula>NOT(ISERROR(SEARCH("NO",C429)))</formula>
    </cfRule>
  </conditionalFormatting>
  <conditionalFormatting sqref="C429:E429">
    <cfRule type="containsText" dxfId="4549" priority="5059" operator="containsText" text="NUEVO">
      <formula>NOT(ISERROR(SEARCH("NUEVO",C429)))</formula>
    </cfRule>
  </conditionalFormatting>
  <conditionalFormatting sqref="E429">
    <cfRule type="containsText" dxfId="4548" priority="5058" operator="containsText" text="Sin Información">
      <formula>NOT(ISERROR(SEARCH("Sin Información",E429)))</formula>
    </cfRule>
  </conditionalFormatting>
  <conditionalFormatting sqref="C433:D433">
    <cfRule type="containsText" dxfId="4547" priority="5057" operator="containsText" text="NO+$D$4:$D$10">
      <formula>NOT(ISERROR(SEARCH("NO+$D$4:$D$10",C433)))</formula>
    </cfRule>
  </conditionalFormatting>
  <conditionalFormatting sqref="C433:D433">
    <cfRule type="containsText" dxfId="4546" priority="5055" operator="containsText" text="SI">
      <formula>NOT(ISERROR(SEARCH("SI",C433)))</formula>
    </cfRule>
    <cfRule type="containsText" dxfId="4545" priority="5056" operator="containsText" text="NO">
      <formula>NOT(ISERROR(SEARCH("NO",C433)))</formula>
    </cfRule>
  </conditionalFormatting>
  <conditionalFormatting sqref="C433:D433">
    <cfRule type="containsText" dxfId="4544" priority="5054" operator="containsText" text="NUEVO">
      <formula>NOT(ISERROR(SEARCH("NUEVO",C433)))</formula>
    </cfRule>
  </conditionalFormatting>
  <conditionalFormatting sqref="E433">
    <cfRule type="containsText" dxfId="4543" priority="5053" operator="containsText" text="NUEVO">
      <formula>NOT(ISERROR(SEARCH("NUEVO",E433)))</formula>
    </cfRule>
  </conditionalFormatting>
  <conditionalFormatting sqref="E433">
    <cfRule type="containsText" dxfId="4542" priority="5052" operator="containsText" text="Sin Información">
      <formula>NOT(ISERROR(SEARCH("Sin Información",E433)))</formula>
    </cfRule>
  </conditionalFormatting>
  <conditionalFormatting sqref="C434:D434">
    <cfRule type="containsText" dxfId="4541" priority="5051" operator="containsText" text="NO+$D$4:$D$10">
      <formula>NOT(ISERROR(SEARCH("NO+$D$4:$D$10",C434)))</formula>
    </cfRule>
  </conditionalFormatting>
  <conditionalFormatting sqref="C434:D434">
    <cfRule type="containsText" dxfId="4540" priority="5049" operator="containsText" text="SI">
      <formula>NOT(ISERROR(SEARCH("SI",C434)))</formula>
    </cfRule>
    <cfRule type="containsText" dxfId="4539" priority="5050" operator="containsText" text="NO">
      <formula>NOT(ISERROR(SEARCH("NO",C434)))</formula>
    </cfRule>
  </conditionalFormatting>
  <conditionalFormatting sqref="C434:D434">
    <cfRule type="containsText" dxfId="4538" priority="5048" operator="containsText" text="NUEVO">
      <formula>NOT(ISERROR(SEARCH("NUEVO",C434)))</formula>
    </cfRule>
  </conditionalFormatting>
  <conditionalFormatting sqref="E434">
    <cfRule type="containsText" dxfId="4537" priority="5047" operator="containsText" text="NUEVO">
      <formula>NOT(ISERROR(SEARCH("NUEVO",E434)))</formula>
    </cfRule>
  </conditionalFormatting>
  <conditionalFormatting sqref="E434">
    <cfRule type="containsText" dxfId="4536" priority="5046" operator="containsText" text="Sin Información">
      <formula>NOT(ISERROR(SEARCH("Sin Información",E434)))</formula>
    </cfRule>
  </conditionalFormatting>
  <conditionalFormatting sqref="C435:D435">
    <cfRule type="containsText" dxfId="4535" priority="5045" operator="containsText" text="NO+$D$4:$D$10">
      <formula>NOT(ISERROR(SEARCH("NO+$D$4:$D$10",C435)))</formula>
    </cfRule>
  </conditionalFormatting>
  <conditionalFormatting sqref="C435:D435">
    <cfRule type="containsText" dxfId="4534" priority="5043" operator="containsText" text="SI">
      <formula>NOT(ISERROR(SEARCH("SI",C435)))</formula>
    </cfRule>
    <cfRule type="containsText" dxfId="4533" priority="5044" operator="containsText" text="NO">
      <formula>NOT(ISERROR(SEARCH("NO",C435)))</formula>
    </cfRule>
  </conditionalFormatting>
  <conditionalFormatting sqref="C435:D435">
    <cfRule type="containsText" dxfId="4532" priority="5042" operator="containsText" text="NUEVO">
      <formula>NOT(ISERROR(SEARCH("NUEVO",C435)))</formula>
    </cfRule>
  </conditionalFormatting>
  <conditionalFormatting sqref="E435">
    <cfRule type="containsText" dxfId="4531" priority="5041" operator="containsText" text="NUEVO">
      <formula>NOT(ISERROR(SEARCH("NUEVO",E435)))</formula>
    </cfRule>
  </conditionalFormatting>
  <conditionalFormatting sqref="E435">
    <cfRule type="containsText" dxfId="4530" priority="5040" operator="containsText" text="Sin Información">
      <formula>NOT(ISERROR(SEARCH("Sin Información",E435)))</formula>
    </cfRule>
  </conditionalFormatting>
  <conditionalFormatting sqref="C436:D436">
    <cfRule type="containsText" dxfId="4529" priority="5039" operator="containsText" text="NO+$D$4:$D$10">
      <formula>NOT(ISERROR(SEARCH("NO+$D$4:$D$10",C436)))</formula>
    </cfRule>
  </conditionalFormatting>
  <conditionalFormatting sqref="C436:D436">
    <cfRule type="containsText" dxfId="4528" priority="5037" operator="containsText" text="SI">
      <formula>NOT(ISERROR(SEARCH("SI",C436)))</formula>
    </cfRule>
    <cfRule type="containsText" dxfId="4527" priority="5038" operator="containsText" text="NO">
      <formula>NOT(ISERROR(SEARCH("NO",C436)))</formula>
    </cfRule>
  </conditionalFormatting>
  <conditionalFormatting sqref="C436:E436">
    <cfRule type="containsText" dxfId="4526" priority="5036" operator="containsText" text="NUEVO">
      <formula>NOT(ISERROR(SEARCH("NUEVO",C436)))</formula>
    </cfRule>
  </conditionalFormatting>
  <conditionalFormatting sqref="E436">
    <cfRule type="containsText" dxfId="4525" priority="5035" operator="containsText" text="Sin Información">
      <formula>NOT(ISERROR(SEARCH("Sin Información",E436)))</formula>
    </cfRule>
  </conditionalFormatting>
  <conditionalFormatting sqref="C437:D437">
    <cfRule type="containsText" dxfId="4524" priority="5034" operator="containsText" text="NO+$D$4:$D$10">
      <formula>NOT(ISERROR(SEARCH("NO+$D$4:$D$10",C437)))</formula>
    </cfRule>
  </conditionalFormatting>
  <conditionalFormatting sqref="C437:D437">
    <cfRule type="containsText" dxfId="4523" priority="5032" operator="containsText" text="SI">
      <formula>NOT(ISERROR(SEARCH("SI",C437)))</formula>
    </cfRule>
    <cfRule type="containsText" dxfId="4522" priority="5033" operator="containsText" text="NO">
      <formula>NOT(ISERROR(SEARCH("NO",C437)))</formula>
    </cfRule>
  </conditionalFormatting>
  <conditionalFormatting sqref="C437:E437">
    <cfRule type="containsText" dxfId="4521" priority="5031" operator="containsText" text="NUEVO">
      <formula>NOT(ISERROR(SEARCH("NUEVO",C437)))</formula>
    </cfRule>
  </conditionalFormatting>
  <conditionalFormatting sqref="E437">
    <cfRule type="containsText" dxfId="4520" priority="5030" operator="containsText" text="Sin Información">
      <formula>NOT(ISERROR(SEARCH("Sin Información",E437)))</formula>
    </cfRule>
  </conditionalFormatting>
  <conditionalFormatting sqref="C438:D438">
    <cfRule type="containsText" dxfId="4519" priority="5029" operator="containsText" text="NO+$D$4:$D$10">
      <formula>NOT(ISERROR(SEARCH("NO+$D$4:$D$10",C438)))</formula>
    </cfRule>
  </conditionalFormatting>
  <conditionalFormatting sqref="C438:D438">
    <cfRule type="containsText" dxfId="4518" priority="5027" operator="containsText" text="SI">
      <formula>NOT(ISERROR(SEARCH("SI",C438)))</formula>
    </cfRule>
    <cfRule type="containsText" dxfId="4517" priority="5028" operator="containsText" text="NO">
      <formula>NOT(ISERROR(SEARCH("NO",C438)))</formula>
    </cfRule>
  </conditionalFormatting>
  <conditionalFormatting sqref="C438:E438">
    <cfRule type="containsText" dxfId="4516" priority="5026" operator="containsText" text="NUEVO">
      <formula>NOT(ISERROR(SEARCH("NUEVO",C438)))</formula>
    </cfRule>
  </conditionalFormatting>
  <conditionalFormatting sqref="E438">
    <cfRule type="containsText" dxfId="4515" priority="5025" operator="containsText" text="Sin Información">
      <formula>NOT(ISERROR(SEARCH("Sin Información",E438)))</formula>
    </cfRule>
  </conditionalFormatting>
  <conditionalFormatting sqref="E443">
    <cfRule type="containsText" dxfId="4514" priority="5024" operator="containsText" text="NUEVO">
      <formula>NOT(ISERROR(SEARCH("NUEVO",E443)))</formula>
    </cfRule>
  </conditionalFormatting>
  <conditionalFormatting sqref="E443">
    <cfRule type="containsText" dxfId="4513" priority="5023" operator="containsText" text="Sin Información">
      <formula>NOT(ISERROR(SEARCH("Sin Información",E443)))</formula>
    </cfRule>
  </conditionalFormatting>
  <conditionalFormatting sqref="C444:D444">
    <cfRule type="containsText" dxfId="4512" priority="5022" operator="containsText" text="NO+$D$4:$D$10">
      <formula>NOT(ISERROR(SEARCH("NO+$D$4:$D$10",C444)))</formula>
    </cfRule>
  </conditionalFormatting>
  <conditionalFormatting sqref="C444:D444">
    <cfRule type="containsText" dxfId="4511" priority="5020" operator="containsText" text="SI">
      <formula>NOT(ISERROR(SEARCH("SI",C444)))</formula>
    </cfRule>
    <cfRule type="containsText" dxfId="4510" priority="5021" operator="containsText" text="NO">
      <formula>NOT(ISERROR(SEARCH("NO",C444)))</formula>
    </cfRule>
  </conditionalFormatting>
  <conditionalFormatting sqref="E444">
    <cfRule type="containsText" dxfId="4509" priority="5019" operator="containsText" text="Sin información">
      <formula>NOT(ISERROR(SEARCH("Sin información",E444)))</formula>
    </cfRule>
  </conditionalFormatting>
  <conditionalFormatting sqref="C444:E444">
    <cfRule type="containsText" dxfId="4508" priority="5018" operator="containsText" text="NUEVO">
      <formula>NOT(ISERROR(SEARCH("NUEVO",C444)))</formula>
    </cfRule>
  </conditionalFormatting>
  <conditionalFormatting sqref="E444">
    <cfRule type="containsText" dxfId="4507" priority="5017" operator="containsText" text="Sin Información">
      <formula>NOT(ISERROR(SEARCH("Sin Información",E444)))</formula>
    </cfRule>
  </conditionalFormatting>
  <conditionalFormatting sqref="C445:D445">
    <cfRule type="containsText" dxfId="4506" priority="5016" operator="containsText" text="NO+$D$4:$D$10">
      <formula>NOT(ISERROR(SEARCH("NO+$D$4:$D$10",C445)))</formula>
    </cfRule>
  </conditionalFormatting>
  <conditionalFormatting sqref="C445:D445">
    <cfRule type="containsText" dxfId="4505" priority="5014" operator="containsText" text="SI">
      <formula>NOT(ISERROR(SEARCH("SI",C445)))</formula>
    </cfRule>
    <cfRule type="containsText" dxfId="4504" priority="5015" operator="containsText" text="NO">
      <formula>NOT(ISERROR(SEARCH("NO",C445)))</formula>
    </cfRule>
  </conditionalFormatting>
  <conditionalFormatting sqref="E445">
    <cfRule type="containsText" dxfId="4503" priority="5013" operator="containsText" text="Sin información">
      <formula>NOT(ISERROR(SEARCH("Sin información",E445)))</formula>
    </cfRule>
  </conditionalFormatting>
  <conditionalFormatting sqref="C445:E445">
    <cfRule type="containsText" dxfId="4502" priority="5012" operator="containsText" text="NUEVO">
      <formula>NOT(ISERROR(SEARCH("NUEVO",C445)))</formula>
    </cfRule>
  </conditionalFormatting>
  <conditionalFormatting sqref="E445">
    <cfRule type="containsText" dxfId="4501" priority="5011" operator="containsText" text="Sin Información">
      <formula>NOT(ISERROR(SEARCH("Sin Información",E445)))</formula>
    </cfRule>
  </conditionalFormatting>
  <conditionalFormatting sqref="C446:D446">
    <cfRule type="containsText" dxfId="4500" priority="5010" operator="containsText" text="NO+$D$4:$D$10">
      <formula>NOT(ISERROR(SEARCH("NO+$D$4:$D$10",C446)))</formula>
    </cfRule>
  </conditionalFormatting>
  <conditionalFormatting sqref="C446:D446">
    <cfRule type="containsText" dxfId="4499" priority="5008" operator="containsText" text="SI">
      <formula>NOT(ISERROR(SEARCH("SI",C446)))</formula>
    </cfRule>
    <cfRule type="containsText" dxfId="4498" priority="5009" operator="containsText" text="NO">
      <formula>NOT(ISERROR(SEARCH("NO",C446)))</formula>
    </cfRule>
  </conditionalFormatting>
  <conditionalFormatting sqref="C446:D446">
    <cfRule type="containsText" dxfId="4497" priority="5007" operator="containsText" text="NUEVO">
      <formula>NOT(ISERROR(SEARCH("NUEVO",C446)))</formula>
    </cfRule>
  </conditionalFormatting>
  <conditionalFormatting sqref="E446">
    <cfRule type="containsText" dxfId="4496" priority="5006" operator="containsText" text="Sin información">
      <formula>NOT(ISERROR(SEARCH("Sin información",E446)))</formula>
    </cfRule>
  </conditionalFormatting>
  <conditionalFormatting sqref="E446">
    <cfRule type="containsText" dxfId="4495" priority="5005" operator="containsText" text="NUEVO">
      <formula>NOT(ISERROR(SEARCH("NUEVO",E446)))</formula>
    </cfRule>
  </conditionalFormatting>
  <conditionalFormatting sqref="E446">
    <cfRule type="containsText" dxfId="4494" priority="5004" operator="containsText" text="Sin Información">
      <formula>NOT(ISERROR(SEARCH("Sin Información",E446)))</formula>
    </cfRule>
  </conditionalFormatting>
  <conditionalFormatting sqref="C447:D447">
    <cfRule type="containsText" dxfId="4493" priority="5003" operator="containsText" text="NO+$D$4:$D$10">
      <formula>NOT(ISERROR(SEARCH("NO+$D$4:$D$10",C447)))</formula>
    </cfRule>
  </conditionalFormatting>
  <conditionalFormatting sqref="C447:D447">
    <cfRule type="containsText" dxfId="4492" priority="5001" operator="containsText" text="SI">
      <formula>NOT(ISERROR(SEARCH("SI",C447)))</formula>
    </cfRule>
    <cfRule type="containsText" dxfId="4491" priority="5002" operator="containsText" text="NO">
      <formula>NOT(ISERROR(SEARCH("NO",C447)))</formula>
    </cfRule>
  </conditionalFormatting>
  <conditionalFormatting sqref="E447">
    <cfRule type="containsText" dxfId="4490" priority="5000" operator="containsText" text="Sin información">
      <formula>NOT(ISERROR(SEARCH("Sin información",E447)))</formula>
    </cfRule>
  </conditionalFormatting>
  <conditionalFormatting sqref="C447:E447">
    <cfRule type="containsText" dxfId="4489" priority="4999" operator="containsText" text="NUEVO">
      <formula>NOT(ISERROR(SEARCH("NUEVO",C447)))</formula>
    </cfRule>
  </conditionalFormatting>
  <conditionalFormatting sqref="E447">
    <cfRule type="containsText" dxfId="4488" priority="4998" operator="containsText" text="Sin Información">
      <formula>NOT(ISERROR(SEARCH("Sin Información",E447)))</formula>
    </cfRule>
  </conditionalFormatting>
  <conditionalFormatting sqref="C448:D448">
    <cfRule type="containsText" dxfId="4487" priority="4997" operator="containsText" text="NO+$D$4:$D$10">
      <formula>NOT(ISERROR(SEARCH("NO+$D$4:$D$10",C448)))</formula>
    </cfRule>
  </conditionalFormatting>
  <conditionalFormatting sqref="C448:D448">
    <cfRule type="containsText" dxfId="4486" priority="4995" operator="containsText" text="SI">
      <formula>NOT(ISERROR(SEARCH("SI",C448)))</formula>
    </cfRule>
    <cfRule type="containsText" dxfId="4485" priority="4996" operator="containsText" text="NO">
      <formula>NOT(ISERROR(SEARCH("NO",C448)))</formula>
    </cfRule>
  </conditionalFormatting>
  <conditionalFormatting sqref="C448:D448">
    <cfRule type="containsText" dxfId="4484" priority="4994" operator="containsText" text="NUEVO">
      <formula>NOT(ISERROR(SEARCH("NUEVO",C448)))</formula>
    </cfRule>
  </conditionalFormatting>
  <conditionalFormatting sqref="E448">
    <cfRule type="containsText" dxfId="4483" priority="4993" operator="containsText" text="Sin información">
      <formula>NOT(ISERROR(SEARCH("Sin información",E448)))</formula>
    </cfRule>
  </conditionalFormatting>
  <conditionalFormatting sqref="E448">
    <cfRule type="containsText" dxfId="4482" priority="4992" operator="containsText" text="NUEVO">
      <formula>NOT(ISERROR(SEARCH("NUEVO",E448)))</formula>
    </cfRule>
  </conditionalFormatting>
  <conditionalFormatting sqref="E448">
    <cfRule type="containsText" dxfId="4481" priority="4991" operator="containsText" text="Sin Información">
      <formula>NOT(ISERROR(SEARCH("Sin Información",E448)))</formula>
    </cfRule>
  </conditionalFormatting>
  <conditionalFormatting sqref="E448">
    <cfRule type="containsText" dxfId="4480" priority="4990" operator="containsText" text="Sin información">
      <formula>NOT(ISERROR(SEARCH("Sin información",E448)))</formula>
    </cfRule>
  </conditionalFormatting>
  <conditionalFormatting sqref="C449:D449">
    <cfRule type="containsText" dxfId="4479" priority="4989" operator="containsText" text="NO+$D$4:$D$10">
      <formula>NOT(ISERROR(SEARCH("NO+$D$4:$D$10",C449)))</formula>
    </cfRule>
  </conditionalFormatting>
  <conditionalFormatting sqref="C449:D449">
    <cfRule type="containsText" dxfId="4478" priority="4987" operator="containsText" text="SI">
      <formula>NOT(ISERROR(SEARCH("SI",C449)))</formula>
    </cfRule>
    <cfRule type="containsText" dxfId="4477" priority="4988" operator="containsText" text="NO">
      <formula>NOT(ISERROR(SEARCH("NO",C449)))</formula>
    </cfRule>
  </conditionalFormatting>
  <conditionalFormatting sqref="C449:E449">
    <cfRule type="containsText" dxfId="4476" priority="4986" operator="containsText" text="NUEVO">
      <formula>NOT(ISERROR(SEARCH("NUEVO",C449)))</formula>
    </cfRule>
  </conditionalFormatting>
  <conditionalFormatting sqref="E449">
    <cfRule type="containsText" dxfId="4475" priority="4985" operator="containsText" text="Sin Información">
      <formula>NOT(ISERROR(SEARCH("Sin Información",E449)))</formula>
    </cfRule>
  </conditionalFormatting>
  <conditionalFormatting sqref="C450:D450">
    <cfRule type="containsText" dxfId="4474" priority="4984" operator="containsText" text="NO+$D$4:$D$10">
      <formula>NOT(ISERROR(SEARCH("NO+$D$4:$D$10",C450)))</formula>
    </cfRule>
  </conditionalFormatting>
  <conditionalFormatting sqref="C450:D450">
    <cfRule type="containsText" dxfId="4473" priority="4982" operator="containsText" text="SI">
      <formula>NOT(ISERROR(SEARCH("SI",C450)))</formula>
    </cfRule>
    <cfRule type="containsText" dxfId="4472" priority="4983" operator="containsText" text="NO">
      <formula>NOT(ISERROR(SEARCH("NO",C450)))</formula>
    </cfRule>
  </conditionalFormatting>
  <conditionalFormatting sqref="C450:E450">
    <cfRule type="containsText" dxfId="4471" priority="4981" operator="containsText" text="NUEVO">
      <formula>NOT(ISERROR(SEARCH("NUEVO",C450)))</formula>
    </cfRule>
  </conditionalFormatting>
  <conditionalFormatting sqref="E450">
    <cfRule type="containsText" dxfId="4470" priority="4980" operator="containsText" text="Sin Información">
      <formula>NOT(ISERROR(SEARCH("Sin Información",E450)))</formula>
    </cfRule>
  </conditionalFormatting>
  <conditionalFormatting sqref="C451:D451">
    <cfRule type="containsText" dxfId="4469" priority="4979" operator="containsText" text="NO+$D$4:$D$10">
      <formula>NOT(ISERROR(SEARCH("NO+$D$4:$D$10",C451)))</formula>
    </cfRule>
  </conditionalFormatting>
  <conditionalFormatting sqref="C451:D451">
    <cfRule type="containsText" dxfId="4468" priority="4977" operator="containsText" text="SI">
      <formula>NOT(ISERROR(SEARCH("SI",C451)))</formula>
    </cfRule>
    <cfRule type="containsText" dxfId="4467" priority="4978" operator="containsText" text="NO">
      <formula>NOT(ISERROR(SEARCH("NO",C451)))</formula>
    </cfRule>
  </conditionalFormatting>
  <conditionalFormatting sqref="C451:E451">
    <cfRule type="containsText" dxfId="4466" priority="4976" operator="containsText" text="NUEVO">
      <formula>NOT(ISERROR(SEARCH("NUEVO",C451)))</formula>
    </cfRule>
  </conditionalFormatting>
  <conditionalFormatting sqref="E451">
    <cfRule type="containsText" dxfId="4465" priority="4975" operator="containsText" text="Sin Información">
      <formula>NOT(ISERROR(SEARCH("Sin Información",E451)))</formula>
    </cfRule>
  </conditionalFormatting>
  <conditionalFormatting sqref="C452:D452">
    <cfRule type="containsText" dxfId="4464" priority="4974" operator="containsText" text="NO+$D$4:$D$10">
      <formula>NOT(ISERROR(SEARCH("NO+$D$4:$D$10",C452)))</formula>
    </cfRule>
  </conditionalFormatting>
  <conditionalFormatting sqref="C452:D452">
    <cfRule type="containsText" dxfId="4463" priority="4972" operator="containsText" text="SI">
      <formula>NOT(ISERROR(SEARCH("SI",C452)))</formula>
    </cfRule>
    <cfRule type="containsText" dxfId="4462" priority="4973" operator="containsText" text="NO">
      <formula>NOT(ISERROR(SEARCH("NO",C452)))</formula>
    </cfRule>
  </conditionalFormatting>
  <conditionalFormatting sqref="C452:E452">
    <cfRule type="containsText" dxfId="4461" priority="4971" operator="containsText" text="NUEVO">
      <formula>NOT(ISERROR(SEARCH("NUEVO",C452)))</formula>
    </cfRule>
  </conditionalFormatting>
  <conditionalFormatting sqref="E452">
    <cfRule type="containsText" dxfId="4460" priority="4970" operator="containsText" text="Sin Información">
      <formula>NOT(ISERROR(SEARCH("Sin Información",E452)))</formula>
    </cfRule>
  </conditionalFormatting>
  <conditionalFormatting sqref="C453:D453">
    <cfRule type="containsText" dxfId="4459" priority="4969" operator="containsText" text="NO+$D$4:$D$10">
      <formula>NOT(ISERROR(SEARCH("NO+$D$4:$D$10",C453)))</formula>
    </cfRule>
  </conditionalFormatting>
  <conditionalFormatting sqref="C453:D453">
    <cfRule type="containsText" dxfId="4458" priority="4967" operator="containsText" text="SI">
      <formula>NOT(ISERROR(SEARCH("SI",C453)))</formula>
    </cfRule>
    <cfRule type="containsText" dxfId="4457" priority="4968" operator="containsText" text="NO">
      <formula>NOT(ISERROR(SEARCH("NO",C453)))</formula>
    </cfRule>
  </conditionalFormatting>
  <conditionalFormatting sqref="C453:E453">
    <cfRule type="containsText" dxfId="4456" priority="4966" operator="containsText" text="NUEVO">
      <formula>NOT(ISERROR(SEARCH("NUEVO",C453)))</formula>
    </cfRule>
  </conditionalFormatting>
  <conditionalFormatting sqref="E453">
    <cfRule type="containsText" dxfId="4455" priority="4965" operator="containsText" text="Sin Información">
      <formula>NOT(ISERROR(SEARCH("Sin Información",E453)))</formula>
    </cfRule>
  </conditionalFormatting>
  <conditionalFormatting sqref="C454:D454">
    <cfRule type="containsText" dxfId="4454" priority="4964" operator="containsText" text="NO+$D$4:$D$10">
      <formula>NOT(ISERROR(SEARCH("NO+$D$4:$D$10",C454)))</formula>
    </cfRule>
  </conditionalFormatting>
  <conditionalFormatting sqref="C454:D454">
    <cfRule type="containsText" dxfId="4453" priority="4962" operator="containsText" text="SI">
      <formula>NOT(ISERROR(SEARCH("SI",C454)))</formula>
    </cfRule>
    <cfRule type="containsText" dxfId="4452" priority="4963" operator="containsText" text="NO">
      <formula>NOT(ISERROR(SEARCH("NO",C454)))</formula>
    </cfRule>
  </conditionalFormatting>
  <conditionalFormatting sqref="C454:D454">
    <cfRule type="containsText" dxfId="4451" priority="4961" operator="containsText" text="NUEVO">
      <formula>NOT(ISERROR(SEARCH("NUEVO",C454)))</formula>
    </cfRule>
  </conditionalFormatting>
  <conditionalFormatting sqref="E454">
    <cfRule type="containsText" dxfId="4450" priority="4960" operator="containsText" text="NUEVO">
      <formula>NOT(ISERROR(SEARCH("NUEVO",E454)))</formula>
    </cfRule>
  </conditionalFormatting>
  <conditionalFormatting sqref="E454">
    <cfRule type="containsText" dxfId="4449" priority="4959" operator="containsText" text="Sin Información">
      <formula>NOT(ISERROR(SEARCH("Sin Información",E454)))</formula>
    </cfRule>
  </conditionalFormatting>
  <conditionalFormatting sqref="C457:D457">
    <cfRule type="containsText" dxfId="4448" priority="4958" operator="containsText" text="NO+$D$4:$D$10">
      <formula>NOT(ISERROR(SEARCH("NO+$D$4:$D$10",C457)))</formula>
    </cfRule>
  </conditionalFormatting>
  <conditionalFormatting sqref="C457:D457">
    <cfRule type="containsText" dxfId="4447" priority="4956" operator="containsText" text="SI">
      <formula>NOT(ISERROR(SEARCH("SI",C457)))</formula>
    </cfRule>
    <cfRule type="containsText" dxfId="4446" priority="4957" operator="containsText" text="NO">
      <formula>NOT(ISERROR(SEARCH("NO",C457)))</formula>
    </cfRule>
  </conditionalFormatting>
  <conditionalFormatting sqref="C457:E457">
    <cfRule type="containsText" dxfId="4445" priority="4955" operator="containsText" text="NUEVO">
      <formula>NOT(ISERROR(SEARCH("NUEVO",C457)))</formula>
    </cfRule>
  </conditionalFormatting>
  <conditionalFormatting sqref="E457">
    <cfRule type="containsText" dxfId="4444" priority="4954" operator="containsText" text="Sin Información">
      <formula>NOT(ISERROR(SEARCH("Sin Información",E457)))</formula>
    </cfRule>
  </conditionalFormatting>
  <conditionalFormatting sqref="C459:D459">
    <cfRule type="containsText" dxfId="4443" priority="4947" operator="containsText" text="NO+$D$4:$D$10">
      <formula>NOT(ISERROR(SEARCH("NO+$D$4:$D$10",C459)))</formula>
    </cfRule>
  </conditionalFormatting>
  <conditionalFormatting sqref="C459:D459">
    <cfRule type="containsText" dxfId="4442" priority="4945" operator="containsText" text="SI">
      <formula>NOT(ISERROR(SEARCH("SI",C459)))</formula>
    </cfRule>
    <cfRule type="containsText" dxfId="4441" priority="4946" operator="containsText" text="NO">
      <formula>NOT(ISERROR(SEARCH("NO",C459)))</formula>
    </cfRule>
  </conditionalFormatting>
  <conditionalFormatting sqref="C459:E459">
    <cfRule type="containsText" dxfId="4440" priority="4944" operator="containsText" text="NUEVO">
      <formula>NOT(ISERROR(SEARCH("NUEVO",C459)))</formula>
    </cfRule>
  </conditionalFormatting>
  <conditionalFormatting sqref="E459">
    <cfRule type="containsText" dxfId="4439" priority="4943" operator="containsText" text="Sin Información">
      <formula>NOT(ISERROR(SEARCH("Sin Información",E459)))</formula>
    </cfRule>
  </conditionalFormatting>
  <conditionalFormatting sqref="C460:D460">
    <cfRule type="containsText" dxfId="4438" priority="4942" operator="containsText" text="NO+$D$4:$D$10">
      <formula>NOT(ISERROR(SEARCH("NO+$D$4:$D$10",C460)))</formula>
    </cfRule>
  </conditionalFormatting>
  <conditionalFormatting sqref="C460:D460">
    <cfRule type="containsText" dxfId="4437" priority="4940" operator="containsText" text="SI">
      <formula>NOT(ISERROR(SEARCH("SI",C460)))</formula>
    </cfRule>
    <cfRule type="containsText" dxfId="4436" priority="4941" operator="containsText" text="NO">
      <formula>NOT(ISERROR(SEARCH("NO",C460)))</formula>
    </cfRule>
  </conditionalFormatting>
  <conditionalFormatting sqref="C460:E460">
    <cfRule type="containsText" dxfId="4435" priority="4939" operator="containsText" text="NUEVO">
      <formula>NOT(ISERROR(SEARCH("NUEVO",C460)))</formula>
    </cfRule>
  </conditionalFormatting>
  <conditionalFormatting sqref="E460">
    <cfRule type="containsText" dxfId="4434" priority="4938" operator="containsText" text="Sin Información">
      <formula>NOT(ISERROR(SEARCH("Sin Información",E460)))</formula>
    </cfRule>
  </conditionalFormatting>
  <conditionalFormatting sqref="C461:D461">
    <cfRule type="containsText" dxfId="4433" priority="4937" operator="containsText" text="NO+$D$4:$D$10">
      <formula>NOT(ISERROR(SEARCH("NO+$D$4:$D$10",C461)))</formula>
    </cfRule>
  </conditionalFormatting>
  <conditionalFormatting sqref="C461:D461">
    <cfRule type="containsText" dxfId="4432" priority="4935" operator="containsText" text="SI">
      <formula>NOT(ISERROR(SEARCH("SI",C461)))</formula>
    </cfRule>
    <cfRule type="containsText" dxfId="4431" priority="4936" operator="containsText" text="NO">
      <formula>NOT(ISERROR(SEARCH("NO",C461)))</formula>
    </cfRule>
  </conditionalFormatting>
  <conditionalFormatting sqref="C461:E461">
    <cfRule type="containsText" dxfId="4430" priority="4934" operator="containsText" text="NUEVO">
      <formula>NOT(ISERROR(SEARCH("NUEVO",C461)))</formula>
    </cfRule>
  </conditionalFormatting>
  <conditionalFormatting sqref="E461">
    <cfRule type="containsText" dxfId="4429" priority="4933" operator="containsText" text="Sin Información">
      <formula>NOT(ISERROR(SEARCH("Sin Información",E461)))</formula>
    </cfRule>
  </conditionalFormatting>
  <conditionalFormatting sqref="C462:D462">
    <cfRule type="containsText" dxfId="4428" priority="4932" operator="containsText" text="NO+$D$4:$D$10">
      <formula>NOT(ISERROR(SEARCH("NO+$D$4:$D$10",C462)))</formula>
    </cfRule>
  </conditionalFormatting>
  <conditionalFormatting sqref="C462:D462">
    <cfRule type="containsText" dxfId="4427" priority="4930" operator="containsText" text="SI">
      <formula>NOT(ISERROR(SEARCH("SI",C462)))</formula>
    </cfRule>
    <cfRule type="containsText" dxfId="4426" priority="4931" operator="containsText" text="NO">
      <formula>NOT(ISERROR(SEARCH("NO",C462)))</formula>
    </cfRule>
  </conditionalFormatting>
  <conditionalFormatting sqref="C462:E462">
    <cfRule type="containsText" dxfId="4425" priority="4929" operator="containsText" text="NUEVO">
      <formula>NOT(ISERROR(SEARCH("NUEVO",C462)))</formula>
    </cfRule>
  </conditionalFormatting>
  <conditionalFormatting sqref="E462">
    <cfRule type="containsText" dxfId="4424" priority="4928" operator="containsText" text="Sin Información">
      <formula>NOT(ISERROR(SEARCH("Sin Información",E462)))</formula>
    </cfRule>
  </conditionalFormatting>
  <conditionalFormatting sqref="C463:D463">
    <cfRule type="containsText" dxfId="4423" priority="4927" operator="containsText" text="NO+$D$4:$D$10">
      <formula>NOT(ISERROR(SEARCH("NO+$D$4:$D$10",C463)))</formula>
    </cfRule>
  </conditionalFormatting>
  <conditionalFormatting sqref="C463:D463">
    <cfRule type="containsText" dxfId="4422" priority="4925" operator="containsText" text="SI">
      <formula>NOT(ISERROR(SEARCH("SI",C463)))</formula>
    </cfRule>
    <cfRule type="containsText" dxfId="4421" priority="4926" operator="containsText" text="NO">
      <formula>NOT(ISERROR(SEARCH("NO",C463)))</formula>
    </cfRule>
  </conditionalFormatting>
  <conditionalFormatting sqref="C463:E463">
    <cfRule type="containsText" dxfId="4420" priority="4924" operator="containsText" text="NUEVO">
      <formula>NOT(ISERROR(SEARCH("NUEVO",C463)))</formula>
    </cfRule>
  </conditionalFormatting>
  <conditionalFormatting sqref="E463">
    <cfRule type="containsText" dxfId="4419" priority="4923" operator="containsText" text="Sin Información">
      <formula>NOT(ISERROR(SEARCH("Sin Información",E463)))</formula>
    </cfRule>
  </conditionalFormatting>
  <conditionalFormatting sqref="C464:D464">
    <cfRule type="containsText" dxfId="4418" priority="4922" operator="containsText" text="NO+$D$4:$D$10">
      <formula>NOT(ISERROR(SEARCH("NO+$D$4:$D$10",C464)))</formula>
    </cfRule>
  </conditionalFormatting>
  <conditionalFormatting sqref="C464:D464">
    <cfRule type="containsText" dxfId="4417" priority="4920" operator="containsText" text="SI">
      <formula>NOT(ISERROR(SEARCH("SI",C464)))</formula>
    </cfRule>
    <cfRule type="containsText" dxfId="4416" priority="4921" operator="containsText" text="NO">
      <formula>NOT(ISERROR(SEARCH("NO",C464)))</formula>
    </cfRule>
  </conditionalFormatting>
  <conditionalFormatting sqref="C464:E464">
    <cfRule type="containsText" dxfId="4415" priority="4919" operator="containsText" text="NUEVO">
      <formula>NOT(ISERROR(SEARCH("NUEVO",C464)))</formula>
    </cfRule>
  </conditionalFormatting>
  <conditionalFormatting sqref="E464">
    <cfRule type="containsText" dxfId="4414" priority="4918" operator="containsText" text="Sin Información">
      <formula>NOT(ISERROR(SEARCH("Sin Información",E464)))</formula>
    </cfRule>
  </conditionalFormatting>
  <conditionalFormatting sqref="C465:D465">
    <cfRule type="containsText" dxfId="4413" priority="4917" operator="containsText" text="NO+$D$4:$D$10">
      <formula>NOT(ISERROR(SEARCH("NO+$D$4:$D$10",C465)))</formula>
    </cfRule>
  </conditionalFormatting>
  <conditionalFormatting sqref="C465:D465">
    <cfRule type="containsText" dxfId="4412" priority="4915" operator="containsText" text="SI">
      <formula>NOT(ISERROR(SEARCH("SI",C465)))</formula>
    </cfRule>
    <cfRule type="containsText" dxfId="4411" priority="4916" operator="containsText" text="NO">
      <formula>NOT(ISERROR(SEARCH("NO",C465)))</formula>
    </cfRule>
  </conditionalFormatting>
  <conditionalFormatting sqref="C465:E465">
    <cfRule type="containsText" dxfId="4410" priority="4914" operator="containsText" text="NUEVO">
      <formula>NOT(ISERROR(SEARCH("NUEVO",C465)))</formula>
    </cfRule>
  </conditionalFormatting>
  <conditionalFormatting sqref="E465">
    <cfRule type="containsText" dxfId="4409" priority="4913" operator="containsText" text="Sin Información">
      <formula>NOT(ISERROR(SEARCH("Sin Información",E465)))</formula>
    </cfRule>
  </conditionalFormatting>
  <conditionalFormatting sqref="C466:D466">
    <cfRule type="containsText" dxfId="4408" priority="4912" operator="containsText" text="NO+$D$4:$D$10">
      <formula>NOT(ISERROR(SEARCH("NO+$D$4:$D$10",C466)))</formula>
    </cfRule>
  </conditionalFormatting>
  <conditionalFormatting sqref="C466:D466">
    <cfRule type="containsText" dxfId="4407" priority="4910" operator="containsText" text="SI">
      <formula>NOT(ISERROR(SEARCH("SI",C466)))</formula>
    </cfRule>
    <cfRule type="containsText" dxfId="4406" priority="4911" operator="containsText" text="NO">
      <formula>NOT(ISERROR(SEARCH("NO",C466)))</formula>
    </cfRule>
  </conditionalFormatting>
  <conditionalFormatting sqref="E466">
    <cfRule type="containsText" dxfId="4405" priority="4909" operator="containsText" text="Sin información">
      <formula>NOT(ISERROR(SEARCH("Sin información",E466)))</formula>
    </cfRule>
  </conditionalFormatting>
  <conditionalFormatting sqref="C466:E466">
    <cfRule type="containsText" dxfId="4404" priority="4908" operator="containsText" text="NUEVO">
      <formula>NOT(ISERROR(SEARCH("NUEVO",C466)))</formula>
    </cfRule>
  </conditionalFormatting>
  <conditionalFormatting sqref="E466">
    <cfRule type="containsText" dxfId="4403" priority="4907" operator="containsText" text="Sin Información">
      <formula>NOT(ISERROR(SEARCH("Sin Información",E466)))</formula>
    </cfRule>
  </conditionalFormatting>
  <conditionalFormatting sqref="C468:D468">
    <cfRule type="containsText" dxfId="4402" priority="4906" operator="containsText" text="NO+$D$4:$D$10">
      <formula>NOT(ISERROR(SEARCH("NO+$D$4:$D$10",C468)))</formula>
    </cfRule>
  </conditionalFormatting>
  <conditionalFormatting sqref="C468:D468">
    <cfRule type="containsText" dxfId="4401" priority="4904" operator="containsText" text="SI">
      <formula>NOT(ISERROR(SEARCH("SI",C468)))</formula>
    </cfRule>
    <cfRule type="containsText" dxfId="4400" priority="4905" operator="containsText" text="NO">
      <formula>NOT(ISERROR(SEARCH("NO",C468)))</formula>
    </cfRule>
  </conditionalFormatting>
  <conditionalFormatting sqref="C468:E468">
    <cfRule type="containsText" dxfId="4399" priority="4903" operator="containsText" text="NUEVO">
      <formula>NOT(ISERROR(SEARCH("NUEVO",C468)))</formula>
    </cfRule>
  </conditionalFormatting>
  <conditionalFormatting sqref="E468">
    <cfRule type="containsText" dxfId="4398" priority="4902" operator="containsText" text="Sin Información">
      <formula>NOT(ISERROR(SEARCH("Sin Información",E468)))</formula>
    </cfRule>
  </conditionalFormatting>
  <conditionalFormatting sqref="C469:D469">
    <cfRule type="containsText" dxfId="4397" priority="4901" operator="containsText" text="NO+$D$4:$D$10">
      <formula>NOT(ISERROR(SEARCH("NO+$D$4:$D$10",C469)))</formula>
    </cfRule>
  </conditionalFormatting>
  <conditionalFormatting sqref="C469:D469">
    <cfRule type="containsText" dxfId="4396" priority="4899" operator="containsText" text="SI">
      <formula>NOT(ISERROR(SEARCH("SI",C469)))</formula>
    </cfRule>
    <cfRule type="containsText" dxfId="4395" priority="4900" operator="containsText" text="NO">
      <formula>NOT(ISERROR(SEARCH("NO",C469)))</formula>
    </cfRule>
  </conditionalFormatting>
  <conditionalFormatting sqref="C469:E469">
    <cfRule type="containsText" dxfId="4394" priority="4898" operator="containsText" text="NUEVO">
      <formula>NOT(ISERROR(SEARCH("NUEVO",C469)))</formula>
    </cfRule>
  </conditionalFormatting>
  <conditionalFormatting sqref="E469">
    <cfRule type="containsText" dxfId="4393" priority="4897" operator="containsText" text="Sin Información">
      <formula>NOT(ISERROR(SEARCH("Sin Información",E469)))</formula>
    </cfRule>
  </conditionalFormatting>
  <conditionalFormatting sqref="C470:D470">
    <cfRule type="containsText" dxfId="4392" priority="4896" operator="containsText" text="NO+$D$4:$D$10">
      <formula>NOT(ISERROR(SEARCH("NO+$D$4:$D$10",C470)))</formula>
    </cfRule>
  </conditionalFormatting>
  <conditionalFormatting sqref="C470:D470">
    <cfRule type="containsText" dxfId="4391" priority="4894" operator="containsText" text="SI">
      <formula>NOT(ISERROR(SEARCH("SI",C470)))</formula>
    </cfRule>
    <cfRule type="containsText" dxfId="4390" priority="4895" operator="containsText" text="NO">
      <formula>NOT(ISERROR(SEARCH("NO",C470)))</formula>
    </cfRule>
  </conditionalFormatting>
  <conditionalFormatting sqref="C470:E470">
    <cfRule type="containsText" dxfId="4389" priority="4893" operator="containsText" text="NUEVO">
      <formula>NOT(ISERROR(SEARCH("NUEVO",C470)))</formula>
    </cfRule>
  </conditionalFormatting>
  <conditionalFormatting sqref="E470">
    <cfRule type="containsText" dxfId="4388" priority="4892" operator="containsText" text="Sin Información">
      <formula>NOT(ISERROR(SEARCH("Sin Información",E470)))</formula>
    </cfRule>
  </conditionalFormatting>
  <conditionalFormatting sqref="C471:D471">
    <cfRule type="containsText" dxfId="4387" priority="4891" operator="containsText" text="NO+$D$4:$D$10">
      <formula>NOT(ISERROR(SEARCH("NO+$D$4:$D$10",C471)))</formula>
    </cfRule>
  </conditionalFormatting>
  <conditionalFormatting sqref="C471:D471">
    <cfRule type="containsText" dxfId="4386" priority="4889" operator="containsText" text="SI">
      <formula>NOT(ISERROR(SEARCH("SI",C471)))</formula>
    </cfRule>
    <cfRule type="containsText" dxfId="4385" priority="4890" operator="containsText" text="NO">
      <formula>NOT(ISERROR(SEARCH("NO",C471)))</formula>
    </cfRule>
  </conditionalFormatting>
  <conditionalFormatting sqref="C471:E471">
    <cfRule type="containsText" dxfId="4384" priority="4888" operator="containsText" text="NUEVO">
      <formula>NOT(ISERROR(SEARCH("NUEVO",C471)))</formula>
    </cfRule>
  </conditionalFormatting>
  <conditionalFormatting sqref="E471">
    <cfRule type="containsText" dxfId="4383" priority="4887" operator="containsText" text="Sin Información">
      <formula>NOT(ISERROR(SEARCH("Sin Información",E471)))</formula>
    </cfRule>
  </conditionalFormatting>
  <conditionalFormatting sqref="C472:D472">
    <cfRule type="containsText" dxfId="4382" priority="4886" operator="containsText" text="NO+$D$4:$D$10">
      <formula>NOT(ISERROR(SEARCH("NO+$D$4:$D$10",C472)))</formula>
    </cfRule>
  </conditionalFormatting>
  <conditionalFormatting sqref="C472:D472">
    <cfRule type="containsText" dxfId="4381" priority="4884" operator="containsText" text="SI">
      <formula>NOT(ISERROR(SEARCH("SI",C472)))</formula>
    </cfRule>
    <cfRule type="containsText" dxfId="4380" priority="4885" operator="containsText" text="NO">
      <formula>NOT(ISERROR(SEARCH("NO",C472)))</formula>
    </cfRule>
  </conditionalFormatting>
  <conditionalFormatting sqref="C472:E472">
    <cfRule type="containsText" dxfId="4379" priority="4883" operator="containsText" text="NUEVO">
      <formula>NOT(ISERROR(SEARCH("NUEVO",C472)))</formula>
    </cfRule>
  </conditionalFormatting>
  <conditionalFormatting sqref="E472">
    <cfRule type="containsText" dxfId="4378" priority="4882" operator="containsText" text="Sin Información">
      <formula>NOT(ISERROR(SEARCH("Sin Información",E472)))</formula>
    </cfRule>
  </conditionalFormatting>
  <conditionalFormatting sqref="C473:D473">
    <cfRule type="containsText" dxfId="4377" priority="4881" operator="containsText" text="NO+$D$4:$D$10">
      <formula>NOT(ISERROR(SEARCH("NO+$D$4:$D$10",C473)))</formula>
    </cfRule>
  </conditionalFormatting>
  <conditionalFormatting sqref="C473:D473">
    <cfRule type="containsText" dxfId="4376" priority="4879" operator="containsText" text="SI">
      <formula>NOT(ISERROR(SEARCH("SI",C473)))</formula>
    </cfRule>
    <cfRule type="containsText" dxfId="4375" priority="4880" operator="containsText" text="NO">
      <formula>NOT(ISERROR(SEARCH("NO",C473)))</formula>
    </cfRule>
  </conditionalFormatting>
  <conditionalFormatting sqref="C473:D473">
    <cfRule type="containsText" dxfId="4374" priority="4878" operator="containsText" text="NUEVO">
      <formula>NOT(ISERROR(SEARCH("NUEVO",C473)))</formula>
    </cfRule>
  </conditionalFormatting>
  <conditionalFormatting sqref="E473">
    <cfRule type="containsText" dxfId="4373" priority="4877" operator="containsText" text="NUEVO">
      <formula>NOT(ISERROR(SEARCH("NUEVO",E473)))</formula>
    </cfRule>
  </conditionalFormatting>
  <conditionalFormatting sqref="E473">
    <cfRule type="containsText" dxfId="4372" priority="4876" operator="containsText" text="Sin Información">
      <formula>NOT(ISERROR(SEARCH("Sin Información",E473)))</formula>
    </cfRule>
  </conditionalFormatting>
  <conditionalFormatting sqref="C474:D474">
    <cfRule type="containsText" dxfId="4371" priority="4875" operator="containsText" text="NO+$D$4:$D$10">
      <formula>NOT(ISERROR(SEARCH("NO+$D$4:$D$10",C474)))</formula>
    </cfRule>
  </conditionalFormatting>
  <conditionalFormatting sqref="C474:D474">
    <cfRule type="containsText" dxfId="4370" priority="4873" operator="containsText" text="SI">
      <formula>NOT(ISERROR(SEARCH("SI",C474)))</formula>
    </cfRule>
    <cfRule type="containsText" dxfId="4369" priority="4874" operator="containsText" text="NO">
      <formula>NOT(ISERROR(SEARCH("NO",C474)))</formula>
    </cfRule>
  </conditionalFormatting>
  <conditionalFormatting sqref="E474">
    <cfRule type="containsText" dxfId="4368" priority="4872" operator="containsText" text="Sin información">
      <formula>NOT(ISERROR(SEARCH("Sin información",E474)))</formula>
    </cfRule>
  </conditionalFormatting>
  <conditionalFormatting sqref="C474:E474">
    <cfRule type="containsText" dxfId="4367" priority="4871" operator="containsText" text="NUEVO">
      <formula>NOT(ISERROR(SEARCH("NUEVO",C474)))</formula>
    </cfRule>
  </conditionalFormatting>
  <conditionalFormatting sqref="E474">
    <cfRule type="containsText" dxfId="4366" priority="4870" operator="containsText" text="Sin Información">
      <formula>NOT(ISERROR(SEARCH("Sin Información",E474)))</formula>
    </cfRule>
  </conditionalFormatting>
  <conditionalFormatting sqref="C475:D475">
    <cfRule type="containsText" dxfId="4365" priority="4869" operator="containsText" text="NO+$D$4:$D$10">
      <formula>NOT(ISERROR(SEARCH("NO+$D$4:$D$10",C475)))</formula>
    </cfRule>
  </conditionalFormatting>
  <conditionalFormatting sqref="C475:D475">
    <cfRule type="containsText" dxfId="4364" priority="4867" operator="containsText" text="SI">
      <formula>NOT(ISERROR(SEARCH("SI",C475)))</formula>
    </cfRule>
    <cfRule type="containsText" dxfId="4363" priority="4868" operator="containsText" text="NO">
      <formula>NOT(ISERROR(SEARCH("NO",C475)))</formula>
    </cfRule>
  </conditionalFormatting>
  <conditionalFormatting sqref="C475:D475">
    <cfRule type="containsText" dxfId="4362" priority="4866" operator="containsText" text="NUEVO">
      <formula>NOT(ISERROR(SEARCH("NUEVO",C475)))</formula>
    </cfRule>
  </conditionalFormatting>
  <conditionalFormatting sqref="E475">
    <cfRule type="containsText" dxfId="4361" priority="4865" operator="containsText" text="NUEVO">
      <formula>NOT(ISERROR(SEARCH("NUEVO",E475)))</formula>
    </cfRule>
  </conditionalFormatting>
  <conditionalFormatting sqref="E475">
    <cfRule type="containsText" dxfId="4360" priority="4864" operator="containsText" text="Sin Información">
      <formula>NOT(ISERROR(SEARCH("Sin Información",E475)))</formula>
    </cfRule>
  </conditionalFormatting>
  <conditionalFormatting sqref="C476:D476">
    <cfRule type="containsText" dxfId="4359" priority="4863" operator="containsText" text="NO+$D$4:$D$10">
      <formula>NOT(ISERROR(SEARCH("NO+$D$4:$D$10",C476)))</formula>
    </cfRule>
  </conditionalFormatting>
  <conditionalFormatting sqref="C476:D476">
    <cfRule type="containsText" dxfId="4358" priority="4861" operator="containsText" text="SI">
      <formula>NOT(ISERROR(SEARCH("SI",C476)))</formula>
    </cfRule>
    <cfRule type="containsText" dxfId="4357" priority="4862" operator="containsText" text="NO">
      <formula>NOT(ISERROR(SEARCH("NO",C476)))</formula>
    </cfRule>
  </conditionalFormatting>
  <conditionalFormatting sqref="C476:E476">
    <cfRule type="containsText" dxfId="4356" priority="4860" operator="containsText" text="NUEVO">
      <formula>NOT(ISERROR(SEARCH("NUEVO",C476)))</formula>
    </cfRule>
  </conditionalFormatting>
  <conditionalFormatting sqref="E476">
    <cfRule type="containsText" dxfId="4355" priority="4859" operator="containsText" text="Sin Información">
      <formula>NOT(ISERROR(SEARCH("Sin Información",E476)))</formula>
    </cfRule>
  </conditionalFormatting>
  <conditionalFormatting sqref="C477:D477">
    <cfRule type="containsText" dxfId="4354" priority="4858" operator="containsText" text="NO+$D$4:$D$10">
      <formula>NOT(ISERROR(SEARCH("NO+$D$4:$D$10",C477)))</formula>
    </cfRule>
  </conditionalFormatting>
  <conditionalFormatting sqref="C477:D477">
    <cfRule type="containsText" dxfId="4353" priority="4856" operator="containsText" text="SI">
      <formula>NOT(ISERROR(SEARCH("SI",C477)))</formula>
    </cfRule>
    <cfRule type="containsText" dxfId="4352" priority="4857" operator="containsText" text="NO">
      <formula>NOT(ISERROR(SEARCH("NO",C477)))</formula>
    </cfRule>
  </conditionalFormatting>
  <conditionalFormatting sqref="C477:E477">
    <cfRule type="containsText" dxfId="4351" priority="4855" operator="containsText" text="NUEVO">
      <formula>NOT(ISERROR(SEARCH("NUEVO",C477)))</formula>
    </cfRule>
  </conditionalFormatting>
  <conditionalFormatting sqref="E477">
    <cfRule type="containsText" dxfId="4350" priority="4854" operator="containsText" text="Sin Información">
      <formula>NOT(ISERROR(SEARCH("Sin Información",E477)))</formula>
    </cfRule>
  </conditionalFormatting>
  <conditionalFormatting sqref="C478:D478">
    <cfRule type="containsText" dxfId="4349" priority="4853" operator="containsText" text="NO+$D$4:$D$10">
      <formula>NOT(ISERROR(SEARCH("NO+$D$4:$D$10",C478)))</formula>
    </cfRule>
  </conditionalFormatting>
  <conditionalFormatting sqref="C478:D478">
    <cfRule type="containsText" dxfId="4348" priority="4851" operator="containsText" text="SI">
      <formula>NOT(ISERROR(SEARCH("SI",C478)))</formula>
    </cfRule>
    <cfRule type="containsText" dxfId="4347" priority="4852" operator="containsText" text="NO">
      <formula>NOT(ISERROR(SEARCH("NO",C478)))</formula>
    </cfRule>
  </conditionalFormatting>
  <conditionalFormatting sqref="C478:E478">
    <cfRule type="containsText" dxfId="4346" priority="4850" operator="containsText" text="NUEVO">
      <formula>NOT(ISERROR(SEARCH("NUEVO",C478)))</formula>
    </cfRule>
  </conditionalFormatting>
  <conditionalFormatting sqref="E478">
    <cfRule type="containsText" dxfId="4345" priority="4849" operator="containsText" text="Sin Información">
      <formula>NOT(ISERROR(SEARCH("Sin Información",E478)))</formula>
    </cfRule>
  </conditionalFormatting>
  <conditionalFormatting sqref="C479:D479">
    <cfRule type="containsText" dxfId="4344" priority="4848" operator="containsText" text="NO+$D$4:$D$10">
      <formula>NOT(ISERROR(SEARCH("NO+$D$4:$D$10",C479)))</formula>
    </cfRule>
  </conditionalFormatting>
  <conditionalFormatting sqref="C479:D479">
    <cfRule type="containsText" dxfId="4343" priority="4846" operator="containsText" text="SI">
      <formula>NOT(ISERROR(SEARCH("SI",C479)))</formula>
    </cfRule>
    <cfRule type="containsText" dxfId="4342" priority="4847" operator="containsText" text="NO">
      <formula>NOT(ISERROR(SEARCH("NO",C479)))</formula>
    </cfRule>
  </conditionalFormatting>
  <conditionalFormatting sqref="E479">
    <cfRule type="containsText" dxfId="4341" priority="4845" operator="containsText" text="Sin información">
      <formula>NOT(ISERROR(SEARCH("Sin información",E479)))</formula>
    </cfRule>
  </conditionalFormatting>
  <conditionalFormatting sqref="C479:E479">
    <cfRule type="containsText" dxfId="4340" priority="4844" operator="containsText" text="NUEVO">
      <formula>NOT(ISERROR(SEARCH("NUEVO",C479)))</formula>
    </cfRule>
  </conditionalFormatting>
  <conditionalFormatting sqref="E479">
    <cfRule type="containsText" dxfId="4339" priority="4843" operator="containsText" text="Sin Información">
      <formula>NOT(ISERROR(SEARCH("Sin Información",E479)))</formula>
    </cfRule>
  </conditionalFormatting>
  <conditionalFormatting sqref="C480:D480">
    <cfRule type="containsText" dxfId="4338" priority="4842" operator="containsText" text="NO+$D$4:$D$10">
      <formula>NOT(ISERROR(SEARCH("NO+$D$4:$D$10",C480)))</formula>
    </cfRule>
  </conditionalFormatting>
  <conditionalFormatting sqref="C480:D480">
    <cfRule type="containsText" dxfId="4337" priority="4840" operator="containsText" text="SI">
      <formula>NOT(ISERROR(SEARCH("SI",C480)))</formula>
    </cfRule>
    <cfRule type="containsText" dxfId="4336" priority="4841" operator="containsText" text="NO">
      <formula>NOT(ISERROR(SEARCH("NO",C480)))</formula>
    </cfRule>
  </conditionalFormatting>
  <conditionalFormatting sqref="C480:E480">
    <cfRule type="containsText" dxfId="4335" priority="4839" operator="containsText" text="NUEVO">
      <formula>NOT(ISERROR(SEARCH("NUEVO",C480)))</formula>
    </cfRule>
  </conditionalFormatting>
  <conditionalFormatting sqref="E480">
    <cfRule type="containsText" dxfId="4334" priority="4838" operator="containsText" text="Sin Información">
      <formula>NOT(ISERROR(SEARCH("Sin Información",E480)))</formula>
    </cfRule>
  </conditionalFormatting>
  <conditionalFormatting sqref="C481:D481">
    <cfRule type="containsText" dxfId="4333" priority="4837" operator="containsText" text="NO+$D$4:$D$10">
      <formula>NOT(ISERROR(SEARCH("NO+$D$4:$D$10",C481)))</formula>
    </cfRule>
  </conditionalFormatting>
  <conditionalFormatting sqref="C481:D481">
    <cfRule type="containsText" dxfId="4332" priority="4835" operator="containsText" text="SI">
      <formula>NOT(ISERROR(SEARCH("SI",C481)))</formula>
    </cfRule>
    <cfRule type="containsText" dxfId="4331" priority="4836" operator="containsText" text="NO">
      <formula>NOT(ISERROR(SEARCH("NO",C481)))</formula>
    </cfRule>
  </conditionalFormatting>
  <conditionalFormatting sqref="C481:E481">
    <cfRule type="containsText" dxfId="4330" priority="4834" operator="containsText" text="NUEVO">
      <formula>NOT(ISERROR(SEARCH("NUEVO",C481)))</formula>
    </cfRule>
  </conditionalFormatting>
  <conditionalFormatting sqref="E481">
    <cfRule type="containsText" dxfId="4329" priority="4833" operator="containsText" text="Sin Información">
      <formula>NOT(ISERROR(SEARCH("Sin Información",E481)))</formula>
    </cfRule>
  </conditionalFormatting>
  <conditionalFormatting sqref="C482:D482">
    <cfRule type="containsText" dxfId="4328" priority="4832" operator="containsText" text="NO+$D$4:$D$10">
      <formula>NOT(ISERROR(SEARCH("NO+$D$4:$D$10",C482)))</formula>
    </cfRule>
  </conditionalFormatting>
  <conditionalFormatting sqref="C482:D482">
    <cfRule type="containsText" dxfId="4327" priority="4830" operator="containsText" text="SI">
      <formula>NOT(ISERROR(SEARCH("SI",C482)))</formula>
    </cfRule>
    <cfRule type="containsText" dxfId="4326" priority="4831" operator="containsText" text="NO">
      <formula>NOT(ISERROR(SEARCH("NO",C482)))</formula>
    </cfRule>
  </conditionalFormatting>
  <conditionalFormatting sqref="C482:D482">
    <cfRule type="containsText" dxfId="4325" priority="4829" operator="containsText" text="NUEVO">
      <formula>NOT(ISERROR(SEARCH("NUEVO",C482)))</formula>
    </cfRule>
  </conditionalFormatting>
  <conditionalFormatting sqref="E482">
    <cfRule type="containsText" dxfId="4324" priority="4828" operator="containsText" text="NUEVO">
      <formula>NOT(ISERROR(SEARCH("NUEVO",E482)))</formula>
    </cfRule>
  </conditionalFormatting>
  <conditionalFormatting sqref="E482">
    <cfRule type="containsText" dxfId="4323" priority="4827" operator="containsText" text="Sin Información">
      <formula>NOT(ISERROR(SEARCH("Sin Información",E482)))</formula>
    </cfRule>
  </conditionalFormatting>
  <conditionalFormatting sqref="C483:D483">
    <cfRule type="containsText" dxfId="4322" priority="4826" operator="containsText" text="NO+$D$4:$D$10">
      <formula>NOT(ISERROR(SEARCH("NO+$D$4:$D$10",C483)))</formula>
    </cfRule>
  </conditionalFormatting>
  <conditionalFormatting sqref="C483:D483">
    <cfRule type="containsText" dxfId="4321" priority="4824" operator="containsText" text="SI">
      <formula>NOT(ISERROR(SEARCH("SI",C483)))</formula>
    </cfRule>
    <cfRule type="containsText" dxfId="4320" priority="4825" operator="containsText" text="NO">
      <formula>NOT(ISERROR(SEARCH("NO",C483)))</formula>
    </cfRule>
  </conditionalFormatting>
  <conditionalFormatting sqref="C483:D483">
    <cfRule type="containsText" dxfId="4319" priority="4823" operator="containsText" text="NUEVO">
      <formula>NOT(ISERROR(SEARCH("NUEVO",C483)))</formula>
    </cfRule>
  </conditionalFormatting>
  <conditionalFormatting sqref="E483">
    <cfRule type="containsText" dxfId="4318" priority="4821" operator="containsText" text="Sin Información">
      <formula>NOT(ISERROR(SEARCH("Sin Información",E483)))</formula>
    </cfRule>
  </conditionalFormatting>
  <conditionalFormatting sqref="E483">
    <cfRule type="containsText" dxfId="4317" priority="4822" operator="containsText" text="NUEVO">
      <formula>NOT(ISERROR(SEARCH("NUEVO",E483)))</formula>
    </cfRule>
  </conditionalFormatting>
  <conditionalFormatting sqref="C484:D484">
    <cfRule type="containsText" dxfId="4316" priority="4820" operator="containsText" text="NO+$D$4:$D$10">
      <formula>NOT(ISERROR(SEARCH("NO+$D$4:$D$10",C484)))</formula>
    </cfRule>
  </conditionalFormatting>
  <conditionalFormatting sqref="C484:D484">
    <cfRule type="containsText" dxfId="4315" priority="4818" operator="containsText" text="SI">
      <formula>NOT(ISERROR(SEARCH("SI",C484)))</formula>
    </cfRule>
    <cfRule type="containsText" dxfId="4314" priority="4819" operator="containsText" text="NO">
      <formula>NOT(ISERROR(SEARCH("NO",C484)))</formula>
    </cfRule>
  </conditionalFormatting>
  <conditionalFormatting sqref="C484:D484">
    <cfRule type="containsText" dxfId="4313" priority="4817" operator="containsText" text="NUEVO">
      <formula>NOT(ISERROR(SEARCH("NUEVO",C484)))</formula>
    </cfRule>
  </conditionalFormatting>
  <conditionalFormatting sqref="E484">
    <cfRule type="containsText" dxfId="4312" priority="4816" operator="containsText" text="NUEVO">
      <formula>NOT(ISERROR(SEARCH("NUEVO",E484)))</formula>
    </cfRule>
  </conditionalFormatting>
  <conditionalFormatting sqref="E484">
    <cfRule type="containsText" dxfId="4311" priority="4815" operator="containsText" text="Sin Información">
      <formula>NOT(ISERROR(SEARCH("Sin Información",E484)))</formula>
    </cfRule>
  </conditionalFormatting>
  <conditionalFormatting sqref="C485:D485">
    <cfRule type="containsText" dxfId="4310" priority="4814" operator="containsText" text="NO+$D$4:$D$10">
      <formula>NOT(ISERROR(SEARCH("NO+$D$4:$D$10",C485)))</formula>
    </cfRule>
  </conditionalFormatting>
  <conditionalFormatting sqref="C485:D485">
    <cfRule type="containsText" dxfId="4309" priority="4812" operator="containsText" text="SI">
      <formula>NOT(ISERROR(SEARCH("SI",C485)))</formula>
    </cfRule>
    <cfRule type="containsText" dxfId="4308" priority="4813" operator="containsText" text="NO">
      <formula>NOT(ISERROR(SEARCH("NO",C485)))</formula>
    </cfRule>
  </conditionalFormatting>
  <conditionalFormatting sqref="C485:E485">
    <cfRule type="containsText" dxfId="4307" priority="4811" operator="containsText" text="NUEVO">
      <formula>NOT(ISERROR(SEARCH("NUEVO",C485)))</formula>
    </cfRule>
  </conditionalFormatting>
  <conditionalFormatting sqref="E485">
    <cfRule type="containsText" dxfId="4306" priority="4810" operator="containsText" text="Sin Información">
      <formula>NOT(ISERROR(SEARCH("Sin Información",E485)))</formula>
    </cfRule>
  </conditionalFormatting>
  <conditionalFormatting sqref="C487:D487">
    <cfRule type="containsText" dxfId="4305" priority="4809" operator="containsText" text="NO+$D$4:$D$10">
      <formula>NOT(ISERROR(SEARCH("NO+$D$4:$D$10",C487)))</formula>
    </cfRule>
  </conditionalFormatting>
  <conditionalFormatting sqref="C487:D487">
    <cfRule type="containsText" dxfId="4304" priority="4807" operator="containsText" text="SI">
      <formula>NOT(ISERROR(SEARCH("SI",C487)))</formula>
    </cfRule>
    <cfRule type="containsText" dxfId="4303" priority="4808" operator="containsText" text="NO">
      <formula>NOT(ISERROR(SEARCH("NO",C487)))</formula>
    </cfRule>
  </conditionalFormatting>
  <conditionalFormatting sqref="C487:E487">
    <cfRule type="containsText" dxfId="4302" priority="4806" operator="containsText" text="NUEVO">
      <formula>NOT(ISERROR(SEARCH("NUEVO",C487)))</formula>
    </cfRule>
  </conditionalFormatting>
  <conditionalFormatting sqref="E487">
    <cfRule type="containsText" dxfId="4301" priority="4805" operator="containsText" text="Sin Información">
      <formula>NOT(ISERROR(SEARCH("Sin Información",E487)))</formula>
    </cfRule>
  </conditionalFormatting>
  <conditionalFormatting sqref="C488:D488">
    <cfRule type="containsText" dxfId="4300" priority="4804" operator="containsText" text="NO+$D$4:$D$10">
      <formula>NOT(ISERROR(SEARCH("NO+$D$4:$D$10",C488)))</formula>
    </cfRule>
  </conditionalFormatting>
  <conditionalFormatting sqref="C488:D488">
    <cfRule type="containsText" dxfId="4299" priority="4802" operator="containsText" text="SI">
      <formula>NOT(ISERROR(SEARCH("SI",C488)))</formula>
    </cfRule>
    <cfRule type="containsText" dxfId="4298" priority="4803" operator="containsText" text="NO">
      <formula>NOT(ISERROR(SEARCH("NO",C488)))</formula>
    </cfRule>
  </conditionalFormatting>
  <conditionalFormatting sqref="C488:E488">
    <cfRule type="containsText" dxfId="4297" priority="4801" operator="containsText" text="NUEVO">
      <formula>NOT(ISERROR(SEARCH("NUEVO",C488)))</formula>
    </cfRule>
  </conditionalFormatting>
  <conditionalFormatting sqref="E488">
    <cfRule type="containsText" dxfId="4296" priority="4800" operator="containsText" text="Sin Información">
      <formula>NOT(ISERROR(SEARCH("Sin Información",E488)))</formula>
    </cfRule>
  </conditionalFormatting>
  <conditionalFormatting sqref="C489:D489">
    <cfRule type="containsText" dxfId="4295" priority="4799" operator="containsText" text="NO+$D$4:$D$10">
      <formula>NOT(ISERROR(SEARCH("NO+$D$4:$D$10",C489)))</formula>
    </cfRule>
  </conditionalFormatting>
  <conditionalFormatting sqref="C489:D489">
    <cfRule type="containsText" dxfId="4294" priority="4797" operator="containsText" text="SI">
      <formula>NOT(ISERROR(SEARCH("SI",C489)))</formula>
    </cfRule>
    <cfRule type="containsText" dxfId="4293" priority="4798" operator="containsText" text="NO">
      <formula>NOT(ISERROR(SEARCH("NO",C489)))</formula>
    </cfRule>
  </conditionalFormatting>
  <conditionalFormatting sqref="C489:D489">
    <cfRule type="containsText" dxfId="4292" priority="4796" operator="containsText" text="NUEVO">
      <formula>NOT(ISERROR(SEARCH("NUEVO",C489)))</formula>
    </cfRule>
  </conditionalFormatting>
  <conditionalFormatting sqref="E489">
    <cfRule type="containsText" dxfId="4291" priority="4795" operator="containsText" text="NUEVO">
      <formula>NOT(ISERROR(SEARCH("NUEVO",E489)))</formula>
    </cfRule>
  </conditionalFormatting>
  <conditionalFormatting sqref="E489">
    <cfRule type="containsText" dxfId="4290" priority="4794" operator="containsText" text="Sin Información">
      <formula>NOT(ISERROR(SEARCH("Sin Información",E489)))</formula>
    </cfRule>
  </conditionalFormatting>
  <conditionalFormatting sqref="C490:D490">
    <cfRule type="containsText" dxfId="4289" priority="4793" operator="containsText" text="NO+$D$4:$D$10">
      <formula>NOT(ISERROR(SEARCH("NO+$D$4:$D$10",C490)))</formula>
    </cfRule>
  </conditionalFormatting>
  <conditionalFormatting sqref="C490:D490">
    <cfRule type="containsText" dxfId="4288" priority="4791" operator="containsText" text="SI">
      <formula>NOT(ISERROR(SEARCH("SI",C490)))</formula>
    </cfRule>
    <cfRule type="containsText" dxfId="4287" priority="4792" operator="containsText" text="NO">
      <formula>NOT(ISERROR(SEARCH("NO",C490)))</formula>
    </cfRule>
  </conditionalFormatting>
  <conditionalFormatting sqref="C490:D490">
    <cfRule type="containsText" dxfId="4286" priority="4790" operator="containsText" text="NUEVO">
      <formula>NOT(ISERROR(SEARCH("NUEVO",C490)))</formula>
    </cfRule>
  </conditionalFormatting>
  <conditionalFormatting sqref="E490">
    <cfRule type="containsText" dxfId="4285" priority="4788" operator="containsText" text="Sin Información">
      <formula>NOT(ISERROR(SEARCH("Sin Información",E490)))</formula>
    </cfRule>
  </conditionalFormatting>
  <conditionalFormatting sqref="E490">
    <cfRule type="containsText" dxfId="4284" priority="4789" operator="containsText" text="NUEVO">
      <formula>NOT(ISERROR(SEARCH("NUEVO",E490)))</formula>
    </cfRule>
  </conditionalFormatting>
  <conditionalFormatting sqref="C491:D491">
    <cfRule type="containsText" dxfId="4283" priority="4787" operator="containsText" text="NO+$D$4:$D$10">
      <formula>NOT(ISERROR(SEARCH("NO+$D$4:$D$10",C491)))</formula>
    </cfRule>
  </conditionalFormatting>
  <conditionalFormatting sqref="C491:D491">
    <cfRule type="containsText" dxfId="4282" priority="4785" operator="containsText" text="SI">
      <formula>NOT(ISERROR(SEARCH("SI",C491)))</formula>
    </cfRule>
    <cfRule type="containsText" dxfId="4281" priority="4786" operator="containsText" text="NO">
      <formula>NOT(ISERROR(SEARCH("NO",C491)))</formula>
    </cfRule>
  </conditionalFormatting>
  <conditionalFormatting sqref="C491:D491">
    <cfRule type="containsText" dxfId="4280" priority="4784" operator="containsText" text="NUEVO">
      <formula>NOT(ISERROR(SEARCH("NUEVO",C491)))</formula>
    </cfRule>
  </conditionalFormatting>
  <conditionalFormatting sqref="E491">
    <cfRule type="containsText" dxfId="4279" priority="4783" operator="containsText" text="NUEVO">
      <formula>NOT(ISERROR(SEARCH("NUEVO",E491)))</formula>
    </cfRule>
  </conditionalFormatting>
  <conditionalFormatting sqref="E491">
    <cfRule type="containsText" dxfId="4278" priority="4782" operator="containsText" text="Sin Información">
      <formula>NOT(ISERROR(SEARCH("Sin Información",E491)))</formula>
    </cfRule>
  </conditionalFormatting>
  <conditionalFormatting sqref="C492:D498">
    <cfRule type="containsText" dxfId="4277" priority="4781" operator="containsText" text="NO+$D$4:$D$10">
      <formula>NOT(ISERROR(SEARCH("NO+$D$4:$D$10",C492)))</formula>
    </cfRule>
  </conditionalFormatting>
  <conditionalFormatting sqref="C492:D498">
    <cfRule type="containsText" dxfId="4276" priority="4779" operator="containsText" text="SI">
      <formula>NOT(ISERROR(SEARCH("SI",C492)))</formula>
    </cfRule>
    <cfRule type="containsText" dxfId="4275" priority="4780" operator="containsText" text="NO">
      <formula>NOT(ISERROR(SEARCH("NO",C492)))</formula>
    </cfRule>
  </conditionalFormatting>
  <conditionalFormatting sqref="C492:D498">
    <cfRule type="containsText" dxfId="4274" priority="4778" operator="containsText" text="NUEVO">
      <formula>NOT(ISERROR(SEARCH("NUEVO",C492)))</formula>
    </cfRule>
  </conditionalFormatting>
  <conditionalFormatting sqref="E492:E495">
    <cfRule type="containsText" dxfId="4273" priority="4777" operator="containsText" text="NUEVO">
      <formula>NOT(ISERROR(SEARCH("NUEVO",E492)))</formula>
    </cfRule>
  </conditionalFormatting>
  <conditionalFormatting sqref="E492:E495">
    <cfRule type="containsText" dxfId="4272" priority="4776" operator="containsText" text="Sin Información">
      <formula>NOT(ISERROR(SEARCH("Sin Información",E492)))</formula>
    </cfRule>
  </conditionalFormatting>
  <conditionalFormatting sqref="E496">
    <cfRule type="containsText" dxfId="4271" priority="4775" operator="containsText" text="NUEVO">
      <formula>NOT(ISERROR(SEARCH("NUEVO",E496)))</formula>
    </cfRule>
  </conditionalFormatting>
  <conditionalFormatting sqref="E496">
    <cfRule type="containsText" dxfId="4270" priority="4774" operator="containsText" text="Sin Información">
      <formula>NOT(ISERROR(SEARCH("Sin Información",E496)))</formula>
    </cfRule>
  </conditionalFormatting>
  <conditionalFormatting sqref="E497:E498">
    <cfRule type="containsText" dxfId="4269" priority="4773" operator="containsText" text="NUEVO">
      <formula>NOT(ISERROR(SEARCH("NUEVO",E497)))</formula>
    </cfRule>
  </conditionalFormatting>
  <conditionalFormatting sqref="E497:E498">
    <cfRule type="containsText" dxfId="4268" priority="4772" operator="containsText" text="Sin Información">
      <formula>NOT(ISERROR(SEARCH("Sin Información",E497)))</formula>
    </cfRule>
  </conditionalFormatting>
  <conditionalFormatting sqref="C499:D501">
    <cfRule type="containsText" dxfId="4267" priority="4771" operator="containsText" text="NO+$D$4:$D$10">
      <formula>NOT(ISERROR(SEARCH("NO+$D$4:$D$10",C499)))</formula>
    </cfRule>
  </conditionalFormatting>
  <conditionalFormatting sqref="C499:D501">
    <cfRule type="containsText" dxfId="4266" priority="4769" operator="containsText" text="SI">
      <formula>NOT(ISERROR(SEARCH("SI",C499)))</formula>
    </cfRule>
    <cfRule type="containsText" dxfId="4265" priority="4770" operator="containsText" text="NO">
      <formula>NOT(ISERROR(SEARCH("NO",C499)))</formula>
    </cfRule>
  </conditionalFormatting>
  <conditionalFormatting sqref="C499:D501">
    <cfRule type="containsText" dxfId="4264" priority="4768" operator="containsText" text="NUEVO">
      <formula>NOT(ISERROR(SEARCH("NUEVO",C499)))</formula>
    </cfRule>
  </conditionalFormatting>
  <conditionalFormatting sqref="E499:E501">
    <cfRule type="containsText" dxfId="4263" priority="4767" operator="containsText" text="NUEVO">
      <formula>NOT(ISERROR(SEARCH("NUEVO",E499)))</formula>
    </cfRule>
  </conditionalFormatting>
  <conditionalFormatting sqref="E499:E501">
    <cfRule type="containsText" dxfId="4262" priority="4766" operator="containsText" text="Sin Información">
      <formula>NOT(ISERROR(SEARCH("Sin Información",E499)))</formula>
    </cfRule>
  </conditionalFormatting>
  <conditionalFormatting sqref="C502:D502 C504:D507">
    <cfRule type="containsText" dxfId="4261" priority="4765" operator="containsText" text="NO+$D$4:$D$10">
      <formula>NOT(ISERROR(SEARCH("NO+$D$4:$D$10",C502)))</formula>
    </cfRule>
  </conditionalFormatting>
  <conditionalFormatting sqref="C502:D502 C504:D507">
    <cfRule type="containsText" dxfId="4260" priority="4763" operator="containsText" text="SI">
      <formula>NOT(ISERROR(SEARCH("SI",C502)))</formula>
    </cfRule>
    <cfRule type="containsText" dxfId="4259" priority="4764" operator="containsText" text="NO">
      <formula>NOT(ISERROR(SEARCH("NO",C502)))</formula>
    </cfRule>
  </conditionalFormatting>
  <conditionalFormatting sqref="C502:D502 C504:D507">
    <cfRule type="containsText" dxfId="4258" priority="4762" operator="containsText" text="NUEVO">
      <formula>NOT(ISERROR(SEARCH("NUEVO",C502)))</formula>
    </cfRule>
  </conditionalFormatting>
  <conditionalFormatting sqref="E502">
    <cfRule type="containsText" dxfId="4257" priority="4761" operator="containsText" text="NUEVO">
      <formula>NOT(ISERROR(SEARCH("NUEVO",E502)))</formula>
    </cfRule>
  </conditionalFormatting>
  <conditionalFormatting sqref="E502">
    <cfRule type="containsText" dxfId="4256" priority="4760" operator="containsText" text="Sin Información">
      <formula>NOT(ISERROR(SEARCH("Sin Información",E502)))</formula>
    </cfRule>
  </conditionalFormatting>
  <conditionalFormatting sqref="E507">
    <cfRule type="containsText" dxfId="4255" priority="4757" operator="containsText" text="NUEVO">
      <formula>NOT(ISERROR(SEARCH("NUEVO",E507)))</formula>
    </cfRule>
  </conditionalFormatting>
  <conditionalFormatting sqref="E507">
    <cfRule type="containsText" dxfId="4254" priority="4756" operator="containsText" text="Sin Información">
      <formula>NOT(ISERROR(SEARCH("Sin Información",E507)))</formula>
    </cfRule>
  </conditionalFormatting>
  <conditionalFormatting sqref="E504:E506">
    <cfRule type="containsText" dxfId="4253" priority="4759" operator="containsText" text="NUEVO">
      <formula>NOT(ISERROR(SEARCH("NUEVO",E504)))</formula>
    </cfRule>
  </conditionalFormatting>
  <conditionalFormatting sqref="E504:E506">
    <cfRule type="containsText" dxfId="4252" priority="4758" operator="containsText" text="Sin Información">
      <formula>NOT(ISERROR(SEARCH("Sin Información",E504)))</formula>
    </cfRule>
  </conditionalFormatting>
  <conditionalFormatting sqref="C508:D508">
    <cfRule type="containsText" dxfId="4251" priority="4755" operator="containsText" text="NO+$D$4:$D$10">
      <formula>NOT(ISERROR(SEARCH("NO+$D$4:$D$10",C508)))</formula>
    </cfRule>
  </conditionalFormatting>
  <conditionalFormatting sqref="C508:D508">
    <cfRule type="containsText" dxfId="4250" priority="4753" operator="containsText" text="SI">
      <formula>NOT(ISERROR(SEARCH("SI",C508)))</formula>
    </cfRule>
    <cfRule type="containsText" dxfId="4249" priority="4754" operator="containsText" text="NO">
      <formula>NOT(ISERROR(SEARCH("NO",C508)))</formula>
    </cfRule>
  </conditionalFormatting>
  <conditionalFormatting sqref="C508:E508">
    <cfRule type="containsText" dxfId="4248" priority="4752" operator="containsText" text="NUEVO">
      <formula>NOT(ISERROR(SEARCH("NUEVO",C508)))</formula>
    </cfRule>
  </conditionalFormatting>
  <conditionalFormatting sqref="E508">
    <cfRule type="containsText" dxfId="4247" priority="4751" operator="containsText" text="Sin Información">
      <formula>NOT(ISERROR(SEARCH("Sin Información",E508)))</formula>
    </cfRule>
  </conditionalFormatting>
  <conditionalFormatting sqref="C511:D511">
    <cfRule type="containsText" dxfId="4246" priority="4745" operator="containsText" text="NO+$D$4:$D$10">
      <formula>NOT(ISERROR(SEARCH("NO+$D$4:$D$10",C511)))</formula>
    </cfRule>
  </conditionalFormatting>
  <conditionalFormatting sqref="C511:D511">
    <cfRule type="containsText" dxfId="4245" priority="4743" operator="containsText" text="SI">
      <formula>NOT(ISERROR(SEARCH("SI",C511)))</formula>
    </cfRule>
    <cfRule type="containsText" dxfId="4244" priority="4744" operator="containsText" text="NO">
      <formula>NOT(ISERROR(SEARCH("NO",C511)))</formula>
    </cfRule>
  </conditionalFormatting>
  <conditionalFormatting sqref="C511:E511">
    <cfRule type="containsText" dxfId="4243" priority="4742" operator="containsText" text="NUEVO">
      <formula>NOT(ISERROR(SEARCH("NUEVO",C511)))</formula>
    </cfRule>
  </conditionalFormatting>
  <conditionalFormatting sqref="E511">
    <cfRule type="containsText" dxfId="4242" priority="4741" operator="containsText" text="Sin Información">
      <formula>NOT(ISERROR(SEARCH("Sin Información",E511)))</formula>
    </cfRule>
  </conditionalFormatting>
  <conditionalFormatting sqref="C512:D512">
    <cfRule type="containsText" dxfId="4241" priority="4734" operator="containsText" text="NO+$D$4:$D$10">
      <formula>NOT(ISERROR(SEARCH("NO+$D$4:$D$10",C512)))</formula>
    </cfRule>
  </conditionalFormatting>
  <conditionalFormatting sqref="C512:D512">
    <cfRule type="containsText" dxfId="4240" priority="4732" operator="containsText" text="SI">
      <formula>NOT(ISERROR(SEARCH("SI",C512)))</formula>
    </cfRule>
    <cfRule type="containsText" dxfId="4239" priority="4733" operator="containsText" text="NO">
      <formula>NOT(ISERROR(SEARCH("NO",C512)))</formula>
    </cfRule>
  </conditionalFormatting>
  <conditionalFormatting sqref="C512:E512">
    <cfRule type="containsText" dxfId="4238" priority="4731" operator="containsText" text="NUEVO">
      <formula>NOT(ISERROR(SEARCH("NUEVO",C512)))</formula>
    </cfRule>
  </conditionalFormatting>
  <conditionalFormatting sqref="E512">
    <cfRule type="containsText" dxfId="4237" priority="4730" operator="containsText" text="Sin Información">
      <formula>NOT(ISERROR(SEARCH("Sin Información",E512)))</formula>
    </cfRule>
  </conditionalFormatting>
  <conditionalFormatting sqref="C513:D513">
    <cfRule type="containsText" dxfId="4236" priority="4729" operator="containsText" text="NO+$D$4:$D$10">
      <formula>NOT(ISERROR(SEARCH("NO+$D$4:$D$10",C513)))</formula>
    </cfRule>
  </conditionalFormatting>
  <conditionalFormatting sqref="C513:D513">
    <cfRule type="containsText" dxfId="4235" priority="4727" operator="containsText" text="SI">
      <formula>NOT(ISERROR(SEARCH("SI",C513)))</formula>
    </cfRule>
    <cfRule type="containsText" dxfId="4234" priority="4728" operator="containsText" text="NO">
      <formula>NOT(ISERROR(SEARCH("NO",C513)))</formula>
    </cfRule>
  </conditionalFormatting>
  <conditionalFormatting sqref="C513:E513">
    <cfRule type="containsText" dxfId="4233" priority="4726" operator="containsText" text="NUEVO">
      <formula>NOT(ISERROR(SEARCH("NUEVO",C513)))</formula>
    </cfRule>
  </conditionalFormatting>
  <conditionalFormatting sqref="E513">
    <cfRule type="containsText" dxfId="4232" priority="4725" operator="containsText" text="Sin Información">
      <formula>NOT(ISERROR(SEARCH("Sin Información",E513)))</formula>
    </cfRule>
  </conditionalFormatting>
  <conditionalFormatting sqref="C514:D514">
    <cfRule type="containsText" dxfId="4231" priority="4724" operator="containsText" text="NO+$D$4:$D$10">
      <formula>NOT(ISERROR(SEARCH("NO+$D$4:$D$10",C514)))</formula>
    </cfRule>
  </conditionalFormatting>
  <conditionalFormatting sqref="C514:D514">
    <cfRule type="containsText" dxfId="4230" priority="4722" operator="containsText" text="SI">
      <formula>NOT(ISERROR(SEARCH("SI",C514)))</formula>
    </cfRule>
    <cfRule type="containsText" dxfId="4229" priority="4723" operator="containsText" text="NO">
      <formula>NOT(ISERROR(SEARCH("NO",C514)))</formula>
    </cfRule>
  </conditionalFormatting>
  <conditionalFormatting sqref="C514:E514">
    <cfRule type="containsText" dxfId="4228" priority="4721" operator="containsText" text="NUEVO">
      <formula>NOT(ISERROR(SEARCH("NUEVO",C514)))</formula>
    </cfRule>
  </conditionalFormatting>
  <conditionalFormatting sqref="E514">
    <cfRule type="containsText" dxfId="4227" priority="4720" operator="containsText" text="Sin Información">
      <formula>NOT(ISERROR(SEARCH("Sin Información",E514)))</formula>
    </cfRule>
  </conditionalFormatting>
  <conditionalFormatting sqref="C515:D515">
    <cfRule type="containsText" dxfId="4226" priority="4719" operator="containsText" text="NO+$D$4:$D$10">
      <formula>NOT(ISERROR(SEARCH("NO+$D$4:$D$10",C515)))</formula>
    </cfRule>
  </conditionalFormatting>
  <conditionalFormatting sqref="C515:D515">
    <cfRule type="containsText" dxfId="4225" priority="4717" operator="containsText" text="SI">
      <formula>NOT(ISERROR(SEARCH("SI",C515)))</formula>
    </cfRule>
    <cfRule type="containsText" dxfId="4224" priority="4718" operator="containsText" text="NO">
      <formula>NOT(ISERROR(SEARCH("NO",C515)))</formula>
    </cfRule>
  </conditionalFormatting>
  <conditionalFormatting sqref="C515:E515">
    <cfRule type="containsText" dxfId="4223" priority="4716" operator="containsText" text="NUEVO">
      <formula>NOT(ISERROR(SEARCH("NUEVO",C515)))</formula>
    </cfRule>
  </conditionalFormatting>
  <conditionalFormatting sqref="E515">
    <cfRule type="containsText" dxfId="4222" priority="4715" operator="containsText" text="Sin Información">
      <formula>NOT(ISERROR(SEARCH("Sin Información",E515)))</formula>
    </cfRule>
  </conditionalFormatting>
  <conditionalFormatting sqref="C516:D516">
    <cfRule type="containsText" dxfId="4221" priority="4714" operator="containsText" text="NO+$D$4:$D$10">
      <formula>NOT(ISERROR(SEARCH("NO+$D$4:$D$10",C516)))</formula>
    </cfRule>
  </conditionalFormatting>
  <conditionalFormatting sqref="C516:D516">
    <cfRule type="containsText" dxfId="4220" priority="4712" operator="containsText" text="SI">
      <formula>NOT(ISERROR(SEARCH("SI",C516)))</formula>
    </cfRule>
    <cfRule type="containsText" dxfId="4219" priority="4713" operator="containsText" text="NO">
      <formula>NOT(ISERROR(SEARCH("NO",C516)))</formula>
    </cfRule>
  </conditionalFormatting>
  <conditionalFormatting sqref="E516">
    <cfRule type="containsText" dxfId="4218" priority="4711" operator="containsText" text="Sin información">
      <formula>NOT(ISERROR(SEARCH("Sin información",E516)))</formula>
    </cfRule>
  </conditionalFormatting>
  <conditionalFormatting sqref="C516:E516">
    <cfRule type="containsText" dxfId="4217" priority="4710" operator="containsText" text="NUEVO">
      <formula>NOT(ISERROR(SEARCH("NUEVO",C516)))</formula>
    </cfRule>
  </conditionalFormatting>
  <conditionalFormatting sqref="E516">
    <cfRule type="containsText" dxfId="4216" priority="4709" operator="containsText" text="Sin Información">
      <formula>NOT(ISERROR(SEARCH("Sin Información",E516)))</formula>
    </cfRule>
  </conditionalFormatting>
  <conditionalFormatting sqref="E516">
    <cfRule type="containsText" dxfId="4215" priority="4708" operator="containsText" text="Sin información">
      <formula>NOT(ISERROR(SEARCH("Sin información",E516)))</formula>
    </cfRule>
  </conditionalFormatting>
  <conditionalFormatting sqref="E516">
    <cfRule type="containsText" dxfId="4214" priority="4707" operator="containsText" text="NUEVO">
      <formula>NOT(ISERROR(SEARCH("NUEVO",E516)))</formula>
    </cfRule>
  </conditionalFormatting>
  <conditionalFormatting sqref="C517:D517">
    <cfRule type="containsText" dxfId="4213" priority="4706" operator="containsText" text="NO+$D$4:$D$10">
      <formula>NOT(ISERROR(SEARCH("NO+$D$4:$D$10",C517)))</formula>
    </cfRule>
  </conditionalFormatting>
  <conditionalFormatting sqref="C517:D517">
    <cfRule type="containsText" dxfId="4212" priority="4704" operator="containsText" text="SI">
      <formula>NOT(ISERROR(SEARCH("SI",C517)))</formula>
    </cfRule>
    <cfRule type="containsText" dxfId="4211" priority="4705" operator="containsText" text="NO">
      <formula>NOT(ISERROR(SEARCH("NO",C517)))</formula>
    </cfRule>
  </conditionalFormatting>
  <conditionalFormatting sqref="C517:D517">
    <cfRule type="containsText" dxfId="4210" priority="4703" operator="containsText" text="NUEVO">
      <formula>NOT(ISERROR(SEARCH("NUEVO",C517)))</formula>
    </cfRule>
  </conditionalFormatting>
  <conditionalFormatting sqref="E517">
    <cfRule type="containsText" dxfId="4209" priority="4702" operator="containsText" text="NUEVO">
      <formula>NOT(ISERROR(SEARCH("NUEVO",E517)))</formula>
    </cfRule>
  </conditionalFormatting>
  <conditionalFormatting sqref="E517">
    <cfRule type="containsText" dxfId="4208" priority="4701" operator="containsText" text="Sin Información">
      <formula>NOT(ISERROR(SEARCH("Sin Información",E517)))</formula>
    </cfRule>
  </conditionalFormatting>
  <conditionalFormatting sqref="C518:D518">
    <cfRule type="containsText" dxfId="4207" priority="4700" operator="containsText" text="NO+$D$4:$D$10">
      <formula>NOT(ISERROR(SEARCH("NO+$D$4:$D$10",C518)))</formula>
    </cfRule>
  </conditionalFormatting>
  <conditionalFormatting sqref="C518:D518">
    <cfRule type="containsText" dxfId="4206" priority="4698" operator="containsText" text="SI">
      <formula>NOT(ISERROR(SEARCH("SI",C518)))</formula>
    </cfRule>
    <cfRule type="containsText" dxfId="4205" priority="4699" operator="containsText" text="NO">
      <formula>NOT(ISERROR(SEARCH("NO",C518)))</formula>
    </cfRule>
  </conditionalFormatting>
  <conditionalFormatting sqref="C518:E518">
    <cfRule type="containsText" dxfId="4204" priority="4697" operator="containsText" text="NUEVO">
      <formula>NOT(ISERROR(SEARCH("NUEVO",C518)))</formula>
    </cfRule>
  </conditionalFormatting>
  <conditionalFormatting sqref="E518">
    <cfRule type="containsText" dxfId="4203" priority="4696" operator="containsText" text="Sin Información">
      <formula>NOT(ISERROR(SEARCH("Sin Información",E518)))</formula>
    </cfRule>
  </conditionalFormatting>
  <conditionalFormatting sqref="C519:D521">
    <cfRule type="containsText" dxfId="4202" priority="4695" operator="containsText" text="NO+$D$4:$D$10">
      <formula>NOT(ISERROR(SEARCH("NO+$D$4:$D$10",C519)))</formula>
    </cfRule>
  </conditionalFormatting>
  <conditionalFormatting sqref="C519:D521">
    <cfRule type="containsText" dxfId="4201" priority="4693" operator="containsText" text="SI">
      <formula>NOT(ISERROR(SEARCH("SI",C519)))</formula>
    </cfRule>
    <cfRule type="containsText" dxfId="4200" priority="4694" operator="containsText" text="NO">
      <formula>NOT(ISERROR(SEARCH("NO",C519)))</formula>
    </cfRule>
  </conditionalFormatting>
  <conditionalFormatting sqref="C519:E521">
    <cfRule type="containsText" dxfId="4199" priority="4692" operator="containsText" text="NUEVO">
      <formula>NOT(ISERROR(SEARCH("NUEVO",C519)))</formula>
    </cfRule>
  </conditionalFormatting>
  <conditionalFormatting sqref="E519:E521">
    <cfRule type="containsText" dxfId="4198" priority="4691" operator="containsText" text="Sin Información">
      <formula>NOT(ISERROR(SEARCH("Sin Información",E519)))</formula>
    </cfRule>
  </conditionalFormatting>
  <conditionalFormatting sqref="E522">
    <cfRule type="containsText" dxfId="4197" priority="4690" operator="containsText" text="NUEVO">
      <formula>NOT(ISERROR(SEARCH("NUEVO",E522)))</formula>
    </cfRule>
  </conditionalFormatting>
  <conditionalFormatting sqref="E522">
    <cfRule type="containsText" dxfId="4196" priority="4689" operator="containsText" text="Sin Información">
      <formula>NOT(ISERROR(SEARCH("Sin Información",E522)))</formula>
    </cfRule>
  </conditionalFormatting>
  <conditionalFormatting sqref="E523:E524">
    <cfRule type="containsText" dxfId="4195" priority="4688" operator="containsText" text="NUEVO">
      <formula>NOT(ISERROR(SEARCH("NUEVO",E523)))</formula>
    </cfRule>
  </conditionalFormatting>
  <conditionalFormatting sqref="E523:E524">
    <cfRule type="containsText" dxfId="4194" priority="4687" operator="containsText" text="Sin Información">
      <formula>NOT(ISERROR(SEARCH("Sin Información",E523)))</formula>
    </cfRule>
  </conditionalFormatting>
  <conditionalFormatting sqref="E527">
    <cfRule type="containsText" dxfId="4193" priority="4686" operator="containsText" text="NUEVO">
      <formula>NOT(ISERROR(SEARCH("NUEVO",E527)))</formula>
    </cfRule>
  </conditionalFormatting>
  <conditionalFormatting sqref="E527">
    <cfRule type="containsText" dxfId="4192" priority="4685" operator="containsText" text="Sin Información">
      <formula>NOT(ISERROR(SEARCH("Sin Información",E527)))</formula>
    </cfRule>
  </conditionalFormatting>
  <conditionalFormatting sqref="C528:D532">
    <cfRule type="containsText" dxfId="4191" priority="4684" operator="containsText" text="NO+$D$4:$D$10">
      <formula>NOT(ISERROR(SEARCH("NO+$D$4:$D$10",C528)))</formula>
    </cfRule>
  </conditionalFormatting>
  <conditionalFormatting sqref="C528:D532">
    <cfRule type="containsText" dxfId="4190" priority="4682" operator="containsText" text="SI">
      <formula>NOT(ISERROR(SEARCH("SI",C528)))</formula>
    </cfRule>
    <cfRule type="containsText" dxfId="4189" priority="4683" operator="containsText" text="NO">
      <formula>NOT(ISERROR(SEARCH("NO",C528)))</formula>
    </cfRule>
  </conditionalFormatting>
  <conditionalFormatting sqref="C528:D532">
    <cfRule type="containsText" dxfId="4188" priority="4681" operator="containsText" text="NUEVO">
      <formula>NOT(ISERROR(SEARCH("NUEVO",C528)))</formula>
    </cfRule>
  </conditionalFormatting>
  <conditionalFormatting sqref="E528:E532">
    <cfRule type="containsText" dxfId="4187" priority="4680" operator="containsText" text="NUEVO">
      <formula>NOT(ISERROR(SEARCH("NUEVO",E528)))</formula>
    </cfRule>
  </conditionalFormatting>
  <conditionalFormatting sqref="E528:E532">
    <cfRule type="containsText" dxfId="4186" priority="4679" operator="containsText" text="Sin Información">
      <formula>NOT(ISERROR(SEARCH("Sin Información",E528)))</formula>
    </cfRule>
  </conditionalFormatting>
  <conditionalFormatting sqref="C533:D537">
    <cfRule type="containsText" dxfId="4185" priority="4678" operator="containsText" text="NO+$D$4:$D$10">
      <formula>NOT(ISERROR(SEARCH("NO+$D$4:$D$10",C533)))</formula>
    </cfRule>
  </conditionalFormatting>
  <conditionalFormatting sqref="C533:D537">
    <cfRule type="containsText" dxfId="4184" priority="4676" operator="containsText" text="SI">
      <formula>NOT(ISERROR(SEARCH("SI",C533)))</formula>
    </cfRule>
    <cfRule type="containsText" dxfId="4183" priority="4677" operator="containsText" text="NO">
      <formula>NOT(ISERROR(SEARCH("NO",C533)))</formula>
    </cfRule>
  </conditionalFormatting>
  <conditionalFormatting sqref="C533:D537">
    <cfRule type="containsText" dxfId="4182" priority="4675" operator="containsText" text="NUEVO">
      <formula>NOT(ISERROR(SEARCH("NUEVO",C533)))</formula>
    </cfRule>
  </conditionalFormatting>
  <conditionalFormatting sqref="E533">
    <cfRule type="containsText" dxfId="4181" priority="4674" operator="containsText" text="NUEVO">
      <formula>NOT(ISERROR(SEARCH("NUEVO",E533)))</formula>
    </cfRule>
  </conditionalFormatting>
  <conditionalFormatting sqref="E533">
    <cfRule type="containsText" dxfId="4180" priority="4673" operator="containsText" text="Sin Información">
      <formula>NOT(ISERROR(SEARCH("Sin Información",E533)))</formula>
    </cfRule>
  </conditionalFormatting>
  <conditionalFormatting sqref="E534:E536">
    <cfRule type="containsText" dxfId="4179" priority="4672" operator="containsText" text="NUEVO">
      <formula>NOT(ISERROR(SEARCH("NUEVO",E534)))</formula>
    </cfRule>
  </conditionalFormatting>
  <conditionalFormatting sqref="E534:E536">
    <cfRule type="containsText" dxfId="4178" priority="4671" operator="containsText" text="Sin Información">
      <formula>NOT(ISERROR(SEARCH("Sin Información",E534)))</formula>
    </cfRule>
  </conditionalFormatting>
  <conditionalFormatting sqref="E537">
    <cfRule type="containsText" dxfId="4177" priority="4670" operator="containsText" text="NUEVO">
      <formula>NOT(ISERROR(SEARCH("NUEVO",E537)))</formula>
    </cfRule>
  </conditionalFormatting>
  <conditionalFormatting sqref="E537">
    <cfRule type="containsText" dxfId="4176" priority="4669" operator="containsText" text="Sin Información">
      <formula>NOT(ISERROR(SEARCH("Sin Información",E537)))</formula>
    </cfRule>
  </conditionalFormatting>
  <conditionalFormatting sqref="C538:D541">
    <cfRule type="containsText" dxfId="4175" priority="4668" operator="containsText" text="NO+$D$4:$D$10">
      <formula>NOT(ISERROR(SEARCH("NO+$D$4:$D$10",C538)))</formula>
    </cfRule>
  </conditionalFormatting>
  <conditionalFormatting sqref="C538:D541">
    <cfRule type="containsText" dxfId="4174" priority="4666" operator="containsText" text="SI">
      <formula>NOT(ISERROR(SEARCH("SI",C538)))</formula>
    </cfRule>
    <cfRule type="containsText" dxfId="4173" priority="4667" operator="containsText" text="NO">
      <formula>NOT(ISERROR(SEARCH("NO",C538)))</formula>
    </cfRule>
  </conditionalFormatting>
  <conditionalFormatting sqref="C541:D541 C538:E540">
    <cfRule type="containsText" dxfId="4172" priority="4665" operator="containsText" text="NUEVO">
      <formula>NOT(ISERROR(SEARCH("NUEVO",C538)))</formula>
    </cfRule>
  </conditionalFormatting>
  <conditionalFormatting sqref="E538:E540">
    <cfRule type="containsText" dxfId="4171" priority="4664" operator="containsText" text="Sin Información">
      <formula>NOT(ISERROR(SEARCH("Sin Información",E538)))</formula>
    </cfRule>
  </conditionalFormatting>
  <conditionalFormatting sqref="E541">
    <cfRule type="containsText" dxfId="4170" priority="4663" operator="containsText" text="NUEVO">
      <formula>NOT(ISERROR(SEARCH("NUEVO",E541)))</formula>
    </cfRule>
  </conditionalFormatting>
  <conditionalFormatting sqref="E541">
    <cfRule type="containsText" dxfId="4169" priority="4662" operator="containsText" text="Sin Información">
      <formula>NOT(ISERROR(SEARCH("Sin Información",E541)))</formula>
    </cfRule>
  </conditionalFormatting>
  <conditionalFormatting sqref="C430:E430">
    <cfRule type="containsText" dxfId="4168" priority="4648" operator="containsText" text="NUEVO">
      <formula>NOT(ISERROR(SEARCH("NUEVO",C430)))</formula>
    </cfRule>
  </conditionalFormatting>
  <conditionalFormatting sqref="C388:D388">
    <cfRule type="containsText" dxfId="4167" priority="4656" operator="containsText" text="NO+$D$4:$D$10">
      <formula>NOT(ISERROR(SEARCH("NO+$D$4:$D$10",C388)))</formula>
    </cfRule>
  </conditionalFormatting>
  <conditionalFormatting sqref="C388:D388">
    <cfRule type="containsText" dxfId="4166" priority="4654" operator="containsText" text="SI">
      <formula>NOT(ISERROR(SEARCH("SI",C388)))</formula>
    </cfRule>
    <cfRule type="containsText" dxfId="4165" priority="4655" operator="containsText" text="NO">
      <formula>NOT(ISERROR(SEARCH("NO",C388)))</formula>
    </cfRule>
  </conditionalFormatting>
  <conditionalFormatting sqref="C388:E388">
    <cfRule type="containsText" dxfId="4164" priority="4653" operator="containsText" text="NUEVO">
      <formula>NOT(ISERROR(SEARCH("NUEVO",C388)))</formula>
    </cfRule>
  </conditionalFormatting>
  <conditionalFormatting sqref="E388">
    <cfRule type="containsText" dxfId="4163" priority="4652" operator="containsText" text="Sin Información">
      <formula>NOT(ISERROR(SEARCH("Sin Información",E388)))</formula>
    </cfRule>
  </conditionalFormatting>
  <conditionalFormatting sqref="C430:D430">
    <cfRule type="containsText" dxfId="4162" priority="4651" operator="containsText" text="NO+$D$4:$D$10">
      <formula>NOT(ISERROR(SEARCH("NO+$D$4:$D$10",C430)))</formula>
    </cfRule>
  </conditionalFormatting>
  <conditionalFormatting sqref="C430:D430">
    <cfRule type="containsText" dxfId="4161" priority="4649" operator="containsText" text="SI">
      <formula>NOT(ISERROR(SEARCH("SI",C430)))</formula>
    </cfRule>
    <cfRule type="containsText" dxfId="4160" priority="4650" operator="containsText" text="NO">
      <formula>NOT(ISERROR(SEARCH("NO",C430)))</formula>
    </cfRule>
  </conditionalFormatting>
  <conditionalFormatting sqref="E430">
    <cfRule type="containsText" dxfId="4159" priority="4647" operator="containsText" text="Sin Información">
      <formula>NOT(ISERROR(SEARCH("Sin Información",E430)))</formula>
    </cfRule>
  </conditionalFormatting>
  <conditionalFormatting sqref="C431:D431">
    <cfRule type="containsText" dxfId="4158" priority="4646" operator="containsText" text="NO+$D$4:$D$10">
      <formula>NOT(ISERROR(SEARCH("NO+$D$4:$D$10",C431)))</formula>
    </cfRule>
  </conditionalFormatting>
  <conditionalFormatting sqref="C431:D431">
    <cfRule type="containsText" dxfId="4157" priority="4644" operator="containsText" text="SI">
      <formula>NOT(ISERROR(SEARCH("SI",C431)))</formula>
    </cfRule>
    <cfRule type="containsText" dxfId="4156" priority="4645" operator="containsText" text="NO">
      <formula>NOT(ISERROR(SEARCH("NO",C431)))</formula>
    </cfRule>
  </conditionalFormatting>
  <conditionalFormatting sqref="C431:E431">
    <cfRule type="containsText" dxfId="4155" priority="4643" operator="containsText" text="NUEVO">
      <formula>NOT(ISERROR(SEARCH("NUEVO",C431)))</formula>
    </cfRule>
  </conditionalFormatting>
  <conditionalFormatting sqref="E431">
    <cfRule type="containsText" dxfId="4154" priority="4642" operator="containsText" text="Sin Información">
      <formula>NOT(ISERROR(SEARCH("Sin Información",E431)))</formula>
    </cfRule>
  </conditionalFormatting>
  <conditionalFormatting sqref="C455:D455">
    <cfRule type="containsText" dxfId="4153" priority="4641" operator="containsText" text="NO+$D$4:$D$10">
      <formula>NOT(ISERROR(SEARCH("NO+$D$4:$D$10",C455)))</formula>
    </cfRule>
  </conditionalFormatting>
  <conditionalFormatting sqref="C455:D455">
    <cfRule type="containsText" dxfId="4152" priority="4639" operator="containsText" text="SI">
      <formula>NOT(ISERROR(SEARCH("SI",C455)))</formula>
    </cfRule>
    <cfRule type="containsText" dxfId="4151" priority="4640" operator="containsText" text="NO">
      <formula>NOT(ISERROR(SEARCH("NO",C455)))</formula>
    </cfRule>
  </conditionalFormatting>
  <conditionalFormatting sqref="C455:E455">
    <cfRule type="containsText" dxfId="4150" priority="4638" operator="containsText" text="NUEVO">
      <formula>NOT(ISERROR(SEARCH("NUEVO",C455)))</formula>
    </cfRule>
  </conditionalFormatting>
  <conditionalFormatting sqref="E455">
    <cfRule type="containsText" dxfId="4149" priority="4637" operator="containsText" text="Sin Información">
      <formula>NOT(ISERROR(SEARCH("Sin Información",E455)))</formula>
    </cfRule>
  </conditionalFormatting>
  <conditionalFormatting sqref="C456:D456">
    <cfRule type="containsText" dxfId="4148" priority="4636" operator="containsText" text="NO+$D$4:$D$10">
      <formula>NOT(ISERROR(SEARCH("NO+$D$4:$D$10",C456)))</formula>
    </cfRule>
  </conditionalFormatting>
  <conditionalFormatting sqref="C456:D456">
    <cfRule type="containsText" dxfId="4147" priority="4634" operator="containsText" text="SI">
      <formula>NOT(ISERROR(SEARCH("SI",C456)))</formula>
    </cfRule>
    <cfRule type="containsText" dxfId="4146" priority="4635" operator="containsText" text="NO">
      <formula>NOT(ISERROR(SEARCH("NO",C456)))</formula>
    </cfRule>
  </conditionalFormatting>
  <conditionalFormatting sqref="C456:E456">
    <cfRule type="containsText" dxfId="4145" priority="4633" operator="containsText" text="NUEVO">
      <formula>NOT(ISERROR(SEARCH("NUEVO",C456)))</formula>
    </cfRule>
  </conditionalFormatting>
  <conditionalFormatting sqref="E456">
    <cfRule type="containsText" dxfId="4144" priority="4632" operator="containsText" text="Sin Información">
      <formula>NOT(ISERROR(SEARCH("Sin Información",E456)))</formula>
    </cfRule>
  </conditionalFormatting>
  <conditionalFormatting sqref="C467:D467">
    <cfRule type="containsText" dxfId="4143" priority="4631" operator="containsText" text="NO+$D$4:$D$10">
      <formula>NOT(ISERROR(SEARCH("NO+$D$4:$D$10",C467)))</formula>
    </cfRule>
  </conditionalFormatting>
  <conditionalFormatting sqref="C467:D467">
    <cfRule type="containsText" dxfId="4142" priority="4629" operator="containsText" text="SI">
      <formula>NOT(ISERROR(SEARCH("SI",C467)))</formula>
    </cfRule>
    <cfRule type="containsText" dxfId="4141" priority="4630" operator="containsText" text="NO">
      <formula>NOT(ISERROR(SEARCH("NO",C467)))</formula>
    </cfRule>
  </conditionalFormatting>
  <conditionalFormatting sqref="C467:E467">
    <cfRule type="containsText" dxfId="4140" priority="4628" operator="containsText" text="NUEVO">
      <formula>NOT(ISERROR(SEARCH("NUEVO",C467)))</formula>
    </cfRule>
  </conditionalFormatting>
  <conditionalFormatting sqref="E467">
    <cfRule type="containsText" dxfId="4139" priority="4627" operator="containsText" text="Sin Información">
      <formula>NOT(ISERROR(SEARCH("Sin Información",E467)))</formula>
    </cfRule>
  </conditionalFormatting>
  <conditionalFormatting sqref="C542:D544">
    <cfRule type="containsText" dxfId="4138" priority="4626" operator="containsText" text="NO+$D$4:$D$10">
      <formula>NOT(ISERROR(SEARCH("NO+$D$4:$D$10",C542)))</formula>
    </cfRule>
  </conditionalFormatting>
  <conditionalFormatting sqref="C542:D544">
    <cfRule type="containsText" dxfId="4137" priority="4624" operator="containsText" text="SI">
      <formula>NOT(ISERROR(SEARCH("SI",C542)))</formula>
    </cfRule>
    <cfRule type="containsText" dxfId="4136" priority="4625" operator="containsText" text="NO">
      <formula>NOT(ISERROR(SEARCH("NO",C542)))</formula>
    </cfRule>
  </conditionalFormatting>
  <conditionalFormatting sqref="C542:D544">
    <cfRule type="containsText" dxfId="4135" priority="4623" operator="containsText" text="NUEVO">
      <formula>NOT(ISERROR(SEARCH("NUEVO",C542)))</formula>
    </cfRule>
  </conditionalFormatting>
  <conditionalFormatting sqref="E542:E544">
    <cfRule type="containsText" dxfId="4134" priority="4622" operator="containsText" text="NUEVO">
      <formula>NOT(ISERROR(SEARCH("NUEVO",E542)))</formula>
    </cfRule>
  </conditionalFormatting>
  <conditionalFormatting sqref="E542:E544">
    <cfRule type="containsText" dxfId="4133" priority="4621" operator="containsText" text="Sin Información">
      <formula>NOT(ISERROR(SEARCH("Sin Información",E542)))</formula>
    </cfRule>
  </conditionalFormatting>
  <conditionalFormatting sqref="C545:D546">
    <cfRule type="containsText" dxfId="4132" priority="4620" operator="containsText" text="NO+$D$4:$D$10">
      <formula>NOT(ISERROR(SEARCH("NO+$D$4:$D$10",C545)))</formula>
    </cfRule>
  </conditionalFormatting>
  <conditionalFormatting sqref="C545:D546">
    <cfRule type="containsText" dxfId="4131" priority="4618" operator="containsText" text="SI">
      <formula>NOT(ISERROR(SEARCH("SI",C545)))</formula>
    </cfRule>
    <cfRule type="containsText" dxfId="4130" priority="4619" operator="containsText" text="NO">
      <formula>NOT(ISERROR(SEARCH("NO",C545)))</formula>
    </cfRule>
  </conditionalFormatting>
  <conditionalFormatting sqref="C545:D546">
    <cfRule type="containsText" dxfId="4129" priority="4617" operator="containsText" text="NUEVO">
      <formula>NOT(ISERROR(SEARCH("NUEVO",C545)))</formula>
    </cfRule>
  </conditionalFormatting>
  <conditionalFormatting sqref="E545">
    <cfRule type="containsText" dxfId="4128" priority="4616" operator="containsText" text="NUEVO">
      <formula>NOT(ISERROR(SEARCH("NUEVO",E545)))</formula>
    </cfRule>
  </conditionalFormatting>
  <conditionalFormatting sqref="E545">
    <cfRule type="containsText" dxfId="4127" priority="4615" operator="containsText" text="Sin Información">
      <formula>NOT(ISERROR(SEARCH("Sin Información",E545)))</formula>
    </cfRule>
  </conditionalFormatting>
  <conditionalFormatting sqref="E546">
    <cfRule type="containsText" dxfId="4126" priority="4614" operator="containsText" text="NUEVO">
      <formula>NOT(ISERROR(SEARCH("NUEVO",E546)))</formula>
    </cfRule>
  </conditionalFormatting>
  <conditionalFormatting sqref="E546">
    <cfRule type="containsText" dxfId="4125" priority="4613" operator="containsText" text="Sin Información">
      <formula>NOT(ISERROR(SEARCH("Sin Información",E546)))</formula>
    </cfRule>
  </conditionalFormatting>
  <conditionalFormatting sqref="C365:D365">
    <cfRule type="containsText" dxfId="4124" priority="4612" operator="containsText" text="NO+$D$4:$D$10">
      <formula>NOT(ISERROR(SEARCH("NO+$D$4:$D$10",C365)))</formula>
    </cfRule>
  </conditionalFormatting>
  <conditionalFormatting sqref="C365:D365">
    <cfRule type="containsText" dxfId="4123" priority="4610" operator="containsText" text="SI">
      <formula>NOT(ISERROR(SEARCH("SI",C365)))</formula>
    </cfRule>
    <cfRule type="containsText" dxfId="4122" priority="4611" operator="containsText" text="NO">
      <formula>NOT(ISERROR(SEARCH("NO",C365)))</formula>
    </cfRule>
  </conditionalFormatting>
  <conditionalFormatting sqref="C365:E365">
    <cfRule type="containsText" dxfId="4121" priority="4609" operator="containsText" text="NUEVO">
      <formula>NOT(ISERROR(SEARCH("NUEVO",C365)))</formula>
    </cfRule>
  </conditionalFormatting>
  <conditionalFormatting sqref="E365">
    <cfRule type="containsText" dxfId="4120" priority="4608" operator="containsText" text="Sin Información">
      <formula>NOT(ISERROR(SEARCH("Sin Información",E365)))</formula>
    </cfRule>
  </conditionalFormatting>
  <conditionalFormatting sqref="C486:D486">
    <cfRule type="containsText" dxfId="4119" priority="4607" operator="containsText" text="NO+$D$4:$D$10">
      <formula>NOT(ISERROR(SEARCH("NO+$D$4:$D$10",C486)))</formula>
    </cfRule>
  </conditionalFormatting>
  <conditionalFormatting sqref="C486:D486">
    <cfRule type="containsText" dxfId="4118" priority="4605" operator="containsText" text="SI">
      <formula>NOT(ISERROR(SEARCH("SI",C486)))</formula>
    </cfRule>
    <cfRule type="containsText" dxfId="4117" priority="4606" operator="containsText" text="NO">
      <formula>NOT(ISERROR(SEARCH("NO",C486)))</formula>
    </cfRule>
  </conditionalFormatting>
  <conditionalFormatting sqref="E486">
    <cfRule type="containsText" dxfId="4116" priority="4604" operator="containsText" text="Sin información">
      <formula>NOT(ISERROR(SEARCH("Sin información",E486)))</formula>
    </cfRule>
  </conditionalFormatting>
  <conditionalFormatting sqref="C486:E486">
    <cfRule type="containsText" dxfId="4115" priority="4603" operator="containsText" text="NUEVO">
      <formula>NOT(ISERROR(SEARCH("NUEVO",C486)))</formula>
    </cfRule>
  </conditionalFormatting>
  <conditionalFormatting sqref="E486">
    <cfRule type="containsText" dxfId="4114" priority="4602" operator="containsText" text="Sin Información">
      <formula>NOT(ISERROR(SEARCH("Sin Información",E486)))</formula>
    </cfRule>
  </conditionalFormatting>
  <conditionalFormatting sqref="C503:D503">
    <cfRule type="containsText" dxfId="4113" priority="4601" operator="containsText" text="NO+$D$4:$D$10">
      <formula>NOT(ISERROR(SEARCH("NO+$D$4:$D$10",C503)))</formula>
    </cfRule>
  </conditionalFormatting>
  <conditionalFormatting sqref="C503:D503">
    <cfRule type="containsText" dxfId="4112" priority="4599" operator="containsText" text="SI">
      <formula>NOT(ISERROR(SEARCH("SI",C503)))</formula>
    </cfRule>
    <cfRule type="containsText" dxfId="4111" priority="4600" operator="containsText" text="NO">
      <formula>NOT(ISERROR(SEARCH("NO",C503)))</formula>
    </cfRule>
  </conditionalFormatting>
  <conditionalFormatting sqref="C503:E503">
    <cfRule type="containsText" dxfId="4110" priority="4598" operator="containsText" text="NUEVO">
      <formula>NOT(ISERROR(SEARCH("NUEVO",C503)))</formula>
    </cfRule>
  </conditionalFormatting>
  <conditionalFormatting sqref="E503">
    <cfRule type="containsText" dxfId="4109" priority="4597" operator="containsText" text="Sin Información">
      <formula>NOT(ISERROR(SEARCH("Sin Información",E503)))</formula>
    </cfRule>
  </conditionalFormatting>
  <conditionalFormatting sqref="C509:D509">
    <cfRule type="containsText" dxfId="4108" priority="4596" operator="containsText" text="NO+$D$4:$D$10">
      <formula>NOT(ISERROR(SEARCH("NO+$D$4:$D$10",C509)))</formula>
    </cfRule>
  </conditionalFormatting>
  <conditionalFormatting sqref="C509:D509">
    <cfRule type="containsText" dxfId="4107" priority="4594" operator="containsText" text="SI">
      <formula>NOT(ISERROR(SEARCH("SI",C509)))</formula>
    </cfRule>
    <cfRule type="containsText" dxfId="4106" priority="4595" operator="containsText" text="NO">
      <formula>NOT(ISERROR(SEARCH("NO",C509)))</formula>
    </cfRule>
  </conditionalFormatting>
  <conditionalFormatting sqref="C509:E509">
    <cfRule type="containsText" dxfId="4105" priority="4593" operator="containsText" text="NUEVO">
      <formula>NOT(ISERROR(SEARCH("NUEVO",C509)))</formula>
    </cfRule>
  </conditionalFormatting>
  <conditionalFormatting sqref="E509">
    <cfRule type="containsText" dxfId="4104" priority="4592" operator="containsText" text="Sin Información">
      <formula>NOT(ISERROR(SEARCH("Sin Información",E509)))</formula>
    </cfRule>
  </conditionalFormatting>
  <conditionalFormatting sqref="C547:D547">
    <cfRule type="containsText" dxfId="4103" priority="4591" operator="containsText" text="NO+$D$4:$D$10">
      <formula>NOT(ISERROR(SEARCH("NO+$D$4:$D$10",C547)))</formula>
    </cfRule>
  </conditionalFormatting>
  <conditionalFormatting sqref="C547:D547">
    <cfRule type="containsText" dxfId="4102" priority="4589" operator="containsText" text="SI">
      <formula>NOT(ISERROR(SEARCH("SI",C547)))</formula>
    </cfRule>
    <cfRule type="containsText" dxfId="4101" priority="4590" operator="containsText" text="NO">
      <formula>NOT(ISERROR(SEARCH("NO",C547)))</formula>
    </cfRule>
  </conditionalFormatting>
  <conditionalFormatting sqref="C547:E547">
    <cfRule type="containsText" dxfId="4100" priority="4588" operator="containsText" text="NUEVO">
      <formula>NOT(ISERROR(SEARCH("NUEVO",C547)))</formula>
    </cfRule>
  </conditionalFormatting>
  <conditionalFormatting sqref="E547">
    <cfRule type="containsText" dxfId="4099" priority="4587" operator="containsText" text="Sin Información">
      <formula>NOT(ISERROR(SEARCH("Sin Información",E547)))</formula>
    </cfRule>
  </conditionalFormatting>
  <conditionalFormatting sqref="C548:D548">
    <cfRule type="containsText" dxfId="4098" priority="4586" operator="containsText" text="NO+$D$4:$D$10">
      <formula>NOT(ISERROR(SEARCH("NO+$D$4:$D$10",C548)))</formula>
    </cfRule>
  </conditionalFormatting>
  <conditionalFormatting sqref="C548:D548">
    <cfRule type="containsText" dxfId="4097" priority="4584" operator="containsText" text="SI">
      <formula>NOT(ISERROR(SEARCH("SI",C548)))</formula>
    </cfRule>
    <cfRule type="containsText" dxfId="4096" priority="4585" operator="containsText" text="NO">
      <formula>NOT(ISERROR(SEARCH("NO",C548)))</formula>
    </cfRule>
  </conditionalFormatting>
  <conditionalFormatting sqref="C548:E548">
    <cfRule type="containsText" dxfId="4095" priority="4583" operator="containsText" text="NUEVO">
      <formula>NOT(ISERROR(SEARCH("NUEVO",C548)))</formula>
    </cfRule>
  </conditionalFormatting>
  <conditionalFormatting sqref="E548">
    <cfRule type="containsText" dxfId="4094" priority="4582" operator="containsText" text="Sin Información">
      <formula>NOT(ISERROR(SEARCH("Sin Información",E548)))</formula>
    </cfRule>
  </conditionalFormatting>
  <conditionalFormatting sqref="C549:D549">
    <cfRule type="containsText" dxfId="4093" priority="4575" operator="containsText" text="NO+$D$4:$D$10">
      <formula>NOT(ISERROR(SEARCH("NO+$D$4:$D$10",C549)))</formula>
    </cfRule>
  </conditionalFormatting>
  <conditionalFormatting sqref="C549:D549">
    <cfRule type="containsText" dxfId="4092" priority="4573" operator="containsText" text="SI">
      <formula>NOT(ISERROR(SEARCH("SI",C549)))</formula>
    </cfRule>
    <cfRule type="containsText" dxfId="4091" priority="4574" operator="containsText" text="NO">
      <formula>NOT(ISERROR(SEARCH("NO",C549)))</formula>
    </cfRule>
  </conditionalFormatting>
  <conditionalFormatting sqref="C549:D549">
    <cfRule type="containsText" dxfId="4090" priority="4572" operator="containsText" text="NUEVO">
      <formula>NOT(ISERROR(SEARCH("NUEVO",C549)))</formula>
    </cfRule>
  </conditionalFormatting>
  <conditionalFormatting sqref="E549">
    <cfRule type="containsText" dxfId="4089" priority="4571" operator="containsText" text="NUEVO">
      <formula>NOT(ISERROR(SEARCH("NUEVO",E549)))</formula>
    </cfRule>
  </conditionalFormatting>
  <conditionalFormatting sqref="E549">
    <cfRule type="containsText" dxfId="4088" priority="4570" operator="containsText" text="Sin Información">
      <formula>NOT(ISERROR(SEARCH("Sin Información",E549)))</formula>
    </cfRule>
  </conditionalFormatting>
  <conditionalFormatting sqref="C550:D550">
    <cfRule type="containsText" dxfId="4087" priority="4569" operator="containsText" text="NO+$D$4:$D$10">
      <formula>NOT(ISERROR(SEARCH("NO+$D$4:$D$10",C550)))</formula>
    </cfRule>
  </conditionalFormatting>
  <conditionalFormatting sqref="C550:D550">
    <cfRule type="containsText" dxfId="4086" priority="4567" operator="containsText" text="SI">
      <formula>NOT(ISERROR(SEARCH("SI",C550)))</formula>
    </cfRule>
    <cfRule type="containsText" dxfId="4085" priority="4568" operator="containsText" text="NO">
      <formula>NOT(ISERROR(SEARCH("NO",C550)))</formula>
    </cfRule>
  </conditionalFormatting>
  <conditionalFormatting sqref="C550:D550">
    <cfRule type="containsText" dxfId="4084" priority="4566" operator="containsText" text="NUEVO">
      <formula>NOT(ISERROR(SEARCH("NUEVO",C550)))</formula>
    </cfRule>
  </conditionalFormatting>
  <conditionalFormatting sqref="E550">
    <cfRule type="containsText" dxfId="4083" priority="4564" operator="containsText" text="Sin Información">
      <formula>NOT(ISERROR(SEARCH("Sin Información",E550)))</formula>
    </cfRule>
  </conditionalFormatting>
  <conditionalFormatting sqref="E550">
    <cfRule type="containsText" dxfId="4082" priority="4565" operator="containsText" text="NUEVO">
      <formula>NOT(ISERROR(SEARCH("NUEVO",E550)))</formula>
    </cfRule>
  </conditionalFormatting>
  <conditionalFormatting sqref="C551:D551">
    <cfRule type="containsText" dxfId="4081" priority="4563" operator="containsText" text="NO+$D$4:$D$10">
      <formula>NOT(ISERROR(SEARCH("NO+$D$4:$D$10",C551)))</formula>
    </cfRule>
  </conditionalFormatting>
  <conditionalFormatting sqref="C551:D551">
    <cfRule type="containsText" dxfId="4080" priority="4561" operator="containsText" text="SI">
      <formula>NOT(ISERROR(SEARCH("SI",C551)))</formula>
    </cfRule>
    <cfRule type="containsText" dxfId="4079" priority="4562" operator="containsText" text="NO">
      <formula>NOT(ISERROR(SEARCH("NO",C551)))</formula>
    </cfRule>
  </conditionalFormatting>
  <conditionalFormatting sqref="C551:E551">
    <cfRule type="containsText" dxfId="4078" priority="4560" operator="containsText" text="NUEVO">
      <formula>NOT(ISERROR(SEARCH("NUEVO",C551)))</formula>
    </cfRule>
  </conditionalFormatting>
  <conditionalFormatting sqref="E551">
    <cfRule type="containsText" dxfId="4077" priority="4559" operator="containsText" text="Sin Información">
      <formula>NOT(ISERROR(SEARCH("Sin Información",E551)))</formula>
    </cfRule>
  </conditionalFormatting>
  <conditionalFormatting sqref="C552:D553">
    <cfRule type="containsText" dxfId="4076" priority="4558" operator="containsText" text="NO+$D$4:$D$10">
      <formula>NOT(ISERROR(SEARCH("NO+$D$4:$D$10",C552)))</formula>
    </cfRule>
  </conditionalFormatting>
  <conditionalFormatting sqref="C552:D553">
    <cfRule type="containsText" dxfId="4075" priority="4556" operator="containsText" text="SI">
      <formula>NOT(ISERROR(SEARCH("SI",C552)))</formula>
    </cfRule>
    <cfRule type="containsText" dxfId="4074" priority="4557" operator="containsText" text="NO">
      <formula>NOT(ISERROR(SEARCH("NO",C552)))</formula>
    </cfRule>
  </conditionalFormatting>
  <conditionalFormatting sqref="C552:E553">
    <cfRule type="containsText" dxfId="4073" priority="4555" operator="containsText" text="NUEVO">
      <formula>NOT(ISERROR(SEARCH("NUEVO",C552)))</formula>
    </cfRule>
  </conditionalFormatting>
  <conditionalFormatting sqref="E552:E553">
    <cfRule type="containsText" dxfId="4072" priority="4554" operator="containsText" text="Sin Información">
      <formula>NOT(ISERROR(SEARCH("Sin Información",E552)))</formula>
    </cfRule>
  </conditionalFormatting>
  <conditionalFormatting sqref="C554:D554">
    <cfRule type="containsText" dxfId="4071" priority="4553" operator="containsText" text="NO+$D$4:$D$10">
      <formula>NOT(ISERROR(SEARCH("NO+$D$4:$D$10",C554)))</formula>
    </cfRule>
  </conditionalFormatting>
  <conditionalFormatting sqref="C554:D554">
    <cfRule type="containsText" dxfId="4070" priority="4551" operator="containsText" text="SI">
      <formula>NOT(ISERROR(SEARCH("SI",C554)))</formula>
    </cfRule>
    <cfRule type="containsText" dxfId="4069" priority="4552" operator="containsText" text="NO">
      <formula>NOT(ISERROR(SEARCH("NO",C554)))</formula>
    </cfRule>
  </conditionalFormatting>
  <conditionalFormatting sqref="C554:D554">
    <cfRule type="containsText" dxfId="4068" priority="4550" operator="containsText" text="NUEVO">
      <formula>NOT(ISERROR(SEARCH("NUEVO",C554)))</formula>
    </cfRule>
  </conditionalFormatting>
  <conditionalFormatting sqref="E554">
    <cfRule type="containsText" dxfId="4067" priority="4549" operator="containsText" text="NUEVO">
      <formula>NOT(ISERROR(SEARCH("NUEVO",E554)))</formula>
    </cfRule>
  </conditionalFormatting>
  <conditionalFormatting sqref="E554">
    <cfRule type="containsText" dxfId="4066" priority="4548" operator="containsText" text="Sin Información">
      <formula>NOT(ISERROR(SEARCH("Sin Información",E554)))</formula>
    </cfRule>
  </conditionalFormatting>
  <conditionalFormatting sqref="C555:D556">
    <cfRule type="containsText" dxfId="4065" priority="4547" operator="containsText" text="NO+$D$4:$D$10">
      <formula>NOT(ISERROR(SEARCH("NO+$D$4:$D$10",C555)))</formula>
    </cfRule>
  </conditionalFormatting>
  <conditionalFormatting sqref="C555:D556">
    <cfRule type="containsText" dxfId="4064" priority="4545" operator="containsText" text="SI">
      <formula>NOT(ISERROR(SEARCH("SI",C555)))</formula>
    </cfRule>
    <cfRule type="containsText" dxfId="4063" priority="4546" operator="containsText" text="NO">
      <formula>NOT(ISERROR(SEARCH("NO",C555)))</formula>
    </cfRule>
  </conditionalFormatting>
  <conditionalFormatting sqref="C555:D556">
    <cfRule type="containsText" dxfId="4062" priority="4544" operator="containsText" text="NUEVO">
      <formula>NOT(ISERROR(SEARCH("NUEVO",C555)))</formula>
    </cfRule>
  </conditionalFormatting>
  <conditionalFormatting sqref="E555:E556">
    <cfRule type="containsText" dxfId="4061" priority="4543" operator="containsText" text="NUEVO">
      <formula>NOT(ISERROR(SEARCH("NUEVO",E555)))</formula>
    </cfRule>
  </conditionalFormatting>
  <conditionalFormatting sqref="E555:E556">
    <cfRule type="containsText" dxfId="4060" priority="4542" operator="containsText" text="Sin Información">
      <formula>NOT(ISERROR(SEARCH("Sin Información",E555)))</formula>
    </cfRule>
  </conditionalFormatting>
  <conditionalFormatting sqref="C557:D559">
    <cfRule type="containsText" dxfId="4059" priority="4541" operator="containsText" text="NO+$D$4:$D$10">
      <formula>NOT(ISERROR(SEARCH("NO+$D$4:$D$10",C557)))</formula>
    </cfRule>
  </conditionalFormatting>
  <conditionalFormatting sqref="C557:D559">
    <cfRule type="containsText" dxfId="4058" priority="4539" operator="containsText" text="SI">
      <formula>NOT(ISERROR(SEARCH("SI",C557)))</formula>
    </cfRule>
    <cfRule type="containsText" dxfId="4057" priority="4540" operator="containsText" text="NO">
      <formula>NOT(ISERROR(SEARCH("NO",C557)))</formula>
    </cfRule>
  </conditionalFormatting>
  <conditionalFormatting sqref="C557:D559">
    <cfRule type="containsText" dxfId="4056" priority="4538" operator="containsText" text="NUEVO">
      <formula>NOT(ISERROR(SEARCH("NUEVO",C557)))</formula>
    </cfRule>
  </conditionalFormatting>
  <conditionalFormatting sqref="E557:E559">
    <cfRule type="containsText" dxfId="4055" priority="4537" operator="containsText" text="NUEVO">
      <formula>NOT(ISERROR(SEARCH("NUEVO",E557)))</formula>
    </cfRule>
  </conditionalFormatting>
  <conditionalFormatting sqref="E557:E559">
    <cfRule type="containsText" dxfId="4054" priority="4536" operator="containsText" text="Sin Información">
      <formula>NOT(ISERROR(SEARCH("Sin Información",E557)))</formula>
    </cfRule>
  </conditionalFormatting>
  <conditionalFormatting sqref="C560:D562">
    <cfRule type="containsText" dxfId="4053" priority="4535" operator="containsText" text="NO+$D$4:$D$10">
      <formula>NOT(ISERROR(SEARCH("NO+$D$4:$D$10",C560)))</formula>
    </cfRule>
  </conditionalFormatting>
  <conditionalFormatting sqref="C560:D562">
    <cfRule type="containsText" dxfId="4052" priority="4533" operator="containsText" text="SI">
      <formula>NOT(ISERROR(SEARCH("SI",C560)))</formula>
    </cfRule>
    <cfRule type="containsText" dxfId="4051" priority="4534" operator="containsText" text="NO">
      <formula>NOT(ISERROR(SEARCH("NO",C560)))</formula>
    </cfRule>
  </conditionalFormatting>
  <conditionalFormatting sqref="C560:D562">
    <cfRule type="containsText" dxfId="4050" priority="4532" operator="containsText" text="NUEVO">
      <formula>NOT(ISERROR(SEARCH("NUEVO",C560)))</formula>
    </cfRule>
  </conditionalFormatting>
  <conditionalFormatting sqref="E560:E562">
    <cfRule type="containsText" dxfId="4049" priority="4531" operator="containsText" text="NUEVO">
      <formula>NOT(ISERROR(SEARCH("NUEVO",E560)))</formula>
    </cfRule>
  </conditionalFormatting>
  <conditionalFormatting sqref="E560:E562">
    <cfRule type="containsText" dxfId="4048" priority="4530" operator="containsText" text="Sin Información">
      <formula>NOT(ISERROR(SEARCH("Sin Información",E560)))</formula>
    </cfRule>
  </conditionalFormatting>
  <conditionalFormatting sqref="C563:D563">
    <cfRule type="containsText" dxfId="4047" priority="4529" operator="containsText" text="NO+$D$4:$D$10">
      <formula>NOT(ISERROR(SEARCH("NO+$D$4:$D$10",C563)))</formula>
    </cfRule>
  </conditionalFormatting>
  <conditionalFormatting sqref="C563:D563">
    <cfRule type="containsText" dxfId="4046" priority="4527" operator="containsText" text="SI">
      <formula>NOT(ISERROR(SEARCH("SI",C563)))</formula>
    </cfRule>
    <cfRule type="containsText" dxfId="4045" priority="4528" operator="containsText" text="NO">
      <formula>NOT(ISERROR(SEARCH("NO",C563)))</formula>
    </cfRule>
  </conditionalFormatting>
  <conditionalFormatting sqref="C563:D563">
    <cfRule type="containsText" dxfId="4044" priority="4526" operator="containsText" text="NUEVO">
      <formula>NOT(ISERROR(SEARCH("NUEVO",C563)))</formula>
    </cfRule>
  </conditionalFormatting>
  <conditionalFormatting sqref="E563">
    <cfRule type="containsText" dxfId="4043" priority="4525" operator="containsText" text="NUEVO">
      <formula>NOT(ISERROR(SEARCH("NUEVO",E563)))</formula>
    </cfRule>
  </conditionalFormatting>
  <conditionalFormatting sqref="E563">
    <cfRule type="containsText" dxfId="4042" priority="4524" operator="containsText" text="Sin Información">
      <formula>NOT(ISERROR(SEARCH("Sin Información",E563)))</formula>
    </cfRule>
  </conditionalFormatting>
  <conditionalFormatting sqref="C564:D564">
    <cfRule type="containsText" dxfId="4041" priority="4523" operator="containsText" text="NO+$D$4:$D$10">
      <formula>NOT(ISERROR(SEARCH("NO+$D$4:$D$10",C564)))</formula>
    </cfRule>
  </conditionalFormatting>
  <conditionalFormatting sqref="C564:D564">
    <cfRule type="containsText" dxfId="4040" priority="4521" operator="containsText" text="SI">
      <formula>NOT(ISERROR(SEARCH("SI",C564)))</formula>
    </cfRule>
    <cfRule type="containsText" dxfId="4039" priority="4522" operator="containsText" text="NO">
      <formula>NOT(ISERROR(SEARCH("NO",C564)))</formula>
    </cfRule>
  </conditionalFormatting>
  <conditionalFormatting sqref="C564:D564">
    <cfRule type="containsText" dxfId="4038" priority="4520" operator="containsText" text="NUEVO">
      <formula>NOT(ISERROR(SEARCH("NUEVO",C564)))</formula>
    </cfRule>
  </conditionalFormatting>
  <conditionalFormatting sqref="E564">
    <cfRule type="containsText" dxfId="4037" priority="4518" operator="containsText" text="Sin Información">
      <formula>NOT(ISERROR(SEARCH("Sin Información",E564)))</formula>
    </cfRule>
  </conditionalFormatting>
  <conditionalFormatting sqref="E564">
    <cfRule type="containsText" dxfId="4036" priority="4519" operator="containsText" text="NUEVO">
      <formula>NOT(ISERROR(SEARCH("NUEVO",E564)))</formula>
    </cfRule>
  </conditionalFormatting>
  <conditionalFormatting sqref="C565:D565">
    <cfRule type="containsText" dxfId="4035" priority="4517" operator="containsText" text="NO+$D$4:$D$10">
      <formula>NOT(ISERROR(SEARCH("NO+$D$4:$D$10",C565)))</formula>
    </cfRule>
  </conditionalFormatting>
  <conditionalFormatting sqref="C565:D565">
    <cfRule type="containsText" dxfId="4034" priority="4515" operator="containsText" text="SI">
      <formula>NOT(ISERROR(SEARCH("SI",C565)))</formula>
    </cfRule>
    <cfRule type="containsText" dxfId="4033" priority="4516" operator="containsText" text="NO">
      <formula>NOT(ISERROR(SEARCH("NO",C565)))</formula>
    </cfRule>
  </conditionalFormatting>
  <conditionalFormatting sqref="C565:D565">
    <cfRule type="containsText" dxfId="4032" priority="4514" operator="containsText" text="NUEVO">
      <formula>NOT(ISERROR(SEARCH("NUEVO",C565)))</formula>
    </cfRule>
  </conditionalFormatting>
  <conditionalFormatting sqref="E565">
    <cfRule type="containsText" dxfId="4031" priority="4512" operator="containsText" text="Sin Información">
      <formula>NOT(ISERROR(SEARCH("Sin Información",E565)))</formula>
    </cfRule>
  </conditionalFormatting>
  <conditionalFormatting sqref="E565">
    <cfRule type="containsText" dxfId="4030" priority="4513" operator="containsText" text="NUEVO">
      <formula>NOT(ISERROR(SEARCH("NUEVO",E565)))</formula>
    </cfRule>
  </conditionalFormatting>
  <conditionalFormatting sqref="C566:D566">
    <cfRule type="containsText" dxfId="4029" priority="4511" operator="containsText" text="NO+$D$4:$D$10">
      <formula>NOT(ISERROR(SEARCH("NO+$D$4:$D$10",C566)))</formula>
    </cfRule>
  </conditionalFormatting>
  <conditionalFormatting sqref="C566:D566">
    <cfRule type="containsText" dxfId="4028" priority="4509" operator="containsText" text="SI">
      <formula>NOT(ISERROR(SEARCH("SI",C566)))</formula>
    </cfRule>
    <cfRule type="containsText" dxfId="4027" priority="4510" operator="containsText" text="NO">
      <formula>NOT(ISERROR(SEARCH("NO",C566)))</formula>
    </cfRule>
  </conditionalFormatting>
  <conditionalFormatting sqref="C566:D566">
    <cfRule type="containsText" dxfId="4026" priority="4508" operator="containsText" text="NUEVO">
      <formula>NOT(ISERROR(SEARCH("NUEVO",C566)))</formula>
    </cfRule>
  </conditionalFormatting>
  <conditionalFormatting sqref="E566">
    <cfRule type="containsText" dxfId="4025" priority="4506" operator="containsText" text="Sin Información">
      <formula>NOT(ISERROR(SEARCH("Sin Información",E566)))</formula>
    </cfRule>
  </conditionalFormatting>
  <conditionalFormatting sqref="E566">
    <cfRule type="containsText" dxfId="4024" priority="4507" operator="containsText" text="NUEVO">
      <formula>NOT(ISERROR(SEARCH("NUEVO",E566)))</formula>
    </cfRule>
  </conditionalFormatting>
  <conditionalFormatting sqref="C567:D569">
    <cfRule type="containsText" dxfId="4023" priority="4505" operator="containsText" text="NO+$D$4:$D$10">
      <formula>NOT(ISERROR(SEARCH("NO+$D$4:$D$10",C567)))</formula>
    </cfRule>
  </conditionalFormatting>
  <conditionalFormatting sqref="C567:D569">
    <cfRule type="containsText" dxfId="4022" priority="4503" operator="containsText" text="SI">
      <formula>NOT(ISERROR(SEARCH("SI",C567)))</formula>
    </cfRule>
    <cfRule type="containsText" dxfId="4021" priority="4504" operator="containsText" text="NO">
      <formula>NOT(ISERROR(SEARCH("NO",C567)))</formula>
    </cfRule>
  </conditionalFormatting>
  <conditionalFormatting sqref="C567:D569">
    <cfRule type="containsText" dxfId="4020" priority="4502" operator="containsText" text="NUEVO">
      <formula>NOT(ISERROR(SEARCH("NUEVO",C567)))</formula>
    </cfRule>
  </conditionalFormatting>
  <conditionalFormatting sqref="E567:E569">
    <cfRule type="containsText" dxfId="4019" priority="4501" operator="containsText" text="NUEVO">
      <formula>NOT(ISERROR(SEARCH("NUEVO",E567)))</formula>
    </cfRule>
  </conditionalFormatting>
  <conditionalFormatting sqref="E567:E569">
    <cfRule type="containsText" dxfId="4018" priority="4500" operator="containsText" text="Sin Información">
      <formula>NOT(ISERROR(SEARCH("Sin Información",E567)))</formula>
    </cfRule>
  </conditionalFormatting>
  <conditionalFormatting sqref="C570:D571">
    <cfRule type="containsText" dxfId="4017" priority="4499" operator="containsText" text="NO+$D$4:$D$10">
      <formula>NOT(ISERROR(SEARCH("NO+$D$4:$D$10",C570)))</formula>
    </cfRule>
  </conditionalFormatting>
  <conditionalFormatting sqref="C570:D571">
    <cfRule type="containsText" dxfId="4016" priority="4497" operator="containsText" text="SI">
      <formula>NOT(ISERROR(SEARCH("SI",C570)))</formula>
    </cfRule>
    <cfRule type="containsText" dxfId="4015" priority="4498" operator="containsText" text="NO">
      <formula>NOT(ISERROR(SEARCH("NO",C570)))</formula>
    </cfRule>
  </conditionalFormatting>
  <conditionalFormatting sqref="C570:D571">
    <cfRule type="containsText" dxfId="4014" priority="4496" operator="containsText" text="NUEVO">
      <formula>NOT(ISERROR(SEARCH("NUEVO",C570)))</formula>
    </cfRule>
  </conditionalFormatting>
  <conditionalFormatting sqref="E570">
    <cfRule type="containsText" dxfId="4013" priority="4495" operator="containsText" text="NUEVO">
      <formula>NOT(ISERROR(SEARCH("NUEVO",E570)))</formula>
    </cfRule>
  </conditionalFormatting>
  <conditionalFormatting sqref="E570">
    <cfRule type="containsText" dxfId="4012" priority="4494" operator="containsText" text="Sin Información">
      <formula>NOT(ISERROR(SEARCH("Sin Información",E570)))</formula>
    </cfRule>
  </conditionalFormatting>
  <conditionalFormatting sqref="E571">
    <cfRule type="containsText" dxfId="4011" priority="4493" operator="containsText" text="NUEVO">
      <formula>NOT(ISERROR(SEARCH("NUEVO",E571)))</formula>
    </cfRule>
  </conditionalFormatting>
  <conditionalFormatting sqref="E571">
    <cfRule type="containsText" dxfId="4010" priority="4492" operator="containsText" text="Sin Información">
      <formula>NOT(ISERROR(SEARCH("Sin Información",E571)))</formula>
    </cfRule>
  </conditionalFormatting>
  <conditionalFormatting sqref="C384:D385">
    <cfRule type="containsText" dxfId="4009" priority="4486" operator="containsText" text="NO+$D$4:$D$10">
      <formula>NOT(ISERROR(SEARCH("NO+$D$4:$D$10",C384)))</formula>
    </cfRule>
  </conditionalFormatting>
  <conditionalFormatting sqref="C384:D385">
    <cfRule type="containsText" dxfId="4008" priority="4484" operator="containsText" text="SI">
      <formula>NOT(ISERROR(SEARCH("SI",C384)))</formula>
    </cfRule>
    <cfRule type="containsText" dxfId="4007" priority="4485" operator="containsText" text="NO">
      <formula>NOT(ISERROR(SEARCH("NO",C384)))</formula>
    </cfRule>
  </conditionalFormatting>
  <conditionalFormatting sqref="C384:E385">
    <cfRule type="containsText" dxfId="4006" priority="4483" operator="containsText" text="NUEVO">
      <formula>NOT(ISERROR(SEARCH("NUEVO",C384)))</formula>
    </cfRule>
  </conditionalFormatting>
  <conditionalFormatting sqref="E384:E385">
    <cfRule type="containsText" dxfId="4005" priority="4482" operator="containsText" text="Sin Información">
      <formula>NOT(ISERROR(SEARCH("Sin Información",E384)))</formula>
    </cfRule>
  </conditionalFormatting>
  <conditionalFormatting sqref="C432:D432">
    <cfRule type="containsText" dxfId="4004" priority="4481" operator="containsText" text="NO+$D$4:$D$10">
      <formula>NOT(ISERROR(SEARCH("NO+$D$4:$D$10",C432)))</formula>
    </cfRule>
  </conditionalFormatting>
  <conditionalFormatting sqref="C432:D432">
    <cfRule type="containsText" dxfId="4003" priority="4479" operator="containsText" text="SI">
      <formula>NOT(ISERROR(SEARCH("SI",C432)))</formula>
    </cfRule>
    <cfRule type="containsText" dxfId="4002" priority="4480" operator="containsText" text="NO">
      <formula>NOT(ISERROR(SEARCH("NO",C432)))</formula>
    </cfRule>
  </conditionalFormatting>
  <conditionalFormatting sqref="C432:D432">
    <cfRule type="containsText" dxfId="4001" priority="4478" operator="containsText" text="NUEVO">
      <formula>NOT(ISERROR(SEARCH("NUEVO",C432)))</formula>
    </cfRule>
  </conditionalFormatting>
  <conditionalFormatting sqref="E432">
    <cfRule type="containsText" dxfId="4000" priority="4477" operator="containsText" text="NUEVO">
      <formula>NOT(ISERROR(SEARCH("NUEVO",E432)))</formula>
    </cfRule>
  </conditionalFormatting>
  <conditionalFormatting sqref="E432">
    <cfRule type="containsText" dxfId="3999" priority="4476" operator="containsText" text="Sin Información">
      <formula>NOT(ISERROR(SEARCH("Sin Información",E432)))</formula>
    </cfRule>
  </conditionalFormatting>
  <conditionalFormatting sqref="C458:D458">
    <cfRule type="containsText" dxfId="3998" priority="4470" operator="containsText" text="NO+$D$4:$D$10">
      <formula>NOT(ISERROR(SEARCH("NO+$D$4:$D$10",C458)))</formula>
    </cfRule>
  </conditionalFormatting>
  <conditionalFormatting sqref="C458:D458">
    <cfRule type="containsText" dxfId="3997" priority="4468" operator="containsText" text="SI">
      <formula>NOT(ISERROR(SEARCH("SI",C458)))</formula>
    </cfRule>
    <cfRule type="containsText" dxfId="3996" priority="4469" operator="containsText" text="NO">
      <formula>NOT(ISERROR(SEARCH("NO",C458)))</formula>
    </cfRule>
  </conditionalFormatting>
  <conditionalFormatting sqref="C458:D458">
    <cfRule type="containsText" dxfId="3995" priority="4467" operator="containsText" text="NUEVO">
      <formula>NOT(ISERROR(SEARCH("NUEVO",C458)))</formula>
    </cfRule>
  </conditionalFormatting>
  <conditionalFormatting sqref="E458">
    <cfRule type="containsText" dxfId="3994" priority="4466" operator="containsText" text="NUEVO">
      <formula>NOT(ISERROR(SEARCH("NUEVO",E458)))</formula>
    </cfRule>
  </conditionalFormatting>
  <conditionalFormatting sqref="E458">
    <cfRule type="containsText" dxfId="3993" priority="4465" operator="containsText" text="Sin Información">
      <formula>NOT(ISERROR(SEARCH("Sin Información",E458)))</formula>
    </cfRule>
  </conditionalFormatting>
  <conditionalFormatting sqref="C572:D574">
    <cfRule type="containsText" dxfId="3992" priority="4464" operator="containsText" text="NO+$D$4:$D$10">
      <formula>NOT(ISERROR(SEARCH("NO+$D$4:$D$10",C572)))</formula>
    </cfRule>
  </conditionalFormatting>
  <conditionalFormatting sqref="C572:D574">
    <cfRule type="containsText" dxfId="3991" priority="4462" operator="containsText" text="SI">
      <formula>NOT(ISERROR(SEARCH("SI",C572)))</formula>
    </cfRule>
    <cfRule type="containsText" dxfId="3990" priority="4463" operator="containsText" text="NO">
      <formula>NOT(ISERROR(SEARCH("NO",C572)))</formula>
    </cfRule>
  </conditionalFormatting>
  <conditionalFormatting sqref="C572:D574">
    <cfRule type="containsText" dxfId="3989" priority="4461" operator="containsText" text="NUEVO">
      <formula>NOT(ISERROR(SEARCH("NUEVO",C572)))</formula>
    </cfRule>
  </conditionalFormatting>
  <conditionalFormatting sqref="E573:E574">
    <cfRule type="containsText" dxfId="3988" priority="4460" operator="containsText" text="NUEVO">
      <formula>NOT(ISERROR(SEARCH("NUEVO",E573)))</formula>
    </cfRule>
  </conditionalFormatting>
  <conditionalFormatting sqref="E573:E574">
    <cfRule type="containsText" dxfId="3987" priority="4459" operator="containsText" text="Sin Información">
      <formula>NOT(ISERROR(SEARCH("Sin Información",E573)))</formula>
    </cfRule>
  </conditionalFormatting>
  <conditionalFormatting sqref="E572">
    <cfRule type="containsText" dxfId="3986" priority="4458" operator="containsText" text="NUEVO">
      <formula>NOT(ISERROR(SEARCH("NUEVO",E572)))</formula>
    </cfRule>
  </conditionalFormatting>
  <conditionalFormatting sqref="E572">
    <cfRule type="containsText" dxfId="3985" priority="4457" operator="containsText" text="Sin Información">
      <formula>NOT(ISERROR(SEARCH("Sin Información",E572)))</formula>
    </cfRule>
  </conditionalFormatting>
  <conditionalFormatting sqref="C575:D578">
    <cfRule type="containsText" dxfId="3984" priority="4456" operator="containsText" text="NO+$D$4:$D$10">
      <formula>NOT(ISERROR(SEARCH("NO+$D$4:$D$10",C575)))</formula>
    </cfRule>
  </conditionalFormatting>
  <conditionalFormatting sqref="C575:D578">
    <cfRule type="containsText" dxfId="3983" priority="4454" operator="containsText" text="SI">
      <formula>NOT(ISERROR(SEARCH("SI",C575)))</formula>
    </cfRule>
    <cfRule type="containsText" dxfId="3982" priority="4455" operator="containsText" text="NO">
      <formula>NOT(ISERROR(SEARCH("NO",C575)))</formula>
    </cfRule>
  </conditionalFormatting>
  <conditionalFormatting sqref="C575:D578">
    <cfRule type="containsText" dxfId="3981" priority="4453" operator="containsText" text="NUEVO">
      <formula>NOT(ISERROR(SEARCH("NUEVO",C575)))</formula>
    </cfRule>
  </conditionalFormatting>
  <conditionalFormatting sqref="E575:E578">
    <cfRule type="containsText" dxfId="3980" priority="4452" operator="containsText" text="NUEVO">
      <formula>NOT(ISERROR(SEARCH("NUEVO",E575)))</formula>
    </cfRule>
  </conditionalFormatting>
  <conditionalFormatting sqref="E575:E578">
    <cfRule type="containsText" dxfId="3979" priority="4451" operator="containsText" text="Sin Información">
      <formula>NOT(ISERROR(SEARCH("Sin Información",E575)))</formula>
    </cfRule>
  </conditionalFormatting>
  <conditionalFormatting sqref="C579:D580">
    <cfRule type="containsText" dxfId="3978" priority="4450" operator="containsText" text="NO+$D$4:$D$10">
      <formula>NOT(ISERROR(SEARCH("NO+$D$4:$D$10",C579)))</formula>
    </cfRule>
  </conditionalFormatting>
  <conditionalFormatting sqref="C579:D580">
    <cfRule type="containsText" dxfId="3977" priority="4448" operator="containsText" text="SI">
      <formula>NOT(ISERROR(SEARCH("SI",C579)))</formula>
    </cfRule>
    <cfRule type="containsText" dxfId="3976" priority="4449" operator="containsText" text="NO">
      <formula>NOT(ISERROR(SEARCH("NO",C579)))</formula>
    </cfRule>
  </conditionalFormatting>
  <conditionalFormatting sqref="C579:D580">
    <cfRule type="containsText" dxfId="3975" priority="4447" operator="containsText" text="NUEVO">
      <formula>NOT(ISERROR(SEARCH("NUEVO",C579)))</formula>
    </cfRule>
  </conditionalFormatting>
  <conditionalFormatting sqref="E580">
    <cfRule type="containsText" dxfId="3974" priority="4446" operator="containsText" text="NUEVO">
      <formula>NOT(ISERROR(SEARCH("NUEVO",E580)))</formula>
    </cfRule>
  </conditionalFormatting>
  <conditionalFormatting sqref="E580">
    <cfRule type="containsText" dxfId="3973" priority="4445" operator="containsText" text="Sin Información">
      <formula>NOT(ISERROR(SEARCH("Sin Información",E580)))</formula>
    </cfRule>
  </conditionalFormatting>
  <conditionalFormatting sqref="E579">
    <cfRule type="containsText" dxfId="3972" priority="4444" operator="containsText" text="NUEVO">
      <formula>NOT(ISERROR(SEARCH("NUEVO",E579)))</formula>
    </cfRule>
  </conditionalFormatting>
  <conditionalFormatting sqref="E579">
    <cfRule type="containsText" dxfId="3971" priority="4443" operator="containsText" text="Sin Información">
      <formula>NOT(ISERROR(SEARCH("Sin Información",E579)))</formula>
    </cfRule>
  </conditionalFormatting>
  <conditionalFormatting sqref="C581:D581">
    <cfRule type="containsText" dxfId="3970" priority="4442" operator="containsText" text="NO+$D$4:$D$10">
      <formula>NOT(ISERROR(SEARCH("NO+$D$4:$D$10",C581)))</formula>
    </cfRule>
  </conditionalFormatting>
  <conditionalFormatting sqref="C581:D581">
    <cfRule type="containsText" dxfId="3969" priority="4440" operator="containsText" text="SI">
      <formula>NOT(ISERROR(SEARCH("SI",C581)))</formula>
    </cfRule>
    <cfRule type="containsText" dxfId="3968" priority="4441" operator="containsText" text="NO">
      <formula>NOT(ISERROR(SEARCH("NO",C581)))</formula>
    </cfRule>
  </conditionalFormatting>
  <conditionalFormatting sqref="C581:D581">
    <cfRule type="containsText" dxfId="3967" priority="4439" operator="containsText" text="NUEVO">
      <formula>NOT(ISERROR(SEARCH("NUEVO",C581)))</formula>
    </cfRule>
  </conditionalFormatting>
  <conditionalFormatting sqref="E581">
    <cfRule type="containsText" dxfId="3966" priority="4438" operator="containsText" text="NUEVO">
      <formula>NOT(ISERROR(SEARCH("NUEVO",E581)))</formula>
    </cfRule>
  </conditionalFormatting>
  <conditionalFormatting sqref="E581">
    <cfRule type="containsText" dxfId="3965" priority="4437" operator="containsText" text="Sin Información">
      <formula>NOT(ISERROR(SEARCH("Sin Información",E581)))</formula>
    </cfRule>
  </conditionalFormatting>
  <conditionalFormatting sqref="C582:D582">
    <cfRule type="containsText" dxfId="3964" priority="4436" operator="containsText" text="NO+$D$4:$D$10">
      <formula>NOT(ISERROR(SEARCH("NO+$D$4:$D$10",C582)))</formula>
    </cfRule>
  </conditionalFormatting>
  <conditionalFormatting sqref="C582:D582">
    <cfRule type="containsText" dxfId="3963" priority="4434" operator="containsText" text="SI">
      <formula>NOT(ISERROR(SEARCH("SI",C582)))</formula>
    </cfRule>
    <cfRule type="containsText" dxfId="3962" priority="4435" operator="containsText" text="NO">
      <formula>NOT(ISERROR(SEARCH("NO",C582)))</formula>
    </cfRule>
  </conditionalFormatting>
  <conditionalFormatting sqref="C582:D582">
    <cfRule type="containsText" dxfId="3961" priority="4433" operator="containsText" text="NUEVO">
      <formula>NOT(ISERROR(SEARCH("NUEVO",C582)))</formula>
    </cfRule>
  </conditionalFormatting>
  <conditionalFormatting sqref="E582">
    <cfRule type="containsText" dxfId="3960" priority="4431" operator="containsText" text="Sin Información">
      <formula>NOT(ISERROR(SEARCH("Sin Información",E582)))</formula>
    </cfRule>
  </conditionalFormatting>
  <conditionalFormatting sqref="E582">
    <cfRule type="containsText" dxfId="3959" priority="4432" operator="containsText" text="NUEVO">
      <formula>NOT(ISERROR(SEARCH("NUEVO",E582)))</formula>
    </cfRule>
  </conditionalFormatting>
  <conditionalFormatting sqref="C583:D585">
    <cfRule type="containsText" dxfId="3958" priority="4430" operator="containsText" text="NO+$D$4:$D$10">
      <formula>NOT(ISERROR(SEARCH("NO+$D$4:$D$10",C583)))</formula>
    </cfRule>
  </conditionalFormatting>
  <conditionalFormatting sqref="C583:D585">
    <cfRule type="containsText" dxfId="3957" priority="4428" operator="containsText" text="SI">
      <formula>NOT(ISERROR(SEARCH("SI",C583)))</formula>
    </cfRule>
    <cfRule type="containsText" dxfId="3956" priority="4429" operator="containsText" text="NO">
      <formula>NOT(ISERROR(SEARCH("NO",C583)))</formula>
    </cfRule>
  </conditionalFormatting>
  <conditionalFormatting sqref="C583:D585">
    <cfRule type="containsText" dxfId="3955" priority="4427" operator="containsText" text="NUEVO">
      <formula>NOT(ISERROR(SEARCH("NUEVO",C583)))</formula>
    </cfRule>
  </conditionalFormatting>
  <conditionalFormatting sqref="E583:E584">
    <cfRule type="containsText" dxfId="3954" priority="4425" operator="containsText" text="Sin Información">
      <formula>NOT(ISERROR(SEARCH("Sin Información",E583)))</formula>
    </cfRule>
  </conditionalFormatting>
  <conditionalFormatting sqref="E583:E584">
    <cfRule type="containsText" dxfId="3953" priority="4426" operator="containsText" text="NUEVO">
      <formula>NOT(ISERROR(SEARCH("NUEVO",E583)))</formula>
    </cfRule>
  </conditionalFormatting>
  <conditionalFormatting sqref="E585">
    <cfRule type="containsText" dxfId="3952" priority="4423" operator="containsText" text="Sin Información">
      <formula>NOT(ISERROR(SEARCH("Sin Información",E585)))</formula>
    </cfRule>
  </conditionalFormatting>
  <conditionalFormatting sqref="E585">
    <cfRule type="containsText" dxfId="3951" priority="4424" operator="containsText" text="NUEVO">
      <formula>NOT(ISERROR(SEARCH("NUEVO",E585)))</formula>
    </cfRule>
  </conditionalFormatting>
  <conditionalFormatting sqref="C586:D586">
    <cfRule type="containsText" dxfId="3950" priority="4422" operator="containsText" text="NO+$D$4:$D$10">
      <formula>NOT(ISERROR(SEARCH("NO+$D$4:$D$10",C586)))</formula>
    </cfRule>
  </conditionalFormatting>
  <conditionalFormatting sqref="C586:D586">
    <cfRule type="containsText" dxfId="3949" priority="4420" operator="containsText" text="SI">
      <formula>NOT(ISERROR(SEARCH("SI",C586)))</formula>
    </cfRule>
    <cfRule type="containsText" dxfId="3948" priority="4421" operator="containsText" text="NO">
      <formula>NOT(ISERROR(SEARCH("NO",C586)))</formula>
    </cfRule>
  </conditionalFormatting>
  <conditionalFormatting sqref="C586:D586">
    <cfRule type="containsText" dxfId="3947" priority="4419" operator="containsText" text="NUEVO">
      <formula>NOT(ISERROR(SEARCH("NUEVO",C586)))</formula>
    </cfRule>
  </conditionalFormatting>
  <conditionalFormatting sqref="E586">
    <cfRule type="containsText" dxfId="3946" priority="4418" operator="containsText" text="NUEVO">
      <formula>NOT(ISERROR(SEARCH("NUEVO",E586)))</formula>
    </cfRule>
  </conditionalFormatting>
  <conditionalFormatting sqref="E586">
    <cfRule type="containsText" dxfId="3945" priority="4417" operator="containsText" text="Sin Información">
      <formula>NOT(ISERROR(SEARCH("Sin Información",E586)))</formula>
    </cfRule>
  </conditionalFormatting>
  <conditionalFormatting sqref="C587:D587">
    <cfRule type="containsText" dxfId="3944" priority="4416" operator="containsText" text="NO+$D$4:$D$10">
      <formula>NOT(ISERROR(SEARCH("NO+$D$4:$D$10",C587)))</formula>
    </cfRule>
  </conditionalFormatting>
  <conditionalFormatting sqref="C587:D587">
    <cfRule type="containsText" dxfId="3943" priority="4414" operator="containsText" text="SI">
      <formula>NOT(ISERROR(SEARCH("SI",C587)))</formula>
    </cfRule>
    <cfRule type="containsText" dxfId="3942" priority="4415" operator="containsText" text="NO">
      <formula>NOT(ISERROR(SEARCH("NO",C587)))</formula>
    </cfRule>
  </conditionalFormatting>
  <conditionalFormatting sqref="C587:D587">
    <cfRule type="containsText" dxfId="3941" priority="4413" operator="containsText" text="NUEVO">
      <formula>NOT(ISERROR(SEARCH("NUEVO",C587)))</formula>
    </cfRule>
  </conditionalFormatting>
  <conditionalFormatting sqref="E587">
    <cfRule type="containsText" dxfId="3940" priority="4412" operator="containsText" text="NUEVO">
      <formula>NOT(ISERROR(SEARCH("NUEVO",E587)))</formula>
    </cfRule>
  </conditionalFormatting>
  <conditionalFormatting sqref="E587">
    <cfRule type="containsText" dxfId="3939" priority="4411" operator="containsText" text="Sin Información">
      <formula>NOT(ISERROR(SEARCH("Sin Información",E587)))</formula>
    </cfRule>
  </conditionalFormatting>
  <conditionalFormatting sqref="C588:D589">
    <cfRule type="containsText" dxfId="3938" priority="4404" operator="containsText" text="NO+$D$4:$D$10">
      <formula>NOT(ISERROR(SEARCH("NO+$D$4:$D$10",C588)))</formula>
    </cfRule>
  </conditionalFormatting>
  <conditionalFormatting sqref="C588:D589">
    <cfRule type="containsText" dxfId="3937" priority="4402" operator="containsText" text="SI">
      <formula>NOT(ISERROR(SEARCH("SI",C588)))</formula>
    </cfRule>
    <cfRule type="containsText" dxfId="3936" priority="4403" operator="containsText" text="NO">
      <formula>NOT(ISERROR(SEARCH("NO",C588)))</formula>
    </cfRule>
  </conditionalFormatting>
  <conditionalFormatting sqref="C588:E589">
    <cfRule type="containsText" dxfId="3935" priority="4401" operator="containsText" text="NUEVO">
      <formula>NOT(ISERROR(SEARCH("NUEVO",C588)))</formula>
    </cfRule>
  </conditionalFormatting>
  <conditionalFormatting sqref="E588:E589">
    <cfRule type="containsText" dxfId="3934" priority="4400" operator="containsText" text="Sin Información">
      <formula>NOT(ISERROR(SEARCH("Sin Información",E588)))</formula>
    </cfRule>
  </conditionalFormatting>
  <conditionalFormatting sqref="C590:D590">
    <cfRule type="containsText" dxfId="3933" priority="4399" operator="containsText" text="NO+$D$4:$D$10">
      <formula>NOT(ISERROR(SEARCH("NO+$D$4:$D$10",C590)))</formula>
    </cfRule>
  </conditionalFormatting>
  <conditionalFormatting sqref="C590:D590">
    <cfRule type="containsText" dxfId="3932" priority="4397" operator="containsText" text="SI">
      <formula>NOT(ISERROR(SEARCH("SI",C590)))</formula>
    </cfRule>
    <cfRule type="containsText" dxfId="3931" priority="4398" operator="containsText" text="NO">
      <formula>NOT(ISERROR(SEARCH("NO",C590)))</formula>
    </cfRule>
  </conditionalFormatting>
  <conditionalFormatting sqref="C590:D590">
    <cfRule type="containsText" dxfId="3930" priority="4396" operator="containsText" text="NUEVO">
      <formula>NOT(ISERROR(SEARCH("NUEVO",C590)))</formula>
    </cfRule>
  </conditionalFormatting>
  <conditionalFormatting sqref="E590">
    <cfRule type="containsText" dxfId="3929" priority="4395" operator="containsText" text="NUEVO">
      <formula>NOT(ISERROR(SEARCH("NUEVO",E590)))</formula>
    </cfRule>
  </conditionalFormatting>
  <conditionalFormatting sqref="E590">
    <cfRule type="containsText" dxfId="3928" priority="4394" operator="containsText" text="Sin Información">
      <formula>NOT(ISERROR(SEARCH("Sin Información",E590)))</formula>
    </cfRule>
  </conditionalFormatting>
  <conditionalFormatting sqref="C591:D591">
    <cfRule type="containsText" dxfId="3927" priority="4393" operator="containsText" text="NO+$D$4:$D$10">
      <formula>NOT(ISERROR(SEARCH("NO+$D$4:$D$10",C591)))</formula>
    </cfRule>
  </conditionalFormatting>
  <conditionalFormatting sqref="C591:D591">
    <cfRule type="containsText" dxfId="3926" priority="4391" operator="containsText" text="SI">
      <formula>NOT(ISERROR(SEARCH("SI",C591)))</formula>
    </cfRule>
    <cfRule type="containsText" dxfId="3925" priority="4392" operator="containsText" text="NO">
      <formula>NOT(ISERROR(SEARCH("NO",C591)))</formula>
    </cfRule>
  </conditionalFormatting>
  <conditionalFormatting sqref="C591:D591">
    <cfRule type="containsText" dxfId="3924" priority="4390" operator="containsText" text="NUEVO">
      <formula>NOT(ISERROR(SEARCH("NUEVO",C591)))</formula>
    </cfRule>
  </conditionalFormatting>
  <conditionalFormatting sqref="E591">
    <cfRule type="containsText" dxfId="3923" priority="4389" operator="containsText" text="Sin información">
      <formula>NOT(ISERROR(SEARCH("Sin información",E591)))</formula>
    </cfRule>
  </conditionalFormatting>
  <conditionalFormatting sqref="E591">
    <cfRule type="containsText" dxfId="3922" priority="4388" operator="containsText" text="NUEVO">
      <formula>NOT(ISERROR(SEARCH("NUEVO",E591)))</formula>
    </cfRule>
  </conditionalFormatting>
  <conditionalFormatting sqref="E591">
    <cfRule type="containsText" dxfId="3921" priority="4387" operator="containsText" text="Sin Información">
      <formula>NOT(ISERROR(SEARCH("Sin Información",E591)))</formula>
    </cfRule>
  </conditionalFormatting>
  <conditionalFormatting sqref="C592:D592">
    <cfRule type="containsText" dxfId="3920" priority="4386" operator="containsText" text="NO+$D$4:$D$10">
      <formula>NOT(ISERROR(SEARCH("NO+$D$4:$D$10",C592)))</formula>
    </cfRule>
  </conditionalFormatting>
  <conditionalFormatting sqref="C592:D592">
    <cfRule type="containsText" dxfId="3919" priority="4384" operator="containsText" text="SI">
      <formula>NOT(ISERROR(SEARCH("SI",C592)))</formula>
    </cfRule>
    <cfRule type="containsText" dxfId="3918" priority="4385" operator="containsText" text="NO">
      <formula>NOT(ISERROR(SEARCH("NO",C592)))</formula>
    </cfRule>
  </conditionalFormatting>
  <conditionalFormatting sqref="C592:D592">
    <cfRule type="containsText" dxfId="3917" priority="4383" operator="containsText" text="NUEVO">
      <formula>NOT(ISERROR(SEARCH("NUEVO",C592)))</formula>
    </cfRule>
  </conditionalFormatting>
  <conditionalFormatting sqref="E592">
    <cfRule type="containsText" dxfId="3916" priority="4381" operator="containsText" text="Sin Información">
      <formula>NOT(ISERROR(SEARCH("Sin Información",E592)))</formula>
    </cfRule>
  </conditionalFormatting>
  <conditionalFormatting sqref="E592">
    <cfRule type="containsText" dxfId="3915" priority="4382" operator="containsText" text="NUEVO">
      <formula>NOT(ISERROR(SEARCH("NUEVO",E592)))</formula>
    </cfRule>
  </conditionalFormatting>
  <conditionalFormatting sqref="C593:D593">
    <cfRule type="containsText" dxfId="3914" priority="4380" operator="containsText" text="NO+$D$4:$D$10">
      <formula>NOT(ISERROR(SEARCH("NO+$D$4:$D$10",C593)))</formula>
    </cfRule>
  </conditionalFormatting>
  <conditionalFormatting sqref="C593:D593">
    <cfRule type="containsText" dxfId="3913" priority="4378" operator="containsText" text="SI">
      <formula>NOT(ISERROR(SEARCH("SI",C593)))</formula>
    </cfRule>
    <cfRule type="containsText" dxfId="3912" priority="4379" operator="containsText" text="NO">
      <formula>NOT(ISERROR(SEARCH("NO",C593)))</formula>
    </cfRule>
  </conditionalFormatting>
  <conditionalFormatting sqref="C593:E593">
    <cfRule type="containsText" dxfId="3911" priority="4377" operator="containsText" text="NUEVO">
      <formula>NOT(ISERROR(SEARCH("NUEVO",C593)))</formula>
    </cfRule>
  </conditionalFormatting>
  <conditionalFormatting sqref="E593">
    <cfRule type="containsText" dxfId="3910" priority="4376" operator="containsText" text="Sin Información">
      <formula>NOT(ISERROR(SEARCH("Sin Información",E593)))</formula>
    </cfRule>
  </conditionalFormatting>
  <conditionalFormatting sqref="C594:D595">
    <cfRule type="containsText" dxfId="3909" priority="4375" operator="containsText" text="NO+$D$4:$D$10">
      <formula>NOT(ISERROR(SEARCH("NO+$D$4:$D$10",C594)))</formula>
    </cfRule>
  </conditionalFormatting>
  <conditionalFormatting sqref="C594:D595">
    <cfRule type="containsText" dxfId="3908" priority="4373" operator="containsText" text="SI">
      <formula>NOT(ISERROR(SEARCH("SI",C594)))</formula>
    </cfRule>
    <cfRule type="containsText" dxfId="3907" priority="4374" operator="containsText" text="NO">
      <formula>NOT(ISERROR(SEARCH("NO",C594)))</formula>
    </cfRule>
  </conditionalFormatting>
  <conditionalFormatting sqref="E594 C594:D595">
    <cfRule type="containsText" dxfId="3906" priority="4372" operator="containsText" text="NUEVO">
      <formula>NOT(ISERROR(SEARCH("NUEVO",C594)))</formula>
    </cfRule>
  </conditionalFormatting>
  <conditionalFormatting sqref="E594">
    <cfRule type="containsText" dxfId="3905" priority="4371" operator="containsText" text="Sin Información">
      <formula>NOT(ISERROR(SEARCH("Sin Información",E594)))</formula>
    </cfRule>
  </conditionalFormatting>
  <conditionalFormatting sqref="E595">
    <cfRule type="containsText" dxfId="3904" priority="4370" operator="containsText" text="NUEVO">
      <formula>NOT(ISERROR(SEARCH("NUEVO",E595)))</formula>
    </cfRule>
  </conditionalFormatting>
  <conditionalFormatting sqref="E595">
    <cfRule type="containsText" dxfId="3903" priority="4369" operator="containsText" text="Sin Información">
      <formula>NOT(ISERROR(SEARCH("Sin Información",E595)))</formula>
    </cfRule>
  </conditionalFormatting>
  <conditionalFormatting sqref="C596:D596">
    <cfRule type="containsText" dxfId="3902" priority="4368" operator="containsText" text="NO+$D$4:$D$10">
      <formula>NOT(ISERROR(SEARCH("NO+$D$4:$D$10",C596)))</formula>
    </cfRule>
  </conditionalFormatting>
  <conditionalFormatting sqref="C596:D596">
    <cfRule type="containsText" dxfId="3901" priority="4366" operator="containsText" text="SI">
      <formula>NOT(ISERROR(SEARCH("SI",C596)))</formula>
    </cfRule>
    <cfRule type="containsText" dxfId="3900" priority="4367" operator="containsText" text="NO">
      <formula>NOT(ISERROR(SEARCH("NO",C596)))</formula>
    </cfRule>
  </conditionalFormatting>
  <conditionalFormatting sqref="C596:D596">
    <cfRule type="containsText" dxfId="3899" priority="4365" operator="containsText" text="NUEVO">
      <formula>NOT(ISERROR(SEARCH("NUEVO",C596)))</formula>
    </cfRule>
  </conditionalFormatting>
  <conditionalFormatting sqref="E596">
    <cfRule type="containsText" dxfId="3898" priority="4364" operator="containsText" text="NUEVO">
      <formula>NOT(ISERROR(SEARCH("NUEVO",E596)))</formula>
    </cfRule>
  </conditionalFormatting>
  <conditionalFormatting sqref="E596">
    <cfRule type="containsText" dxfId="3897" priority="4363" operator="containsText" text="Sin Información">
      <formula>NOT(ISERROR(SEARCH("Sin Información",E596)))</formula>
    </cfRule>
  </conditionalFormatting>
  <conditionalFormatting sqref="C597:D597">
    <cfRule type="containsText" dxfId="3896" priority="4362" operator="containsText" text="NO+$D$4:$D$10">
      <formula>NOT(ISERROR(SEARCH("NO+$D$4:$D$10",C597)))</formula>
    </cfRule>
  </conditionalFormatting>
  <conditionalFormatting sqref="C597:D597">
    <cfRule type="containsText" dxfId="3895" priority="4360" operator="containsText" text="SI">
      <formula>NOT(ISERROR(SEARCH("SI",C597)))</formula>
    </cfRule>
    <cfRule type="containsText" dxfId="3894" priority="4361" operator="containsText" text="NO">
      <formula>NOT(ISERROR(SEARCH("NO",C597)))</formula>
    </cfRule>
  </conditionalFormatting>
  <conditionalFormatting sqref="C597:D597">
    <cfRule type="containsText" dxfId="3893" priority="4359" operator="containsText" text="NUEVO">
      <formula>NOT(ISERROR(SEARCH("NUEVO",C597)))</formula>
    </cfRule>
  </conditionalFormatting>
  <conditionalFormatting sqref="E597">
    <cfRule type="containsText" dxfId="3892" priority="4358" operator="containsText" text="NUEVO">
      <formula>NOT(ISERROR(SEARCH("NUEVO",E597)))</formula>
    </cfRule>
  </conditionalFormatting>
  <conditionalFormatting sqref="E597">
    <cfRule type="containsText" dxfId="3891" priority="4357" operator="containsText" text="Sin Información">
      <formula>NOT(ISERROR(SEARCH("Sin Información",E597)))</formula>
    </cfRule>
  </conditionalFormatting>
  <conditionalFormatting sqref="C598:D598">
    <cfRule type="containsText" dxfId="3890" priority="4356" operator="containsText" text="NO+$D$4:$D$10">
      <formula>NOT(ISERROR(SEARCH("NO+$D$4:$D$10",C598)))</formula>
    </cfRule>
  </conditionalFormatting>
  <conditionalFormatting sqref="C598:D598">
    <cfRule type="containsText" dxfId="3889" priority="4354" operator="containsText" text="SI">
      <formula>NOT(ISERROR(SEARCH("SI",C598)))</formula>
    </cfRule>
    <cfRule type="containsText" dxfId="3888" priority="4355" operator="containsText" text="NO">
      <formula>NOT(ISERROR(SEARCH("NO",C598)))</formula>
    </cfRule>
  </conditionalFormatting>
  <conditionalFormatting sqref="C598:D598">
    <cfRule type="containsText" dxfId="3887" priority="4353" operator="containsText" text="NUEVO">
      <formula>NOT(ISERROR(SEARCH("NUEVO",C598)))</formula>
    </cfRule>
  </conditionalFormatting>
  <conditionalFormatting sqref="E598">
    <cfRule type="containsText" dxfId="3886" priority="4352" operator="containsText" text="Sin información">
      <formula>NOT(ISERROR(SEARCH("Sin información",E598)))</formula>
    </cfRule>
  </conditionalFormatting>
  <conditionalFormatting sqref="E598">
    <cfRule type="containsText" dxfId="3885" priority="4351" operator="containsText" text="NUEVO">
      <formula>NOT(ISERROR(SEARCH("NUEVO",E598)))</formula>
    </cfRule>
  </conditionalFormatting>
  <conditionalFormatting sqref="C599:D599">
    <cfRule type="containsText" dxfId="3884" priority="4350" operator="containsText" text="NO+$D$4:$D$10">
      <formula>NOT(ISERROR(SEARCH("NO+$D$4:$D$10",C599)))</formula>
    </cfRule>
  </conditionalFormatting>
  <conditionalFormatting sqref="C599:D599">
    <cfRule type="containsText" dxfId="3883" priority="4348" operator="containsText" text="SI">
      <formula>NOT(ISERROR(SEARCH("SI",C599)))</formula>
    </cfRule>
    <cfRule type="containsText" dxfId="3882" priority="4349" operator="containsText" text="NO">
      <formula>NOT(ISERROR(SEARCH("NO",C599)))</formula>
    </cfRule>
  </conditionalFormatting>
  <conditionalFormatting sqref="C599:D599">
    <cfRule type="containsText" dxfId="3881" priority="4347" operator="containsText" text="NUEVO">
      <formula>NOT(ISERROR(SEARCH("NUEVO",C599)))</formula>
    </cfRule>
  </conditionalFormatting>
  <conditionalFormatting sqref="E599">
    <cfRule type="containsText" dxfId="3880" priority="4346" operator="containsText" text="NUEVO">
      <formula>NOT(ISERROR(SEARCH("NUEVO",E599)))</formula>
    </cfRule>
  </conditionalFormatting>
  <conditionalFormatting sqref="E599">
    <cfRule type="containsText" dxfId="3879" priority="4345" operator="containsText" text="Sin Información">
      <formula>NOT(ISERROR(SEARCH("Sin Información",E599)))</formula>
    </cfRule>
  </conditionalFormatting>
  <conditionalFormatting sqref="C600:D601">
    <cfRule type="containsText" dxfId="3878" priority="4344" operator="containsText" text="NO+$D$4:$D$10">
      <formula>NOT(ISERROR(SEARCH("NO+$D$4:$D$10",C600)))</formula>
    </cfRule>
  </conditionalFormatting>
  <conditionalFormatting sqref="C600:D601">
    <cfRule type="containsText" dxfId="3877" priority="4342" operator="containsText" text="SI">
      <formula>NOT(ISERROR(SEARCH("SI",C600)))</formula>
    </cfRule>
    <cfRule type="containsText" dxfId="3876" priority="4343" operator="containsText" text="NO">
      <formula>NOT(ISERROR(SEARCH("NO",C600)))</formula>
    </cfRule>
  </conditionalFormatting>
  <conditionalFormatting sqref="C600:D601">
    <cfRule type="containsText" dxfId="3875" priority="4341" operator="containsText" text="NUEVO">
      <formula>NOT(ISERROR(SEARCH("NUEVO",C600)))</formula>
    </cfRule>
  </conditionalFormatting>
  <conditionalFormatting sqref="E600">
    <cfRule type="containsText" dxfId="3874" priority="4340" operator="containsText" text="NUEVO">
      <formula>NOT(ISERROR(SEARCH("NUEVO",E600)))</formula>
    </cfRule>
  </conditionalFormatting>
  <conditionalFormatting sqref="E600">
    <cfRule type="containsText" dxfId="3873" priority="4339" operator="containsText" text="Sin Información">
      <formula>NOT(ISERROR(SEARCH("Sin Información",E600)))</formula>
    </cfRule>
  </conditionalFormatting>
  <conditionalFormatting sqref="E601">
    <cfRule type="containsText" dxfId="3872" priority="4338" operator="containsText" text="NUEVO">
      <formula>NOT(ISERROR(SEARCH("NUEVO",E601)))</formula>
    </cfRule>
  </conditionalFormatting>
  <conditionalFormatting sqref="E601">
    <cfRule type="containsText" dxfId="3871" priority="4337" operator="containsText" text="Sin Información">
      <formula>NOT(ISERROR(SEARCH("Sin Información",E601)))</formula>
    </cfRule>
  </conditionalFormatting>
  <conditionalFormatting sqref="C602:D603">
    <cfRule type="containsText" dxfId="3870" priority="4336" operator="containsText" text="NO+$D$4:$D$10">
      <formula>NOT(ISERROR(SEARCH("NO+$D$4:$D$10",C602)))</formula>
    </cfRule>
  </conditionalFormatting>
  <conditionalFormatting sqref="C602:D603">
    <cfRule type="containsText" dxfId="3869" priority="4334" operator="containsText" text="SI">
      <formula>NOT(ISERROR(SEARCH("SI",C602)))</formula>
    </cfRule>
    <cfRule type="containsText" dxfId="3868" priority="4335" operator="containsText" text="NO">
      <formula>NOT(ISERROR(SEARCH("NO",C602)))</formula>
    </cfRule>
  </conditionalFormatting>
  <conditionalFormatting sqref="C602:D603">
    <cfRule type="containsText" dxfId="3867" priority="4333" operator="containsText" text="NUEVO">
      <formula>NOT(ISERROR(SEARCH("NUEVO",C602)))</formula>
    </cfRule>
  </conditionalFormatting>
  <conditionalFormatting sqref="E603">
    <cfRule type="containsText" dxfId="3866" priority="4332" operator="containsText" text="NUEVO">
      <formula>NOT(ISERROR(SEARCH("NUEVO",E603)))</formula>
    </cfRule>
  </conditionalFormatting>
  <conditionalFormatting sqref="E603">
    <cfRule type="containsText" dxfId="3865" priority="4331" operator="containsText" text="Sin Información">
      <formula>NOT(ISERROR(SEARCH("Sin Información",E603)))</formula>
    </cfRule>
  </conditionalFormatting>
  <conditionalFormatting sqref="E602">
    <cfRule type="containsText" dxfId="3864" priority="4330" operator="containsText" text="NUEVO">
      <formula>NOT(ISERROR(SEARCH("NUEVO",E602)))</formula>
    </cfRule>
  </conditionalFormatting>
  <conditionalFormatting sqref="E602">
    <cfRule type="containsText" dxfId="3863" priority="4329" operator="containsText" text="Sin Información">
      <formula>NOT(ISERROR(SEARCH("Sin Información",E602)))</formula>
    </cfRule>
  </conditionalFormatting>
  <conditionalFormatting sqref="C604:D604">
    <cfRule type="containsText" dxfId="3862" priority="4328" operator="containsText" text="NO+$D$4:$D$10">
      <formula>NOT(ISERROR(SEARCH("NO+$D$4:$D$10",C604)))</formula>
    </cfRule>
  </conditionalFormatting>
  <conditionalFormatting sqref="C604:D604">
    <cfRule type="containsText" dxfId="3861" priority="4326" operator="containsText" text="SI">
      <formula>NOT(ISERROR(SEARCH("SI",C604)))</formula>
    </cfRule>
    <cfRule type="containsText" dxfId="3860" priority="4327" operator="containsText" text="NO">
      <formula>NOT(ISERROR(SEARCH("NO",C604)))</formula>
    </cfRule>
  </conditionalFormatting>
  <conditionalFormatting sqref="C604:D604">
    <cfRule type="containsText" dxfId="3859" priority="4325" operator="containsText" text="NUEVO">
      <formula>NOT(ISERROR(SEARCH("NUEVO",C604)))</formula>
    </cfRule>
  </conditionalFormatting>
  <conditionalFormatting sqref="E604">
    <cfRule type="containsText" dxfId="3858" priority="4323" operator="containsText" text="Sin Información">
      <formula>NOT(ISERROR(SEARCH("Sin Información",E604)))</formula>
    </cfRule>
  </conditionalFormatting>
  <conditionalFormatting sqref="E604">
    <cfRule type="containsText" dxfId="3857" priority="4324" operator="containsText" text="NUEVO">
      <formula>NOT(ISERROR(SEARCH("NUEVO",E604)))</formula>
    </cfRule>
  </conditionalFormatting>
  <conditionalFormatting sqref="C605:D605">
    <cfRule type="containsText" dxfId="3856" priority="4322" operator="containsText" text="NO+$D$4:$D$10">
      <formula>NOT(ISERROR(SEARCH("NO+$D$4:$D$10",C605)))</formula>
    </cfRule>
  </conditionalFormatting>
  <conditionalFormatting sqref="C605:D605">
    <cfRule type="containsText" dxfId="3855" priority="4320" operator="containsText" text="SI">
      <formula>NOT(ISERROR(SEARCH("SI",C605)))</formula>
    </cfRule>
    <cfRule type="containsText" dxfId="3854" priority="4321" operator="containsText" text="NO">
      <formula>NOT(ISERROR(SEARCH("NO",C605)))</formula>
    </cfRule>
  </conditionalFormatting>
  <conditionalFormatting sqref="C605:D605">
    <cfRule type="containsText" dxfId="3853" priority="4319" operator="containsText" text="NUEVO">
      <formula>NOT(ISERROR(SEARCH("NUEVO",C605)))</formula>
    </cfRule>
  </conditionalFormatting>
  <conditionalFormatting sqref="E605">
    <cfRule type="containsText" dxfId="3852" priority="4317" operator="containsText" text="Sin Información">
      <formula>NOT(ISERROR(SEARCH("Sin Información",E605)))</formula>
    </cfRule>
  </conditionalFormatting>
  <conditionalFormatting sqref="E605">
    <cfRule type="containsText" dxfId="3851" priority="4318" operator="containsText" text="NUEVO">
      <formula>NOT(ISERROR(SEARCH("NUEVO",E605)))</formula>
    </cfRule>
  </conditionalFormatting>
  <conditionalFormatting sqref="C606:D607">
    <cfRule type="containsText" dxfId="3850" priority="4316" operator="containsText" text="NO+$D$4:$D$10">
      <formula>NOT(ISERROR(SEARCH("NO+$D$4:$D$10",C606)))</formula>
    </cfRule>
  </conditionalFormatting>
  <conditionalFormatting sqref="C606:D607">
    <cfRule type="containsText" dxfId="3849" priority="4314" operator="containsText" text="SI">
      <formula>NOT(ISERROR(SEARCH("SI",C606)))</formula>
    </cfRule>
    <cfRule type="containsText" dxfId="3848" priority="4315" operator="containsText" text="NO">
      <formula>NOT(ISERROR(SEARCH("NO",C606)))</formula>
    </cfRule>
  </conditionalFormatting>
  <conditionalFormatting sqref="E607 C606:D607">
    <cfRule type="containsText" dxfId="3847" priority="4313" operator="containsText" text="NUEVO">
      <formula>NOT(ISERROR(SEARCH("NUEVO",C606)))</formula>
    </cfRule>
  </conditionalFormatting>
  <conditionalFormatting sqref="E607">
    <cfRule type="containsText" dxfId="3846" priority="4312" operator="containsText" text="Sin Información">
      <formula>NOT(ISERROR(SEARCH("Sin Información",E607)))</formula>
    </cfRule>
  </conditionalFormatting>
  <conditionalFormatting sqref="E606">
    <cfRule type="containsText" dxfId="3845" priority="4310" operator="containsText" text="Sin Información">
      <formula>NOT(ISERROR(SEARCH("Sin Información",E606)))</formula>
    </cfRule>
  </conditionalFormatting>
  <conditionalFormatting sqref="E606">
    <cfRule type="containsText" dxfId="3844" priority="4311" operator="containsText" text="NUEVO">
      <formula>NOT(ISERROR(SEARCH("NUEVO",E606)))</formula>
    </cfRule>
  </conditionalFormatting>
  <conditionalFormatting sqref="C610:D612">
    <cfRule type="containsText" dxfId="3843" priority="4304" operator="containsText" text="NO+$D$4:$D$10">
      <formula>NOT(ISERROR(SEARCH("NO+$D$4:$D$10",C610)))</formula>
    </cfRule>
  </conditionalFormatting>
  <conditionalFormatting sqref="C610:D612">
    <cfRule type="containsText" dxfId="3842" priority="4302" operator="containsText" text="SI">
      <formula>NOT(ISERROR(SEARCH("SI",C610)))</formula>
    </cfRule>
    <cfRule type="containsText" dxfId="3841" priority="4303" operator="containsText" text="NO">
      <formula>NOT(ISERROR(SEARCH("NO",C610)))</formula>
    </cfRule>
  </conditionalFormatting>
  <conditionalFormatting sqref="C610:D612 E610:E611">
    <cfRule type="containsText" dxfId="3840" priority="4301" operator="containsText" text="NUEVO">
      <formula>NOT(ISERROR(SEARCH("NUEVO",C610)))</formula>
    </cfRule>
  </conditionalFormatting>
  <conditionalFormatting sqref="E610:E611">
    <cfRule type="containsText" dxfId="3839" priority="4300" operator="containsText" text="Sin Información">
      <formula>NOT(ISERROR(SEARCH("Sin Información",E610)))</formula>
    </cfRule>
  </conditionalFormatting>
  <conditionalFormatting sqref="E612">
    <cfRule type="containsText" dxfId="3838" priority="4298" operator="containsText" text="Sin Información">
      <formula>NOT(ISERROR(SEARCH("Sin Información",E612)))</formula>
    </cfRule>
  </conditionalFormatting>
  <conditionalFormatting sqref="E612">
    <cfRule type="containsText" dxfId="3837" priority="4299" operator="containsText" text="NUEVO">
      <formula>NOT(ISERROR(SEARCH("NUEVO",E612)))</formula>
    </cfRule>
  </conditionalFormatting>
  <conditionalFormatting sqref="C510:D510">
    <cfRule type="containsText" dxfId="3836" priority="4292" operator="containsText" text="NO+$D$4:$D$10">
      <formula>NOT(ISERROR(SEARCH("NO+$D$4:$D$10",C510)))</formula>
    </cfRule>
  </conditionalFormatting>
  <conditionalFormatting sqref="C510:D510">
    <cfRule type="containsText" dxfId="3835" priority="4290" operator="containsText" text="SI">
      <formula>NOT(ISERROR(SEARCH("SI",C510)))</formula>
    </cfRule>
    <cfRule type="containsText" dxfId="3834" priority="4291" operator="containsText" text="NO">
      <formula>NOT(ISERROR(SEARCH("NO",C510)))</formula>
    </cfRule>
  </conditionalFormatting>
  <conditionalFormatting sqref="C510:E510">
    <cfRule type="containsText" dxfId="3833" priority="4289" operator="containsText" text="NUEVO">
      <formula>NOT(ISERROR(SEARCH("NUEVO",C510)))</formula>
    </cfRule>
  </conditionalFormatting>
  <conditionalFormatting sqref="E510">
    <cfRule type="containsText" dxfId="3832" priority="4288" operator="containsText" text="Sin Información">
      <formula>NOT(ISERROR(SEARCH("Sin Información",E510)))</formula>
    </cfRule>
  </conditionalFormatting>
  <conditionalFormatting sqref="C638:D638">
    <cfRule type="containsText" dxfId="3831" priority="4276" operator="containsText" text="NO+$D$4:$D$10">
      <formula>NOT(ISERROR(SEARCH("NO+$D$4:$D$10",C638)))</formula>
    </cfRule>
  </conditionalFormatting>
  <conditionalFormatting sqref="C638:D638">
    <cfRule type="containsText" dxfId="3830" priority="4274" operator="containsText" text="SI">
      <formula>NOT(ISERROR(SEARCH("SI",C638)))</formula>
    </cfRule>
    <cfRule type="containsText" dxfId="3829" priority="4275" operator="containsText" text="NO">
      <formula>NOT(ISERROR(SEARCH("NO",C638)))</formula>
    </cfRule>
  </conditionalFormatting>
  <conditionalFormatting sqref="C638:D638">
    <cfRule type="containsText" dxfId="3828" priority="4273" operator="containsText" text="NUEVO">
      <formula>NOT(ISERROR(SEARCH("NUEVO",C638)))</formula>
    </cfRule>
  </conditionalFormatting>
  <conditionalFormatting sqref="E638">
    <cfRule type="containsText" dxfId="3827" priority="4272" operator="containsText" text="NUEVO">
      <formula>NOT(ISERROR(SEARCH("NUEVO",E638)))</formula>
    </cfRule>
  </conditionalFormatting>
  <conditionalFormatting sqref="E638">
    <cfRule type="containsText" dxfId="3826" priority="4271" operator="containsText" text="Sin Información">
      <formula>NOT(ISERROR(SEARCH("Sin Información",E638)))</formula>
    </cfRule>
  </conditionalFormatting>
  <conditionalFormatting sqref="C639:D640">
    <cfRule type="containsText" dxfId="3825" priority="4270" operator="containsText" text="NO+$D$4:$D$10">
      <formula>NOT(ISERROR(SEARCH("NO+$D$4:$D$10",C639)))</formula>
    </cfRule>
  </conditionalFormatting>
  <conditionalFormatting sqref="C639:D640">
    <cfRule type="containsText" dxfId="3824" priority="4268" operator="containsText" text="SI">
      <formula>NOT(ISERROR(SEARCH("SI",C639)))</formula>
    </cfRule>
    <cfRule type="containsText" dxfId="3823" priority="4269" operator="containsText" text="NO">
      <formula>NOT(ISERROR(SEARCH("NO",C639)))</formula>
    </cfRule>
  </conditionalFormatting>
  <conditionalFormatting sqref="C639:D640">
    <cfRule type="containsText" dxfId="3822" priority="4267" operator="containsText" text="NUEVO">
      <formula>NOT(ISERROR(SEARCH("NUEVO",C639)))</formula>
    </cfRule>
  </conditionalFormatting>
  <conditionalFormatting sqref="E639:E640">
    <cfRule type="containsText" dxfId="3821" priority="4266" operator="containsText" text="NUEVO">
      <formula>NOT(ISERROR(SEARCH("NUEVO",E639)))</formula>
    </cfRule>
  </conditionalFormatting>
  <conditionalFormatting sqref="E639:E640">
    <cfRule type="containsText" dxfId="3820" priority="4265" operator="containsText" text="Sin Información">
      <formula>NOT(ISERROR(SEARCH("Sin Información",E639)))</formula>
    </cfRule>
  </conditionalFormatting>
  <conditionalFormatting sqref="C641:D641">
    <cfRule type="containsText" dxfId="3819" priority="4264" operator="containsText" text="NO+$D$4:$D$10">
      <formula>NOT(ISERROR(SEARCH("NO+$D$4:$D$10",C641)))</formula>
    </cfRule>
  </conditionalFormatting>
  <conditionalFormatting sqref="C641:D641">
    <cfRule type="containsText" dxfId="3818" priority="4262" operator="containsText" text="SI">
      <formula>NOT(ISERROR(SEARCH("SI",C641)))</formula>
    </cfRule>
    <cfRule type="containsText" dxfId="3817" priority="4263" operator="containsText" text="NO">
      <formula>NOT(ISERROR(SEARCH("NO",C641)))</formula>
    </cfRule>
  </conditionalFormatting>
  <conditionalFormatting sqref="C641:D641">
    <cfRule type="containsText" dxfId="3816" priority="4261" operator="containsText" text="NUEVO">
      <formula>NOT(ISERROR(SEARCH("NUEVO",C641)))</formula>
    </cfRule>
  </conditionalFormatting>
  <conditionalFormatting sqref="E641">
    <cfRule type="containsText" dxfId="3815" priority="4260" operator="containsText" text="NUEVO">
      <formula>NOT(ISERROR(SEARCH("NUEVO",E641)))</formula>
    </cfRule>
  </conditionalFormatting>
  <conditionalFormatting sqref="E641">
    <cfRule type="containsText" dxfId="3814" priority="4259" operator="containsText" text="Sin Información">
      <formula>NOT(ISERROR(SEARCH("Sin Información",E641)))</formula>
    </cfRule>
  </conditionalFormatting>
  <conditionalFormatting sqref="C642:D642">
    <cfRule type="containsText" dxfId="3813" priority="4258" operator="containsText" text="NO+$D$4:$D$10">
      <formula>NOT(ISERROR(SEARCH("NO+$D$4:$D$10",C642)))</formula>
    </cfRule>
  </conditionalFormatting>
  <conditionalFormatting sqref="C642:D642">
    <cfRule type="containsText" dxfId="3812" priority="4256" operator="containsText" text="SI">
      <formula>NOT(ISERROR(SEARCH("SI",C642)))</formula>
    </cfRule>
    <cfRule type="containsText" dxfId="3811" priority="4257" operator="containsText" text="NO">
      <formula>NOT(ISERROR(SEARCH("NO",C642)))</formula>
    </cfRule>
  </conditionalFormatting>
  <conditionalFormatting sqref="C642:D642">
    <cfRule type="containsText" dxfId="3810" priority="4255" operator="containsText" text="NUEVO">
      <formula>NOT(ISERROR(SEARCH("NUEVO",C642)))</formula>
    </cfRule>
  </conditionalFormatting>
  <conditionalFormatting sqref="E642">
    <cfRule type="containsText" dxfId="3809" priority="4253" operator="containsText" text="Sin Información">
      <formula>NOT(ISERROR(SEARCH("Sin Información",E642)))</formula>
    </cfRule>
  </conditionalFormatting>
  <conditionalFormatting sqref="E642">
    <cfRule type="containsText" dxfId="3808" priority="4254" operator="containsText" text="NUEVO">
      <formula>NOT(ISERROR(SEARCH("NUEVO",E642)))</formula>
    </cfRule>
  </conditionalFormatting>
  <conditionalFormatting sqref="C643:D643">
    <cfRule type="containsText" dxfId="3807" priority="4252" operator="containsText" text="NO+$D$4:$D$10">
      <formula>NOT(ISERROR(SEARCH("NO+$D$4:$D$10",C643)))</formula>
    </cfRule>
  </conditionalFormatting>
  <conditionalFormatting sqref="C643:D643">
    <cfRule type="containsText" dxfId="3806" priority="4250" operator="containsText" text="SI">
      <formula>NOT(ISERROR(SEARCH("SI",C643)))</formula>
    </cfRule>
    <cfRule type="containsText" dxfId="3805" priority="4251" operator="containsText" text="NO">
      <formula>NOT(ISERROR(SEARCH("NO",C643)))</formula>
    </cfRule>
  </conditionalFormatting>
  <conditionalFormatting sqref="C643:D643">
    <cfRule type="containsText" dxfId="3804" priority="4249" operator="containsText" text="NUEVO">
      <formula>NOT(ISERROR(SEARCH("NUEVO",C643)))</formula>
    </cfRule>
  </conditionalFormatting>
  <conditionalFormatting sqref="E643">
    <cfRule type="containsText" dxfId="3803" priority="4248" operator="containsText" text="NUEVO">
      <formula>NOT(ISERROR(SEARCH("NUEVO",E643)))</formula>
    </cfRule>
  </conditionalFormatting>
  <conditionalFormatting sqref="E643">
    <cfRule type="containsText" dxfId="3802" priority="4247" operator="containsText" text="Sin Información">
      <formula>NOT(ISERROR(SEARCH("Sin Información",E643)))</formula>
    </cfRule>
  </conditionalFormatting>
  <conditionalFormatting sqref="C644:D644">
    <cfRule type="containsText" dxfId="3801" priority="4246" operator="containsText" text="NO+$D$4:$D$10">
      <formula>NOT(ISERROR(SEARCH("NO+$D$4:$D$10",C644)))</formula>
    </cfRule>
  </conditionalFormatting>
  <conditionalFormatting sqref="C644:D644">
    <cfRule type="containsText" dxfId="3800" priority="4244" operator="containsText" text="SI">
      <formula>NOT(ISERROR(SEARCH("SI",C644)))</formula>
    </cfRule>
    <cfRule type="containsText" dxfId="3799" priority="4245" operator="containsText" text="NO">
      <formula>NOT(ISERROR(SEARCH("NO",C644)))</formula>
    </cfRule>
  </conditionalFormatting>
  <conditionalFormatting sqref="C644:D644">
    <cfRule type="containsText" dxfId="3798" priority="4243" operator="containsText" text="NUEVO">
      <formula>NOT(ISERROR(SEARCH("NUEVO",C644)))</formula>
    </cfRule>
  </conditionalFormatting>
  <conditionalFormatting sqref="E644">
    <cfRule type="containsText" dxfId="3797" priority="4242" operator="containsText" text="NUEVO">
      <formula>NOT(ISERROR(SEARCH("NUEVO",E644)))</formula>
    </cfRule>
  </conditionalFormatting>
  <conditionalFormatting sqref="E644">
    <cfRule type="containsText" dxfId="3796" priority="4241" operator="containsText" text="Sin Información">
      <formula>NOT(ISERROR(SEARCH("Sin Información",E644)))</formula>
    </cfRule>
  </conditionalFormatting>
  <conditionalFormatting sqref="C645:D649">
    <cfRule type="containsText" dxfId="3795" priority="4240" operator="containsText" text="NO+$D$4:$D$10">
      <formula>NOT(ISERROR(SEARCH("NO+$D$4:$D$10",C645)))</formula>
    </cfRule>
  </conditionalFormatting>
  <conditionalFormatting sqref="C645:D649">
    <cfRule type="containsText" dxfId="3794" priority="4238" operator="containsText" text="SI">
      <formula>NOT(ISERROR(SEARCH("SI",C645)))</formula>
    </cfRule>
    <cfRule type="containsText" dxfId="3793" priority="4239" operator="containsText" text="NO">
      <formula>NOT(ISERROR(SEARCH("NO",C645)))</formula>
    </cfRule>
  </conditionalFormatting>
  <conditionalFormatting sqref="C645:D649">
    <cfRule type="containsText" dxfId="3792" priority="4237" operator="containsText" text="NUEVO">
      <formula>NOT(ISERROR(SEARCH("NUEVO",C645)))</formula>
    </cfRule>
  </conditionalFormatting>
  <conditionalFormatting sqref="E645:E648">
    <cfRule type="containsText" dxfId="3791" priority="4236" operator="containsText" text="NUEVO">
      <formula>NOT(ISERROR(SEARCH("NUEVO",E645)))</formula>
    </cfRule>
  </conditionalFormatting>
  <conditionalFormatting sqref="E645:E648">
    <cfRule type="containsText" dxfId="3790" priority="4235" operator="containsText" text="Sin Información">
      <formula>NOT(ISERROR(SEARCH("Sin Información",E645)))</formula>
    </cfRule>
  </conditionalFormatting>
  <conditionalFormatting sqref="E649">
    <cfRule type="containsText" dxfId="3789" priority="4234" operator="containsText" text="NUEVO">
      <formula>NOT(ISERROR(SEARCH("NUEVO",E649)))</formula>
    </cfRule>
  </conditionalFormatting>
  <conditionalFormatting sqref="E649">
    <cfRule type="containsText" dxfId="3788" priority="4233" operator="containsText" text="Sin Información">
      <formula>NOT(ISERROR(SEARCH("Sin Información",E649)))</formula>
    </cfRule>
  </conditionalFormatting>
  <conditionalFormatting sqref="C650:D650">
    <cfRule type="containsText" dxfId="3787" priority="4232" operator="containsText" text="NO+$D$4:$D$10">
      <formula>NOT(ISERROR(SEARCH("NO+$D$4:$D$10",C650)))</formula>
    </cfRule>
  </conditionalFormatting>
  <conditionalFormatting sqref="C650:D650">
    <cfRule type="containsText" dxfId="3786" priority="4230" operator="containsText" text="SI">
      <formula>NOT(ISERROR(SEARCH("SI",C650)))</formula>
    </cfRule>
    <cfRule type="containsText" dxfId="3785" priority="4231" operator="containsText" text="NO">
      <formula>NOT(ISERROR(SEARCH("NO",C650)))</formula>
    </cfRule>
  </conditionalFormatting>
  <conditionalFormatting sqref="C650:D650">
    <cfRule type="containsText" dxfId="3784" priority="4229" operator="containsText" text="NUEVO">
      <formula>NOT(ISERROR(SEARCH("NUEVO",C650)))</formula>
    </cfRule>
  </conditionalFormatting>
  <conditionalFormatting sqref="E650">
    <cfRule type="containsText" dxfId="3783" priority="4228" operator="containsText" text="NUEVO">
      <formula>NOT(ISERROR(SEARCH("NUEVO",E650)))</formula>
    </cfRule>
  </conditionalFormatting>
  <conditionalFormatting sqref="E650">
    <cfRule type="containsText" dxfId="3782" priority="4227" operator="containsText" text="Sin Información">
      <formula>NOT(ISERROR(SEARCH("Sin Información",E650)))</formula>
    </cfRule>
  </conditionalFormatting>
  <conditionalFormatting sqref="C651:D653">
    <cfRule type="containsText" dxfId="3781" priority="4226" operator="containsText" text="NO+$D$4:$D$10">
      <formula>NOT(ISERROR(SEARCH("NO+$D$4:$D$10",C651)))</formula>
    </cfRule>
  </conditionalFormatting>
  <conditionalFormatting sqref="C651:D653">
    <cfRule type="containsText" dxfId="3780" priority="4224" operator="containsText" text="SI">
      <formula>NOT(ISERROR(SEARCH("SI",C651)))</formula>
    </cfRule>
    <cfRule type="containsText" dxfId="3779" priority="4225" operator="containsText" text="NO">
      <formula>NOT(ISERROR(SEARCH("NO",C651)))</formula>
    </cfRule>
  </conditionalFormatting>
  <conditionalFormatting sqref="C651:D653">
    <cfRule type="containsText" dxfId="3778" priority="4223" operator="containsText" text="NUEVO">
      <formula>NOT(ISERROR(SEARCH("NUEVO",C651)))</formula>
    </cfRule>
  </conditionalFormatting>
  <conditionalFormatting sqref="E651:E653">
    <cfRule type="containsText" dxfId="3777" priority="4222" operator="containsText" text="NUEVO">
      <formula>NOT(ISERROR(SEARCH("NUEVO",E651)))</formula>
    </cfRule>
  </conditionalFormatting>
  <conditionalFormatting sqref="E651:E653">
    <cfRule type="containsText" dxfId="3776" priority="4221" operator="containsText" text="Sin Información">
      <formula>NOT(ISERROR(SEARCH("Sin Información",E651)))</formula>
    </cfRule>
  </conditionalFormatting>
  <conditionalFormatting sqref="C654:D654">
    <cfRule type="containsText" dxfId="3775" priority="4214" operator="containsText" text="NO+$D$4:$D$10">
      <formula>NOT(ISERROR(SEARCH("NO+$D$4:$D$10",C654)))</formula>
    </cfRule>
  </conditionalFormatting>
  <conditionalFormatting sqref="C654:D654">
    <cfRule type="containsText" dxfId="3774" priority="4212" operator="containsText" text="SI">
      <formula>NOT(ISERROR(SEARCH("SI",C654)))</formula>
    </cfRule>
    <cfRule type="containsText" dxfId="3773" priority="4213" operator="containsText" text="NO">
      <formula>NOT(ISERROR(SEARCH("NO",C654)))</formula>
    </cfRule>
  </conditionalFormatting>
  <conditionalFormatting sqref="C654:E654">
    <cfRule type="containsText" dxfId="3772" priority="4211" operator="containsText" text="NUEVO">
      <formula>NOT(ISERROR(SEARCH("NUEVO",C654)))</formula>
    </cfRule>
  </conditionalFormatting>
  <conditionalFormatting sqref="E654">
    <cfRule type="containsText" dxfId="3771" priority="4210" operator="containsText" text="Sin Información">
      <formula>NOT(ISERROR(SEARCH("Sin Información",E654)))</formula>
    </cfRule>
  </conditionalFormatting>
  <conditionalFormatting sqref="C655:D655">
    <cfRule type="containsText" dxfId="3770" priority="4188" operator="containsText" text="NO+$D$4:$D$10">
      <formula>NOT(ISERROR(SEARCH("NO+$D$4:$D$10",C655)))</formula>
    </cfRule>
  </conditionalFormatting>
  <conditionalFormatting sqref="C655:D655">
    <cfRule type="containsText" dxfId="3769" priority="4186" operator="containsText" text="SI">
      <formula>NOT(ISERROR(SEARCH("SI",C655)))</formula>
    </cfRule>
    <cfRule type="containsText" dxfId="3768" priority="4187" operator="containsText" text="NO">
      <formula>NOT(ISERROR(SEARCH("NO",C655)))</formula>
    </cfRule>
  </conditionalFormatting>
  <conditionalFormatting sqref="C655:D655">
    <cfRule type="containsText" dxfId="3767" priority="4185" operator="containsText" text="NUEVO">
      <formula>NOT(ISERROR(SEARCH("NUEVO",C655)))</formula>
    </cfRule>
  </conditionalFormatting>
  <conditionalFormatting sqref="E655">
    <cfRule type="containsText" dxfId="3766" priority="4184" operator="containsText" text="NUEVO">
      <formula>NOT(ISERROR(SEARCH("NUEVO",E655)))</formula>
    </cfRule>
  </conditionalFormatting>
  <conditionalFormatting sqref="E655">
    <cfRule type="containsText" dxfId="3765" priority="4183" operator="containsText" text="Sin Información">
      <formula>NOT(ISERROR(SEARCH("Sin Información",E655)))</formula>
    </cfRule>
  </conditionalFormatting>
  <conditionalFormatting sqref="C656:D656">
    <cfRule type="containsText" dxfId="3764" priority="4182" operator="containsText" text="NO+$D$4:$D$10">
      <formula>NOT(ISERROR(SEARCH("NO+$D$4:$D$10",C656)))</formula>
    </cfRule>
  </conditionalFormatting>
  <conditionalFormatting sqref="C656:D656">
    <cfRule type="containsText" dxfId="3763" priority="4180" operator="containsText" text="SI">
      <formula>NOT(ISERROR(SEARCH("SI",C656)))</formula>
    </cfRule>
    <cfRule type="containsText" dxfId="3762" priority="4181" operator="containsText" text="NO">
      <formula>NOT(ISERROR(SEARCH("NO",C656)))</formula>
    </cfRule>
  </conditionalFormatting>
  <conditionalFormatting sqref="C656:D656">
    <cfRule type="containsText" dxfId="3761" priority="4179" operator="containsText" text="NUEVO">
      <formula>NOT(ISERROR(SEARCH("NUEVO",C656)))</formula>
    </cfRule>
  </conditionalFormatting>
  <conditionalFormatting sqref="E656">
    <cfRule type="containsText" dxfId="3760" priority="4177" operator="containsText" text="NUEVO">
      <formula>NOT(ISERROR(SEARCH("NUEVO",E656)))</formula>
    </cfRule>
  </conditionalFormatting>
  <conditionalFormatting sqref="E656">
    <cfRule type="containsText" dxfId="3759" priority="4176" operator="containsText" text="Sin Información">
      <formula>NOT(ISERROR(SEARCH("Sin Información",E656)))</formula>
    </cfRule>
  </conditionalFormatting>
  <conditionalFormatting sqref="C657:D657">
    <cfRule type="containsText" dxfId="3758" priority="4168" operator="containsText" text="NO+$D$4:$D$10">
      <formula>NOT(ISERROR(SEARCH("NO+$D$4:$D$10",C657)))</formula>
    </cfRule>
  </conditionalFormatting>
  <conditionalFormatting sqref="C657:D657">
    <cfRule type="containsText" dxfId="3757" priority="4166" operator="containsText" text="SI">
      <formula>NOT(ISERROR(SEARCH("SI",C657)))</formula>
    </cfRule>
    <cfRule type="containsText" dxfId="3756" priority="4167" operator="containsText" text="NO">
      <formula>NOT(ISERROR(SEARCH("NO",C657)))</formula>
    </cfRule>
  </conditionalFormatting>
  <conditionalFormatting sqref="C657:E657">
    <cfRule type="containsText" dxfId="3755" priority="4165" operator="containsText" text="NUEVO">
      <formula>NOT(ISERROR(SEARCH("NUEVO",C657)))</formula>
    </cfRule>
  </conditionalFormatting>
  <conditionalFormatting sqref="E657">
    <cfRule type="containsText" dxfId="3754" priority="4164" operator="containsText" text="Sin Información">
      <formula>NOT(ISERROR(SEARCH("Sin Información",E657)))</formula>
    </cfRule>
  </conditionalFormatting>
  <conditionalFormatting sqref="C658:D658">
    <cfRule type="containsText" dxfId="3753" priority="4157" operator="containsText" text="NO+$D$4:$D$10">
      <formula>NOT(ISERROR(SEARCH("NO+$D$4:$D$10",C658)))</formula>
    </cfRule>
  </conditionalFormatting>
  <conditionalFormatting sqref="C658:D658">
    <cfRule type="containsText" dxfId="3752" priority="4155" operator="containsText" text="SI">
      <formula>NOT(ISERROR(SEARCH("SI",C658)))</formula>
    </cfRule>
    <cfRule type="containsText" dxfId="3751" priority="4156" operator="containsText" text="NO">
      <formula>NOT(ISERROR(SEARCH("NO",C658)))</formula>
    </cfRule>
  </conditionalFormatting>
  <conditionalFormatting sqref="C658:E658">
    <cfRule type="containsText" dxfId="3750" priority="4154" operator="containsText" text="NUEVO">
      <formula>NOT(ISERROR(SEARCH("NUEVO",C658)))</formula>
    </cfRule>
  </conditionalFormatting>
  <conditionalFormatting sqref="E658">
    <cfRule type="containsText" dxfId="3749" priority="4153" operator="containsText" text="Sin Información">
      <formula>NOT(ISERROR(SEARCH("Sin Información",E658)))</formula>
    </cfRule>
  </conditionalFormatting>
  <conditionalFormatting sqref="C659:D659">
    <cfRule type="containsText" dxfId="3748" priority="4146" operator="containsText" text="NO+$D$4:$D$10">
      <formula>NOT(ISERROR(SEARCH("NO+$D$4:$D$10",C659)))</formula>
    </cfRule>
  </conditionalFormatting>
  <conditionalFormatting sqref="C659:D659">
    <cfRule type="containsText" dxfId="3747" priority="4144" operator="containsText" text="SI">
      <formula>NOT(ISERROR(SEARCH("SI",C659)))</formula>
    </cfRule>
    <cfRule type="containsText" dxfId="3746" priority="4145" operator="containsText" text="NO">
      <formula>NOT(ISERROR(SEARCH("NO",C659)))</formula>
    </cfRule>
  </conditionalFormatting>
  <conditionalFormatting sqref="C659:D659">
    <cfRule type="containsText" dxfId="3745" priority="4143" operator="containsText" text="NUEVO">
      <formula>NOT(ISERROR(SEARCH("NUEVO",C659)))</formula>
    </cfRule>
  </conditionalFormatting>
  <conditionalFormatting sqref="E659">
    <cfRule type="containsText" dxfId="3744" priority="4142" operator="containsText" text="NUEVO">
      <formula>NOT(ISERROR(SEARCH("NUEVO",E659)))</formula>
    </cfRule>
  </conditionalFormatting>
  <conditionalFormatting sqref="E659">
    <cfRule type="containsText" dxfId="3743" priority="4141" operator="containsText" text="Sin Información">
      <formula>NOT(ISERROR(SEARCH("Sin Información",E659)))</formula>
    </cfRule>
  </conditionalFormatting>
  <conditionalFormatting sqref="C660:D661">
    <cfRule type="containsText" dxfId="3742" priority="4140" operator="containsText" text="NO+$D$4:$D$10">
      <formula>NOT(ISERROR(SEARCH("NO+$D$4:$D$10",C660)))</formula>
    </cfRule>
  </conditionalFormatting>
  <conditionalFormatting sqref="C660:D661">
    <cfRule type="containsText" dxfId="3741" priority="4138" operator="containsText" text="SI">
      <formula>NOT(ISERROR(SEARCH("SI",C660)))</formula>
    </cfRule>
    <cfRule type="containsText" dxfId="3740" priority="4139" operator="containsText" text="NO">
      <formula>NOT(ISERROR(SEARCH("NO",C660)))</formula>
    </cfRule>
  </conditionalFormatting>
  <conditionalFormatting sqref="C660:E661">
    <cfRule type="containsText" dxfId="3739" priority="4137" operator="containsText" text="NUEVO">
      <formula>NOT(ISERROR(SEARCH("NUEVO",C660)))</formula>
    </cfRule>
  </conditionalFormatting>
  <conditionalFormatting sqref="E660:E661">
    <cfRule type="containsText" dxfId="3738" priority="4136" operator="containsText" text="Sin Información">
      <formula>NOT(ISERROR(SEARCH("Sin Información",E660)))</formula>
    </cfRule>
  </conditionalFormatting>
  <conditionalFormatting sqref="C662:D662">
    <cfRule type="containsText" dxfId="3737" priority="4135" operator="containsText" text="NO+$D$4:$D$10">
      <formula>NOT(ISERROR(SEARCH("NO+$D$4:$D$10",C662)))</formula>
    </cfRule>
  </conditionalFormatting>
  <conditionalFormatting sqref="C662:D662">
    <cfRule type="containsText" dxfId="3736" priority="4133" operator="containsText" text="SI">
      <formula>NOT(ISERROR(SEARCH("SI",C662)))</formula>
    </cfRule>
    <cfRule type="containsText" dxfId="3735" priority="4134" operator="containsText" text="NO">
      <formula>NOT(ISERROR(SEARCH("NO",C662)))</formula>
    </cfRule>
  </conditionalFormatting>
  <conditionalFormatting sqref="C662:D662">
    <cfRule type="containsText" dxfId="3734" priority="4132" operator="containsText" text="NUEVO">
      <formula>NOT(ISERROR(SEARCH("NUEVO",C662)))</formula>
    </cfRule>
  </conditionalFormatting>
  <conditionalFormatting sqref="E662">
    <cfRule type="containsText" dxfId="3733" priority="4131" operator="containsText" text="NUEVO">
      <formula>NOT(ISERROR(SEARCH("NUEVO",E662)))</formula>
    </cfRule>
  </conditionalFormatting>
  <conditionalFormatting sqref="E662">
    <cfRule type="containsText" dxfId="3732" priority="4130" operator="containsText" text="Sin Información">
      <formula>NOT(ISERROR(SEARCH("Sin Información",E662)))</formula>
    </cfRule>
  </conditionalFormatting>
  <conditionalFormatting sqref="C663:D663">
    <cfRule type="containsText" dxfId="3731" priority="4129" operator="containsText" text="NO+$D$4:$D$10">
      <formula>NOT(ISERROR(SEARCH("NO+$D$4:$D$10",C663)))</formula>
    </cfRule>
  </conditionalFormatting>
  <conditionalFormatting sqref="C663:D663">
    <cfRule type="containsText" dxfId="3730" priority="4127" operator="containsText" text="SI">
      <formula>NOT(ISERROR(SEARCH("SI",C663)))</formula>
    </cfRule>
    <cfRule type="containsText" dxfId="3729" priority="4128" operator="containsText" text="NO">
      <formula>NOT(ISERROR(SEARCH("NO",C663)))</formula>
    </cfRule>
  </conditionalFormatting>
  <conditionalFormatting sqref="C663:D663">
    <cfRule type="containsText" dxfId="3728" priority="4126" operator="containsText" text="NUEVO">
      <formula>NOT(ISERROR(SEARCH("NUEVO",C663)))</formula>
    </cfRule>
  </conditionalFormatting>
  <conditionalFormatting sqref="E663">
    <cfRule type="containsText" dxfId="3727" priority="4125" operator="containsText" text="NUEVO">
      <formula>NOT(ISERROR(SEARCH("NUEVO",E663)))</formula>
    </cfRule>
  </conditionalFormatting>
  <conditionalFormatting sqref="E663">
    <cfRule type="containsText" dxfId="3726" priority="4124" operator="containsText" text="Sin Información">
      <formula>NOT(ISERROR(SEARCH("Sin Información",E663)))</formula>
    </cfRule>
  </conditionalFormatting>
  <conditionalFormatting sqref="C664:D670">
    <cfRule type="containsText" dxfId="3725" priority="4117" operator="containsText" text="NO+$D$4:$D$10">
      <formula>NOT(ISERROR(SEARCH("NO+$D$4:$D$10",C664)))</formula>
    </cfRule>
  </conditionalFormatting>
  <conditionalFormatting sqref="C664:D670">
    <cfRule type="containsText" dxfId="3724" priority="4115" operator="containsText" text="SI">
      <formula>NOT(ISERROR(SEARCH("SI",C664)))</formula>
    </cfRule>
    <cfRule type="containsText" dxfId="3723" priority="4116" operator="containsText" text="NO">
      <formula>NOT(ISERROR(SEARCH("NO",C664)))</formula>
    </cfRule>
  </conditionalFormatting>
  <conditionalFormatting sqref="E670 C664:D670">
    <cfRule type="containsText" dxfId="3722" priority="4114" operator="containsText" text="NUEVO">
      <formula>NOT(ISERROR(SEARCH("NUEVO",C664)))</formula>
    </cfRule>
  </conditionalFormatting>
  <conditionalFormatting sqref="E670">
    <cfRule type="containsText" dxfId="3721" priority="4113" operator="containsText" text="Sin Información">
      <formula>NOT(ISERROR(SEARCH("Sin Información",E670)))</formula>
    </cfRule>
  </conditionalFormatting>
  <conditionalFormatting sqref="E664:E666">
    <cfRule type="containsText" dxfId="3720" priority="4112" operator="containsText" text="NUEVO">
      <formula>NOT(ISERROR(SEARCH("NUEVO",E664)))</formula>
    </cfRule>
  </conditionalFormatting>
  <conditionalFormatting sqref="E664:E666">
    <cfRule type="containsText" dxfId="3719" priority="4111" operator="containsText" text="Sin Información">
      <formula>NOT(ISERROR(SEARCH("Sin Información",E664)))</formula>
    </cfRule>
  </conditionalFormatting>
  <conditionalFormatting sqref="E667">
    <cfRule type="containsText" dxfId="3718" priority="4110" operator="containsText" text="NUEVO">
      <formula>NOT(ISERROR(SEARCH("NUEVO",E667)))</formula>
    </cfRule>
  </conditionalFormatting>
  <conditionalFormatting sqref="E667">
    <cfRule type="containsText" dxfId="3717" priority="4109" operator="containsText" text="Sin Información">
      <formula>NOT(ISERROR(SEARCH("Sin Información",E667)))</formula>
    </cfRule>
  </conditionalFormatting>
  <conditionalFormatting sqref="E668">
    <cfRule type="containsText" dxfId="3716" priority="4108" operator="containsText" text="NUEVO">
      <formula>NOT(ISERROR(SEARCH("NUEVO",E668)))</formula>
    </cfRule>
  </conditionalFormatting>
  <conditionalFormatting sqref="E668">
    <cfRule type="containsText" dxfId="3715" priority="4107" operator="containsText" text="Sin Información">
      <formula>NOT(ISERROR(SEARCH("Sin Información",E668)))</formula>
    </cfRule>
  </conditionalFormatting>
  <conditionalFormatting sqref="E669">
    <cfRule type="containsText" dxfId="3714" priority="4106" operator="containsText" text="NUEVO">
      <formula>NOT(ISERROR(SEARCH("NUEVO",E669)))</formula>
    </cfRule>
  </conditionalFormatting>
  <conditionalFormatting sqref="E669">
    <cfRule type="containsText" dxfId="3713" priority="4105" operator="containsText" text="Sin Información">
      <formula>NOT(ISERROR(SEARCH("Sin Información",E669)))</formula>
    </cfRule>
  </conditionalFormatting>
  <conditionalFormatting sqref="C671:D671">
    <cfRule type="containsText" dxfId="3712" priority="4104" operator="containsText" text="NO+$D$4:$D$10">
      <formula>NOT(ISERROR(SEARCH("NO+$D$4:$D$10",C671)))</formula>
    </cfRule>
  </conditionalFormatting>
  <conditionalFormatting sqref="C671:D671">
    <cfRule type="containsText" dxfId="3711" priority="4102" operator="containsText" text="SI">
      <formula>NOT(ISERROR(SEARCH("SI",C671)))</formula>
    </cfRule>
    <cfRule type="containsText" dxfId="3710" priority="4103" operator="containsText" text="NO">
      <formula>NOT(ISERROR(SEARCH("NO",C671)))</formula>
    </cfRule>
  </conditionalFormatting>
  <conditionalFormatting sqref="C671:E671">
    <cfRule type="containsText" dxfId="3709" priority="4101" operator="containsText" text="NUEVO">
      <formula>NOT(ISERROR(SEARCH("NUEVO",C671)))</formula>
    </cfRule>
  </conditionalFormatting>
  <conditionalFormatting sqref="E671">
    <cfRule type="containsText" dxfId="3708" priority="4100" operator="containsText" text="Sin Información">
      <formula>NOT(ISERROR(SEARCH("Sin Información",E671)))</formula>
    </cfRule>
  </conditionalFormatting>
  <conditionalFormatting sqref="C672:D672">
    <cfRule type="containsText" dxfId="3707" priority="4099" operator="containsText" text="NO+$D$4:$D$10">
      <formula>NOT(ISERROR(SEARCH("NO+$D$4:$D$10",C672)))</formula>
    </cfRule>
  </conditionalFormatting>
  <conditionalFormatting sqref="C672:D672">
    <cfRule type="containsText" dxfId="3706" priority="4097" operator="containsText" text="SI">
      <formula>NOT(ISERROR(SEARCH("SI",C672)))</formula>
    </cfRule>
    <cfRule type="containsText" dxfId="3705" priority="4098" operator="containsText" text="NO">
      <formula>NOT(ISERROR(SEARCH("NO",C672)))</formula>
    </cfRule>
  </conditionalFormatting>
  <conditionalFormatting sqref="C672:D672">
    <cfRule type="containsText" dxfId="3704" priority="4096" operator="containsText" text="NUEVO">
      <formula>NOT(ISERROR(SEARCH("NUEVO",C672)))</formula>
    </cfRule>
  </conditionalFormatting>
  <conditionalFormatting sqref="E672">
    <cfRule type="containsText" dxfId="3703" priority="4095" operator="containsText" text="NUEVO">
      <formula>NOT(ISERROR(SEARCH("NUEVO",E672)))</formula>
    </cfRule>
  </conditionalFormatting>
  <conditionalFormatting sqref="E672">
    <cfRule type="containsText" dxfId="3702" priority="4094" operator="containsText" text="Sin Información">
      <formula>NOT(ISERROR(SEARCH("Sin Información",E672)))</formula>
    </cfRule>
  </conditionalFormatting>
  <conditionalFormatting sqref="C673:D673">
    <cfRule type="containsText" dxfId="3701" priority="4093" operator="containsText" text="NO+$D$4:$D$10">
      <formula>NOT(ISERROR(SEARCH("NO+$D$4:$D$10",C673)))</formula>
    </cfRule>
  </conditionalFormatting>
  <conditionalFormatting sqref="C673:D673">
    <cfRule type="containsText" dxfId="3700" priority="4091" operator="containsText" text="SI">
      <formula>NOT(ISERROR(SEARCH("SI",C673)))</formula>
    </cfRule>
    <cfRule type="containsText" dxfId="3699" priority="4092" operator="containsText" text="NO">
      <formula>NOT(ISERROR(SEARCH("NO",C673)))</formula>
    </cfRule>
  </conditionalFormatting>
  <conditionalFormatting sqref="C673:D673">
    <cfRule type="containsText" dxfId="3698" priority="4090" operator="containsText" text="NUEVO">
      <formula>NOT(ISERROR(SEARCH("NUEVO",C673)))</formula>
    </cfRule>
  </conditionalFormatting>
  <conditionalFormatting sqref="E673">
    <cfRule type="containsText" dxfId="3697" priority="4088" operator="containsText" text="Sin Información">
      <formula>NOT(ISERROR(SEARCH("Sin Información",E673)))</formula>
    </cfRule>
  </conditionalFormatting>
  <conditionalFormatting sqref="E673">
    <cfRule type="containsText" dxfId="3696" priority="4089" operator="containsText" text="NUEVO">
      <formula>NOT(ISERROR(SEARCH("NUEVO",E673)))</formula>
    </cfRule>
  </conditionalFormatting>
  <conditionalFormatting sqref="C674:D676">
    <cfRule type="containsText" dxfId="3695" priority="4087" operator="containsText" text="NO+$D$4:$D$10">
      <formula>NOT(ISERROR(SEARCH("NO+$D$4:$D$10",C674)))</formula>
    </cfRule>
  </conditionalFormatting>
  <conditionalFormatting sqref="C674:D676">
    <cfRule type="containsText" dxfId="3694" priority="4085" operator="containsText" text="SI">
      <formula>NOT(ISERROR(SEARCH("SI",C674)))</formula>
    </cfRule>
    <cfRule type="containsText" dxfId="3693" priority="4086" operator="containsText" text="NO">
      <formula>NOT(ISERROR(SEARCH("NO",C674)))</formula>
    </cfRule>
  </conditionalFormatting>
  <conditionalFormatting sqref="C674:D676">
    <cfRule type="containsText" dxfId="3692" priority="4084" operator="containsText" text="NUEVO">
      <formula>NOT(ISERROR(SEARCH("NUEVO",C674)))</formula>
    </cfRule>
  </conditionalFormatting>
  <conditionalFormatting sqref="E674:E676">
    <cfRule type="containsText" dxfId="3691" priority="4082" operator="containsText" text="Sin Información">
      <formula>NOT(ISERROR(SEARCH("Sin Información",E674)))</formula>
    </cfRule>
  </conditionalFormatting>
  <conditionalFormatting sqref="E674:E676">
    <cfRule type="containsText" dxfId="3690" priority="4083" operator="containsText" text="NUEVO">
      <formula>NOT(ISERROR(SEARCH("NUEVO",E674)))</formula>
    </cfRule>
  </conditionalFormatting>
  <conditionalFormatting sqref="C261:D261">
    <cfRule type="containsText" dxfId="3689" priority="4081" operator="containsText" text="NO+$D$4:$D$10">
      <formula>NOT(ISERROR(SEARCH("NO+$D$4:$D$10",C261)))</formula>
    </cfRule>
  </conditionalFormatting>
  <conditionalFormatting sqref="C261:D261">
    <cfRule type="containsText" dxfId="3688" priority="4079" operator="containsText" text="SI">
      <formula>NOT(ISERROR(SEARCH("SI",C261)))</formula>
    </cfRule>
    <cfRule type="containsText" dxfId="3687" priority="4080" operator="containsText" text="NO">
      <formula>NOT(ISERROR(SEARCH("NO",C261)))</formula>
    </cfRule>
  </conditionalFormatting>
  <conditionalFormatting sqref="C261:D261">
    <cfRule type="containsText" dxfId="3686" priority="4078" operator="containsText" text="NUEVO">
      <formula>NOT(ISERROR(SEARCH("NUEVO",C261)))</formula>
    </cfRule>
  </conditionalFormatting>
  <conditionalFormatting sqref="E261">
    <cfRule type="containsText" dxfId="3685" priority="4076" operator="containsText" text="NUEVO">
      <formula>NOT(ISERROR(SEARCH("NUEVO",E261)))</formula>
    </cfRule>
  </conditionalFormatting>
  <conditionalFormatting sqref="E261">
    <cfRule type="containsText" dxfId="3684" priority="4077" operator="containsText" text="Sin información">
      <formula>NOT(ISERROR(SEARCH("Sin información",E261)))</formula>
    </cfRule>
  </conditionalFormatting>
  <conditionalFormatting sqref="C275:D275">
    <cfRule type="containsText" dxfId="3683" priority="4075" operator="containsText" text="NO+$D$4:$D$10">
      <formula>NOT(ISERROR(SEARCH("NO+$D$4:$D$10",C275)))</formula>
    </cfRule>
  </conditionalFormatting>
  <conditionalFormatting sqref="C275:D275">
    <cfRule type="containsText" dxfId="3682" priority="4073" operator="containsText" text="SI">
      <formula>NOT(ISERROR(SEARCH("SI",C275)))</formula>
    </cfRule>
    <cfRule type="containsText" dxfId="3681" priority="4074" operator="containsText" text="NO">
      <formula>NOT(ISERROR(SEARCH("NO",C275)))</formula>
    </cfRule>
  </conditionalFormatting>
  <conditionalFormatting sqref="C275:D275">
    <cfRule type="containsText" dxfId="3680" priority="4072" operator="containsText" text="NUEVO">
      <formula>NOT(ISERROR(SEARCH("NUEVO",C275)))</formula>
    </cfRule>
  </conditionalFormatting>
  <conditionalFormatting sqref="E275">
    <cfRule type="containsText" dxfId="3679" priority="4070" operator="containsText" text="NUEVO">
      <formula>NOT(ISERROR(SEARCH("NUEVO",E275)))</formula>
    </cfRule>
  </conditionalFormatting>
  <conditionalFormatting sqref="E275">
    <cfRule type="containsText" dxfId="3678" priority="4071" operator="containsText" text="Sin información">
      <formula>NOT(ISERROR(SEARCH("Sin información",E275)))</formula>
    </cfRule>
  </conditionalFormatting>
  <conditionalFormatting sqref="C283:D283">
    <cfRule type="containsText" dxfId="3677" priority="4069" operator="containsText" text="NO+$D$4:$D$10">
      <formula>NOT(ISERROR(SEARCH("NO+$D$4:$D$10",C283)))</formula>
    </cfRule>
  </conditionalFormatting>
  <conditionalFormatting sqref="C283:D283">
    <cfRule type="containsText" dxfId="3676" priority="4067" operator="containsText" text="SI">
      <formula>NOT(ISERROR(SEARCH("SI",C283)))</formula>
    </cfRule>
    <cfRule type="containsText" dxfId="3675" priority="4068" operator="containsText" text="NO">
      <formula>NOT(ISERROR(SEARCH("NO",C283)))</formula>
    </cfRule>
  </conditionalFormatting>
  <conditionalFormatting sqref="C283:D283">
    <cfRule type="containsText" dxfId="3674" priority="4066" operator="containsText" text="NUEVO">
      <formula>NOT(ISERROR(SEARCH("NUEVO",C283)))</formula>
    </cfRule>
  </conditionalFormatting>
  <conditionalFormatting sqref="E283">
    <cfRule type="containsText" dxfId="3673" priority="4065" operator="containsText" text="NUEVO">
      <formula>NOT(ISERROR(SEARCH("NUEVO",E283)))</formula>
    </cfRule>
  </conditionalFormatting>
  <conditionalFormatting sqref="E283">
    <cfRule type="containsText" dxfId="3672" priority="4064" operator="containsText" text="Sin Información">
      <formula>NOT(ISERROR(SEARCH("Sin Información",E283)))</formula>
    </cfRule>
  </conditionalFormatting>
  <conditionalFormatting sqref="C698:D698">
    <cfRule type="containsText" dxfId="3671" priority="4051" operator="containsText" text="NO+$D$4:$D$10">
      <formula>NOT(ISERROR(SEARCH("NO+$D$4:$D$10",C698)))</formula>
    </cfRule>
  </conditionalFormatting>
  <conditionalFormatting sqref="C698:D698">
    <cfRule type="containsText" dxfId="3670" priority="4049" operator="containsText" text="SI">
      <formula>NOT(ISERROR(SEARCH("SI",C698)))</formula>
    </cfRule>
    <cfRule type="containsText" dxfId="3669" priority="4050" operator="containsText" text="NO">
      <formula>NOT(ISERROR(SEARCH("NO",C698)))</formula>
    </cfRule>
  </conditionalFormatting>
  <conditionalFormatting sqref="C698:D698">
    <cfRule type="containsText" dxfId="3668" priority="4048" operator="containsText" text="NUEVO">
      <formula>NOT(ISERROR(SEARCH("NUEVO",C698)))</formula>
    </cfRule>
  </conditionalFormatting>
  <conditionalFormatting sqref="E698">
    <cfRule type="containsText" dxfId="3667" priority="4047" operator="containsText" text="NUEVO">
      <formula>NOT(ISERROR(SEARCH("NUEVO",E698)))</formula>
    </cfRule>
  </conditionalFormatting>
  <conditionalFormatting sqref="E698">
    <cfRule type="containsText" dxfId="3666" priority="4046" operator="containsText" text="Sin Información">
      <formula>NOT(ISERROR(SEARCH("Sin Información",E698)))</formula>
    </cfRule>
  </conditionalFormatting>
  <conditionalFormatting sqref="C699:D699">
    <cfRule type="containsText" dxfId="3665" priority="4043" operator="containsText" text="NO+$D$4:$D$10">
      <formula>NOT(ISERROR(SEARCH("NO+$D$4:$D$10",C699)))</formula>
    </cfRule>
  </conditionalFormatting>
  <conditionalFormatting sqref="C699:D699">
    <cfRule type="containsText" dxfId="3664" priority="4041" operator="containsText" text="SI">
      <formula>NOT(ISERROR(SEARCH("SI",C699)))</formula>
    </cfRule>
    <cfRule type="containsText" dxfId="3663" priority="4042" operator="containsText" text="NO">
      <formula>NOT(ISERROR(SEARCH("NO",C699)))</formula>
    </cfRule>
  </conditionalFormatting>
  <conditionalFormatting sqref="C699:D699">
    <cfRule type="containsText" dxfId="3662" priority="4040" operator="containsText" text="NUEVO">
      <formula>NOT(ISERROR(SEARCH("NUEVO",C699)))</formula>
    </cfRule>
  </conditionalFormatting>
  <conditionalFormatting sqref="F699">
    <cfRule type="containsText" dxfId="3661" priority="4039" operator="containsText" text="NO+$D$4:$D$10">
      <formula>NOT(ISERROR(SEARCH("NO+$D$4:$D$10",F699)))</formula>
    </cfRule>
  </conditionalFormatting>
  <conditionalFormatting sqref="F699">
    <cfRule type="containsText" dxfId="3660" priority="4037" operator="containsText" text="SI">
      <formula>NOT(ISERROR(SEARCH("SI",F699)))</formula>
    </cfRule>
    <cfRule type="containsText" dxfId="3659" priority="4038" operator="containsText" text="NO">
      <formula>NOT(ISERROR(SEARCH("NO",F699)))</formula>
    </cfRule>
  </conditionalFormatting>
  <conditionalFormatting sqref="F699">
    <cfRule type="containsText" dxfId="3658" priority="4036" operator="containsText" text="NUEVO">
      <formula>NOT(ISERROR(SEARCH("NUEVO",F699)))</formula>
    </cfRule>
  </conditionalFormatting>
  <conditionalFormatting sqref="C700:D700">
    <cfRule type="containsText" dxfId="3657" priority="4035" operator="containsText" text="NO+$D$4:$D$10">
      <formula>NOT(ISERROR(SEARCH("NO+$D$4:$D$10",C700)))</formula>
    </cfRule>
  </conditionalFormatting>
  <conditionalFormatting sqref="C700:D700">
    <cfRule type="containsText" dxfId="3656" priority="4033" operator="containsText" text="SI">
      <formula>NOT(ISERROR(SEARCH("SI",C700)))</formula>
    </cfRule>
    <cfRule type="containsText" dxfId="3655" priority="4034" operator="containsText" text="NO">
      <formula>NOT(ISERROR(SEARCH("NO",C700)))</formula>
    </cfRule>
  </conditionalFormatting>
  <conditionalFormatting sqref="C700:D700">
    <cfRule type="containsText" dxfId="3654" priority="4032" operator="containsText" text="NUEVO">
      <formula>NOT(ISERROR(SEARCH("NUEVO",C700)))</formula>
    </cfRule>
  </conditionalFormatting>
  <conditionalFormatting sqref="E700">
    <cfRule type="containsText" dxfId="3653" priority="4031" operator="containsText" text="NUEVO">
      <formula>NOT(ISERROR(SEARCH("NUEVO",E700)))</formula>
    </cfRule>
  </conditionalFormatting>
  <conditionalFormatting sqref="E700">
    <cfRule type="containsText" dxfId="3652" priority="4030" operator="containsText" text="Sin información">
      <formula>NOT(ISERROR(SEARCH("Sin información",E700)))</formula>
    </cfRule>
  </conditionalFormatting>
  <conditionalFormatting sqref="F700">
    <cfRule type="containsText" dxfId="3651" priority="4029" operator="containsText" text="NO+$D$4:$D$10">
      <formula>NOT(ISERROR(SEARCH("NO+$D$4:$D$10",F700)))</formula>
    </cfRule>
  </conditionalFormatting>
  <conditionalFormatting sqref="F700">
    <cfRule type="containsText" dxfId="3650" priority="4027" operator="containsText" text="SI">
      <formula>NOT(ISERROR(SEARCH("SI",F700)))</formula>
    </cfRule>
    <cfRule type="containsText" dxfId="3649" priority="4028" operator="containsText" text="NO">
      <formula>NOT(ISERROR(SEARCH("NO",F700)))</formula>
    </cfRule>
  </conditionalFormatting>
  <conditionalFormatting sqref="F700">
    <cfRule type="containsText" dxfId="3648" priority="4026" operator="containsText" text="NUEVO">
      <formula>NOT(ISERROR(SEARCH("NUEVO",F700)))</formula>
    </cfRule>
  </conditionalFormatting>
  <conditionalFormatting sqref="C707:D707">
    <cfRule type="containsText" dxfId="3647" priority="4015" operator="containsText" text="NO+$D$4:$D$10">
      <formula>NOT(ISERROR(SEARCH("NO+$D$4:$D$10",C707)))</formula>
    </cfRule>
  </conditionalFormatting>
  <conditionalFormatting sqref="C707:D707">
    <cfRule type="containsText" dxfId="3646" priority="4013" operator="containsText" text="SI">
      <formula>NOT(ISERROR(SEARCH("SI",C707)))</formula>
    </cfRule>
    <cfRule type="containsText" dxfId="3645" priority="4014" operator="containsText" text="NO">
      <formula>NOT(ISERROR(SEARCH("NO",C707)))</formula>
    </cfRule>
  </conditionalFormatting>
  <conditionalFormatting sqref="C707:D707">
    <cfRule type="containsText" dxfId="3644" priority="4012" operator="containsText" text="NUEVO">
      <formula>NOT(ISERROR(SEARCH("NUEVO",C707)))</formula>
    </cfRule>
  </conditionalFormatting>
  <conditionalFormatting sqref="E707">
    <cfRule type="containsText" dxfId="3643" priority="4011" operator="containsText" text="Sin información">
      <formula>NOT(ISERROR(SEARCH("Sin información",E707)))</formula>
    </cfRule>
  </conditionalFormatting>
  <conditionalFormatting sqref="E707">
    <cfRule type="containsText" dxfId="3642" priority="4010" operator="containsText" text="NUEVO">
      <formula>NOT(ISERROR(SEARCH("NUEVO",E707)))</formula>
    </cfRule>
  </conditionalFormatting>
  <conditionalFormatting sqref="F707">
    <cfRule type="containsText" dxfId="3641" priority="4009" operator="containsText" text="NO+$D$4:$D$10">
      <formula>NOT(ISERROR(SEARCH("NO+$D$4:$D$10",F707)))</formula>
    </cfRule>
  </conditionalFormatting>
  <conditionalFormatting sqref="F707">
    <cfRule type="containsText" dxfId="3640" priority="4007" operator="containsText" text="SI">
      <formula>NOT(ISERROR(SEARCH("SI",F707)))</formula>
    </cfRule>
    <cfRule type="containsText" dxfId="3639" priority="4008" operator="containsText" text="NO">
      <formula>NOT(ISERROR(SEARCH("NO",F707)))</formula>
    </cfRule>
  </conditionalFormatting>
  <conditionalFormatting sqref="F707">
    <cfRule type="containsText" dxfId="3638" priority="4006" operator="containsText" text="NUEVO">
      <formula>NOT(ISERROR(SEARCH("NUEVO",F707)))</formula>
    </cfRule>
  </conditionalFormatting>
  <conditionalFormatting sqref="C708:D708">
    <cfRule type="containsText" dxfId="3637" priority="3989" operator="containsText" text="NO+$D$4:$D$10">
      <formula>NOT(ISERROR(SEARCH("NO+$D$4:$D$10",C708)))</formula>
    </cfRule>
  </conditionalFormatting>
  <conditionalFormatting sqref="C708:D708">
    <cfRule type="containsText" dxfId="3636" priority="3987" operator="containsText" text="SI">
      <formula>NOT(ISERROR(SEARCH("SI",C708)))</formula>
    </cfRule>
    <cfRule type="containsText" dxfId="3635" priority="3988" operator="containsText" text="NO">
      <formula>NOT(ISERROR(SEARCH("NO",C708)))</formula>
    </cfRule>
  </conditionalFormatting>
  <conditionalFormatting sqref="C708:D708">
    <cfRule type="containsText" dxfId="3634" priority="3986" operator="containsText" text="NUEVO">
      <formula>NOT(ISERROR(SEARCH("NUEVO",C708)))</formula>
    </cfRule>
  </conditionalFormatting>
  <conditionalFormatting sqref="E708">
    <cfRule type="containsText" dxfId="3633" priority="3984" operator="containsText" text="Sin Información">
      <formula>NOT(ISERROR(SEARCH("Sin Información",E708)))</formula>
    </cfRule>
  </conditionalFormatting>
  <conditionalFormatting sqref="E708">
    <cfRule type="containsText" dxfId="3632" priority="3985" operator="containsText" text="NUEVO">
      <formula>NOT(ISERROR(SEARCH("NUEVO",E708)))</formula>
    </cfRule>
  </conditionalFormatting>
  <conditionalFormatting sqref="C709:D709">
    <cfRule type="containsText" dxfId="3631" priority="3977" operator="containsText" text="NO+$D$4:$D$10">
      <formula>NOT(ISERROR(SEARCH("NO+$D$4:$D$10",C709)))</formula>
    </cfRule>
  </conditionalFormatting>
  <conditionalFormatting sqref="C709:D709">
    <cfRule type="containsText" dxfId="3630" priority="3975" operator="containsText" text="SI">
      <formula>NOT(ISERROR(SEARCH("SI",C709)))</formula>
    </cfRule>
    <cfRule type="containsText" dxfId="3629" priority="3976" operator="containsText" text="NO">
      <formula>NOT(ISERROR(SEARCH("NO",C709)))</formula>
    </cfRule>
  </conditionalFormatting>
  <conditionalFormatting sqref="C709:D709">
    <cfRule type="containsText" dxfId="3628" priority="3974" operator="containsText" text="NUEVO">
      <formula>NOT(ISERROR(SEARCH("NUEVO",C709)))</formula>
    </cfRule>
  </conditionalFormatting>
  <conditionalFormatting sqref="E709">
    <cfRule type="containsText" dxfId="3627" priority="3973" operator="containsText" text="NUEVO">
      <formula>NOT(ISERROR(SEARCH("NUEVO",E709)))</formula>
    </cfRule>
  </conditionalFormatting>
  <conditionalFormatting sqref="E709">
    <cfRule type="containsText" dxfId="3626" priority="3972" operator="containsText" text="Sin Información">
      <formula>NOT(ISERROR(SEARCH("Sin Información",E709)))</formula>
    </cfRule>
  </conditionalFormatting>
  <conditionalFormatting sqref="C710:D710">
    <cfRule type="containsText" dxfId="3625" priority="3971" operator="containsText" text="NO+$D$4:$D$10">
      <formula>NOT(ISERROR(SEARCH("NO+$D$4:$D$10",C710)))</formula>
    </cfRule>
  </conditionalFormatting>
  <conditionalFormatting sqref="C710:D710">
    <cfRule type="containsText" dxfId="3624" priority="3969" operator="containsText" text="SI">
      <formula>NOT(ISERROR(SEARCH("SI",C710)))</formula>
    </cfRule>
    <cfRule type="containsText" dxfId="3623" priority="3970" operator="containsText" text="NO">
      <formula>NOT(ISERROR(SEARCH("NO",C710)))</formula>
    </cfRule>
  </conditionalFormatting>
  <conditionalFormatting sqref="C710:D710">
    <cfRule type="containsText" dxfId="3622" priority="3968" operator="containsText" text="NUEVO">
      <formula>NOT(ISERROR(SEARCH("NUEVO",C710)))</formula>
    </cfRule>
  </conditionalFormatting>
  <conditionalFormatting sqref="E710">
    <cfRule type="containsText" dxfId="3621" priority="3967" operator="containsText" text="NUEVO">
      <formula>NOT(ISERROR(SEARCH("NUEVO",E710)))</formula>
    </cfRule>
  </conditionalFormatting>
  <conditionalFormatting sqref="E710">
    <cfRule type="containsText" dxfId="3620" priority="3966" operator="containsText" text="Sin Información">
      <formula>NOT(ISERROR(SEARCH("Sin Información",E710)))</formula>
    </cfRule>
  </conditionalFormatting>
  <conditionalFormatting sqref="C711:D711">
    <cfRule type="containsText" dxfId="3619" priority="3965" operator="containsText" text="NO+$D$4:$D$10">
      <formula>NOT(ISERROR(SEARCH("NO+$D$4:$D$10",C711)))</formula>
    </cfRule>
  </conditionalFormatting>
  <conditionalFormatting sqref="C711:D711">
    <cfRule type="containsText" dxfId="3618" priority="3963" operator="containsText" text="SI">
      <formula>NOT(ISERROR(SEARCH("SI",C711)))</formula>
    </cfRule>
    <cfRule type="containsText" dxfId="3617" priority="3964" operator="containsText" text="NO">
      <formula>NOT(ISERROR(SEARCH("NO",C711)))</formula>
    </cfRule>
  </conditionalFormatting>
  <conditionalFormatting sqref="C711:D711">
    <cfRule type="containsText" dxfId="3616" priority="3962" operator="containsText" text="NUEVO">
      <formula>NOT(ISERROR(SEARCH("NUEVO",C711)))</formula>
    </cfRule>
  </conditionalFormatting>
  <conditionalFormatting sqref="E711">
    <cfRule type="containsText" dxfId="3615" priority="3961" operator="containsText" text="NUEVO">
      <formula>NOT(ISERROR(SEARCH("NUEVO",E711)))</formula>
    </cfRule>
  </conditionalFormatting>
  <conditionalFormatting sqref="E711">
    <cfRule type="containsText" dxfId="3614" priority="3960" operator="containsText" text="Sin Información">
      <formula>NOT(ISERROR(SEARCH("Sin Información",E711)))</formula>
    </cfRule>
  </conditionalFormatting>
  <conditionalFormatting sqref="C712:D712">
    <cfRule type="containsText" dxfId="3613" priority="3959" operator="containsText" text="NO+$D$4:$D$10">
      <formula>NOT(ISERROR(SEARCH("NO+$D$4:$D$10",C712)))</formula>
    </cfRule>
  </conditionalFormatting>
  <conditionalFormatting sqref="C712:D712">
    <cfRule type="containsText" dxfId="3612" priority="3957" operator="containsText" text="SI">
      <formula>NOT(ISERROR(SEARCH("SI",C712)))</formula>
    </cfRule>
    <cfRule type="containsText" dxfId="3611" priority="3958" operator="containsText" text="NO">
      <formula>NOT(ISERROR(SEARCH("NO",C712)))</formula>
    </cfRule>
  </conditionalFormatting>
  <conditionalFormatting sqref="C712:D712">
    <cfRule type="containsText" dxfId="3610" priority="3956" operator="containsText" text="NUEVO">
      <formula>NOT(ISERROR(SEARCH("NUEVO",C712)))</formula>
    </cfRule>
  </conditionalFormatting>
  <conditionalFormatting sqref="E712">
    <cfRule type="containsText" dxfId="3609" priority="3955" operator="containsText" text="NUEVO">
      <formula>NOT(ISERROR(SEARCH("NUEVO",E712)))</formula>
    </cfRule>
  </conditionalFormatting>
  <conditionalFormatting sqref="E712">
    <cfRule type="containsText" dxfId="3608" priority="3954" operator="containsText" text="Sin Información">
      <formula>NOT(ISERROR(SEARCH("Sin Información",E712)))</formula>
    </cfRule>
  </conditionalFormatting>
  <conditionalFormatting sqref="C713:D713">
    <cfRule type="containsText" dxfId="3607" priority="3953" operator="containsText" text="NO+$D$4:$D$10">
      <formula>NOT(ISERROR(SEARCH("NO+$D$4:$D$10",C713)))</formula>
    </cfRule>
  </conditionalFormatting>
  <conditionalFormatting sqref="C713:D713">
    <cfRule type="containsText" dxfId="3606" priority="3951" operator="containsText" text="SI">
      <formula>NOT(ISERROR(SEARCH("SI",C713)))</formula>
    </cfRule>
    <cfRule type="containsText" dxfId="3605" priority="3952" operator="containsText" text="NO">
      <formula>NOT(ISERROR(SEARCH("NO",C713)))</formula>
    </cfRule>
  </conditionalFormatting>
  <conditionalFormatting sqref="C713:D713">
    <cfRule type="containsText" dxfId="3604" priority="3950" operator="containsText" text="NUEVO">
      <formula>NOT(ISERROR(SEARCH("NUEVO",C713)))</formula>
    </cfRule>
  </conditionalFormatting>
  <conditionalFormatting sqref="E713">
    <cfRule type="containsText" dxfId="3603" priority="3948" operator="containsText" text="NUEVO">
      <formula>NOT(ISERROR(SEARCH("NUEVO",E713)))</formula>
    </cfRule>
  </conditionalFormatting>
  <conditionalFormatting sqref="E713">
    <cfRule type="containsText" dxfId="3602" priority="3949" operator="containsText" text="Sin información">
      <formula>NOT(ISERROR(SEARCH("Sin información",E713)))</formula>
    </cfRule>
  </conditionalFormatting>
  <conditionalFormatting sqref="F713">
    <cfRule type="containsText" dxfId="3601" priority="3947" operator="containsText" text="NO+$D$4:$D$10">
      <formula>NOT(ISERROR(SEARCH("NO+$D$4:$D$10",F713)))</formula>
    </cfRule>
  </conditionalFormatting>
  <conditionalFormatting sqref="F713">
    <cfRule type="containsText" dxfId="3600" priority="3945" operator="containsText" text="SI">
      <formula>NOT(ISERROR(SEARCH("SI",F713)))</formula>
    </cfRule>
    <cfRule type="containsText" dxfId="3599" priority="3946" operator="containsText" text="NO">
      <formula>NOT(ISERROR(SEARCH("NO",F713)))</formula>
    </cfRule>
  </conditionalFormatting>
  <conditionalFormatting sqref="F713">
    <cfRule type="containsText" dxfId="3598" priority="3944" operator="containsText" text="NUEVO">
      <formula>NOT(ISERROR(SEARCH("NUEVO",F713)))</formula>
    </cfRule>
  </conditionalFormatting>
  <conditionalFormatting sqref="C714:D714">
    <cfRule type="containsText" dxfId="3597" priority="3943" operator="containsText" text="NO+$D$4:$D$10">
      <formula>NOT(ISERROR(SEARCH("NO+$D$4:$D$10",C714)))</formula>
    </cfRule>
  </conditionalFormatting>
  <conditionalFormatting sqref="C714:D714">
    <cfRule type="containsText" dxfId="3596" priority="3941" operator="containsText" text="SI">
      <formula>NOT(ISERROR(SEARCH("SI",C714)))</formula>
    </cfRule>
    <cfRule type="containsText" dxfId="3595" priority="3942" operator="containsText" text="NO">
      <formula>NOT(ISERROR(SEARCH("NO",C714)))</formula>
    </cfRule>
  </conditionalFormatting>
  <conditionalFormatting sqref="C714:D714">
    <cfRule type="containsText" dxfId="3594" priority="3940" operator="containsText" text="NUEVO">
      <formula>NOT(ISERROR(SEARCH("NUEVO",C714)))</formula>
    </cfRule>
  </conditionalFormatting>
  <conditionalFormatting sqref="E714">
    <cfRule type="containsText" dxfId="3593" priority="3939" operator="containsText" text="Sin información">
      <formula>NOT(ISERROR(SEARCH("Sin información",E714)))</formula>
    </cfRule>
  </conditionalFormatting>
  <conditionalFormatting sqref="E714">
    <cfRule type="containsText" dxfId="3592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91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90" priority="3935" operator="containsText" text="SI">
      <formula>NOT(ISERROR(SEARCH("SI",C757)))</formula>
    </cfRule>
    <cfRule type="containsText" dxfId="3589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88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87" priority="3933" operator="containsText" text="Sin información">
      <formula>NOT(ISERROR(SEARCH("Sin información",E758)))</formula>
    </cfRule>
  </conditionalFormatting>
  <conditionalFormatting sqref="C715:D717">
    <cfRule type="containsText" dxfId="3586" priority="3932" operator="containsText" text="NO+$D$4:$D$10">
      <formula>NOT(ISERROR(SEARCH("NO+$D$4:$D$10",C715)))</formula>
    </cfRule>
  </conditionalFormatting>
  <conditionalFormatting sqref="C715:D717">
    <cfRule type="containsText" dxfId="3585" priority="3930" operator="containsText" text="SI">
      <formula>NOT(ISERROR(SEARCH("SI",C715)))</formula>
    </cfRule>
    <cfRule type="containsText" dxfId="3584" priority="3931" operator="containsText" text="NO">
      <formula>NOT(ISERROR(SEARCH("NO",C715)))</formula>
    </cfRule>
  </conditionalFormatting>
  <conditionalFormatting sqref="E715:E717">
    <cfRule type="containsText" dxfId="3583" priority="3929" operator="containsText" text="Sin información">
      <formula>NOT(ISERROR(SEARCH("Sin información",E715)))</formula>
    </cfRule>
  </conditionalFormatting>
  <conditionalFormatting sqref="C715:E717">
    <cfRule type="containsText" dxfId="3582" priority="3928" operator="containsText" text="NUEVO">
      <formula>NOT(ISERROR(SEARCH("NUEVO",C715)))</formula>
    </cfRule>
  </conditionalFormatting>
  <conditionalFormatting sqref="C718:D718">
    <cfRule type="containsText" dxfId="3581" priority="3927" operator="containsText" text="NO+$D$4:$D$10">
      <formula>NOT(ISERROR(SEARCH("NO+$D$4:$D$10",C718)))</formula>
    </cfRule>
  </conditionalFormatting>
  <conditionalFormatting sqref="C718:D718">
    <cfRule type="containsText" dxfId="3580" priority="3925" operator="containsText" text="SI">
      <formula>NOT(ISERROR(SEARCH("SI",C718)))</formula>
    </cfRule>
    <cfRule type="containsText" dxfId="3579" priority="3926" operator="containsText" text="NO">
      <formula>NOT(ISERROR(SEARCH("NO",C718)))</formula>
    </cfRule>
  </conditionalFormatting>
  <conditionalFormatting sqref="C718:D718">
    <cfRule type="containsText" dxfId="3578" priority="3923" operator="containsText" text="NUEVO">
      <formula>NOT(ISERROR(SEARCH("NUEVO",C718)))</formula>
    </cfRule>
  </conditionalFormatting>
  <conditionalFormatting sqref="E718">
    <cfRule type="containsText" dxfId="3577" priority="3922" operator="containsText" text="Sin información">
      <formula>NOT(ISERROR(SEARCH("Sin información",E718)))</formula>
    </cfRule>
  </conditionalFormatting>
  <conditionalFormatting sqref="E718">
    <cfRule type="containsText" dxfId="3576" priority="3921" operator="containsText" text="NUEVO">
      <formula>NOT(ISERROR(SEARCH("NUEVO",E718)))</formula>
    </cfRule>
  </conditionalFormatting>
  <conditionalFormatting sqref="C719:D719">
    <cfRule type="containsText" dxfId="3575" priority="3920" operator="containsText" text="NO+$D$4:$D$10">
      <formula>NOT(ISERROR(SEARCH("NO+$D$4:$D$10",C719)))</formula>
    </cfRule>
  </conditionalFormatting>
  <conditionalFormatting sqref="C719:D719">
    <cfRule type="containsText" dxfId="3574" priority="3918" operator="containsText" text="SI">
      <formula>NOT(ISERROR(SEARCH("SI",C719)))</formula>
    </cfRule>
    <cfRule type="containsText" dxfId="3573" priority="3919" operator="containsText" text="NO">
      <formula>NOT(ISERROR(SEARCH("NO",C719)))</formula>
    </cfRule>
  </conditionalFormatting>
  <conditionalFormatting sqref="C719:E719">
    <cfRule type="containsText" dxfId="3572" priority="3917" operator="containsText" text="NUEVO">
      <formula>NOT(ISERROR(SEARCH("NUEVO",C719)))</formula>
    </cfRule>
  </conditionalFormatting>
  <conditionalFormatting sqref="E719">
    <cfRule type="containsText" dxfId="3571" priority="3916" operator="containsText" text="Sin información">
      <formula>NOT(ISERROR(SEARCH("Sin información",E719)))</formula>
    </cfRule>
  </conditionalFormatting>
  <conditionalFormatting sqref="C720:D720">
    <cfRule type="containsText" dxfId="3570" priority="3915" operator="containsText" text="NO+$D$4:$D$10">
      <formula>NOT(ISERROR(SEARCH("NO+$D$4:$D$10",C720)))</formula>
    </cfRule>
  </conditionalFormatting>
  <conditionalFormatting sqref="C720:D720">
    <cfRule type="containsText" dxfId="3569" priority="3913" operator="containsText" text="SI">
      <formula>NOT(ISERROR(SEARCH("SI",C720)))</formula>
    </cfRule>
    <cfRule type="containsText" dxfId="3568" priority="3914" operator="containsText" text="NO">
      <formula>NOT(ISERROR(SEARCH("NO",C720)))</formula>
    </cfRule>
  </conditionalFormatting>
  <conditionalFormatting sqref="E720">
    <cfRule type="containsText" dxfId="3567" priority="3912" operator="containsText" text="Sin información">
      <formula>NOT(ISERROR(SEARCH("Sin información",E720)))</formula>
    </cfRule>
  </conditionalFormatting>
  <conditionalFormatting sqref="C720:E720">
    <cfRule type="containsText" dxfId="3566" priority="3911" operator="containsText" text="NUEVO">
      <formula>NOT(ISERROR(SEARCH("NUEVO",C720)))</formula>
    </cfRule>
  </conditionalFormatting>
  <conditionalFormatting sqref="C721:D721">
    <cfRule type="containsText" dxfId="3565" priority="3910" operator="containsText" text="NO+$D$4:$D$10">
      <formula>NOT(ISERROR(SEARCH("NO+$D$4:$D$10",C721)))</formula>
    </cfRule>
  </conditionalFormatting>
  <conditionalFormatting sqref="C721:D721">
    <cfRule type="containsText" dxfId="3564" priority="3908" operator="containsText" text="SI">
      <formula>NOT(ISERROR(SEARCH("SI",C721)))</formula>
    </cfRule>
    <cfRule type="containsText" dxfId="3563" priority="3909" operator="containsText" text="NO">
      <formula>NOT(ISERROR(SEARCH("NO",C721)))</formula>
    </cfRule>
  </conditionalFormatting>
  <conditionalFormatting sqref="E721">
    <cfRule type="containsText" dxfId="3562" priority="3907" operator="containsText" text="Sin información">
      <formula>NOT(ISERROR(SEARCH("Sin información",E721)))</formula>
    </cfRule>
  </conditionalFormatting>
  <conditionalFormatting sqref="C721:E721">
    <cfRule type="containsText" dxfId="3561" priority="3906" operator="containsText" text="NUEVO">
      <formula>NOT(ISERROR(SEARCH("NUEVO",C721)))</formula>
    </cfRule>
  </conditionalFormatting>
  <conditionalFormatting sqref="C722:D722">
    <cfRule type="containsText" dxfId="3560" priority="3905" operator="containsText" text="NO+$D$4:$D$10">
      <formula>NOT(ISERROR(SEARCH("NO+$D$4:$D$10",C722)))</formula>
    </cfRule>
  </conditionalFormatting>
  <conditionalFormatting sqref="C722:D722">
    <cfRule type="containsText" dxfId="3559" priority="3903" operator="containsText" text="SI">
      <formula>NOT(ISERROR(SEARCH("SI",C722)))</formula>
    </cfRule>
    <cfRule type="containsText" dxfId="3558" priority="3904" operator="containsText" text="NO">
      <formula>NOT(ISERROR(SEARCH("NO",C722)))</formula>
    </cfRule>
  </conditionalFormatting>
  <conditionalFormatting sqref="E722">
    <cfRule type="containsText" dxfId="3557" priority="3902" operator="containsText" text="Sin información">
      <formula>NOT(ISERROR(SEARCH("Sin información",E722)))</formula>
    </cfRule>
  </conditionalFormatting>
  <conditionalFormatting sqref="C722:E722">
    <cfRule type="containsText" dxfId="3556" priority="3901" operator="containsText" text="NUEVO">
      <formula>NOT(ISERROR(SEARCH("NUEVO",C722)))</formula>
    </cfRule>
  </conditionalFormatting>
  <conditionalFormatting sqref="C723:D723">
    <cfRule type="containsText" dxfId="3555" priority="3900" operator="containsText" text="NO+$D$4:$D$10">
      <formula>NOT(ISERROR(SEARCH("NO+$D$4:$D$10",C723)))</formula>
    </cfRule>
  </conditionalFormatting>
  <conditionalFormatting sqref="C723:D723">
    <cfRule type="containsText" dxfId="3554" priority="3898" operator="containsText" text="SI">
      <formula>NOT(ISERROR(SEARCH("SI",C723)))</formula>
    </cfRule>
    <cfRule type="containsText" dxfId="3553" priority="3899" operator="containsText" text="NO">
      <formula>NOT(ISERROR(SEARCH("NO",C723)))</formula>
    </cfRule>
  </conditionalFormatting>
  <conditionalFormatting sqref="E723">
    <cfRule type="containsText" dxfId="3552" priority="3897" operator="containsText" text="Sin información">
      <formula>NOT(ISERROR(SEARCH("Sin información",E723)))</formula>
    </cfRule>
  </conditionalFormatting>
  <conditionalFormatting sqref="C723:E723">
    <cfRule type="containsText" dxfId="3551" priority="3896" operator="containsText" text="NUEVO">
      <formula>NOT(ISERROR(SEARCH("NUEVO",C723)))</formula>
    </cfRule>
  </conditionalFormatting>
  <conditionalFormatting sqref="C724:D724">
    <cfRule type="containsText" dxfId="3550" priority="3895" operator="containsText" text="NO+$D$4:$D$10">
      <formula>NOT(ISERROR(SEARCH("NO+$D$4:$D$10",C724)))</formula>
    </cfRule>
  </conditionalFormatting>
  <conditionalFormatting sqref="C724:D724">
    <cfRule type="containsText" dxfId="3549" priority="3893" operator="containsText" text="SI">
      <formula>NOT(ISERROR(SEARCH("SI",C724)))</formula>
    </cfRule>
    <cfRule type="containsText" dxfId="3548" priority="3894" operator="containsText" text="NO">
      <formula>NOT(ISERROR(SEARCH("NO",C724)))</formula>
    </cfRule>
  </conditionalFormatting>
  <conditionalFormatting sqref="E724">
    <cfRule type="containsText" dxfId="3547" priority="3892" operator="containsText" text="Sin información">
      <formula>NOT(ISERROR(SEARCH("Sin información",E724)))</formula>
    </cfRule>
  </conditionalFormatting>
  <conditionalFormatting sqref="C724:E724">
    <cfRule type="containsText" dxfId="3546" priority="3891" operator="containsText" text="NUEVO">
      <formula>NOT(ISERROR(SEARCH("NUEVO",C724)))</formula>
    </cfRule>
  </conditionalFormatting>
  <conditionalFormatting sqref="C725:D725">
    <cfRule type="containsText" dxfId="3545" priority="3890" operator="containsText" text="NO+$D$4:$D$10">
      <formula>NOT(ISERROR(SEARCH("NO+$D$4:$D$10",C725)))</formula>
    </cfRule>
  </conditionalFormatting>
  <conditionalFormatting sqref="C725:D725">
    <cfRule type="containsText" dxfId="3544" priority="3888" operator="containsText" text="SI">
      <formula>NOT(ISERROR(SEARCH("SI",C725)))</formula>
    </cfRule>
    <cfRule type="containsText" dxfId="3543" priority="3889" operator="containsText" text="NO">
      <formula>NOT(ISERROR(SEARCH("NO",C725)))</formula>
    </cfRule>
  </conditionalFormatting>
  <conditionalFormatting sqref="E725">
    <cfRule type="containsText" dxfId="3542" priority="3887" operator="containsText" text="Sin información">
      <formula>NOT(ISERROR(SEARCH("Sin información",E725)))</formula>
    </cfRule>
  </conditionalFormatting>
  <conditionalFormatting sqref="C725:E725">
    <cfRule type="containsText" dxfId="3541" priority="3886" operator="containsText" text="NUEVO">
      <formula>NOT(ISERROR(SEARCH("NUEVO",C725)))</formula>
    </cfRule>
  </conditionalFormatting>
  <conditionalFormatting sqref="C726:D726">
    <cfRule type="containsText" dxfId="3540" priority="3885" operator="containsText" text="NO+$D$4:$D$10">
      <formula>NOT(ISERROR(SEARCH("NO+$D$4:$D$10",C726)))</formula>
    </cfRule>
  </conditionalFormatting>
  <conditionalFormatting sqref="C726:D726">
    <cfRule type="containsText" dxfId="3539" priority="3883" operator="containsText" text="SI">
      <formula>NOT(ISERROR(SEARCH("SI",C726)))</formula>
    </cfRule>
    <cfRule type="containsText" dxfId="3538" priority="3884" operator="containsText" text="NO">
      <formula>NOT(ISERROR(SEARCH("NO",C726)))</formula>
    </cfRule>
  </conditionalFormatting>
  <conditionalFormatting sqref="E726">
    <cfRule type="containsText" dxfId="3537" priority="3882" operator="containsText" text="Sin información">
      <formula>NOT(ISERROR(SEARCH("Sin información",E726)))</formula>
    </cfRule>
  </conditionalFormatting>
  <conditionalFormatting sqref="C726:E726">
    <cfRule type="containsText" dxfId="3536" priority="3881" operator="containsText" text="NUEVO">
      <formula>NOT(ISERROR(SEARCH("NUEVO",C726)))</formula>
    </cfRule>
  </conditionalFormatting>
  <conditionalFormatting sqref="C727:D727">
    <cfRule type="containsText" dxfId="3535" priority="3880" operator="containsText" text="NO+$D$4:$D$10">
      <formula>NOT(ISERROR(SEARCH("NO+$D$4:$D$10",C727)))</formula>
    </cfRule>
  </conditionalFormatting>
  <conditionalFormatting sqref="C727:D727">
    <cfRule type="containsText" dxfId="3534" priority="3878" operator="containsText" text="SI">
      <formula>NOT(ISERROR(SEARCH("SI",C727)))</formula>
    </cfRule>
    <cfRule type="containsText" dxfId="3533" priority="3879" operator="containsText" text="NO">
      <formula>NOT(ISERROR(SEARCH("NO",C727)))</formula>
    </cfRule>
  </conditionalFormatting>
  <conditionalFormatting sqref="E727">
    <cfRule type="containsText" dxfId="3532" priority="3877" operator="containsText" text="Sin información">
      <formula>NOT(ISERROR(SEARCH("Sin información",E727)))</formula>
    </cfRule>
  </conditionalFormatting>
  <conditionalFormatting sqref="C727:E727">
    <cfRule type="containsText" dxfId="3531" priority="3876" operator="containsText" text="NUEVO">
      <formula>NOT(ISERROR(SEARCH("NUEVO",C727)))</formula>
    </cfRule>
  </conditionalFormatting>
  <conditionalFormatting sqref="C728:D728">
    <cfRule type="containsText" dxfId="3530" priority="3875" operator="containsText" text="NO+$D$4:$D$10">
      <formula>NOT(ISERROR(SEARCH("NO+$D$4:$D$10",C728)))</formula>
    </cfRule>
  </conditionalFormatting>
  <conditionalFormatting sqref="C728:D728">
    <cfRule type="containsText" dxfId="3529" priority="3873" operator="containsText" text="SI">
      <formula>NOT(ISERROR(SEARCH("SI",C728)))</formula>
    </cfRule>
    <cfRule type="containsText" dxfId="3528" priority="3874" operator="containsText" text="NO">
      <formula>NOT(ISERROR(SEARCH("NO",C728)))</formula>
    </cfRule>
  </conditionalFormatting>
  <conditionalFormatting sqref="E728">
    <cfRule type="containsText" dxfId="3527" priority="3872" operator="containsText" text="Sin información">
      <formula>NOT(ISERROR(SEARCH("Sin información",E728)))</formula>
    </cfRule>
  </conditionalFormatting>
  <conditionalFormatting sqref="C728:E728">
    <cfRule type="containsText" dxfId="3526" priority="3871" operator="containsText" text="NUEVO">
      <formula>NOT(ISERROR(SEARCH("NUEVO",C728)))</formula>
    </cfRule>
  </conditionalFormatting>
  <conditionalFormatting sqref="C729:D730">
    <cfRule type="containsText" dxfId="3525" priority="3870" operator="containsText" text="NO+$D$4:$D$10">
      <formula>NOT(ISERROR(SEARCH("NO+$D$4:$D$10",C729)))</formula>
    </cfRule>
  </conditionalFormatting>
  <conditionalFormatting sqref="C729:D730">
    <cfRule type="containsText" dxfId="3524" priority="3868" operator="containsText" text="SI">
      <formula>NOT(ISERROR(SEARCH("SI",C729)))</formula>
    </cfRule>
    <cfRule type="containsText" dxfId="3523" priority="3869" operator="containsText" text="NO">
      <formula>NOT(ISERROR(SEARCH("NO",C729)))</formula>
    </cfRule>
  </conditionalFormatting>
  <conditionalFormatting sqref="E729:E730">
    <cfRule type="containsText" dxfId="3522" priority="3867" operator="containsText" text="Sin información">
      <formula>NOT(ISERROR(SEARCH("Sin información",E729)))</formula>
    </cfRule>
  </conditionalFormatting>
  <conditionalFormatting sqref="C729:E730">
    <cfRule type="containsText" dxfId="3521" priority="3866" operator="containsText" text="NUEVO">
      <formula>NOT(ISERROR(SEARCH("NUEVO",C729)))</formula>
    </cfRule>
  </conditionalFormatting>
  <conditionalFormatting sqref="C731:D731">
    <cfRule type="containsText" dxfId="3520" priority="3865" operator="containsText" text="NO+$D$4:$D$10">
      <formula>NOT(ISERROR(SEARCH("NO+$D$4:$D$10",C731)))</formula>
    </cfRule>
  </conditionalFormatting>
  <conditionalFormatting sqref="C731:D731">
    <cfRule type="containsText" dxfId="3519" priority="3863" operator="containsText" text="SI">
      <formula>NOT(ISERROR(SEARCH("SI",C731)))</formula>
    </cfRule>
    <cfRule type="containsText" dxfId="3518" priority="3864" operator="containsText" text="NO">
      <formula>NOT(ISERROR(SEARCH("NO",C731)))</formula>
    </cfRule>
  </conditionalFormatting>
  <conditionalFormatting sqref="E731">
    <cfRule type="containsText" dxfId="3517" priority="3862" operator="containsText" text="Sin información">
      <formula>NOT(ISERROR(SEARCH("Sin información",E731)))</formula>
    </cfRule>
  </conditionalFormatting>
  <conditionalFormatting sqref="C731:E731">
    <cfRule type="containsText" dxfId="3516" priority="3861" operator="containsText" text="NUEVO">
      <formula>NOT(ISERROR(SEARCH("NUEVO",C731)))</formula>
    </cfRule>
  </conditionalFormatting>
  <conditionalFormatting sqref="E732">
    <cfRule type="containsText" dxfId="3515" priority="3857" operator="containsText" text="Sin información">
      <formula>NOT(ISERROR(SEARCH("Sin información",E732)))</formula>
    </cfRule>
  </conditionalFormatting>
  <conditionalFormatting sqref="C732:E732">
    <cfRule type="containsText" dxfId="3514" priority="3856" operator="containsText" text="NUEVO">
      <formula>NOT(ISERROR(SEARCH("NUEVO",C732)))</formula>
    </cfRule>
  </conditionalFormatting>
  <conditionalFormatting sqref="C732:D732">
    <cfRule type="containsText" dxfId="3513" priority="3860" operator="containsText" text="NO+$D$4:$D$10">
      <formula>NOT(ISERROR(SEARCH("NO+$D$4:$D$10",C732)))</formula>
    </cfRule>
  </conditionalFormatting>
  <conditionalFormatting sqref="C732:D732">
    <cfRule type="containsText" dxfId="3512" priority="3858" operator="containsText" text="SI">
      <formula>NOT(ISERROR(SEARCH("SI",C732)))</formula>
    </cfRule>
    <cfRule type="containsText" dxfId="3511" priority="3859" operator="containsText" text="NO">
      <formula>NOT(ISERROR(SEARCH("NO",C732)))</formula>
    </cfRule>
  </conditionalFormatting>
  <conditionalFormatting sqref="C733:D733">
    <cfRule type="containsText" dxfId="3510" priority="3855" operator="containsText" text="NO+$D$4:$D$10">
      <formula>NOT(ISERROR(SEARCH("NO+$D$4:$D$10",C733)))</formula>
    </cfRule>
  </conditionalFormatting>
  <conditionalFormatting sqref="C733:D733">
    <cfRule type="containsText" dxfId="3509" priority="3853" operator="containsText" text="SI">
      <formula>NOT(ISERROR(SEARCH("SI",C733)))</formula>
    </cfRule>
    <cfRule type="containsText" dxfId="3508" priority="3854" operator="containsText" text="NO">
      <formula>NOT(ISERROR(SEARCH("NO",C733)))</formula>
    </cfRule>
  </conditionalFormatting>
  <conditionalFormatting sqref="E733">
    <cfRule type="containsText" dxfId="3507" priority="3852" operator="containsText" text="Sin información">
      <formula>NOT(ISERROR(SEARCH("Sin información",E733)))</formula>
    </cfRule>
  </conditionalFormatting>
  <conditionalFormatting sqref="C733:E733">
    <cfRule type="containsText" dxfId="3506" priority="3851" operator="containsText" text="NUEVO">
      <formula>NOT(ISERROR(SEARCH("NUEVO",C733)))</formula>
    </cfRule>
  </conditionalFormatting>
  <conditionalFormatting sqref="C734:D735">
    <cfRule type="containsText" dxfId="3505" priority="3850" operator="containsText" text="NO+$D$4:$D$10">
      <formula>NOT(ISERROR(SEARCH("NO+$D$4:$D$10",C734)))</formula>
    </cfRule>
  </conditionalFormatting>
  <conditionalFormatting sqref="C734:D735">
    <cfRule type="containsText" dxfId="3504" priority="3848" operator="containsText" text="SI">
      <formula>NOT(ISERROR(SEARCH("SI",C734)))</formula>
    </cfRule>
    <cfRule type="containsText" dxfId="3503" priority="3849" operator="containsText" text="NO">
      <formula>NOT(ISERROR(SEARCH("NO",C734)))</formula>
    </cfRule>
  </conditionalFormatting>
  <conditionalFormatting sqref="E734:E735">
    <cfRule type="containsText" dxfId="3502" priority="3847" operator="containsText" text="Sin información">
      <formula>NOT(ISERROR(SEARCH("Sin información",E734)))</formula>
    </cfRule>
  </conditionalFormatting>
  <conditionalFormatting sqref="C734:E735">
    <cfRule type="containsText" dxfId="3501" priority="3846" operator="containsText" text="NUEVO">
      <formula>NOT(ISERROR(SEARCH("NUEVO",C734)))</formula>
    </cfRule>
  </conditionalFormatting>
  <conditionalFormatting sqref="C736:D736">
    <cfRule type="containsText" dxfId="3500" priority="3845" operator="containsText" text="NO+$D$4:$D$10">
      <formula>NOT(ISERROR(SEARCH("NO+$D$4:$D$10",C736)))</formula>
    </cfRule>
  </conditionalFormatting>
  <conditionalFormatting sqref="C736:D736">
    <cfRule type="containsText" dxfId="3499" priority="3843" operator="containsText" text="SI">
      <formula>NOT(ISERROR(SEARCH("SI",C736)))</formula>
    </cfRule>
    <cfRule type="containsText" dxfId="3498" priority="3844" operator="containsText" text="NO">
      <formula>NOT(ISERROR(SEARCH("NO",C736)))</formula>
    </cfRule>
  </conditionalFormatting>
  <conditionalFormatting sqref="E736">
    <cfRule type="containsText" dxfId="3497" priority="3842" operator="containsText" text="Sin información">
      <formula>NOT(ISERROR(SEARCH("Sin información",E736)))</formula>
    </cfRule>
  </conditionalFormatting>
  <conditionalFormatting sqref="C736:D736">
    <cfRule type="containsText" dxfId="3496" priority="3841" operator="containsText" text="NUEVO">
      <formula>NOT(ISERROR(SEARCH("NUEVO",C736)))</formula>
    </cfRule>
  </conditionalFormatting>
  <conditionalFormatting sqref="E736">
    <cfRule type="containsText" dxfId="3495" priority="3840" operator="containsText" text="Sin información">
      <formula>NOT(ISERROR(SEARCH("Sin información",E736)))</formula>
    </cfRule>
  </conditionalFormatting>
  <conditionalFormatting sqref="C737:D738">
    <cfRule type="containsText" dxfId="3494" priority="3839" operator="containsText" text="NO+$D$4:$D$10">
      <formula>NOT(ISERROR(SEARCH("NO+$D$4:$D$10",C737)))</formula>
    </cfRule>
  </conditionalFormatting>
  <conditionalFormatting sqref="C737:D738">
    <cfRule type="containsText" dxfId="3493" priority="3837" operator="containsText" text="SI">
      <formula>NOT(ISERROR(SEARCH("SI",C737)))</formula>
    </cfRule>
    <cfRule type="containsText" dxfId="3492" priority="3838" operator="containsText" text="NO">
      <formula>NOT(ISERROR(SEARCH("NO",C737)))</formula>
    </cfRule>
  </conditionalFormatting>
  <conditionalFormatting sqref="C737:D738">
    <cfRule type="containsText" dxfId="3491" priority="3836" operator="containsText" text="NUEVO">
      <formula>NOT(ISERROR(SEARCH("NUEVO",C737)))</formula>
    </cfRule>
  </conditionalFormatting>
  <conditionalFormatting sqref="E737:E738">
    <cfRule type="containsText" dxfId="3490" priority="3835" operator="containsText" text="Sin información">
      <formula>NOT(ISERROR(SEARCH("Sin información",E737)))</formula>
    </cfRule>
  </conditionalFormatting>
  <conditionalFormatting sqref="E737:E738">
    <cfRule type="containsText" dxfId="3489" priority="3834" operator="containsText" text="NUEVO">
      <formula>NOT(ISERROR(SEARCH("NUEVO",E737)))</formula>
    </cfRule>
  </conditionalFormatting>
  <conditionalFormatting sqref="C739:D742">
    <cfRule type="containsText" dxfId="3488" priority="3833" operator="containsText" text="NO+$D$4:$D$10">
      <formula>NOT(ISERROR(SEARCH("NO+$D$4:$D$10",C739)))</formula>
    </cfRule>
  </conditionalFormatting>
  <conditionalFormatting sqref="C739:D742">
    <cfRule type="containsText" dxfId="3487" priority="3831" operator="containsText" text="SI">
      <formula>NOT(ISERROR(SEARCH("SI",C739)))</formula>
    </cfRule>
    <cfRule type="containsText" dxfId="3486" priority="3832" operator="containsText" text="NO">
      <formula>NOT(ISERROR(SEARCH("NO",C739)))</formula>
    </cfRule>
  </conditionalFormatting>
  <conditionalFormatting sqref="E741">
    <cfRule type="containsText" dxfId="3485" priority="3830" operator="containsText" text="Sin información">
      <formula>NOT(ISERROR(SEARCH("Sin información",E741)))</formula>
    </cfRule>
  </conditionalFormatting>
  <conditionalFormatting sqref="E741 C739:D742">
    <cfRule type="containsText" dxfId="3484" priority="3829" operator="containsText" text="NUEVO">
      <formula>NOT(ISERROR(SEARCH("NUEVO",C739)))</formula>
    </cfRule>
  </conditionalFormatting>
  <conditionalFormatting sqref="E742">
    <cfRule type="containsText" dxfId="3483" priority="3828" operator="containsText" text="Sin información">
      <formula>NOT(ISERROR(SEARCH("Sin información",E742)))</formula>
    </cfRule>
  </conditionalFormatting>
  <conditionalFormatting sqref="E742">
    <cfRule type="containsText" dxfId="3482" priority="3827" operator="containsText" text="NUEVO">
      <formula>NOT(ISERROR(SEARCH("NUEVO",E742)))</formula>
    </cfRule>
  </conditionalFormatting>
  <conditionalFormatting sqref="E740">
    <cfRule type="containsText" dxfId="3481" priority="3823" operator="containsText" text="NUEVO">
      <formula>NOT(ISERROR(SEARCH("NUEVO",E740)))</formula>
    </cfRule>
  </conditionalFormatting>
  <conditionalFormatting sqref="E739">
    <cfRule type="containsText" dxfId="3480" priority="3826" operator="containsText" text="Sin información">
      <formula>NOT(ISERROR(SEARCH("Sin información",E739)))</formula>
    </cfRule>
  </conditionalFormatting>
  <conditionalFormatting sqref="E739">
    <cfRule type="containsText" dxfId="3479" priority="3825" operator="containsText" text="NUEVO">
      <formula>NOT(ISERROR(SEARCH("NUEVO",E739)))</formula>
    </cfRule>
  </conditionalFormatting>
  <conditionalFormatting sqref="E740">
    <cfRule type="containsText" dxfId="3478" priority="3824" operator="containsText" text="Sin información">
      <formula>NOT(ISERROR(SEARCH("Sin información",E740)))</formula>
    </cfRule>
  </conditionalFormatting>
  <conditionalFormatting sqref="C743:D743">
    <cfRule type="containsText" dxfId="3477" priority="3822" operator="containsText" text="NO+$D$4:$D$10">
      <formula>NOT(ISERROR(SEARCH("NO+$D$4:$D$10",C743)))</formula>
    </cfRule>
  </conditionalFormatting>
  <conditionalFormatting sqref="C743:D743">
    <cfRule type="containsText" dxfId="3476" priority="3820" operator="containsText" text="SI">
      <formula>NOT(ISERROR(SEARCH("SI",C743)))</formula>
    </cfRule>
    <cfRule type="containsText" dxfId="3475" priority="3821" operator="containsText" text="NO">
      <formula>NOT(ISERROR(SEARCH("NO",C743)))</formula>
    </cfRule>
  </conditionalFormatting>
  <conditionalFormatting sqref="C743:D743">
    <cfRule type="containsText" dxfId="3474" priority="3819" operator="containsText" text="NUEVO">
      <formula>NOT(ISERROR(SEARCH("NUEVO",C743)))</formula>
    </cfRule>
  </conditionalFormatting>
  <conditionalFormatting sqref="E743">
    <cfRule type="containsText" dxfId="3473" priority="3818" operator="containsText" text="Sin información">
      <formula>NOT(ISERROR(SEARCH("Sin información",E743)))</formula>
    </cfRule>
  </conditionalFormatting>
  <conditionalFormatting sqref="E743">
    <cfRule type="containsText" dxfId="3472" priority="3817" operator="containsText" text="NUEVO">
      <formula>NOT(ISERROR(SEARCH("NUEVO",E743)))</formula>
    </cfRule>
  </conditionalFormatting>
  <conditionalFormatting sqref="C744:D744">
    <cfRule type="containsText" dxfId="3471" priority="3816" operator="containsText" text="NO+$D$4:$D$10">
      <formula>NOT(ISERROR(SEARCH("NO+$D$4:$D$10",C744)))</formula>
    </cfRule>
  </conditionalFormatting>
  <conditionalFormatting sqref="C744:D744">
    <cfRule type="containsText" dxfId="3470" priority="3814" operator="containsText" text="SI">
      <formula>NOT(ISERROR(SEARCH("SI",C744)))</formula>
    </cfRule>
    <cfRule type="containsText" dxfId="3469" priority="3815" operator="containsText" text="NO">
      <formula>NOT(ISERROR(SEARCH("NO",C744)))</formula>
    </cfRule>
  </conditionalFormatting>
  <conditionalFormatting sqref="E744">
    <cfRule type="containsText" dxfId="3468" priority="3813" operator="containsText" text="Sin información">
      <formula>NOT(ISERROR(SEARCH("Sin información",E744)))</formula>
    </cfRule>
  </conditionalFormatting>
  <conditionalFormatting sqref="C744:E744">
    <cfRule type="containsText" dxfId="3467" priority="3812" operator="containsText" text="NUEVO">
      <formula>NOT(ISERROR(SEARCH("NUEVO",C744)))</formula>
    </cfRule>
  </conditionalFormatting>
  <conditionalFormatting sqref="F744">
    <cfRule type="containsText" dxfId="3466" priority="3811" operator="containsText" text="NO+$D$4:$D$10">
      <formula>NOT(ISERROR(SEARCH("NO+$D$4:$D$10",F744)))</formula>
    </cfRule>
  </conditionalFormatting>
  <conditionalFormatting sqref="F744">
    <cfRule type="containsText" dxfId="3465" priority="3809" operator="containsText" text="SI">
      <formula>NOT(ISERROR(SEARCH("SI",F744)))</formula>
    </cfRule>
    <cfRule type="containsText" dxfId="3464" priority="3810" operator="containsText" text="NO">
      <formula>NOT(ISERROR(SEARCH("NO",F744)))</formula>
    </cfRule>
  </conditionalFormatting>
  <conditionalFormatting sqref="F744">
    <cfRule type="containsText" dxfId="3463" priority="3808" operator="containsText" text="NUEVO">
      <formula>NOT(ISERROR(SEARCH("NUEVO",F744)))</formula>
    </cfRule>
  </conditionalFormatting>
  <conditionalFormatting sqref="C745:D745">
    <cfRule type="containsText" dxfId="3462" priority="3807" operator="containsText" text="NO+$D$4:$D$10">
      <formula>NOT(ISERROR(SEARCH("NO+$D$4:$D$10",C745)))</formula>
    </cfRule>
  </conditionalFormatting>
  <conditionalFormatting sqref="C745:D745">
    <cfRule type="containsText" dxfId="3461" priority="3805" operator="containsText" text="SI">
      <formula>NOT(ISERROR(SEARCH("SI",C745)))</formula>
    </cfRule>
    <cfRule type="containsText" dxfId="3460" priority="3806" operator="containsText" text="NO">
      <formula>NOT(ISERROR(SEARCH("NO",C745)))</formula>
    </cfRule>
  </conditionalFormatting>
  <conditionalFormatting sqref="E745">
    <cfRule type="containsText" dxfId="3459" priority="3804" operator="containsText" text="Sin información">
      <formula>NOT(ISERROR(SEARCH("Sin información",E745)))</formula>
    </cfRule>
  </conditionalFormatting>
  <conditionalFormatting sqref="C745:E745">
    <cfRule type="containsText" dxfId="3458" priority="3803" operator="containsText" text="NUEVO">
      <formula>NOT(ISERROR(SEARCH("NUEVO",C745)))</formula>
    </cfRule>
  </conditionalFormatting>
  <conditionalFormatting sqref="F745">
    <cfRule type="containsText" dxfId="3457" priority="3802" operator="containsText" text="NO+$D$4:$D$10">
      <formula>NOT(ISERROR(SEARCH("NO+$D$4:$D$10",F745)))</formula>
    </cfRule>
  </conditionalFormatting>
  <conditionalFormatting sqref="F745">
    <cfRule type="containsText" dxfId="3456" priority="3800" operator="containsText" text="SI">
      <formula>NOT(ISERROR(SEARCH("SI",F745)))</formula>
    </cfRule>
    <cfRule type="containsText" dxfId="3455" priority="3801" operator="containsText" text="NO">
      <formula>NOT(ISERROR(SEARCH("NO",F745)))</formula>
    </cfRule>
  </conditionalFormatting>
  <conditionalFormatting sqref="F745">
    <cfRule type="containsText" dxfId="3454" priority="3799" operator="containsText" text="NUEVO">
      <formula>NOT(ISERROR(SEARCH("NUEVO",F745)))</formula>
    </cfRule>
  </conditionalFormatting>
  <conditionalFormatting sqref="C746:D746">
    <cfRule type="containsText" dxfId="3453" priority="3798" operator="containsText" text="NO+$D$4:$D$10">
      <formula>NOT(ISERROR(SEARCH("NO+$D$4:$D$10",C746)))</formula>
    </cfRule>
  </conditionalFormatting>
  <conditionalFormatting sqref="C746:D746">
    <cfRule type="containsText" dxfId="3452" priority="3796" operator="containsText" text="SI">
      <formula>NOT(ISERROR(SEARCH("SI",C746)))</formula>
    </cfRule>
    <cfRule type="containsText" dxfId="3451" priority="3797" operator="containsText" text="NO">
      <formula>NOT(ISERROR(SEARCH("NO",C746)))</formula>
    </cfRule>
  </conditionalFormatting>
  <conditionalFormatting sqref="E746">
    <cfRule type="containsText" dxfId="3450" priority="3795" operator="containsText" text="Sin información">
      <formula>NOT(ISERROR(SEARCH("Sin información",E746)))</formula>
    </cfRule>
  </conditionalFormatting>
  <conditionalFormatting sqref="C746:E746">
    <cfRule type="containsText" dxfId="3449" priority="3794" operator="containsText" text="NUEVO">
      <formula>NOT(ISERROR(SEARCH("NUEVO",C746)))</formula>
    </cfRule>
  </conditionalFormatting>
  <conditionalFormatting sqref="F746">
    <cfRule type="containsText" dxfId="3448" priority="3793" operator="containsText" text="NO+$D$4:$D$10">
      <formula>NOT(ISERROR(SEARCH("NO+$D$4:$D$10",F746)))</formula>
    </cfRule>
  </conditionalFormatting>
  <conditionalFormatting sqref="F746">
    <cfRule type="containsText" dxfId="3447" priority="3791" operator="containsText" text="SI">
      <formula>NOT(ISERROR(SEARCH("SI",F746)))</formula>
    </cfRule>
    <cfRule type="containsText" dxfId="3446" priority="3792" operator="containsText" text="NO">
      <formula>NOT(ISERROR(SEARCH("NO",F746)))</formula>
    </cfRule>
  </conditionalFormatting>
  <conditionalFormatting sqref="F746">
    <cfRule type="containsText" dxfId="3445" priority="3790" operator="containsText" text="NUEVO">
      <formula>NOT(ISERROR(SEARCH("NUEVO",F746)))</formula>
    </cfRule>
  </conditionalFormatting>
  <conditionalFormatting sqref="C747:D747">
    <cfRule type="containsText" dxfId="3444" priority="3789" operator="containsText" text="NO+$D$4:$D$10">
      <formula>NOT(ISERROR(SEARCH("NO+$D$4:$D$10",C747)))</formula>
    </cfRule>
  </conditionalFormatting>
  <conditionalFormatting sqref="C747:D747">
    <cfRule type="containsText" dxfId="3443" priority="3787" operator="containsText" text="SI">
      <formula>NOT(ISERROR(SEARCH("SI",C747)))</formula>
    </cfRule>
    <cfRule type="containsText" dxfId="3442" priority="3788" operator="containsText" text="NO">
      <formula>NOT(ISERROR(SEARCH("NO",C747)))</formula>
    </cfRule>
  </conditionalFormatting>
  <conditionalFormatting sqref="E747">
    <cfRule type="containsText" dxfId="3441" priority="3786" operator="containsText" text="Sin información">
      <formula>NOT(ISERROR(SEARCH("Sin información",E747)))</formula>
    </cfRule>
  </conditionalFormatting>
  <conditionalFormatting sqref="C747:E747">
    <cfRule type="containsText" dxfId="3440" priority="3785" operator="containsText" text="NUEVO">
      <formula>NOT(ISERROR(SEARCH("NUEVO",C747)))</formula>
    </cfRule>
  </conditionalFormatting>
  <conditionalFormatting sqref="F747">
    <cfRule type="containsText" dxfId="3439" priority="3784" operator="containsText" text="NO+$D$4:$D$10">
      <formula>NOT(ISERROR(SEARCH("NO+$D$4:$D$10",F747)))</formula>
    </cfRule>
  </conditionalFormatting>
  <conditionalFormatting sqref="F747">
    <cfRule type="containsText" dxfId="3438" priority="3782" operator="containsText" text="SI">
      <formula>NOT(ISERROR(SEARCH("SI",F747)))</formula>
    </cfRule>
    <cfRule type="containsText" dxfId="3437" priority="3783" operator="containsText" text="NO">
      <formula>NOT(ISERROR(SEARCH("NO",F747)))</formula>
    </cfRule>
  </conditionalFormatting>
  <conditionalFormatting sqref="F747">
    <cfRule type="containsText" dxfId="3436" priority="3781" operator="containsText" text="NUEVO">
      <formula>NOT(ISERROR(SEARCH("NUEVO",F747)))</formula>
    </cfRule>
  </conditionalFormatting>
  <conditionalFormatting sqref="C748:D749">
    <cfRule type="containsText" dxfId="3435" priority="3780" operator="containsText" text="NO+$D$4:$D$10">
      <formula>NOT(ISERROR(SEARCH("NO+$D$4:$D$10",C748)))</formula>
    </cfRule>
  </conditionalFormatting>
  <conditionalFormatting sqref="C748:D749">
    <cfRule type="containsText" dxfId="3434" priority="3778" operator="containsText" text="SI">
      <formula>NOT(ISERROR(SEARCH("SI",C748)))</formula>
    </cfRule>
    <cfRule type="containsText" dxfId="3433" priority="3779" operator="containsText" text="NO">
      <formula>NOT(ISERROR(SEARCH("NO",C748)))</formula>
    </cfRule>
  </conditionalFormatting>
  <conditionalFormatting sqref="E748">
    <cfRule type="containsText" dxfId="3432" priority="3777" operator="containsText" text="Sin información">
      <formula>NOT(ISERROR(SEARCH("Sin información",E748)))</formula>
    </cfRule>
  </conditionalFormatting>
  <conditionalFormatting sqref="C748:E749">
    <cfRule type="containsText" dxfId="3431" priority="3776" operator="containsText" text="NUEVO">
      <formula>NOT(ISERROR(SEARCH("NUEVO",C748)))</formula>
    </cfRule>
  </conditionalFormatting>
  <conditionalFormatting sqref="E749">
    <cfRule type="containsText" dxfId="3430" priority="3775" operator="containsText" text="Sin información">
      <formula>NOT(ISERROR(SEARCH("Sin información",E749)))</formula>
    </cfRule>
  </conditionalFormatting>
  <conditionalFormatting sqref="F748:F749">
    <cfRule type="containsText" dxfId="3429" priority="3774" operator="containsText" text="NO+$D$4:$D$10">
      <formula>NOT(ISERROR(SEARCH("NO+$D$4:$D$10",F748)))</formula>
    </cfRule>
  </conditionalFormatting>
  <conditionalFormatting sqref="F748:F749">
    <cfRule type="containsText" dxfId="3428" priority="3772" operator="containsText" text="SI">
      <formula>NOT(ISERROR(SEARCH("SI",F748)))</formula>
    </cfRule>
    <cfRule type="containsText" dxfId="3427" priority="3773" operator="containsText" text="NO">
      <formula>NOT(ISERROR(SEARCH("NO",F748)))</formula>
    </cfRule>
  </conditionalFormatting>
  <conditionalFormatting sqref="F748:F749">
    <cfRule type="containsText" dxfId="3426" priority="3771" operator="containsText" text="NUEVO">
      <formula>NOT(ISERROR(SEARCH("NUEVO",F748)))</formula>
    </cfRule>
  </conditionalFormatting>
  <conditionalFormatting sqref="C750:D750">
    <cfRule type="containsText" dxfId="3425" priority="3770" operator="containsText" text="NO+$D$4:$D$10">
      <formula>NOT(ISERROR(SEARCH("NO+$D$4:$D$10",C750)))</formula>
    </cfRule>
  </conditionalFormatting>
  <conditionalFormatting sqref="C750:D750">
    <cfRule type="containsText" dxfId="3424" priority="3768" operator="containsText" text="SI">
      <formula>NOT(ISERROR(SEARCH("SI",C750)))</formula>
    </cfRule>
    <cfRule type="containsText" dxfId="3423" priority="3769" operator="containsText" text="NO">
      <formula>NOT(ISERROR(SEARCH("NO",C750)))</formula>
    </cfRule>
  </conditionalFormatting>
  <conditionalFormatting sqref="E750">
    <cfRule type="containsText" dxfId="3422" priority="3767" operator="containsText" text="Sin información">
      <formula>NOT(ISERROR(SEARCH("Sin información",E750)))</formula>
    </cfRule>
  </conditionalFormatting>
  <conditionalFormatting sqref="C750:E750">
    <cfRule type="containsText" dxfId="3421" priority="3766" operator="containsText" text="NUEVO">
      <formula>NOT(ISERROR(SEARCH("NUEVO",C750)))</formula>
    </cfRule>
  </conditionalFormatting>
  <conditionalFormatting sqref="F750">
    <cfRule type="containsText" dxfId="3420" priority="3765" operator="containsText" text="NO+$D$4:$D$10">
      <formula>NOT(ISERROR(SEARCH("NO+$D$4:$D$10",F750)))</formula>
    </cfRule>
  </conditionalFormatting>
  <conditionalFormatting sqref="F750">
    <cfRule type="containsText" dxfId="3419" priority="3763" operator="containsText" text="SI">
      <formula>NOT(ISERROR(SEARCH("SI",F750)))</formula>
    </cfRule>
    <cfRule type="containsText" dxfId="3418" priority="3764" operator="containsText" text="NO">
      <formula>NOT(ISERROR(SEARCH("NO",F750)))</formula>
    </cfRule>
  </conditionalFormatting>
  <conditionalFormatting sqref="F750">
    <cfRule type="containsText" dxfId="3417" priority="3762" operator="containsText" text="NUEVO">
      <formula>NOT(ISERROR(SEARCH("NUEVO",F750)))</formula>
    </cfRule>
  </conditionalFormatting>
  <conditionalFormatting sqref="C751:D751">
    <cfRule type="containsText" dxfId="3416" priority="3761" operator="containsText" text="NO+$D$4:$D$10">
      <formula>NOT(ISERROR(SEARCH("NO+$D$4:$D$10",C751)))</formula>
    </cfRule>
  </conditionalFormatting>
  <conditionalFormatting sqref="C751:D751">
    <cfRule type="containsText" dxfId="3415" priority="3759" operator="containsText" text="SI">
      <formula>NOT(ISERROR(SEARCH("SI",C751)))</formula>
    </cfRule>
    <cfRule type="containsText" dxfId="3414" priority="3760" operator="containsText" text="NO">
      <formula>NOT(ISERROR(SEARCH("NO",C751)))</formula>
    </cfRule>
  </conditionalFormatting>
  <conditionalFormatting sqref="E751">
    <cfRule type="containsText" dxfId="3413" priority="3758" operator="containsText" text="Sin información">
      <formula>NOT(ISERROR(SEARCH("Sin información",E751)))</formula>
    </cfRule>
  </conditionalFormatting>
  <conditionalFormatting sqref="C751:E751">
    <cfRule type="containsText" dxfId="3412" priority="3757" operator="containsText" text="NUEVO">
      <formula>NOT(ISERROR(SEARCH("NUEVO",C751)))</formula>
    </cfRule>
  </conditionalFormatting>
  <conditionalFormatting sqref="C752:D753">
    <cfRule type="containsText" dxfId="3411" priority="3756" operator="containsText" text="NO+$D$4:$D$10">
      <formula>NOT(ISERROR(SEARCH("NO+$D$4:$D$10",C752)))</formula>
    </cfRule>
  </conditionalFormatting>
  <conditionalFormatting sqref="C752:D753">
    <cfRule type="containsText" dxfId="3410" priority="3754" operator="containsText" text="SI">
      <formula>NOT(ISERROR(SEARCH("SI",C752)))</formula>
    </cfRule>
    <cfRule type="containsText" dxfId="3409" priority="3755" operator="containsText" text="NO">
      <formula>NOT(ISERROR(SEARCH("NO",C752)))</formula>
    </cfRule>
  </conditionalFormatting>
  <conditionalFormatting sqref="E752:E753">
    <cfRule type="containsText" dxfId="3408" priority="3753" operator="containsText" text="Sin información">
      <formula>NOT(ISERROR(SEARCH("Sin información",E752)))</formula>
    </cfRule>
  </conditionalFormatting>
  <conditionalFormatting sqref="C752:E753">
    <cfRule type="containsText" dxfId="3407" priority="3752" operator="containsText" text="NUEVO">
      <formula>NOT(ISERROR(SEARCH("NUEVO",C752)))</formula>
    </cfRule>
  </conditionalFormatting>
  <conditionalFormatting sqref="C754:D754">
    <cfRule type="containsText" dxfId="3406" priority="3751" operator="containsText" text="NO+$D$4:$D$10">
      <formula>NOT(ISERROR(SEARCH("NO+$D$4:$D$10",C754)))</formula>
    </cfRule>
  </conditionalFormatting>
  <conditionalFormatting sqref="C754:D754">
    <cfRule type="containsText" dxfId="3405" priority="3749" operator="containsText" text="SI">
      <formula>NOT(ISERROR(SEARCH("SI",C754)))</formula>
    </cfRule>
    <cfRule type="containsText" dxfId="3404" priority="3750" operator="containsText" text="NO">
      <formula>NOT(ISERROR(SEARCH("NO",C754)))</formula>
    </cfRule>
  </conditionalFormatting>
  <conditionalFormatting sqref="C754:D754">
    <cfRule type="containsText" dxfId="3403" priority="3748" operator="containsText" text="NUEVO">
      <formula>NOT(ISERROR(SEARCH("NUEVO",C754)))</formula>
    </cfRule>
  </conditionalFormatting>
  <conditionalFormatting sqref="E754">
    <cfRule type="containsText" dxfId="3402" priority="3747" operator="containsText" text="Sin información">
      <formula>NOT(ISERROR(SEARCH("Sin información",E754)))</formula>
    </cfRule>
  </conditionalFormatting>
  <conditionalFormatting sqref="E754">
    <cfRule type="containsText" dxfId="3401" priority="3746" operator="containsText" text="NUEVO">
      <formula>NOT(ISERROR(SEARCH("NUEVO",E754)))</formula>
    </cfRule>
  </conditionalFormatting>
  <conditionalFormatting sqref="C755:D756">
    <cfRule type="containsText" dxfId="3400" priority="3745" operator="containsText" text="NO+$D$4:$D$10">
      <formula>NOT(ISERROR(SEARCH("NO+$D$4:$D$10",C755)))</formula>
    </cfRule>
  </conditionalFormatting>
  <conditionalFormatting sqref="C755:D756">
    <cfRule type="containsText" dxfId="3399" priority="3743" operator="containsText" text="SI">
      <formula>NOT(ISERROR(SEARCH("SI",C755)))</formula>
    </cfRule>
    <cfRule type="containsText" dxfId="3398" priority="3744" operator="containsText" text="NO">
      <formula>NOT(ISERROR(SEARCH("NO",C755)))</formula>
    </cfRule>
  </conditionalFormatting>
  <conditionalFormatting sqref="C755:D756">
    <cfRule type="containsText" dxfId="3397" priority="3742" operator="containsText" text="NUEVO">
      <formula>NOT(ISERROR(SEARCH("NUEVO",C755)))</formula>
    </cfRule>
  </conditionalFormatting>
  <conditionalFormatting sqref="E755:E756">
    <cfRule type="containsText" dxfId="3396" priority="3741" operator="containsText" text="Sin información">
      <formula>NOT(ISERROR(SEARCH("Sin información",E755)))</formula>
    </cfRule>
  </conditionalFormatting>
  <conditionalFormatting sqref="E755:E756">
    <cfRule type="containsText" dxfId="3395" priority="3740" operator="containsText" text="NUEVO">
      <formula>NOT(ISERROR(SEARCH("NUEVO",E755)))</formula>
    </cfRule>
  </conditionalFormatting>
  <conditionalFormatting sqref="E757 E760">
    <cfRule type="containsText" dxfId="3394" priority="3739" operator="containsText" text="Sin información">
      <formula>NOT(ISERROR(SEARCH("Sin información",E757)))</formula>
    </cfRule>
  </conditionalFormatting>
  <conditionalFormatting sqref="E760 E757">
    <cfRule type="containsText" dxfId="3393" priority="3738" operator="containsText" text="NUEVO">
      <formula>NOT(ISERROR(SEARCH("NUEVO",E757)))</formula>
    </cfRule>
  </conditionalFormatting>
  <conditionalFormatting sqref="E759">
    <cfRule type="containsText" dxfId="3392" priority="3737" operator="containsText" text="Sin información">
      <formula>NOT(ISERROR(SEARCH("Sin información",E759)))</formula>
    </cfRule>
  </conditionalFormatting>
  <conditionalFormatting sqref="E759">
    <cfRule type="containsText" dxfId="3391" priority="3736" operator="containsText" text="NUEVO">
      <formula>NOT(ISERROR(SEARCH("NUEVO",E759)))</formula>
    </cfRule>
  </conditionalFormatting>
  <conditionalFormatting sqref="C762:D763">
    <cfRule type="containsText" dxfId="3390" priority="3735" operator="containsText" text="NO+$D$4:$D$10">
      <formula>NOT(ISERROR(SEARCH("NO+$D$4:$D$10",C762)))</formula>
    </cfRule>
  </conditionalFormatting>
  <conditionalFormatting sqref="C762:D763">
    <cfRule type="containsText" dxfId="3389" priority="3733" operator="containsText" text="SI">
      <formula>NOT(ISERROR(SEARCH("SI",C762)))</formula>
    </cfRule>
    <cfRule type="containsText" dxfId="3388" priority="3734" operator="containsText" text="NO">
      <formula>NOT(ISERROR(SEARCH("NO",C762)))</formula>
    </cfRule>
  </conditionalFormatting>
  <conditionalFormatting sqref="E762:E763">
    <cfRule type="containsText" dxfId="3387" priority="3732" operator="containsText" text="Sin información">
      <formula>NOT(ISERROR(SEARCH("Sin información",E762)))</formula>
    </cfRule>
  </conditionalFormatting>
  <conditionalFormatting sqref="C762:E763">
    <cfRule type="containsText" dxfId="3386" priority="3731" operator="containsText" text="NUEVO">
      <formula>NOT(ISERROR(SEARCH("NUEVO",C762)))</formula>
    </cfRule>
  </conditionalFormatting>
  <conditionalFormatting sqref="C764:D764">
    <cfRule type="containsText" dxfId="3385" priority="3730" operator="containsText" text="NO+$D$4:$D$10">
      <formula>NOT(ISERROR(SEARCH("NO+$D$4:$D$10",C764)))</formula>
    </cfRule>
  </conditionalFormatting>
  <conditionalFormatting sqref="C764:D764">
    <cfRule type="containsText" dxfId="3384" priority="3728" operator="containsText" text="SI">
      <formula>NOT(ISERROR(SEARCH("SI",C764)))</formula>
    </cfRule>
    <cfRule type="containsText" dxfId="3383" priority="3729" operator="containsText" text="NO">
      <formula>NOT(ISERROR(SEARCH("NO",C764)))</formula>
    </cfRule>
  </conditionalFormatting>
  <conditionalFormatting sqref="E764">
    <cfRule type="containsText" dxfId="3382" priority="3727" operator="containsText" text="Sin información">
      <formula>NOT(ISERROR(SEARCH("Sin información",E764)))</formula>
    </cfRule>
  </conditionalFormatting>
  <conditionalFormatting sqref="C764:E764">
    <cfRule type="containsText" dxfId="3381" priority="3726" operator="containsText" text="NUEVO">
      <formula>NOT(ISERROR(SEARCH("NUEVO",C764)))</formula>
    </cfRule>
  </conditionalFormatting>
  <conditionalFormatting sqref="C766:D766">
    <cfRule type="containsText" dxfId="3380" priority="3725" operator="containsText" text="NO+$D$4:$D$10">
      <formula>NOT(ISERROR(SEARCH("NO+$D$4:$D$10",C766)))</formula>
    </cfRule>
  </conditionalFormatting>
  <conditionalFormatting sqref="C766:D766">
    <cfRule type="containsText" dxfId="3379" priority="3723" operator="containsText" text="SI">
      <formula>NOT(ISERROR(SEARCH("SI",C766)))</formula>
    </cfRule>
    <cfRule type="containsText" dxfId="3378" priority="3724" operator="containsText" text="NO">
      <formula>NOT(ISERROR(SEARCH("NO",C766)))</formula>
    </cfRule>
  </conditionalFormatting>
  <conditionalFormatting sqref="C766:D766">
    <cfRule type="containsText" dxfId="3377" priority="3722" operator="containsText" text="NUEVO">
      <formula>NOT(ISERROR(SEARCH("NUEVO",C766)))</formula>
    </cfRule>
  </conditionalFormatting>
  <conditionalFormatting sqref="E766">
    <cfRule type="containsText" dxfId="3376" priority="3721" operator="containsText" text="Sin información">
      <formula>NOT(ISERROR(SEARCH("Sin información",E766)))</formula>
    </cfRule>
  </conditionalFormatting>
  <conditionalFormatting sqref="E766">
    <cfRule type="containsText" dxfId="3375" priority="3720" operator="containsText" text="NUEVO">
      <formula>NOT(ISERROR(SEARCH("NUEVO",E766)))</formula>
    </cfRule>
  </conditionalFormatting>
  <conditionalFormatting sqref="C767:D767">
    <cfRule type="containsText" dxfId="3374" priority="3719" operator="containsText" text="NO+$D$4:$D$10">
      <formula>NOT(ISERROR(SEARCH("NO+$D$4:$D$10",C767)))</formula>
    </cfRule>
  </conditionalFormatting>
  <conditionalFormatting sqref="C767:D767">
    <cfRule type="containsText" dxfId="3373" priority="3717" operator="containsText" text="SI">
      <formula>NOT(ISERROR(SEARCH("SI",C767)))</formula>
    </cfRule>
    <cfRule type="containsText" dxfId="3372" priority="3718" operator="containsText" text="NO">
      <formula>NOT(ISERROR(SEARCH("NO",C767)))</formula>
    </cfRule>
  </conditionalFormatting>
  <conditionalFormatting sqref="E767">
    <cfRule type="containsText" dxfId="3371" priority="3716" operator="containsText" text="Sin información">
      <formula>NOT(ISERROR(SEARCH("Sin información",E767)))</formula>
    </cfRule>
  </conditionalFormatting>
  <conditionalFormatting sqref="C767:E767">
    <cfRule type="containsText" dxfId="3370" priority="3715" operator="containsText" text="NUEVO">
      <formula>NOT(ISERROR(SEARCH("NUEVO",C767)))</formula>
    </cfRule>
  </conditionalFormatting>
  <conditionalFormatting sqref="C768:D768">
    <cfRule type="containsText" dxfId="3369" priority="3714" operator="containsText" text="NO+$D$4:$D$10">
      <formula>NOT(ISERROR(SEARCH("NO+$D$4:$D$10",C768)))</formula>
    </cfRule>
  </conditionalFormatting>
  <conditionalFormatting sqref="C768:D768">
    <cfRule type="containsText" dxfId="3368" priority="3712" operator="containsText" text="SI">
      <formula>NOT(ISERROR(SEARCH("SI",C768)))</formula>
    </cfRule>
    <cfRule type="containsText" dxfId="3367" priority="3713" operator="containsText" text="NO">
      <formula>NOT(ISERROR(SEARCH("NO",C768)))</formula>
    </cfRule>
  </conditionalFormatting>
  <conditionalFormatting sqref="E768">
    <cfRule type="containsText" dxfId="3366" priority="3711" operator="containsText" text="Sin información">
      <formula>NOT(ISERROR(SEARCH("Sin información",E768)))</formula>
    </cfRule>
  </conditionalFormatting>
  <conditionalFormatting sqref="C768:E768">
    <cfRule type="containsText" dxfId="3365" priority="3710" operator="containsText" text="NUEVO">
      <formula>NOT(ISERROR(SEARCH("NUEVO",C768)))</formula>
    </cfRule>
  </conditionalFormatting>
  <conditionalFormatting sqref="C769:D769">
    <cfRule type="containsText" dxfId="3364" priority="3709" operator="containsText" text="NO+$D$4:$D$10">
      <formula>NOT(ISERROR(SEARCH("NO+$D$4:$D$10",C769)))</formula>
    </cfRule>
  </conditionalFormatting>
  <conditionalFormatting sqref="C769:D769">
    <cfRule type="containsText" dxfId="3363" priority="3707" operator="containsText" text="SI">
      <formula>NOT(ISERROR(SEARCH("SI",C769)))</formula>
    </cfRule>
    <cfRule type="containsText" dxfId="3362" priority="3708" operator="containsText" text="NO">
      <formula>NOT(ISERROR(SEARCH("NO",C769)))</formula>
    </cfRule>
  </conditionalFormatting>
  <conditionalFormatting sqref="E769">
    <cfRule type="containsText" dxfId="3361" priority="3706" operator="containsText" text="Sin información">
      <formula>NOT(ISERROR(SEARCH("Sin información",E769)))</formula>
    </cfRule>
  </conditionalFormatting>
  <conditionalFormatting sqref="C769:D769">
    <cfRule type="containsText" dxfId="3360" priority="3705" operator="containsText" text="NUEVO">
      <formula>NOT(ISERROR(SEARCH("NUEVO",C769)))</formula>
    </cfRule>
  </conditionalFormatting>
  <conditionalFormatting sqref="E769">
    <cfRule type="containsText" dxfId="3359" priority="3704" operator="containsText" text="Sin información">
      <formula>NOT(ISERROR(SEARCH("Sin información",E769)))</formula>
    </cfRule>
  </conditionalFormatting>
  <conditionalFormatting sqref="C770:D770">
    <cfRule type="containsText" dxfId="3358" priority="3703" operator="containsText" text="NO+$D$4:$D$10">
      <formula>NOT(ISERROR(SEARCH("NO+$D$4:$D$10",C770)))</formula>
    </cfRule>
  </conditionalFormatting>
  <conditionalFormatting sqref="C770:D770">
    <cfRule type="containsText" dxfId="3357" priority="3701" operator="containsText" text="SI">
      <formula>NOT(ISERROR(SEARCH("SI",C770)))</formula>
    </cfRule>
    <cfRule type="containsText" dxfId="3356" priority="3702" operator="containsText" text="NO">
      <formula>NOT(ISERROR(SEARCH("NO",C770)))</formula>
    </cfRule>
  </conditionalFormatting>
  <conditionalFormatting sqref="E770">
    <cfRule type="containsText" dxfId="3355" priority="3700" operator="containsText" text="Sin información">
      <formula>NOT(ISERROR(SEARCH("Sin información",E770)))</formula>
    </cfRule>
  </conditionalFormatting>
  <conditionalFormatting sqref="C770:E770">
    <cfRule type="containsText" dxfId="3354" priority="3699" operator="containsText" text="NUEVO">
      <formula>NOT(ISERROR(SEARCH("NUEVO",C770)))</formula>
    </cfRule>
  </conditionalFormatting>
  <conditionalFormatting sqref="C771:D771">
    <cfRule type="containsText" dxfId="3353" priority="3698" operator="containsText" text="NO+$D$4:$D$10">
      <formula>NOT(ISERROR(SEARCH("NO+$D$4:$D$10",C771)))</formula>
    </cfRule>
  </conditionalFormatting>
  <conditionalFormatting sqref="C771:D771">
    <cfRule type="containsText" dxfId="3352" priority="3696" operator="containsText" text="SI">
      <formula>NOT(ISERROR(SEARCH("SI",C771)))</formula>
    </cfRule>
    <cfRule type="containsText" dxfId="3351" priority="3697" operator="containsText" text="NO">
      <formula>NOT(ISERROR(SEARCH("NO",C771)))</formula>
    </cfRule>
  </conditionalFormatting>
  <conditionalFormatting sqref="E771">
    <cfRule type="containsText" dxfId="3350" priority="3695" operator="containsText" text="Sin información">
      <formula>NOT(ISERROR(SEARCH("Sin información",E771)))</formula>
    </cfRule>
  </conditionalFormatting>
  <conditionalFormatting sqref="C771:E771">
    <cfRule type="containsText" dxfId="3349" priority="3694" operator="containsText" text="NUEVO">
      <formula>NOT(ISERROR(SEARCH("NUEVO",C771)))</formula>
    </cfRule>
  </conditionalFormatting>
  <conditionalFormatting sqref="C772:D772">
    <cfRule type="containsText" dxfId="3348" priority="3693" operator="containsText" text="NO+$D$4:$D$10">
      <formula>NOT(ISERROR(SEARCH("NO+$D$4:$D$10",C772)))</formula>
    </cfRule>
  </conditionalFormatting>
  <conditionalFormatting sqref="C772:D772">
    <cfRule type="containsText" dxfId="3347" priority="3691" operator="containsText" text="SI">
      <formula>NOT(ISERROR(SEARCH("SI",C772)))</formula>
    </cfRule>
    <cfRule type="containsText" dxfId="3346" priority="3692" operator="containsText" text="NO">
      <formula>NOT(ISERROR(SEARCH("NO",C772)))</formula>
    </cfRule>
  </conditionalFormatting>
  <conditionalFormatting sqref="E772">
    <cfRule type="containsText" dxfId="3345" priority="3690" operator="containsText" text="Sin información">
      <formula>NOT(ISERROR(SEARCH("Sin información",E772)))</formula>
    </cfRule>
  </conditionalFormatting>
  <conditionalFormatting sqref="C772:E772">
    <cfRule type="containsText" dxfId="3344" priority="3689" operator="containsText" text="NUEVO">
      <formula>NOT(ISERROR(SEARCH("NUEVO",C772)))</formula>
    </cfRule>
  </conditionalFormatting>
  <conditionalFormatting sqref="C773:D774">
    <cfRule type="containsText" dxfId="3343" priority="3688" operator="containsText" text="NO+$D$4:$D$10">
      <formula>NOT(ISERROR(SEARCH("NO+$D$4:$D$10",C773)))</formula>
    </cfRule>
  </conditionalFormatting>
  <conditionalFormatting sqref="C773:D774">
    <cfRule type="containsText" dxfId="3342" priority="3686" operator="containsText" text="SI">
      <formula>NOT(ISERROR(SEARCH("SI",C773)))</formula>
    </cfRule>
    <cfRule type="containsText" dxfId="3341" priority="3687" operator="containsText" text="NO">
      <formula>NOT(ISERROR(SEARCH("NO",C773)))</formula>
    </cfRule>
  </conditionalFormatting>
  <conditionalFormatting sqref="E773:E774">
    <cfRule type="containsText" dxfId="3340" priority="3685" operator="containsText" text="Sin información">
      <formula>NOT(ISERROR(SEARCH("Sin información",E773)))</formula>
    </cfRule>
  </conditionalFormatting>
  <conditionalFormatting sqref="C773:E774">
    <cfRule type="containsText" dxfId="3339" priority="3684" operator="containsText" text="NUEVO">
      <formula>NOT(ISERROR(SEARCH("NUEVO",C773)))</formula>
    </cfRule>
  </conditionalFormatting>
  <conditionalFormatting sqref="C775:D776">
    <cfRule type="containsText" dxfId="3338" priority="3683" operator="containsText" text="NO+$D$4:$D$10">
      <formula>NOT(ISERROR(SEARCH("NO+$D$4:$D$10",C775)))</formula>
    </cfRule>
  </conditionalFormatting>
  <conditionalFormatting sqref="C775:D776">
    <cfRule type="containsText" dxfId="3337" priority="3681" operator="containsText" text="SI">
      <formula>NOT(ISERROR(SEARCH("SI",C775)))</formula>
    </cfRule>
    <cfRule type="containsText" dxfId="3336" priority="3682" operator="containsText" text="NO">
      <formula>NOT(ISERROR(SEARCH("NO",C775)))</formula>
    </cfRule>
  </conditionalFormatting>
  <conditionalFormatting sqref="E775:E776">
    <cfRule type="containsText" dxfId="3335" priority="3680" operator="containsText" text="Sin información">
      <formula>NOT(ISERROR(SEARCH("Sin información",E775)))</formula>
    </cfRule>
  </conditionalFormatting>
  <conditionalFormatting sqref="C775:E776">
    <cfRule type="containsText" dxfId="3334" priority="3679" operator="containsText" text="NUEVO">
      <formula>NOT(ISERROR(SEARCH("NUEVO",C775)))</formula>
    </cfRule>
  </conditionalFormatting>
  <conditionalFormatting sqref="C777:D779">
    <cfRule type="containsText" dxfId="3333" priority="3678" operator="containsText" text="NO+$D$4:$D$10">
      <formula>NOT(ISERROR(SEARCH("NO+$D$4:$D$10",C777)))</formula>
    </cfRule>
  </conditionalFormatting>
  <conditionalFormatting sqref="C777:D779">
    <cfRule type="containsText" dxfId="3332" priority="3676" operator="containsText" text="SI">
      <formula>NOT(ISERROR(SEARCH("SI",C777)))</formula>
    </cfRule>
    <cfRule type="containsText" dxfId="3331" priority="3677" operator="containsText" text="NO">
      <formula>NOT(ISERROR(SEARCH("NO",C777)))</formula>
    </cfRule>
  </conditionalFormatting>
  <conditionalFormatting sqref="E778:E779">
    <cfRule type="containsText" dxfId="3330" priority="3675" operator="containsText" text="Sin información">
      <formula>NOT(ISERROR(SEARCH("Sin información",E778)))</formula>
    </cfRule>
  </conditionalFormatting>
  <conditionalFormatting sqref="E778:E779 C777:D779">
    <cfRule type="containsText" dxfId="3329" priority="3674" operator="containsText" text="NUEVO">
      <formula>NOT(ISERROR(SEARCH("NUEVO",C777)))</formula>
    </cfRule>
  </conditionalFormatting>
  <conditionalFormatting sqref="E777">
    <cfRule type="containsText" dxfId="3328" priority="3673" operator="containsText" text="Sin información">
      <formula>NOT(ISERROR(SEARCH("Sin información",E777)))</formula>
    </cfRule>
  </conditionalFormatting>
  <conditionalFormatting sqref="E777">
    <cfRule type="containsText" dxfId="3327" priority="3672" operator="containsText" text="NUEVO">
      <formula>NOT(ISERROR(SEARCH("NUEVO",E777)))</formula>
    </cfRule>
  </conditionalFormatting>
  <conditionalFormatting sqref="C781:D781">
    <cfRule type="containsText" dxfId="3326" priority="3671" operator="containsText" text="NUEVO">
      <formula>NOT(ISERROR(SEARCH("NUEVO",C781)))</formula>
    </cfRule>
  </conditionalFormatting>
  <conditionalFormatting sqref="E781">
    <cfRule type="containsText" dxfId="3325" priority="3670" operator="containsText" text="Sin información">
      <formula>NOT(ISERROR(SEARCH("Sin información",E781)))</formula>
    </cfRule>
  </conditionalFormatting>
  <conditionalFormatting sqref="E781">
    <cfRule type="containsText" dxfId="3324" priority="3669" operator="containsText" text="NUEVO">
      <formula>NOT(ISERROR(SEARCH("NUEVO",E781)))</formula>
    </cfRule>
  </conditionalFormatting>
  <conditionalFormatting sqref="C782:D782">
    <cfRule type="containsText" dxfId="3323" priority="3668" operator="containsText" text="NO+$D$4:$D$10">
      <formula>NOT(ISERROR(SEARCH("NO+$D$4:$D$10",C782)))</formula>
    </cfRule>
  </conditionalFormatting>
  <conditionalFormatting sqref="C782:D782">
    <cfRule type="containsText" dxfId="3322" priority="3666" operator="containsText" text="SI">
      <formula>NOT(ISERROR(SEARCH("SI",C782)))</formula>
    </cfRule>
    <cfRule type="containsText" dxfId="3321" priority="3667" operator="containsText" text="NO">
      <formula>NOT(ISERROR(SEARCH("NO",C782)))</formula>
    </cfRule>
  </conditionalFormatting>
  <conditionalFormatting sqref="E782">
    <cfRule type="containsText" dxfId="3320" priority="3665" operator="containsText" text="Sin información">
      <formula>NOT(ISERROR(SEARCH("Sin información",E782)))</formula>
    </cfRule>
  </conditionalFormatting>
  <conditionalFormatting sqref="C782:E782">
    <cfRule type="containsText" dxfId="3319" priority="3664" operator="containsText" text="NUEVO">
      <formula>NOT(ISERROR(SEARCH("NUEVO",C782)))</formula>
    </cfRule>
  </conditionalFormatting>
  <conditionalFormatting sqref="C783:D784">
    <cfRule type="containsText" dxfId="3318" priority="3663" operator="containsText" text="NO+$D$4:$D$10">
      <formula>NOT(ISERROR(SEARCH("NO+$D$4:$D$10",C783)))</formula>
    </cfRule>
  </conditionalFormatting>
  <conditionalFormatting sqref="C783:D784">
    <cfRule type="containsText" dxfId="3317" priority="3661" operator="containsText" text="SI">
      <formula>NOT(ISERROR(SEARCH("SI",C783)))</formula>
    </cfRule>
    <cfRule type="containsText" dxfId="3316" priority="3662" operator="containsText" text="NO">
      <formula>NOT(ISERROR(SEARCH("NO",C783)))</formula>
    </cfRule>
  </conditionalFormatting>
  <conditionalFormatting sqref="E783:E784">
    <cfRule type="containsText" dxfId="3315" priority="3660" operator="containsText" text="Sin información">
      <formula>NOT(ISERROR(SEARCH("Sin información",E783)))</formula>
    </cfRule>
  </conditionalFormatting>
  <conditionalFormatting sqref="C783:E784">
    <cfRule type="containsText" dxfId="3314" priority="3659" operator="containsText" text="NUEVO">
      <formula>NOT(ISERROR(SEARCH("NUEVO",C783)))</formula>
    </cfRule>
  </conditionalFormatting>
  <conditionalFormatting sqref="C785:D785">
    <cfRule type="containsText" dxfId="3313" priority="3658" operator="containsText" text="NO+$D$4:$D$10">
      <formula>NOT(ISERROR(SEARCH("NO+$D$4:$D$10",C785)))</formula>
    </cfRule>
  </conditionalFormatting>
  <conditionalFormatting sqref="C785:D785">
    <cfRule type="containsText" dxfId="3312" priority="3656" operator="containsText" text="SI">
      <formula>NOT(ISERROR(SEARCH("SI",C785)))</formula>
    </cfRule>
    <cfRule type="containsText" dxfId="3311" priority="3657" operator="containsText" text="NO">
      <formula>NOT(ISERROR(SEARCH("NO",C785)))</formula>
    </cfRule>
  </conditionalFormatting>
  <conditionalFormatting sqref="E785">
    <cfRule type="containsText" dxfId="3310" priority="3655" operator="containsText" text="Sin información">
      <formula>NOT(ISERROR(SEARCH("Sin información",E785)))</formula>
    </cfRule>
  </conditionalFormatting>
  <conditionalFormatting sqref="C785:E785">
    <cfRule type="containsText" dxfId="3309" priority="3654" operator="containsText" text="NUEVO">
      <formula>NOT(ISERROR(SEARCH("NUEVO",C785)))</formula>
    </cfRule>
  </conditionalFormatting>
  <conditionalFormatting sqref="C786:D786">
    <cfRule type="containsText" dxfId="3308" priority="3653" operator="containsText" text="NO+$D$4:$D$10">
      <formula>NOT(ISERROR(SEARCH("NO+$D$4:$D$10",C786)))</formula>
    </cfRule>
  </conditionalFormatting>
  <conditionalFormatting sqref="C786:D786">
    <cfRule type="containsText" dxfId="3307" priority="3651" operator="containsText" text="SI">
      <formula>NOT(ISERROR(SEARCH("SI",C786)))</formula>
    </cfRule>
    <cfRule type="containsText" dxfId="3306" priority="3652" operator="containsText" text="NO">
      <formula>NOT(ISERROR(SEARCH("NO",C786)))</formula>
    </cfRule>
  </conditionalFormatting>
  <conditionalFormatting sqref="E786">
    <cfRule type="containsText" dxfId="3305" priority="3650" operator="containsText" text="Sin información">
      <formula>NOT(ISERROR(SEARCH("Sin información",E786)))</formula>
    </cfRule>
  </conditionalFormatting>
  <conditionalFormatting sqref="C786:E786">
    <cfRule type="containsText" dxfId="3304" priority="3649" operator="containsText" text="NUEVO">
      <formula>NOT(ISERROR(SEARCH("NUEVO",C786)))</formula>
    </cfRule>
  </conditionalFormatting>
  <conditionalFormatting sqref="C787:D787">
    <cfRule type="containsText" dxfId="3303" priority="3648" operator="containsText" text="NO+$D$4:$D$10">
      <formula>NOT(ISERROR(SEARCH("NO+$D$4:$D$10",C787)))</formula>
    </cfRule>
  </conditionalFormatting>
  <conditionalFormatting sqref="C787:D787">
    <cfRule type="containsText" dxfId="3302" priority="3646" operator="containsText" text="SI">
      <formula>NOT(ISERROR(SEARCH("SI",C787)))</formula>
    </cfRule>
    <cfRule type="containsText" dxfId="3301" priority="3647" operator="containsText" text="NO">
      <formula>NOT(ISERROR(SEARCH("NO",C787)))</formula>
    </cfRule>
  </conditionalFormatting>
  <conditionalFormatting sqref="E787">
    <cfRule type="containsText" dxfId="3300" priority="3645" operator="containsText" text="Sin información">
      <formula>NOT(ISERROR(SEARCH("Sin información",E787)))</formula>
    </cfRule>
  </conditionalFormatting>
  <conditionalFormatting sqref="C787:E787">
    <cfRule type="containsText" dxfId="3299" priority="3644" operator="containsText" text="NUEVO">
      <formula>NOT(ISERROR(SEARCH("NUEVO",C787)))</formula>
    </cfRule>
  </conditionalFormatting>
  <conditionalFormatting sqref="C788:D788">
    <cfRule type="containsText" dxfId="3298" priority="3643" operator="containsText" text="NO+$D$4:$D$10">
      <formula>NOT(ISERROR(SEARCH("NO+$D$4:$D$10",C788)))</formula>
    </cfRule>
  </conditionalFormatting>
  <conditionalFormatting sqref="C788:D788">
    <cfRule type="containsText" dxfId="3297" priority="3641" operator="containsText" text="SI">
      <formula>NOT(ISERROR(SEARCH("SI",C788)))</formula>
    </cfRule>
    <cfRule type="containsText" dxfId="3296" priority="3642" operator="containsText" text="NO">
      <formula>NOT(ISERROR(SEARCH("NO",C788)))</formula>
    </cfRule>
  </conditionalFormatting>
  <conditionalFormatting sqref="C788:D788">
    <cfRule type="containsText" dxfId="3295" priority="3640" operator="containsText" text="NUEVO">
      <formula>NOT(ISERROR(SEARCH("NUEVO",C788)))</formula>
    </cfRule>
  </conditionalFormatting>
  <conditionalFormatting sqref="E788">
    <cfRule type="containsText" dxfId="3294" priority="3639" operator="containsText" text="Sin información">
      <formula>NOT(ISERROR(SEARCH("Sin información",E788)))</formula>
    </cfRule>
  </conditionalFormatting>
  <conditionalFormatting sqref="E788">
    <cfRule type="containsText" dxfId="3293" priority="3638" operator="containsText" text="NUEVO">
      <formula>NOT(ISERROR(SEARCH("NUEVO",E788)))</formula>
    </cfRule>
  </conditionalFormatting>
  <conditionalFormatting sqref="C789:D790">
    <cfRule type="containsText" dxfId="3292" priority="3637" operator="containsText" text="NO+$D$4:$D$10">
      <formula>NOT(ISERROR(SEARCH("NO+$D$4:$D$10",C789)))</formula>
    </cfRule>
  </conditionalFormatting>
  <conditionalFormatting sqref="C789:D790">
    <cfRule type="containsText" dxfId="3291" priority="3635" operator="containsText" text="SI">
      <formula>NOT(ISERROR(SEARCH("SI",C789)))</formula>
    </cfRule>
    <cfRule type="containsText" dxfId="3290" priority="3636" operator="containsText" text="NO">
      <formula>NOT(ISERROR(SEARCH("NO",C789)))</formula>
    </cfRule>
  </conditionalFormatting>
  <conditionalFormatting sqref="E789:E790">
    <cfRule type="containsText" dxfId="3289" priority="3634" operator="containsText" text="Sin información">
      <formula>NOT(ISERROR(SEARCH("Sin información",E789)))</formula>
    </cfRule>
  </conditionalFormatting>
  <conditionalFormatting sqref="C789:E790">
    <cfRule type="containsText" dxfId="3288" priority="3633" operator="containsText" text="NUEVO">
      <formula>NOT(ISERROR(SEARCH("NUEVO",C789)))</formula>
    </cfRule>
  </conditionalFormatting>
  <conditionalFormatting sqref="E793">
    <cfRule type="containsText" dxfId="3287" priority="3627" operator="containsText" text="Sin información">
      <formula>NOT(ISERROR(SEARCH("Sin información",E793)))</formula>
    </cfRule>
  </conditionalFormatting>
  <conditionalFormatting sqref="E793">
    <cfRule type="containsText" dxfId="3286" priority="3626" operator="containsText" text="NUEVO">
      <formula>NOT(ISERROR(SEARCH("NUEVO",E793)))</formula>
    </cfRule>
  </conditionalFormatting>
  <conditionalFormatting sqref="C794:D794">
    <cfRule type="containsText" dxfId="3285" priority="3625" operator="containsText" text="NO+$D$4:$D$10">
      <formula>NOT(ISERROR(SEARCH("NO+$D$4:$D$10",C794)))</formula>
    </cfRule>
  </conditionalFormatting>
  <conditionalFormatting sqref="C794:D794">
    <cfRule type="containsText" dxfId="3284" priority="3623" operator="containsText" text="SI">
      <formula>NOT(ISERROR(SEARCH("SI",C794)))</formula>
    </cfRule>
    <cfRule type="containsText" dxfId="3283" priority="3624" operator="containsText" text="NO">
      <formula>NOT(ISERROR(SEARCH("NO",C794)))</formula>
    </cfRule>
  </conditionalFormatting>
  <conditionalFormatting sqref="E794">
    <cfRule type="containsText" dxfId="3282" priority="3622" operator="containsText" text="Sin información">
      <formula>NOT(ISERROR(SEARCH("Sin información",E794)))</formula>
    </cfRule>
  </conditionalFormatting>
  <conditionalFormatting sqref="C794:E794">
    <cfRule type="containsText" dxfId="3281" priority="3621" operator="containsText" text="NUEVO">
      <formula>NOT(ISERROR(SEARCH("NUEVO",C794)))</formula>
    </cfRule>
  </conditionalFormatting>
  <conditionalFormatting sqref="C795:D797">
    <cfRule type="containsText" dxfId="3280" priority="3620" operator="containsText" text="NO+$D$4:$D$10">
      <formula>NOT(ISERROR(SEARCH("NO+$D$4:$D$10",C795)))</formula>
    </cfRule>
  </conditionalFormatting>
  <conditionalFormatting sqref="C795:D797">
    <cfRule type="containsText" dxfId="3279" priority="3618" operator="containsText" text="SI">
      <formula>NOT(ISERROR(SEARCH("SI",C795)))</formula>
    </cfRule>
    <cfRule type="containsText" dxfId="3278" priority="3619" operator="containsText" text="NO">
      <formula>NOT(ISERROR(SEARCH("NO",C795)))</formula>
    </cfRule>
  </conditionalFormatting>
  <conditionalFormatting sqref="E795:E797">
    <cfRule type="containsText" dxfId="3277" priority="3617" operator="containsText" text="Sin información">
      <formula>NOT(ISERROR(SEARCH("Sin información",E795)))</formula>
    </cfRule>
  </conditionalFormatting>
  <conditionalFormatting sqref="C795:E797">
    <cfRule type="containsText" dxfId="3276" priority="3616" operator="containsText" text="NUEVO">
      <formula>NOT(ISERROR(SEARCH("NUEVO",C795)))</formula>
    </cfRule>
  </conditionalFormatting>
  <conditionalFormatting sqref="C798:D798">
    <cfRule type="containsText" dxfId="3275" priority="3615" operator="containsText" text="NO+$D$4:$D$10">
      <formula>NOT(ISERROR(SEARCH("NO+$D$4:$D$10",C798)))</formula>
    </cfRule>
  </conditionalFormatting>
  <conditionalFormatting sqref="C798:D798">
    <cfRule type="containsText" dxfId="3274" priority="3613" operator="containsText" text="SI">
      <formula>NOT(ISERROR(SEARCH("SI",C798)))</formula>
    </cfRule>
    <cfRule type="containsText" dxfId="3273" priority="3614" operator="containsText" text="NO">
      <formula>NOT(ISERROR(SEARCH("NO",C798)))</formula>
    </cfRule>
  </conditionalFormatting>
  <conditionalFormatting sqref="E798">
    <cfRule type="containsText" dxfId="3272" priority="3612" operator="containsText" text="Sin información">
      <formula>NOT(ISERROR(SEARCH("Sin información",E798)))</formula>
    </cfRule>
  </conditionalFormatting>
  <conditionalFormatting sqref="C798:E798">
    <cfRule type="containsText" dxfId="3271" priority="3611" operator="containsText" text="NUEVO">
      <formula>NOT(ISERROR(SEARCH("NUEVO",C798)))</formula>
    </cfRule>
  </conditionalFormatting>
  <conditionalFormatting sqref="C799:D801">
    <cfRule type="containsText" dxfId="3270" priority="3610" operator="containsText" text="NO+$D$4:$D$10">
      <formula>NOT(ISERROR(SEARCH("NO+$D$4:$D$10",C799)))</formula>
    </cfRule>
  </conditionalFormatting>
  <conditionalFormatting sqref="C799:D801">
    <cfRule type="containsText" dxfId="3269" priority="3608" operator="containsText" text="SI">
      <formula>NOT(ISERROR(SEARCH("SI",C799)))</formula>
    </cfRule>
    <cfRule type="containsText" dxfId="3268" priority="3609" operator="containsText" text="NO">
      <formula>NOT(ISERROR(SEARCH("NO",C799)))</formula>
    </cfRule>
  </conditionalFormatting>
  <conditionalFormatting sqref="E799:E801">
    <cfRule type="containsText" dxfId="3267" priority="3607" operator="containsText" text="Sin información">
      <formula>NOT(ISERROR(SEARCH("Sin información",E799)))</formula>
    </cfRule>
  </conditionalFormatting>
  <conditionalFormatting sqref="C799:E801">
    <cfRule type="containsText" dxfId="3266" priority="3606" operator="containsText" text="NUEVO">
      <formula>NOT(ISERROR(SEARCH("NUEVO",C799)))</formula>
    </cfRule>
  </conditionalFormatting>
  <conditionalFormatting sqref="C802:D802">
    <cfRule type="containsText" dxfId="3265" priority="3605" operator="containsText" text="NO+$D$4:$D$10">
      <formula>NOT(ISERROR(SEARCH("NO+$D$4:$D$10",C802)))</formula>
    </cfRule>
  </conditionalFormatting>
  <conditionalFormatting sqref="C802:D802">
    <cfRule type="containsText" dxfId="3264" priority="3603" operator="containsText" text="SI">
      <formula>NOT(ISERROR(SEARCH("SI",C802)))</formula>
    </cfRule>
    <cfRule type="containsText" dxfId="3263" priority="3604" operator="containsText" text="NO">
      <formula>NOT(ISERROR(SEARCH("NO",C802)))</formula>
    </cfRule>
  </conditionalFormatting>
  <conditionalFormatting sqref="E802">
    <cfRule type="containsText" dxfId="3262" priority="3602" operator="containsText" text="Sin información">
      <formula>NOT(ISERROR(SEARCH("Sin información",E802)))</formula>
    </cfRule>
  </conditionalFormatting>
  <conditionalFormatting sqref="C802:E802">
    <cfRule type="containsText" dxfId="3261" priority="3601" operator="containsText" text="NUEVO">
      <formula>NOT(ISERROR(SEARCH("NUEVO",C802)))</formula>
    </cfRule>
  </conditionalFormatting>
  <conditionalFormatting sqref="C803:D803">
    <cfRule type="containsText" dxfId="3260" priority="3600" operator="containsText" text="NO+$D$4:$D$10">
      <formula>NOT(ISERROR(SEARCH("NO+$D$4:$D$10",C803)))</formula>
    </cfRule>
  </conditionalFormatting>
  <conditionalFormatting sqref="C803:D803">
    <cfRule type="containsText" dxfId="3259" priority="3598" operator="containsText" text="SI">
      <formula>NOT(ISERROR(SEARCH("SI",C803)))</formula>
    </cfRule>
    <cfRule type="containsText" dxfId="3258" priority="3599" operator="containsText" text="NO">
      <formula>NOT(ISERROR(SEARCH("NO",C803)))</formula>
    </cfRule>
  </conditionalFormatting>
  <conditionalFormatting sqref="C803:D803">
    <cfRule type="containsText" dxfId="3257" priority="3597" operator="containsText" text="NUEVO">
      <formula>NOT(ISERROR(SEARCH("NUEVO",C803)))</formula>
    </cfRule>
  </conditionalFormatting>
  <conditionalFormatting sqref="E803">
    <cfRule type="containsText" dxfId="3256" priority="3596" operator="containsText" text="Sin información">
      <formula>NOT(ISERROR(SEARCH("Sin información",E803)))</formula>
    </cfRule>
  </conditionalFormatting>
  <conditionalFormatting sqref="E803">
    <cfRule type="containsText" dxfId="3255" priority="3595" operator="containsText" text="NUEVO">
      <formula>NOT(ISERROR(SEARCH("NUEVO",E803)))</formula>
    </cfRule>
  </conditionalFormatting>
  <conditionalFormatting sqref="C804:D804">
    <cfRule type="containsText" dxfId="3254" priority="3594" operator="containsText" text="NO+$D$4:$D$10">
      <formula>NOT(ISERROR(SEARCH("NO+$D$4:$D$10",C804)))</formula>
    </cfRule>
  </conditionalFormatting>
  <conditionalFormatting sqref="C804:D804">
    <cfRule type="containsText" dxfId="3253" priority="3592" operator="containsText" text="SI">
      <formula>NOT(ISERROR(SEARCH("SI",C804)))</formula>
    </cfRule>
    <cfRule type="containsText" dxfId="3252" priority="3593" operator="containsText" text="NO">
      <formula>NOT(ISERROR(SEARCH("NO",C804)))</formula>
    </cfRule>
  </conditionalFormatting>
  <conditionalFormatting sqref="E804">
    <cfRule type="containsText" dxfId="3251" priority="3591" operator="containsText" text="Sin información">
      <formula>NOT(ISERROR(SEARCH("Sin información",E804)))</formula>
    </cfRule>
  </conditionalFormatting>
  <conditionalFormatting sqref="C804:E804">
    <cfRule type="containsText" dxfId="3250" priority="3590" operator="containsText" text="NUEVO">
      <formula>NOT(ISERROR(SEARCH("NUEVO",C804)))</formula>
    </cfRule>
  </conditionalFormatting>
  <conditionalFormatting sqref="C805:D807">
    <cfRule type="containsText" dxfId="3249" priority="3589" operator="containsText" text="NO+$D$4:$D$10">
      <formula>NOT(ISERROR(SEARCH("NO+$D$4:$D$10",C805)))</formula>
    </cfRule>
  </conditionalFormatting>
  <conditionalFormatting sqref="C805:D807">
    <cfRule type="containsText" dxfId="3248" priority="3587" operator="containsText" text="SI">
      <formula>NOT(ISERROR(SEARCH("SI",C805)))</formula>
    </cfRule>
    <cfRule type="containsText" dxfId="3247" priority="3588" operator="containsText" text="NO">
      <formula>NOT(ISERROR(SEARCH("NO",C805)))</formula>
    </cfRule>
  </conditionalFormatting>
  <conditionalFormatting sqref="C805:D807">
    <cfRule type="containsText" dxfId="3246" priority="3586" operator="containsText" text="NUEVO">
      <formula>NOT(ISERROR(SEARCH("NUEVO",C805)))</formula>
    </cfRule>
  </conditionalFormatting>
  <conditionalFormatting sqref="E805:E807">
    <cfRule type="containsText" dxfId="3245" priority="3585" operator="containsText" text="Sin información">
      <formula>NOT(ISERROR(SEARCH("Sin información",E805)))</formula>
    </cfRule>
  </conditionalFormatting>
  <conditionalFormatting sqref="E805:E807">
    <cfRule type="containsText" dxfId="3244" priority="3584" operator="containsText" text="NUEVO">
      <formula>NOT(ISERROR(SEARCH("NUEVO",E805)))</formula>
    </cfRule>
  </conditionalFormatting>
  <conditionalFormatting sqref="E810">
    <cfRule type="containsText" dxfId="3243" priority="3583" operator="containsText" text="Sin información">
      <formula>NOT(ISERROR(SEARCH("Sin información",E810)))</formula>
    </cfRule>
  </conditionalFormatting>
  <conditionalFormatting sqref="E810">
    <cfRule type="containsText" dxfId="3242" priority="3582" operator="containsText" text="NUEVO">
      <formula>NOT(ISERROR(SEARCH("NUEVO",E810)))</formula>
    </cfRule>
  </conditionalFormatting>
  <conditionalFormatting sqref="C811:D811">
    <cfRule type="containsText" dxfId="3241" priority="3581" operator="containsText" text="NO+$D$4:$D$10">
      <formula>NOT(ISERROR(SEARCH("NO+$D$4:$D$10",C811)))</formula>
    </cfRule>
  </conditionalFormatting>
  <conditionalFormatting sqref="C811:D811">
    <cfRule type="containsText" dxfId="3240" priority="3579" operator="containsText" text="SI">
      <formula>NOT(ISERROR(SEARCH("SI",C811)))</formula>
    </cfRule>
    <cfRule type="containsText" dxfId="3239" priority="3580" operator="containsText" text="NO">
      <formula>NOT(ISERROR(SEARCH("NO",C811)))</formula>
    </cfRule>
  </conditionalFormatting>
  <conditionalFormatting sqref="C811:D811">
    <cfRule type="containsText" dxfId="3238" priority="3578" operator="containsText" text="NUEVO">
      <formula>NOT(ISERROR(SEARCH("NUEVO",C811)))</formula>
    </cfRule>
  </conditionalFormatting>
  <conditionalFormatting sqref="E811">
    <cfRule type="containsText" dxfId="3237" priority="3577" operator="containsText" text="Sin información">
      <formula>NOT(ISERROR(SEARCH("Sin información",E811)))</formula>
    </cfRule>
  </conditionalFormatting>
  <conditionalFormatting sqref="E811">
    <cfRule type="containsText" dxfId="3236" priority="3576" operator="containsText" text="NUEVO">
      <formula>NOT(ISERROR(SEARCH("NUEVO",E811)))</formula>
    </cfRule>
  </conditionalFormatting>
  <conditionalFormatting sqref="C812:D815">
    <cfRule type="containsText" dxfId="3235" priority="3575" operator="containsText" text="NO+$D$4:$D$10">
      <formula>NOT(ISERROR(SEARCH("NO+$D$4:$D$10",C812)))</formula>
    </cfRule>
  </conditionalFormatting>
  <conditionalFormatting sqref="C812:D815">
    <cfRule type="containsText" dxfId="3234" priority="3573" operator="containsText" text="SI">
      <formula>NOT(ISERROR(SEARCH("SI",C812)))</formula>
    </cfRule>
    <cfRule type="containsText" dxfId="3233" priority="3574" operator="containsText" text="NO">
      <formula>NOT(ISERROR(SEARCH("NO",C812)))</formula>
    </cfRule>
  </conditionalFormatting>
  <conditionalFormatting sqref="C812:D815">
    <cfRule type="containsText" dxfId="3232" priority="3572" operator="containsText" text="NUEVO">
      <formula>NOT(ISERROR(SEARCH("NUEVO",C812)))</formula>
    </cfRule>
  </conditionalFormatting>
  <conditionalFormatting sqref="E812:E815">
    <cfRule type="containsText" dxfId="3231" priority="3571" operator="containsText" text="Sin información">
      <formula>NOT(ISERROR(SEARCH("Sin información",E812)))</formula>
    </cfRule>
  </conditionalFormatting>
  <conditionalFormatting sqref="E812:E815">
    <cfRule type="containsText" dxfId="3230" priority="3570" operator="containsText" text="NUEVO">
      <formula>NOT(ISERROR(SEARCH("NUEVO",E812)))</formula>
    </cfRule>
  </conditionalFormatting>
  <conditionalFormatting sqref="C816:D824">
    <cfRule type="containsText" dxfId="3229" priority="3569" operator="containsText" text="NO+$D$4:$D$10">
      <formula>NOT(ISERROR(SEARCH("NO+$D$4:$D$10",C816)))</formula>
    </cfRule>
  </conditionalFormatting>
  <conditionalFormatting sqref="C816:D824">
    <cfRule type="containsText" dxfId="3228" priority="3567" operator="containsText" text="SI">
      <formula>NOT(ISERROR(SEARCH("SI",C816)))</formula>
    </cfRule>
    <cfRule type="containsText" dxfId="3227" priority="3568" operator="containsText" text="NO">
      <formula>NOT(ISERROR(SEARCH("NO",C816)))</formula>
    </cfRule>
  </conditionalFormatting>
  <conditionalFormatting sqref="E816:E824">
    <cfRule type="containsText" dxfId="3226" priority="3566" operator="containsText" text="Sin información">
      <formula>NOT(ISERROR(SEARCH("Sin información",E816)))</formula>
    </cfRule>
  </conditionalFormatting>
  <conditionalFormatting sqref="C816:E824">
    <cfRule type="containsText" dxfId="3225" priority="3565" operator="containsText" text="NUEVO">
      <formula>NOT(ISERROR(SEARCH("NUEVO",C816)))</formula>
    </cfRule>
  </conditionalFormatting>
  <conditionalFormatting sqref="C825:D825">
    <cfRule type="containsText" dxfId="3224" priority="3564" operator="containsText" text="NO+$D$4:$D$10">
      <formula>NOT(ISERROR(SEARCH("NO+$D$4:$D$10",C825)))</formula>
    </cfRule>
  </conditionalFormatting>
  <conditionalFormatting sqref="C825:D825">
    <cfRule type="containsText" dxfId="3223" priority="3562" operator="containsText" text="SI">
      <formula>NOT(ISERROR(SEARCH("SI",C825)))</formula>
    </cfRule>
    <cfRule type="containsText" dxfId="3222" priority="3563" operator="containsText" text="NO">
      <formula>NOT(ISERROR(SEARCH("NO",C825)))</formula>
    </cfRule>
  </conditionalFormatting>
  <conditionalFormatting sqref="E825">
    <cfRule type="containsText" dxfId="3221" priority="3561" operator="containsText" text="Sin información">
      <formula>NOT(ISERROR(SEARCH("Sin información",E825)))</formula>
    </cfRule>
  </conditionalFormatting>
  <conditionalFormatting sqref="C825:E825">
    <cfRule type="containsText" dxfId="3220" priority="3560" operator="containsText" text="NUEVO">
      <formula>NOT(ISERROR(SEARCH("NUEVO",C825)))</formula>
    </cfRule>
  </conditionalFormatting>
  <conditionalFormatting sqref="C826:D826">
    <cfRule type="containsText" dxfId="3219" priority="3559" operator="containsText" text="NO+$D$4:$D$10">
      <formula>NOT(ISERROR(SEARCH("NO+$D$4:$D$10",C826)))</formula>
    </cfRule>
  </conditionalFormatting>
  <conditionalFormatting sqref="C826:D826">
    <cfRule type="containsText" dxfId="3218" priority="3557" operator="containsText" text="SI">
      <formula>NOT(ISERROR(SEARCH("SI",C826)))</formula>
    </cfRule>
    <cfRule type="containsText" dxfId="3217" priority="3558" operator="containsText" text="NO">
      <formula>NOT(ISERROR(SEARCH("NO",C826)))</formula>
    </cfRule>
  </conditionalFormatting>
  <conditionalFormatting sqref="E826">
    <cfRule type="containsText" dxfId="3216" priority="3556" operator="containsText" text="Sin información">
      <formula>NOT(ISERROR(SEARCH("Sin información",E826)))</formula>
    </cfRule>
  </conditionalFormatting>
  <conditionalFormatting sqref="C826:E826">
    <cfRule type="containsText" dxfId="3215" priority="3555" operator="containsText" text="NUEVO">
      <formula>NOT(ISERROR(SEARCH("NUEVO",C826)))</formula>
    </cfRule>
  </conditionalFormatting>
  <conditionalFormatting sqref="C827:D827">
    <cfRule type="containsText" dxfId="3214" priority="3548" operator="containsText" text="NO+$D$4:$D$10">
      <formula>NOT(ISERROR(SEARCH("NO+$D$4:$D$10",C827)))</formula>
    </cfRule>
  </conditionalFormatting>
  <conditionalFormatting sqref="C827:D827">
    <cfRule type="containsText" dxfId="3213" priority="3546" operator="containsText" text="SI">
      <formula>NOT(ISERROR(SEARCH("SI",C827)))</formula>
    </cfRule>
    <cfRule type="containsText" dxfId="3212" priority="3547" operator="containsText" text="NO">
      <formula>NOT(ISERROR(SEARCH("NO",C827)))</formula>
    </cfRule>
  </conditionalFormatting>
  <conditionalFormatting sqref="E827">
    <cfRule type="containsText" dxfId="3211" priority="3545" operator="containsText" text="Sin información">
      <formula>NOT(ISERROR(SEARCH("Sin información",E827)))</formula>
    </cfRule>
  </conditionalFormatting>
  <conditionalFormatting sqref="C827:E827">
    <cfRule type="containsText" dxfId="3210" priority="3544" operator="containsText" text="NUEVO">
      <formula>NOT(ISERROR(SEARCH("NUEVO",C827)))</formula>
    </cfRule>
  </conditionalFormatting>
  <conditionalFormatting sqref="F827">
    <cfRule type="containsText" dxfId="3209" priority="3543" operator="containsText" text="NO+$D$4:$D$10">
      <formula>NOT(ISERROR(SEARCH("NO+$D$4:$D$10",F827)))</formula>
    </cfRule>
  </conditionalFormatting>
  <conditionalFormatting sqref="F827">
    <cfRule type="containsText" dxfId="3208" priority="3541" operator="containsText" text="SI">
      <formula>NOT(ISERROR(SEARCH("SI",F827)))</formula>
    </cfRule>
    <cfRule type="containsText" dxfId="3207" priority="3542" operator="containsText" text="NO">
      <formula>NOT(ISERROR(SEARCH("NO",F827)))</formula>
    </cfRule>
  </conditionalFormatting>
  <conditionalFormatting sqref="F827">
    <cfRule type="containsText" dxfId="3206" priority="3540" operator="containsText" text="NUEVO">
      <formula>NOT(ISERROR(SEARCH("NUEVO",F827)))</formula>
    </cfRule>
  </conditionalFormatting>
  <conditionalFormatting sqref="C828:D828">
    <cfRule type="containsText" dxfId="3205" priority="3539" operator="containsText" text="NO+$D$4:$D$10">
      <formula>NOT(ISERROR(SEARCH("NO+$D$4:$D$10",C828)))</formula>
    </cfRule>
  </conditionalFormatting>
  <conditionalFormatting sqref="C828:D828">
    <cfRule type="containsText" dxfId="3204" priority="3537" operator="containsText" text="SI">
      <formula>NOT(ISERROR(SEARCH("SI",C828)))</formula>
    </cfRule>
    <cfRule type="containsText" dxfId="3203" priority="3538" operator="containsText" text="NO">
      <formula>NOT(ISERROR(SEARCH("NO",C828)))</formula>
    </cfRule>
  </conditionalFormatting>
  <conditionalFormatting sqref="E828">
    <cfRule type="containsText" dxfId="3202" priority="3536" operator="containsText" text="Sin información">
      <formula>NOT(ISERROR(SEARCH("Sin información",E828)))</formula>
    </cfRule>
  </conditionalFormatting>
  <conditionalFormatting sqref="C828:E828">
    <cfRule type="containsText" dxfId="3201" priority="3535" operator="containsText" text="NUEVO">
      <formula>NOT(ISERROR(SEARCH("NUEVO",C828)))</formula>
    </cfRule>
  </conditionalFormatting>
  <conditionalFormatting sqref="F828">
    <cfRule type="containsText" dxfId="3200" priority="3534" operator="containsText" text="NO+$D$4:$D$10">
      <formula>NOT(ISERROR(SEARCH("NO+$D$4:$D$10",F828)))</formula>
    </cfRule>
  </conditionalFormatting>
  <conditionalFormatting sqref="F828">
    <cfRule type="containsText" dxfId="3199" priority="3532" operator="containsText" text="SI">
      <formula>NOT(ISERROR(SEARCH("SI",F828)))</formula>
    </cfRule>
    <cfRule type="containsText" dxfId="3198" priority="3533" operator="containsText" text="NO">
      <formula>NOT(ISERROR(SEARCH("NO",F828)))</formula>
    </cfRule>
  </conditionalFormatting>
  <conditionalFormatting sqref="F828">
    <cfRule type="containsText" dxfId="3197" priority="3531" operator="containsText" text="NUEVO">
      <formula>NOT(ISERROR(SEARCH("NUEVO",F828)))</formula>
    </cfRule>
  </conditionalFormatting>
  <conditionalFormatting sqref="C829:D829">
    <cfRule type="containsText" dxfId="3196" priority="3530" operator="containsText" text="NO+$D$4:$D$10">
      <formula>NOT(ISERROR(SEARCH("NO+$D$4:$D$10",C829)))</formula>
    </cfRule>
  </conditionalFormatting>
  <conditionalFormatting sqref="C829:D829">
    <cfRule type="containsText" dxfId="3195" priority="3528" operator="containsText" text="SI">
      <formula>NOT(ISERROR(SEARCH("SI",C829)))</formula>
    </cfRule>
    <cfRule type="containsText" dxfId="3194" priority="3529" operator="containsText" text="NO">
      <formula>NOT(ISERROR(SEARCH("NO",C829)))</formula>
    </cfRule>
  </conditionalFormatting>
  <conditionalFormatting sqref="E829">
    <cfRule type="containsText" dxfId="3193" priority="3527" operator="containsText" text="Sin información">
      <formula>NOT(ISERROR(SEARCH("Sin información",E829)))</formula>
    </cfRule>
  </conditionalFormatting>
  <conditionalFormatting sqref="C829:E829">
    <cfRule type="containsText" dxfId="3192" priority="3526" operator="containsText" text="NUEVO">
      <formula>NOT(ISERROR(SEARCH("NUEVO",C829)))</formula>
    </cfRule>
  </conditionalFormatting>
  <conditionalFormatting sqref="F829">
    <cfRule type="containsText" dxfId="3191" priority="3525" operator="containsText" text="NO+$D$4:$D$10">
      <formula>NOT(ISERROR(SEARCH("NO+$D$4:$D$10",F829)))</formula>
    </cfRule>
  </conditionalFormatting>
  <conditionalFormatting sqref="F829">
    <cfRule type="containsText" dxfId="3190" priority="3523" operator="containsText" text="SI">
      <formula>NOT(ISERROR(SEARCH("SI",F829)))</formula>
    </cfRule>
    <cfRule type="containsText" dxfId="3189" priority="3524" operator="containsText" text="NO">
      <formula>NOT(ISERROR(SEARCH("NO",F829)))</formula>
    </cfRule>
  </conditionalFormatting>
  <conditionalFormatting sqref="F829">
    <cfRule type="containsText" dxfId="3188" priority="3522" operator="containsText" text="NUEVO">
      <formula>NOT(ISERROR(SEARCH("NUEVO",F829)))</formula>
    </cfRule>
  </conditionalFormatting>
  <conditionalFormatting sqref="C830:D830">
    <cfRule type="containsText" dxfId="3187" priority="3521" operator="containsText" text="NO+$D$4:$D$10">
      <formula>NOT(ISERROR(SEARCH("NO+$D$4:$D$10",C830)))</formula>
    </cfRule>
  </conditionalFormatting>
  <conditionalFormatting sqref="C830:D830">
    <cfRule type="containsText" dxfId="3186" priority="3519" operator="containsText" text="SI">
      <formula>NOT(ISERROR(SEARCH("SI",C830)))</formula>
    </cfRule>
    <cfRule type="containsText" dxfId="3185" priority="3520" operator="containsText" text="NO">
      <formula>NOT(ISERROR(SEARCH("NO",C830)))</formula>
    </cfRule>
  </conditionalFormatting>
  <conditionalFormatting sqref="E830">
    <cfRule type="containsText" dxfId="3184" priority="3518" operator="containsText" text="Sin información">
      <formula>NOT(ISERROR(SEARCH("Sin información",E830)))</formula>
    </cfRule>
  </conditionalFormatting>
  <conditionalFormatting sqref="C830:E830">
    <cfRule type="containsText" dxfId="3183" priority="3517" operator="containsText" text="NUEVO">
      <formula>NOT(ISERROR(SEARCH("NUEVO",C830)))</formula>
    </cfRule>
  </conditionalFormatting>
  <conditionalFormatting sqref="F830">
    <cfRule type="containsText" dxfId="3182" priority="3516" operator="containsText" text="NO+$D$4:$D$10">
      <formula>NOT(ISERROR(SEARCH("NO+$D$4:$D$10",F830)))</formula>
    </cfRule>
  </conditionalFormatting>
  <conditionalFormatting sqref="F830">
    <cfRule type="containsText" dxfId="3181" priority="3514" operator="containsText" text="SI">
      <formula>NOT(ISERROR(SEARCH("SI",F830)))</formula>
    </cfRule>
    <cfRule type="containsText" dxfId="3180" priority="3515" operator="containsText" text="NO">
      <formula>NOT(ISERROR(SEARCH("NO",F830)))</formula>
    </cfRule>
  </conditionalFormatting>
  <conditionalFormatting sqref="F830">
    <cfRule type="containsText" dxfId="3179" priority="3513" operator="containsText" text="NUEVO">
      <formula>NOT(ISERROR(SEARCH("NUEVO",F830)))</formula>
    </cfRule>
  </conditionalFormatting>
  <conditionalFormatting sqref="F831 C831:D831">
    <cfRule type="containsText" dxfId="3178" priority="3512" operator="containsText" text="NO+$D$4:$D$10">
      <formula>NOT(ISERROR(SEARCH("NO+$D$4:$D$10",C831)))</formula>
    </cfRule>
  </conditionalFormatting>
  <conditionalFormatting sqref="F831 C831:D831">
    <cfRule type="containsText" dxfId="3177" priority="3510" operator="containsText" text="SI">
      <formula>NOT(ISERROR(SEARCH("SI",C831)))</formula>
    </cfRule>
    <cfRule type="containsText" dxfId="3176" priority="3511" operator="containsText" text="NO">
      <formula>NOT(ISERROR(SEARCH("NO",C831)))</formula>
    </cfRule>
  </conditionalFormatting>
  <conditionalFormatting sqref="E831">
    <cfRule type="containsText" dxfId="3175" priority="3509" operator="containsText" text="Sin información">
      <formula>NOT(ISERROR(SEARCH("Sin información",E831)))</formula>
    </cfRule>
  </conditionalFormatting>
  <conditionalFormatting sqref="C831:F831">
    <cfRule type="containsText" dxfId="3174" priority="3508" operator="containsText" text="NUEVO">
      <formula>NOT(ISERROR(SEARCH("NUEVO",C831)))</formula>
    </cfRule>
  </conditionalFormatting>
  <conditionalFormatting sqref="C832:D832">
    <cfRule type="containsText" dxfId="3173" priority="3507" operator="containsText" text="NO+$D$4:$D$10">
      <formula>NOT(ISERROR(SEARCH("NO+$D$4:$D$10",C832)))</formula>
    </cfRule>
  </conditionalFormatting>
  <conditionalFormatting sqref="C832:D832">
    <cfRule type="containsText" dxfId="3172" priority="3505" operator="containsText" text="SI">
      <formula>NOT(ISERROR(SEARCH("SI",C832)))</formula>
    </cfRule>
    <cfRule type="containsText" dxfId="3171" priority="3506" operator="containsText" text="NO">
      <formula>NOT(ISERROR(SEARCH("NO",C832)))</formula>
    </cfRule>
  </conditionalFormatting>
  <conditionalFormatting sqref="E832">
    <cfRule type="containsText" dxfId="3170" priority="3504" operator="containsText" text="Sin información">
      <formula>NOT(ISERROR(SEARCH("Sin información",E832)))</formula>
    </cfRule>
  </conditionalFormatting>
  <conditionalFormatting sqref="C832:E832">
    <cfRule type="containsText" dxfId="3169" priority="3503" operator="containsText" text="NUEVO">
      <formula>NOT(ISERROR(SEARCH("NUEVO",C832)))</formula>
    </cfRule>
  </conditionalFormatting>
  <conditionalFormatting sqref="F832">
    <cfRule type="containsText" dxfId="3168" priority="3502" operator="containsText" text="NO+$D$4:$D$10">
      <formula>NOT(ISERROR(SEARCH("NO+$D$4:$D$10",F832)))</formula>
    </cfRule>
  </conditionalFormatting>
  <conditionalFormatting sqref="F832">
    <cfRule type="containsText" dxfId="3167" priority="3500" operator="containsText" text="SI">
      <formula>NOT(ISERROR(SEARCH("SI",F832)))</formula>
    </cfRule>
    <cfRule type="containsText" dxfId="3166" priority="3501" operator="containsText" text="NO">
      <formula>NOT(ISERROR(SEARCH("NO",F832)))</formula>
    </cfRule>
  </conditionalFormatting>
  <conditionalFormatting sqref="F832">
    <cfRule type="containsText" dxfId="3165" priority="3499" operator="containsText" text="NUEVO">
      <formula>NOT(ISERROR(SEARCH("NUEVO",F832)))</formula>
    </cfRule>
  </conditionalFormatting>
  <conditionalFormatting sqref="C833:D833">
    <cfRule type="containsText" dxfId="3164" priority="3498" operator="containsText" text="NO+$D$4:$D$10">
      <formula>NOT(ISERROR(SEARCH("NO+$D$4:$D$10",C833)))</formula>
    </cfRule>
  </conditionalFormatting>
  <conditionalFormatting sqref="C833:D833">
    <cfRule type="containsText" dxfId="3163" priority="3496" operator="containsText" text="SI">
      <formula>NOT(ISERROR(SEARCH("SI",C833)))</formula>
    </cfRule>
    <cfRule type="containsText" dxfId="3162" priority="3497" operator="containsText" text="NO">
      <formula>NOT(ISERROR(SEARCH("NO",C833)))</formula>
    </cfRule>
  </conditionalFormatting>
  <conditionalFormatting sqref="E833">
    <cfRule type="containsText" dxfId="3161" priority="3495" operator="containsText" text="Sin información">
      <formula>NOT(ISERROR(SEARCH("Sin información",E833)))</formula>
    </cfRule>
  </conditionalFormatting>
  <conditionalFormatting sqref="C833:E833">
    <cfRule type="containsText" dxfId="3160" priority="3494" operator="containsText" text="NUEVO">
      <formula>NOT(ISERROR(SEARCH("NUEVO",C833)))</formula>
    </cfRule>
  </conditionalFormatting>
  <conditionalFormatting sqref="F833">
    <cfRule type="containsText" dxfId="3159" priority="3493" operator="containsText" text="NO+$D$4:$D$10">
      <formula>NOT(ISERROR(SEARCH("NO+$D$4:$D$10",F833)))</formula>
    </cfRule>
  </conditionalFormatting>
  <conditionalFormatting sqref="F833">
    <cfRule type="containsText" dxfId="3158" priority="3491" operator="containsText" text="SI">
      <formula>NOT(ISERROR(SEARCH("SI",F833)))</formula>
    </cfRule>
    <cfRule type="containsText" dxfId="3157" priority="3492" operator="containsText" text="NO">
      <formula>NOT(ISERROR(SEARCH("NO",F833)))</formula>
    </cfRule>
  </conditionalFormatting>
  <conditionalFormatting sqref="F833">
    <cfRule type="containsText" dxfId="3156" priority="3490" operator="containsText" text="NUEVO">
      <formula>NOT(ISERROR(SEARCH("NUEVO",F833)))</formula>
    </cfRule>
  </conditionalFormatting>
  <conditionalFormatting sqref="C834:D834">
    <cfRule type="containsText" dxfId="3155" priority="3489" operator="containsText" text="NO+$D$4:$D$10">
      <formula>NOT(ISERROR(SEARCH("NO+$D$4:$D$10",C834)))</formula>
    </cfRule>
  </conditionalFormatting>
  <conditionalFormatting sqref="C834:D834">
    <cfRule type="containsText" dxfId="3154" priority="3487" operator="containsText" text="SI">
      <formula>NOT(ISERROR(SEARCH("SI",C834)))</formula>
    </cfRule>
    <cfRule type="containsText" dxfId="3153" priority="3488" operator="containsText" text="NO">
      <formula>NOT(ISERROR(SEARCH("NO",C834)))</formula>
    </cfRule>
  </conditionalFormatting>
  <conditionalFormatting sqref="C834:D834">
    <cfRule type="containsText" dxfId="3152" priority="3486" operator="containsText" text="NUEVO">
      <formula>NOT(ISERROR(SEARCH("NUEVO",C834)))</formula>
    </cfRule>
  </conditionalFormatting>
  <conditionalFormatting sqref="E834">
    <cfRule type="containsText" dxfId="3151" priority="3485" operator="containsText" text="Sin información">
      <formula>NOT(ISERROR(SEARCH("Sin información",E834)))</formula>
    </cfRule>
  </conditionalFormatting>
  <conditionalFormatting sqref="E834">
    <cfRule type="containsText" dxfId="3150" priority="3484" operator="containsText" text="NUEVO">
      <formula>NOT(ISERROR(SEARCH("NUEVO",E834)))</formula>
    </cfRule>
  </conditionalFormatting>
  <conditionalFormatting sqref="F834">
    <cfRule type="containsText" dxfId="3149" priority="3483" operator="containsText" text="NO+$D$4:$D$10">
      <formula>NOT(ISERROR(SEARCH("NO+$D$4:$D$10",F834)))</formula>
    </cfRule>
  </conditionalFormatting>
  <conditionalFormatting sqref="F834">
    <cfRule type="containsText" dxfId="3148" priority="3481" operator="containsText" text="SI">
      <formula>NOT(ISERROR(SEARCH("SI",F834)))</formula>
    </cfRule>
    <cfRule type="containsText" dxfId="3147" priority="3482" operator="containsText" text="NO">
      <formula>NOT(ISERROR(SEARCH("NO",F834)))</formula>
    </cfRule>
  </conditionalFormatting>
  <conditionalFormatting sqref="F834">
    <cfRule type="containsText" dxfId="3146" priority="3480" operator="containsText" text="NUEVO">
      <formula>NOT(ISERROR(SEARCH("NUEVO",F834)))</formula>
    </cfRule>
  </conditionalFormatting>
  <conditionalFormatting sqref="C835:D835">
    <cfRule type="containsText" dxfId="3145" priority="3479" operator="containsText" text="NO+$D$4:$D$10">
      <formula>NOT(ISERROR(SEARCH("NO+$D$4:$D$10",C835)))</formula>
    </cfRule>
  </conditionalFormatting>
  <conditionalFormatting sqref="C835:D835">
    <cfRule type="containsText" dxfId="3144" priority="3477" operator="containsText" text="SI">
      <formula>NOT(ISERROR(SEARCH("SI",C835)))</formula>
    </cfRule>
    <cfRule type="containsText" dxfId="3143" priority="3478" operator="containsText" text="NO">
      <formula>NOT(ISERROR(SEARCH("NO",C835)))</formula>
    </cfRule>
  </conditionalFormatting>
  <conditionalFormatting sqref="E835">
    <cfRule type="containsText" dxfId="3142" priority="3476" operator="containsText" text="Sin información">
      <formula>NOT(ISERROR(SEARCH("Sin información",E835)))</formula>
    </cfRule>
  </conditionalFormatting>
  <conditionalFormatting sqref="C835:E835">
    <cfRule type="containsText" dxfId="3141" priority="3475" operator="containsText" text="NUEVO">
      <formula>NOT(ISERROR(SEARCH("NUEVO",C835)))</formula>
    </cfRule>
  </conditionalFormatting>
  <conditionalFormatting sqref="C836:D836">
    <cfRule type="containsText" dxfId="3140" priority="3474" operator="containsText" text="NO+$D$4:$D$10">
      <formula>NOT(ISERROR(SEARCH("NO+$D$4:$D$10",C836)))</formula>
    </cfRule>
  </conditionalFormatting>
  <conditionalFormatting sqref="C836:D836">
    <cfRule type="containsText" dxfId="3139" priority="3472" operator="containsText" text="SI">
      <formula>NOT(ISERROR(SEARCH("SI",C836)))</formula>
    </cfRule>
    <cfRule type="containsText" dxfId="3138" priority="3473" operator="containsText" text="NO">
      <formula>NOT(ISERROR(SEARCH("NO",C836)))</formula>
    </cfRule>
  </conditionalFormatting>
  <conditionalFormatting sqref="E836">
    <cfRule type="containsText" dxfId="3137" priority="3471" operator="containsText" text="Sin información">
      <formula>NOT(ISERROR(SEARCH("Sin información",E836)))</formula>
    </cfRule>
  </conditionalFormatting>
  <conditionalFormatting sqref="C836:E836">
    <cfRule type="containsText" dxfId="3136" priority="3470" operator="containsText" text="NUEVO">
      <formula>NOT(ISERROR(SEARCH("NUEVO",C836)))</formula>
    </cfRule>
  </conditionalFormatting>
  <conditionalFormatting sqref="C837:D837">
    <cfRule type="containsText" dxfId="3135" priority="3469" operator="containsText" text="NO+$D$4:$D$10">
      <formula>NOT(ISERROR(SEARCH("NO+$D$4:$D$10",C837)))</formula>
    </cfRule>
  </conditionalFormatting>
  <conditionalFormatting sqref="C837:D837">
    <cfRule type="containsText" dxfId="3134" priority="3467" operator="containsText" text="SI">
      <formula>NOT(ISERROR(SEARCH("SI",C837)))</formula>
    </cfRule>
    <cfRule type="containsText" dxfId="3133" priority="3468" operator="containsText" text="NO">
      <formula>NOT(ISERROR(SEARCH("NO",C837)))</formula>
    </cfRule>
  </conditionalFormatting>
  <conditionalFormatting sqref="E837">
    <cfRule type="containsText" dxfId="3132" priority="3466" operator="containsText" text="Sin información">
      <formula>NOT(ISERROR(SEARCH("Sin información",E837)))</formula>
    </cfRule>
  </conditionalFormatting>
  <conditionalFormatting sqref="C837:E837">
    <cfRule type="containsText" dxfId="3131" priority="3465" operator="containsText" text="NUEVO">
      <formula>NOT(ISERROR(SEARCH("NUEVO",C837)))</formula>
    </cfRule>
  </conditionalFormatting>
  <conditionalFormatting sqref="C838:D838">
    <cfRule type="containsText" dxfId="3130" priority="3464" operator="containsText" text="NO+$D$4:$D$10">
      <formula>NOT(ISERROR(SEARCH("NO+$D$4:$D$10",C838)))</formula>
    </cfRule>
  </conditionalFormatting>
  <conditionalFormatting sqref="C838:D838">
    <cfRule type="containsText" dxfId="3129" priority="3462" operator="containsText" text="SI">
      <formula>NOT(ISERROR(SEARCH("SI",C838)))</formula>
    </cfRule>
    <cfRule type="containsText" dxfId="3128" priority="3463" operator="containsText" text="NO">
      <formula>NOT(ISERROR(SEARCH("NO",C838)))</formula>
    </cfRule>
  </conditionalFormatting>
  <conditionalFormatting sqref="E838">
    <cfRule type="containsText" dxfId="3127" priority="3461" operator="containsText" text="Sin información">
      <formula>NOT(ISERROR(SEARCH("Sin información",E838)))</formula>
    </cfRule>
  </conditionalFormatting>
  <conditionalFormatting sqref="C838:E838">
    <cfRule type="containsText" dxfId="3126" priority="3460" operator="containsText" text="NUEVO">
      <formula>NOT(ISERROR(SEARCH("NUEVO",C838)))</formula>
    </cfRule>
  </conditionalFormatting>
  <conditionalFormatting sqref="C839:D839">
    <cfRule type="containsText" dxfId="3125" priority="3459" operator="containsText" text="NO+$D$4:$D$10">
      <formula>NOT(ISERROR(SEARCH("NO+$D$4:$D$10",C839)))</formula>
    </cfRule>
  </conditionalFormatting>
  <conditionalFormatting sqref="C839:D839">
    <cfRule type="containsText" dxfId="3124" priority="3457" operator="containsText" text="SI">
      <formula>NOT(ISERROR(SEARCH("SI",C839)))</formula>
    </cfRule>
    <cfRule type="containsText" dxfId="3123" priority="3458" operator="containsText" text="NO">
      <formula>NOT(ISERROR(SEARCH("NO",C839)))</formula>
    </cfRule>
  </conditionalFormatting>
  <conditionalFormatting sqref="E839">
    <cfRule type="containsText" dxfId="3122" priority="3456" operator="containsText" text="Sin información">
      <formula>NOT(ISERROR(SEARCH("Sin información",E839)))</formula>
    </cfRule>
  </conditionalFormatting>
  <conditionalFormatting sqref="C839:E839">
    <cfRule type="containsText" dxfId="3121" priority="3455" operator="containsText" text="NUEVO">
      <formula>NOT(ISERROR(SEARCH("NUEVO",C839)))</formula>
    </cfRule>
  </conditionalFormatting>
  <conditionalFormatting sqref="C840:D840">
    <cfRule type="containsText" dxfId="3120" priority="3454" operator="containsText" text="NO+$D$4:$D$10">
      <formula>NOT(ISERROR(SEARCH("NO+$D$4:$D$10",C840)))</formula>
    </cfRule>
  </conditionalFormatting>
  <conditionalFormatting sqref="C840:D840">
    <cfRule type="containsText" dxfId="3119" priority="3452" operator="containsText" text="SI">
      <formula>NOT(ISERROR(SEARCH("SI",C840)))</formula>
    </cfRule>
    <cfRule type="containsText" dxfId="3118" priority="3453" operator="containsText" text="NO">
      <formula>NOT(ISERROR(SEARCH("NO",C840)))</formula>
    </cfRule>
  </conditionalFormatting>
  <conditionalFormatting sqref="E840">
    <cfRule type="containsText" dxfId="3117" priority="3451" operator="containsText" text="Sin información">
      <formula>NOT(ISERROR(SEARCH("Sin información",E840)))</formula>
    </cfRule>
  </conditionalFormatting>
  <conditionalFormatting sqref="C840:E840">
    <cfRule type="containsText" dxfId="3116" priority="3450" operator="containsText" text="NUEVO">
      <formula>NOT(ISERROR(SEARCH("NUEVO",C840)))</formula>
    </cfRule>
  </conditionalFormatting>
  <conditionalFormatting sqref="C841:D841">
    <cfRule type="containsText" dxfId="3115" priority="3449" operator="containsText" text="NO+$D$4:$D$10">
      <formula>NOT(ISERROR(SEARCH("NO+$D$4:$D$10",C841)))</formula>
    </cfRule>
  </conditionalFormatting>
  <conditionalFormatting sqref="C841:D841">
    <cfRule type="containsText" dxfId="3114" priority="3447" operator="containsText" text="SI">
      <formula>NOT(ISERROR(SEARCH("SI",C841)))</formula>
    </cfRule>
    <cfRule type="containsText" dxfId="3113" priority="3448" operator="containsText" text="NO">
      <formula>NOT(ISERROR(SEARCH("NO",C841)))</formula>
    </cfRule>
  </conditionalFormatting>
  <conditionalFormatting sqref="C841:D841">
    <cfRule type="containsText" dxfId="3112" priority="3446" operator="containsText" text="NUEVO">
      <formula>NOT(ISERROR(SEARCH("NUEVO",C841)))</formula>
    </cfRule>
  </conditionalFormatting>
  <conditionalFormatting sqref="E841">
    <cfRule type="containsText" dxfId="3111" priority="3445" operator="containsText" text="Sin información">
      <formula>NOT(ISERROR(SEARCH("Sin información",E841)))</formula>
    </cfRule>
  </conditionalFormatting>
  <conditionalFormatting sqref="E841">
    <cfRule type="containsText" dxfId="3110" priority="3444" operator="containsText" text="NUEVO">
      <formula>NOT(ISERROR(SEARCH("NUEVO",E841)))</formula>
    </cfRule>
  </conditionalFormatting>
  <conditionalFormatting sqref="C842:D842">
    <cfRule type="containsText" dxfId="3109" priority="3443" operator="containsText" text="NO+$D$4:$D$10">
      <formula>NOT(ISERROR(SEARCH("NO+$D$4:$D$10",C842)))</formula>
    </cfRule>
  </conditionalFormatting>
  <conditionalFormatting sqref="C842:D842">
    <cfRule type="containsText" dxfId="3108" priority="3441" operator="containsText" text="SI">
      <formula>NOT(ISERROR(SEARCH("SI",C842)))</formula>
    </cfRule>
    <cfRule type="containsText" dxfId="3107" priority="3442" operator="containsText" text="NO">
      <formula>NOT(ISERROR(SEARCH("NO",C842)))</formula>
    </cfRule>
  </conditionalFormatting>
  <conditionalFormatting sqref="E842">
    <cfRule type="containsText" dxfId="3106" priority="3440" operator="containsText" text="Sin información">
      <formula>NOT(ISERROR(SEARCH("Sin información",E842)))</formula>
    </cfRule>
  </conditionalFormatting>
  <conditionalFormatting sqref="C842:E842">
    <cfRule type="containsText" dxfId="3105" priority="3439" operator="containsText" text="NUEVO">
      <formula>NOT(ISERROR(SEARCH("NUEVO",C842)))</formula>
    </cfRule>
  </conditionalFormatting>
  <conditionalFormatting sqref="C843:D843">
    <cfRule type="containsText" dxfId="3104" priority="3438" operator="containsText" text="NO+$D$4:$D$10">
      <formula>NOT(ISERROR(SEARCH("NO+$D$4:$D$10",C843)))</formula>
    </cfRule>
  </conditionalFormatting>
  <conditionalFormatting sqref="C843:D843">
    <cfRule type="containsText" dxfId="3103" priority="3436" operator="containsText" text="SI">
      <formula>NOT(ISERROR(SEARCH("SI",C843)))</formula>
    </cfRule>
    <cfRule type="containsText" dxfId="3102" priority="3437" operator="containsText" text="NO">
      <formula>NOT(ISERROR(SEARCH("NO",C843)))</formula>
    </cfRule>
  </conditionalFormatting>
  <conditionalFormatting sqref="E843">
    <cfRule type="containsText" dxfId="3101" priority="3435" operator="containsText" text="Sin información">
      <formula>NOT(ISERROR(SEARCH("Sin información",E843)))</formula>
    </cfRule>
  </conditionalFormatting>
  <conditionalFormatting sqref="C843:E843">
    <cfRule type="containsText" dxfId="3100" priority="3434" operator="containsText" text="NUEVO">
      <formula>NOT(ISERROR(SEARCH("NUEVO",C843)))</formula>
    </cfRule>
  </conditionalFormatting>
  <conditionalFormatting sqref="C844:D844">
    <cfRule type="containsText" dxfId="3099" priority="3433" operator="containsText" text="NO+$D$4:$D$10">
      <formula>NOT(ISERROR(SEARCH("NO+$D$4:$D$10",C844)))</formula>
    </cfRule>
  </conditionalFormatting>
  <conditionalFormatting sqref="C844:D844">
    <cfRule type="containsText" dxfId="3098" priority="3431" operator="containsText" text="SI">
      <formula>NOT(ISERROR(SEARCH("SI",C844)))</formula>
    </cfRule>
    <cfRule type="containsText" dxfId="3097" priority="3432" operator="containsText" text="NO">
      <formula>NOT(ISERROR(SEARCH("NO",C844)))</formula>
    </cfRule>
  </conditionalFormatting>
  <conditionalFormatting sqref="E844">
    <cfRule type="containsText" dxfId="3096" priority="3430" operator="containsText" text="Sin información">
      <formula>NOT(ISERROR(SEARCH("Sin información",E844)))</formula>
    </cfRule>
  </conditionalFormatting>
  <conditionalFormatting sqref="C844:E844">
    <cfRule type="containsText" dxfId="3095" priority="3429" operator="containsText" text="NUEVO">
      <formula>NOT(ISERROR(SEARCH("NUEVO",C844)))</formula>
    </cfRule>
  </conditionalFormatting>
  <conditionalFormatting sqref="C845:D845">
    <cfRule type="containsText" dxfId="3094" priority="3428" operator="containsText" text="NO+$D$4:$D$10">
      <formula>NOT(ISERROR(SEARCH("NO+$D$4:$D$10",C845)))</formula>
    </cfRule>
  </conditionalFormatting>
  <conditionalFormatting sqref="C845:D845">
    <cfRule type="containsText" dxfId="3093" priority="3426" operator="containsText" text="SI">
      <formula>NOT(ISERROR(SEARCH("SI",C845)))</formula>
    </cfRule>
    <cfRule type="containsText" dxfId="3092" priority="3427" operator="containsText" text="NO">
      <formula>NOT(ISERROR(SEARCH("NO",C845)))</formula>
    </cfRule>
  </conditionalFormatting>
  <conditionalFormatting sqref="E845">
    <cfRule type="containsText" dxfId="3091" priority="3425" operator="containsText" text="Sin información">
      <formula>NOT(ISERROR(SEARCH("Sin información",E845)))</formula>
    </cfRule>
  </conditionalFormatting>
  <conditionalFormatting sqref="C845:E845">
    <cfRule type="containsText" dxfId="3090" priority="3424" operator="containsText" text="NUEVO">
      <formula>NOT(ISERROR(SEARCH("NUEVO",C845)))</formula>
    </cfRule>
  </conditionalFormatting>
  <conditionalFormatting sqref="C846:D846">
    <cfRule type="containsText" dxfId="3089" priority="3423" operator="containsText" text="NO+$D$4:$D$10">
      <formula>NOT(ISERROR(SEARCH("NO+$D$4:$D$10",C846)))</formula>
    </cfRule>
  </conditionalFormatting>
  <conditionalFormatting sqref="C846:D846">
    <cfRule type="containsText" dxfId="3088" priority="3421" operator="containsText" text="SI">
      <formula>NOT(ISERROR(SEARCH("SI",C846)))</formula>
    </cfRule>
    <cfRule type="containsText" dxfId="3087" priority="3422" operator="containsText" text="NO">
      <formula>NOT(ISERROR(SEARCH("NO",C846)))</formula>
    </cfRule>
  </conditionalFormatting>
  <conditionalFormatting sqref="E846">
    <cfRule type="containsText" dxfId="3086" priority="3420" operator="containsText" text="Sin información">
      <formula>NOT(ISERROR(SEARCH("Sin información",E846)))</formula>
    </cfRule>
  </conditionalFormatting>
  <conditionalFormatting sqref="C846:E846">
    <cfRule type="containsText" dxfId="3085" priority="3419" operator="containsText" text="NUEVO">
      <formula>NOT(ISERROR(SEARCH("NUEVO",C846)))</formula>
    </cfRule>
  </conditionalFormatting>
  <conditionalFormatting sqref="C847:D847">
    <cfRule type="containsText" dxfId="3084" priority="3418" operator="containsText" text="NO+$D$4:$D$10">
      <formula>NOT(ISERROR(SEARCH("NO+$D$4:$D$10",C847)))</formula>
    </cfRule>
  </conditionalFormatting>
  <conditionalFormatting sqref="C847:D847">
    <cfRule type="containsText" dxfId="3083" priority="3416" operator="containsText" text="SI">
      <formula>NOT(ISERROR(SEARCH("SI",C847)))</formula>
    </cfRule>
    <cfRule type="containsText" dxfId="3082" priority="3417" operator="containsText" text="NO">
      <formula>NOT(ISERROR(SEARCH("NO",C847)))</formula>
    </cfRule>
  </conditionalFormatting>
  <conditionalFormatting sqref="C847:D847">
    <cfRule type="containsText" dxfId="3081" priority="3415" operator="containsText" text="NUEVO">
      <formula>NOT(ISERROR(SEARCH("NUEVO",C847)))</formula>
    </cfRule>
  </conditionalFormatting>
  <conditionalFormatting sqref="E847">
    <cfRule type="containsText" dxfId="3080" priority="3414" operator="containsText" text="Sin información">
      <formula>NOT(ISERROR(SEARCH("Sin información",E847)))</formula>
    </cfRule>
  </conditionalFormatting>
  <conditionalFormatting sqref="E847">
    <cfRule type="containsText" dxfId="3079" priority="3413" operator="containsText" text="NUEVO">
      <formula>NOT(ISERROR(SEARCH("NUEVO",E847)))</formula>
    </cfRule>
  </conditionalFormatting>
  <conditionalFormatting sqref="C848:D848">
    <cfRule type="containsText" dxfId="3078" priority="3412" operator="containsText" text="NO+$D$4:$D$10">
      <formula>NOT(ISERROR(SEARCH("NO+$D$4:$D$10",C848)))</formula>
    </cfRule>
  </conditionalFormatting>
  <conditionalFormatting sqref="C848:D848">
    <cfRule type="containsText" dxfId="3077" priority="3410" operator="containsText" text="SI">
      <formula>NOT(ISERROR(SEARCH("SI",C848)))</formula>
    </cfRule>
    <cfRule type="containsText" dxfId="3076" priority="3411" operator="containsText" text="NO">
      <formula>NOT(ISERROR(SEARCH("NO",C848)))</formula>
    </cfRule>
  </conditionalFormatting>
  <conditionalFormatting sqref="E848">
    <cfRule type="containsText" dxfId="3075" priority="3409" operator="containsText" text="Sin información">
      <formula>NOT(ISERROR(SEARCH("Sin información",E848)))</formula>
    </cfRule>
  </conditionalFormatting>
  <conditionalFormatting sqref="C848:E848">
    <cfRule type="containsText" dxfId="3074" priority="3408" operator="containsText" text="NUEVO">
      <formula>NOT(ISERROR(SEARCH("NUEVO",C848)))</formula>
    </cfRule>
  </conditionalFormatting>
  <conditionalFormatting sqref="C849:D849">
    <cfRule type="containsText" dxfId="3073" priority="3407" operator="containsText" text="NO+$D$4:$D$10">
      <formula>NOT(ISERROR(SEARCH("NO+$D$4:$D$10",C849)))</formula>
    </cfRule>
  </conditionalFormatting>
  <conditionalFormatting sqref="C849:D849">
    <cfRule type="containsText" dxfId="3072" priority="3405" operator="containsText" text="SI">
      <formula>NOT(ISERROR(SEARCH("SI",C849)))</formula>
    </cfRule>
    <cfRule type="containsText" dxfId="3071" priority="3406" operator="containsText" text="NO">
      <formula>NOT(ISERROR(SEARCH("NO",C849)))</formula>
    </cfRule>
  </conditionalFormatting>
  <conditionalFormatting sqref="E849">
    <cfRule type="containsText" dxfId="3070" priority="3404" operator="containsText" text="Sin información">
      <formula>NOT(ISERROR(SEARCH("Sin información",E849)))</formula>
    </cfRule>
  </conditionalFormatting>
  <conditionalFormatting sqref="C849:E849">
    <cfRule type="containsText" dxfId="3069" priority="3403" operator="containsText" text="NUEVO">
      <formula>NOT(ISERROR(SEARCH("NUEVO",C849)))</formula>
    </cfRule>
  </conditionalFormatting>
  <conditionalFormatting sqref="C850:D850">
    <cfRule type="containsText" dxfId="3068" priority="3402" operator="containsText" text="NO+$D$4:$D$10">
      <formula>NOT(ISERROR(SEARCH("NO+$D$4:$D$10",C850)))</formula>
    </cfRule>
  </conditionalFormatting>
  <conditionalFormatting sqref="C850:D850">
    <cfRule type="containsText" dxfId="3067" priority="3400" operator="containsText" text="SI">
      <formula>NOT(ISERROR(SEARCH("SI",C850)))</formula>
    </cfRule>
    <cfRule type="containsText" dxfId="3066" priority="3401" operator="containsText" text="NO">
      <formula>NOT(ISERROR(SEARCH("NO",C850)))</formula>
    </cfRule>
  </conditionalFormatting>
  <conditionalFormatting sqref="E850">
    <cfRule type="containsText" dxfId="3065" priority="3399" operator="containsText" text="Sin información">
      <formula>NOT(ISERROR(SEARCH("Sin información",E850)))</formula>
    </cfRule>
  </conditionalFormatting>
  <conditionalFormatting sqref="C850:E850">
    <cfRule type="containsText" dxfId="3064" priority="3398" operator="containsText" text="NUEVO">
      <formula>NOT(ISERROR(SEARCH("NUEVO",C850)))</formula>
    </cfRule>
  </conditionalFormatting>
  <conditionalFormatting sqref="C851:D851">
    <cfRule type="containsText" dxfId="3063" priority="3397" operator="containsText" text="NO+$D$4:$D$10">
      <formula>NOT(ISERROR(SEARCH("NO+$D$4:$D$10",C851)))</formula>
    </cfRule>
  </conditionalFormatting>
  <conditionalFormatting sqref="C851:D851">
    <cfRule type="containsText" dxfId="3062" priority="3395" operator="containsText" text="SI">
      <formula>NOT(ISERROR(SEARCH("SI",C851)))</formula>
    </cfRule>
    <cfRule type="containsText" dxfId="3061" priority="3396" operator="containsText" text="NO">
      <formula>NOT(ISERROR(SEARCH("NO",C851)))</formula>
    </cfRule>
  </conditionalFormatting>
  <conditionalFormatting sqref="E851">
    <cfRule type="containsText" dxfId="3060" priority="3394" operator="containsText" text="Sin información">
      <formula>NOT(ISERROR(SEARCH("Sin información",E851)))</formula>
    </cfRule>
  </conditionalFormatting>
  <conditionalFormatting sqref="C851:E851">
    <cfRule type="containsText" dxfId="3059" priority="3393" operator="containsText" text="NUEVO">
      <formula>NOT(ISERROR(SEARCH("NUEVO",C851)))</formula>
    </cfRule>
  </conditionalFormatting>
  <conditionalFormatting sqref="C852:D852">
    <cfRule type="containsText" dxfId="3058" priority="3392" operator="containsText" text="NO+$D$4:$D$10">
      <formula>NOT(ISERROR(SEARCH("NO+$D$4:$D$10",C852)))</formula>
    </cfRule>
  </conditionalFormatting>
  <conditionalFormatting sqref="C852:D852">
    <cfRule type="containsText" dxfId="3057" priority="3390" operator="containsText" text="SI">
      <formula>NOT(ISERROR(SEARCH("SI",C852)))</formula>
    </cfRule>
    <cfRule type="containsText" dxfId="3056" priority="3391" operator="containsText" text="NO">
      <formula>NOT(ISERROR(SEARCH("NO",C852)))</formula>
    </cfRule>
  </conditionalFormatting>
  <conditionalFormatting sqref="E852">
    <cfRule type="containsText" dxfId="3055" priority="3389" operator="containsText" text="Sin información">
      <formula>NOT(ISERROR(SEARCH("Sin información",E852)))</formula>
    </cfRule>
  </conditionalFormatting>
  <conditionalFormatting sqref="C852:E852">
    <cfRule type="containsText" dxfId="3054" priority="3388" operator="containsText" text="NUEVO">
      <formula>NOT(ISERROR(SEARCH("NUEVO",C852)))</formula>
    </cfRule>
  </conditionalFormatting>
  <conditionalFormatting sqref="C861:D861">
    <cfRule type="containsText" dxfId="3053" priority="3387" operator="containsText" text="NO+$D$4:$D$10">
      <formula>NOT(ISERROR(SEARCH("NO+$D$4:$D$10",C861)))</formula>
    </cfRule>
  </conditionalFormatting>
  <conditionalFormatting sqref="C861:D861">
    <cfRule type="containsText" dxfId="3052" priority="3385" operator="containsText" text="SI">
      <formula>NOT(ISERROR(SEARCH("SI",C861)))</formula>
    </cfRule>
    <cfRule type="containsText" dxfId="3051" priority="3386" operator="containsText" text="NO">
      <formula>NOT(ISERROR(SEARCH("NO",C861)))</formula>
    </cfRule>
  </conditionalFormatting>
  <conditionalFormatting sqref="E861">
    <cfRule type="containsText" dxfId="3050" priority="3384" operator="containsText" text="Sin información">
      <formula>NOT(ISERROR(SEARCH("Sin información",E861)))</formula>
    </cfRule>
  </conditionalFormatting>
  <conditionalFormatting sqref="C861:E861">
    <cfRule type="containsText" dxfId="3049" priority="3383" operator="containsText" text="NUEVO">
      <formula>NOT(ISERROR(SEARCH("NUEVO",C861)))</formula>
    </cfRule>
  </conditionalFormatting>
  <conditionalFormatting sqref="C862:D862">
    <cfRule type="containsText" dxfId="3048" priority="3382" operator="containsText" text="NO+$D$4:$D$10">
      <formula>NOT(ISERROR(SEARCH("NO+$D$4:$D$10",C862)))</formula>
    </cfRule>
  </conditionalFormatting>
  <conditionalFormatting sqref="C862:D862">
    <cfRule type="containsText" dxfId="3047" priority="3380" operator="containsText" text="SI">
      <formula>NOT(ISERROR(SEARCH("SI",C862)))</formula>
    </cfRule>
    <cfRule type="containsText" dxfId="3046" priority="3381" operator="containsText" text="NO">
      <formula>NOT(ISERROR(SEARCH("NO",C862)))</formula>
    </cfRule>
  </conditionalFormatting>
  <conditionalFormatting sqref="E862">
    <cfRule type="containsText" dxfId="3045" priority="3379" operator="containsText" text="Sin información">
      <formula>NOT(ISERROR(SEARCH("Sin información",E862)))</formula>
    </cfRule>
  </conditionalFormatting>
  <conditionalFormatting sqref="C862:E862">
    <cfRule type="containsText" dxfId="3044" priority="3378" operator="containsText" text="NUEVO">
      <formula>NOT(ISERROR(SEARCH("NUEVO",C862)))</formula>
    </cfRule>
  </conditionalFormatting>
  <conditionalFormatting sqref="C863:D863">
    <cfRule type="containsText" dxfId="3043" priority="3377" operator="containsText" text="NO+$D$4:$D$10">
      <formula>NOT(ISERROR(SEARCH("NO+$D$4:$D$10",C863)))</formula>
    </cfRule>
  </conditionalFormatting>
  <conditionalFormatting sqref="C863:D863">
    <cfRule type="containsText" dxfId="3042" priority="3375" operator="containsText" text="SI">
      <formula>NOT(ISERROR(SEARCH("SI",C863)))</formula>
    </cfRule>
    <cfRule type="containsText" dxfId="3041" priority="3376" operator="containsText" text="NO">
      <formula>NOT(ISERROR(SEARCH("NO",C863)))</formula>
    </cfRule>
  </conditionalFormatting>
  <conditionalFormatting sqref="E863">
    <cfRule type="containsText" dxfId="3040" priority="3374" operator="containsText" text="Sin información">
      <formula>NOT(ISERROR(SEARCH("Sin información",E863)))</formula>
    </cfRule>
  </conditionalFormatting>
  <conditionalFormatting sqref="C863:E863">
    <cfRule type="containsText" dxfId="3039" priority="3373" operator="containsText" text="NUEVO">
      <formula>NOT(ISERROR(SEARCH("NUEVO",C863)))</formula>
    </cfRule>
  </conditionalFormatting>
  <conditionalFormatting sqref="C864:D864">
    <cfRule type="containsText" dxfId="3038" priority="3372" operator="containsText" text="NO+$D$4:$D$10">
      <formula>NOT(ISERROR(SEARCH("NO+$D$4:$D$10",C864)))</formula>
    </cfRule>
  </conditionalFormatting>
  <conditionalFormatting sqref="C864:D864">
    <cfRule type="containsText" dxfId="3037" priority="3370" operator="containsText" text="SI">
      <formula>NOT(ISERROR(SEARCH("SI",C864)))</formula>
    </cfRule>
    <cfRule type="containsText" dxfId="3036" priority="3371" operator="containsText" text="NO">
      <formula>NOT(ISERROR(SEARCH("NO",C864)))</formula>
    </cfRule>
  </conditionalFormatting>
  <conditionalFormatting sqref="E864">
    <cfRule type="containsText" dxfId="3035" priority="3369" operator="containsText" text="Sin información">
      <formula>NOT(ISERROR(SEARCH("Sin información",E864)))</formula>
    </cfRule>
  </conditionalFormatting>
  <conditionalFormatting sqref="C864:E864">
    <cfRule type="containsText" dxfId="3034" priority="3368" operator="containsText" text="NUEVO">
      <formula>NOT(ISERROR(SEARCH("NUEVO",C864)))</formula>
    </cfRule>
  </conditionalFormatting>
  <conditionalFormatting sqref="C865:D865">
    <cfRule type="containsText" dxfId="3033" priority="3367" operator="containsText" text="NO+$D$4:$D$10">
      <formula>NOT(ISERROR(SEARCH("NO+$D$4:$D$10",C865)))</formula>
    </cfRule>
  </conditionalFormatting>
  <conditionalFormatting sqref="C865:D865">
    <cfRule type="containsText" dxfId="3032" priority="3365" operator="containsText" text="SI">
      <formula>NOT(ISERROR(SEARCH("SI",C865)))</formula>
    </cfRule>
    <cfRule type="containsText" dxfId="3031" priority="3366" operator="containsText" text="NO">
      <formula>NOT(ISERROR(SEARCH("NO",C865)))</formula>
    </cfRule>
  </conditionalFormatting>
  <conditionalFormatting sqref="E865">
    <cfRule type="containsText" dxfId="3030" priority="3364" operator="containsText" text="Sin información">
      <formula>NOT(ISERROR(SEARCH("Sin información",E865)))</formula>
    </cfRule>
  </conditionalFormatting>
  <conditionalFormatting sqref="C865:E865">
    <cfRule type="containsText" dxfId="3029" priority="3363" operator="containsText" text="NUEVO">
      <formula>NOT(ISERROR(SEARCH("NUEVO",C865)))</formula>
    </cfRule>
  </conditionalFormatting>
  <conditionalFormatting sqref="C866:D866">
    <cfRule type="containsText" dxfId="3028" priority="3357" operator="containsText" text="NO+$D$4:$D$10">
      <formula>NOT(ISERROR(SEARCH("NO+$D$4:$D$10",C866)))</formula>
    </cfRule>
  </conditionalFormatting>
  <conditionalFormatting sqref="C866:D866">
    <cfRule type="containsText" dxfId="3027" priority="3355" operator="containsText" text="SI">
      <formula>NOT(ISERROR(SEARCH("SI",C866)))</formula>
    </cfRule>
    <cfRule type="containsText" dxfId="3026" priority="3356" operator="containsText" text="NO">
      <formula>NOT(ISERROR(SEARCH("NO",C866)))</formula>
    </cfRule>
  </conditionalFormatting>
  <conditionalFormatting sqref="E866">
    <cfRule type="containsText" dxfId="3025" priority="3354" operator="containsText" text="Sin información">
      <formula>NOT(ISERROR(SEARCH("Sin información",E866)))</formula>
    </cfRule>
  </conditionalFormatting>
  <conditionalFormatting sqref="C866:E866">
    <cfRule type="containsText" dxfId="3024" priority="3353" operator="containsText" text="NUEVO">
      <formula>NOT(ISERROR(SEARCH("NUEVO",C866)))</formula>
    </cfRule>
  </conditionalFormatting>
  <conditionalFormatting sqref="C867:D867">
    <cfRule type="containsText" dxfId="3023" priority="3352" operator="containsText" text="NO+$D$4:$D$10">
      <formula>NOT(ISERROR(SEARCH("NO+$D$4:$D$10",C867)))</formula>
    </cfRule>
  </conditionalFormatting>
  <conditionalFormatting sqref="C867:D867">
    <cfRule type="containsText" dxfId="3022" priority="3350" operator="containsText" text="SI">
      <formula>NOT(ISERROR(SEARCH("SI",C867)))</formula>
    </cfRule>
    <cfRule type="containsText" dxfId="3021" priority="3351" operator="containsText" text="NO">
      <formula>NOT(ISERROR(SEARCH("NO",C867)))</formula>
    </cfRule>
  </conditionalFormatting>
  <conditionalFormatting sqref="E867">
    <cfRule type="containsText" dxfId="3020" priority="3349" operator="containsText" text="Sin información">
      <formula>NOT(ISERROR(SEARCH("Sin información",E867)))</formula>
    </cfRule>
  </conditionalFormatting>
  <conditionalFormatting sqref="C867:E867">
    <cfRule type="containsText" dxfId="3019" priority="3348" operator="containsText" text="NUEVO">
      <formula>NOT(ISERROR(SEARCH("NUEVO",C867)))</formula>
    </cfRule>
  </conditionalFormatting>
  <conditionalFormatting sqref="C868:D868">
    <cfRule type="containsText" dxfId="3018" priority="3341" operator="containsText" text="NO+$D$4:$D$10">
      <formula>NOT(ISERROR(SEARCH("NO+$D$4:$D$10",C868)))</formula>
    </cfRule>
  </conditionalFormatting>
  <conditionalFormatting sqref="C868:D868">
    <cfRule type="containsText" dxfId="3017" priority="3339" operator="containsText" text="SI">
      <formula>NOT(ISERROR(SEARCH("SI",C868)))</formula>
    </cfRule>
    <cfRule type="containsText" dxfId="3016" priority="3340" operator="containsText" text="NO">
      <formula>NOT(ISERROR(SEARCH("NO",C868)))</formula>
    </cfRule>
  </conditionalFormatting>
  <conditionalFormatting sqref="C868:D868">
    <cfRule type="containsText" dxfId="3015" priority="3338" operator="containsText" text="NUEVO">
      <formula>NOT(ISERROR(SEARCH("NUEVO",C868)))</formula>
    </cfRule>
  </conditionalFormatting>
  <conditionalFormatting sqref="E868">
    <cfRule type="containsText" dxfId="3014" priority="3337" operator="containsText" text="Sin información">
      <formula>NOT(ISERROR(SEARCH("Sin información",E868)))</formula>
    </cfRule>
  </conditionalFormatting>
  <conditionalFormatting sqref="E868">
    <cfRule type="containsText" dxfId="3013" priority="3336" operator="containsText" text="NUEVO">
      <formula>NOT(ISERROR(SEARCH("NUEVO",E868)))</formula>
    </cfRule>
  </conditionalFormatting>
  <conditionalFormatting sqref="C869:D869">
    <cfRule type="containsText" dxfId="3012" priority="3335" operator="containsText" text="NO+$D$4:$D$10">
      <formula>NOT(ISERROR(SEARCH("NO+$D$4:$D$10",C869)))</formula>
    </cfRule>
  </conditionalFormatting>
  <conditionalFormatting sqref="C869:D869">
    <cfRule type="containsText" dxfId="3011" priority="3333" operator="containsText" text="SI">
      <formula>NOT(ISERROR(SEARCH("SI",C869)))</formula>
    </cfRule>
    <cfRule type="containsText" dxfId="3010" priority="3334" operator="containsText" text="NO">
      <formula>NOT(ISERROR(SEARCH("NO",C869)))</formula>
    </cfRule>
  </conditionalFormatting>
  <conditionalFormatting sqref="E869">
    <cfRule type="containsText" dxfId="3009" priority="3332" operator="containsText" text="Sin información">
      <formula>NOT(ISERROR(SEARCH("Sin información",E869)))</formula>
    </cfRule>
  </conditionalFormatting>
  <conditionalFormatting sqref="C869:E869">
    <cfRule type="containsText" dxfId="3008" priority="3331" operator="containsText" text="NUEVO">
      <formula>NOT(ISERROR(SEARCH("NUEVO",C869)))</formula>
    </cfRule>
  </conditionalFormatting>
  <conditionalFormatting sqref="C870:D870">
    <cfRule type="containsText" dxfId="3007" priority="3330" operator="containsText" text="NO+$D$4:$D$10">
      <formula>NOT(ISERROR(SEARCH("NO+$D$4:$D$10",C870)))</formula>
    </cfRule>
  </conditionalFormatting>
  <conditionalFormatting sqref="C870:D870">
    <cfRule type="containsText" dxfId="3006" priority="3328" operator="containsText" text="SI">
      <formula>NOT(ISERROR(SEARCH("SI",C870)))</formula>
    </cfRule>
    <cfRule type="containsText" dxfId="3005" priority="3329" operator="containsText" text="NO">
      <formula>NOT(ISERROR(SEARCH("NO",C870)))</formula>
    </cfRule>
  </conditionalFormatting>
  <conditionalFormatting sqref="E870">
    <cfRule type="containsText" dxfId="3004" priority="3327" operator="containsText" text="Sin información">
      <formula>NOT(ISERROR(SEARCH("Sin información",E870)))</formula>
    </cfRule>
  </conditionalFormatting>
  <conditionalFormatting sqref="C870:E870">
    <cfRule type="containsText" dxfId="3003" priority="3326" operator="containsText" text="NUEVO">
      <formula>NOT(ISERROR(SEARCH("NUEVO",C870)))</formula>
    </cfRule>
  </conditionalFormatting>
  <conditionalFormatting sqref="C871:D871">
    <cfRule type="containsText" dxfId="3002" priority="3325" operator="containsText" text="NO+$D$4:$D$10">
      <formula>NOT(ISERROR(SEARCH("NO+$D$4:$D$10",C871)))</formula>
    </cfRule>
  </conditionalFormatting>
  <conditionalFormatting sqref="C871:D871">
    <cfRule type="containsText" dxfId="3001" priority="3323" operator="containsText" text="SI">
      <formula>NOT(ISERROR(SEARCH("SI",C871)))</formula>
    </cfRule>
    <cfRule type="containsText" dxfId="3000" priority="3324" operator="containsText" text="NO">
      <formula>NOT(ISERROR(SEARCH("NO",C871)))</formula>
    </cfRule>
  </conditionalFormatting>
  <conditionalFormatting sqref="E871">
    <cfRule type="containsText" dxfId="2999" priority="3322" operator="containsText" text="Sin información">
      <formula>NOT(ISERROR(SEARCH("Sin información",E871)))</formula>
    </cfRule>
  </conditionalFormatting>
  <conditionalFormatting sqref="C871:E871">
    <cfRule type="containsText" dxfId="2998" priority="3321" operator="containsText" text="NUEVO">
      <formula>NOT(ISERROR(SEARCH("NUEVO",C871)))</formula>
    </cfRule>
  </conditionalFormatting>
  <conditionalFormatting sqref="C872:D872">
    <cfRule type="containsText" dxfId="2997" priority="3320" operator="containsText" text="NO+$D$4:$D$10">
      <formula>NOT(ISERROR(SEARCH("NO+$D$4:$D$10",C872)))</formula>
    </cfRule>
  </conditionalFormatting>
  <conditionalFormatting sqref="C872:D872">
    <cfRule type="containsText" dxfId="2996" priority="3318" operator="containsText" text="SI">
      <formula>NOT(ISERROR(SEARCH("SI",C872)))</formula>
    </cfRule>
    <cfRule type="containsText" dxfId="2995" priority="3319" operator="containsText" text="NO">
      <formula>NOT(ISERROR(SEARCH("NO",C872)))</formula>
    </cfRule>
  </conditionalFormatting>
  <conditionalFormatting sqref="C872:D872">
    <cfRule type="containsText" dxfId="2994" priority="3317" operator="containsText" text="NUEVO">
      <formula>NOT(ISERROR(SEARCH("NUEVO",C872)))</formula>
    </cfRule>
  </conditionalFormatting>
  <conditionalFormatting sqref="E872">
    <cfRule type="containsText" dxfId="2993" priority="3316" operator="containsText" text="Sin información">
      <formula>NOT(ISERROR(SEARCH("Sin información",E872)))</formula>
    </cfRule>
  </conditionalFormatting>
  <conditionalFormatting sqref="E872">
    <cfRule type="containsText" dxfId="2992" priority="3315" operator="containsText" text="NUEVO">
      <formula>NOT(ISERROR(SEARCH("NUEVO",E872)))</formula>
    </cfRule>
  </conditionalFormatting>
  <conditionalFormatting sqref="C873:D873">
    <cfRule type="containsText" dxfId="2991" priority="3314" operator="containsText" text="NO+$D$4:$D$10">
      <formula>NOT(ISERROR(SEARCH("NO+$D$4:$D$10",C873)))</formula>
    </cfRule>
  </conditionalFormatting>
  <conditionalFormatting sqref="C873:D873">
    <cfRule type="containsText" dxfId="2990" priority="3312" operator="containsText" text="SI">
      <formula>NOT(ISERROR(SEARCH("SI",C873)))</formula>
    </cfRule>
    <cfRule type="containsText" dxfId="2989" priority="3313" operator="containsText" text="NO">
      <formula>NOT(ISERROR(SEARCH("NO",C873)))</formula>
    </cfRule>
  </conditionalFormatting>
  <conditionalFormatting sqref="E873">
    <cfRule type="containsText" dxfId="2988" priority="3311" operator="containsText" text="Sin información">
      <formula>NOT(ISERROR(SEARCH("Sin información",E873)))</formula>
    </cfRule>
  </conditionalFormatting>
  <conditionalFormatting sqref="C873:E873">
    <cfRule type="containsText" dxfId="2987" priority="3310" operator="containsText" text="NUEVO">
      <formula>NOT(ISERROR(SEARCH("NUEVO",C873)))</formula>
    </cfRule>
  </conditionalFormatting>
  <conditionalFormatting sqref="C874:D874">
    <cfRule type="containsText" dxfId="2986" priority="3309" operator="containsText" text="NO+$D$4:$D$10">
      <formula>NOT(ISERROR(SEARCH("NO+$D$4:$D$10",C874)))</formula>
    </cfRule>
  </conditionalFormatting>
  <conditionalFormatting sqref="C874:D874">
    <cfRule type="containsText" dxfId="2985" priority="3307" operator="containsText" text="SI">
      <formula>NOT(ISERROR(SEARCH("SI",C874)))</formula>
    </cfRule>
    <cfRule type="containsText" dxfId="2984" priority="3308" operator="containsText" text="NO">
      <formula>NOT(ISERROR(SEARCH("NO",C874)))</formula>
    </cfRule>
  </conditionalFormatting>
  <conditionalFormatting sqref="E874">
    <cfRule type="containsText" dxfId="2983" priority="3306" operator="containsText" text="Sin información">
      <formula>NOT(ISERROR(SEARCH("Sin información",E874)))</formula>
    </cfRule>
  </conditionalFormatting>
  <conditionalFormatting sqref="C874:E874">
    <cfRule type="containsText" dxfId="2982" priority="3305" operator="containsText" text="NUEVO">
      <formula>NOT(ISERROR(SEARCH("NUEVO",C874)))</formula>
    </cfRule>
  </conditionalFormatting>
  <conditionalFormatting sqref="C875:D875">
    <cfRule type="containsText" dxfId="2981" priority="3304" operator="containsText" text="NO+$D$4:$D$10">
      <formula>NOT(ISERROR(SEARCH("NO+$D$4:$D$10",C875)))</formula>
    </cfRule>
  </conditionalFormatting>
  <conditionalFormatting sqref="C875:D875">
    <cfRule type="containsText" dxfId="2980" priority="3302" operator="containsText" text="SI">
      <formula>NOT(ISERROR(SEARCH("SI",C875)))</formula>
    </cfRule>
    <cfRule type="containsText" dxfId="2979" priority="3303" operator="containsText" text="NO">
      <formula>NOT(ISERROR(SEARCH("NO",C875)))</formula>
    </cfRule>
  </conditionalFormatting>
  <conditionalFormatting sqref="C875:D875">
    <cfRule type="containsText" dxfId="2978" priority="3301" operator="containsText" text="NUEVO">
      <formula>NOT(ISERROR(SEARCH("NUEVO",C875)))</formula>
    </cfRule>
  </conditionalFormatting>
  <conditionalFormatting sqref="E875">
    <cfRule type="containsText" dxfId="2977" priority="3300" operator="containsText" text="Sin información">
      <formula>NOT(ISERROR(SEARCH("Sin información",E875)))</formula>
    </cfRule>
  </conditionalFormatting>
  <conditionalFormatting sqref="E875">
    <cfRule type="containsText" dxfId="2976" priority="3299" operator="containsText" text="NUEVO">
      <formula>NOT(ISERROR(SEARCH("NUEVO",E875)))</formula>
    </cfRule>
  </conditionalFormatting>
  <conditionalFormatting sqref="C876:D876">
    <cfRule type="containsText" dxfId="2975" priority="3298" operator="containsText" text="NO+$D$4:$D$10">
      <formula>NOT(ISERROR(SEARCH("NO+$D$4:$D$10",C876)))</formula>
    </cfRule>
  </conditionalFormatting>
  <conditionalFormatting sqref="C876:D876">
    <cfRule type="containsText" dxfId="2974" priority="3296" operator="containsText" text="SI">
      <formula>NOT(ISERROR(SEARCH("SI",C876)))</formula>
    </cfRule>
    <cfRule type="containsText" dxfId="2973" priority="3297" operator="containsText" text="NO">
      <formula>NOT(ISERROR(SEARCH("NO",C876)))</formula>
    </cfRule>
  </conditionalFormatting>
  <conditionalFormatting sqref="C876:D876">
    <cfRule type="containsText" dxfId="2972" priority="3295" operator="containsText" text="NUEVO">
      <formula>NOT(ISERROR(SEARCH("NUEVO",C876)))</formula>
    </cfRule>
  </conditionalFormatting>
  <conditionalFormatting sqref="E876">
    <cfRule type="containsText" dxfId="2971" priority="3294" operator="containsText" text="Sin información">
      <formula>NOT(ISERROR(SEARCH("Sin información",E876)))</formula>
    </cfRule>
  </conditionalFormatting>
  <conditionalFormatting sqref="E876">
    <cfRule type="containsText" dxfId="2970" priority="3293" operator="containsText" text="NUEVO">
      <formula>NOT(ISERROR(SEARCH("NUEVO",E876)))</formula>
    </cfRule>
  </conditionalFormatting>
  <conditionalFormatting sqref="C877:D877">
    <cfRule type="containsText" dxfId="2969" priority="3292" operator="containsText" text="NO+$D$4:$D$10">
      <formula>NOT(ISERROR(SEARCH("NO+$D$4:$D$10",C877)))</formula>
    </cfRule>
  </conditionalFormatting>
  <conditionalFormatting sqref="C877:D877">
    <cfRule type="containsText" dxfId="2968" priority="3290" operator="containsText" text="SI">
      <formula>NOT(ISERROR(SEARCH("SI",C877)))</formula>
    </cfRule>
    <cfRule type="containsText" dxfId="2967" priority="3291" operator="containsText" text="NO">
      <formula>NOT(ISERROR(SEARCH("NO",C877)))</formula>
    </cfRule>
  </conditionalFormatting>
  <conditionalFormatting sqref="C877:D877">
    <cfRule type="containsText" dxfId="2966" priority="3289" operator="containsText" text="NUEVO">
      <formula>NOT(ISERROR(SEARCH("NUEVO",C877)))</formula>
    </cfRule>
  </conditionalFormatting>
  <conditionalFormatting sqref="E877">
    <cfRule type="containsText" dxfId="2965" priority="3288" operator="containsText" text="Sin información">
      <formula>NOT(ISERROR(SEARCH("Sin información",E877)))</formula>
    </cfRule>
  </conditionalFormatting>
  <conditionalFormatting sqref="E877">
    <cfRule type="containsText" dxfId="2964" priority="3287" operator="containsText" text="NUEVO">
      <formula>NOT(ISERROR(SEARCH("NUEVO",E877)))</formula>
    </cfRule>
  </conditionalFormatting>
  <conditionalFormatting sqref="C878:D878">
    <cfRule type="containsText" dxfId="2963" priority="3286" operator="containsText" text="NO+$D$4:$D$10">
      <formula>NOT(ISERROR(SEARCH("NO+$D$4:$D$10",C878)))</formula>
    </cfRule>
  </conditionalFormatting>
  <conditionalFormatting sqref="C878:D878">
    <cfRule type="containsText" dxfId="2962" priority="3284" operator="containsText" text="SI">
      <formula>NOT(ISERROR(SEARCH("SI",C878)))</formula>
    </cfRule>
    <cfRule type="containsText" dxfId="2961" priority="3285" operator="containsText" text="NO">
      <formula>NOT(ISERROR(SEARCH("NO",C878)))</formula>
    </cfRule>
  </conditionalFormatting>
  <conditionalFormatting sqref="C878:D878">
    <cfRule type="containsText" dxfId="2960" priority="3283" operator="containsText" text="NUEVO">
      <formula>NOT(ISERROR(SEARCH("NUEVO",C878)))</formula>
    </cfRule>
  </conditionalFormatting>
  <conditionalFormatting sqref="E878">
    <cfRule type="containsText" dxfId="2959" priority="3282" operator="containsText" text="Sin información">
      <formula>NOT(ISERROR(SEARCH("Sin información",E878)))</formula>
    </cfRule>
  </conditionalFormatting>
  <conditionalFormatting sqref="E878">
    <cfRule type="containsText" dxfId="2958" priority="3281" operator="containsText" text="NUEVO">
      <formula>NOT(ISERROR(SEARCH("NUEVO",E878)))</formula>
    </cfRule>
  </conditionalFormatting>
  <conditionalFormatting sqref="C879:D879">
    <cfRule type="containsText" dxfId="2957" priority="3280" operator="containsText" text="NO+$D$4:$D$10">
      <formula>NOT(ISERROR(SEARCH("NO+$D$4:$D$10",C879)))</formula>
    </cfRule>
  </conditionalFormatting>
  <conditionalFormatting sqref="C879:D879">
    <cfRule type="containsText" dxfId="2956" priority="3278" operator="containsText" text="SI">
      <formula>NOT(ISERROR(SEARCH("SI",C879)))</formula>
    </cfRule>
    <cfRule type="containsText" dxfId="2955" priority="3279" operator="containsText" text="NO">
      <formula>NOT(ISERROR(SEARCH("NO",C879)))</formula>
    </cfRule>
  </conditionalFormatting>
  <conditionalFormatting sqref="E879">
    <cfRule type="containsText" dxfId="2954" priority="3277" operator="containsText" text="Sin información">
      <formula>NOT(ISERROR(SEARCH("Sin información",E879)))</formula>
    </cfRule>
  </conditionalFormatting>
  <conditionalFormatting sqref="C879:E879">
    <cfRule type="containsText" dxfId="2953" priority="3276" operator="containsText" text="NUEVO">
      <formula>NOT(ISERROR(SEARCH("NUEVO",C879)))</formula>
    </cfRule>
  </conditionalFormatting>
  <conditionalFormatting sqref="C880:D880">
    <cfRule type="containsText" dxfId="2952" priority="3275" operator="containsText" text="NO+$D$4:$D$10">
      <formula>NOT(ISERROR(SEARCH("NO+$D$4:$D$10",C880)))</formula>
    </cfRule>
  </conditionalFormatting>
  <conditionalFormatting sqref="C880:D880">
    <cfRule type="containsText" dxfId="2951" priority="3273" operator="containsText" text="SI">
      <formula>NOT(ISERROR(SEARCH("SI",C880)))</formula>
    </cfRule>
    <cfRule type="containsText" dxfId="2950" priority="3274" operator="containsText" text="NO">
      <formula>NOT(ISERROR(SEARCH("NO",C880)))</formula>
    </cfRule>
  </conditionalFormatting>
  <conditionalFormatting sqref="E880">
    <cfRule type="containsText" dxfId="2949" priority="3272" operator="containsText" text="Sin información">
      <formula>NOT(ISERROR(SEARCH("Sin información",E880)))</formula>
    </cfRule>
  </conditionalFormatting>
  <conditionalFormatting sqref="C880:E880">
    <cfRule type="containsText" dxfId="2948" priority="3271" operator="containsText" text="NUEVO">
      <formula>NOT(ISERROR(SEARCH("NUEVO",C880)))</formula>
    </cfRule>
  </conditionalFormatting>
  <conditionalFormatting sqref="C881:D881">
    <cfRule type="containsText" dxfId="2947" priority="3270" operator="containsText" text="NO+$D$4:$D$10">
      <formula>NOT(ISERROR(SEARCH("NO+$D$4:$D$10",C881)))</formula>
    </cfRule>
  </conditionalFormatting>
  <conditionalFormatting sqref="C881:D881">
    <cfRule type="containsText" dxfId="2946" priority="3268" operator="containsText" text="SI">
      <formula>NOT(ISERROR(SEARCH("SI",C881)))</formula>
    </cfRule>
    <cfRule type="containsText" dxfId="2945" priority="3269" operator="containsText" text="NO">
      <formula>NOT(ISERROR(SEARCH("NO",C881)))</formula>
    </cfRule>
  </conditionalFormatting>
  <conditionalFormatting sqref="E881">
    <cfRule type="containsText" dxfId="2944" priority="3267" operator="containsText" text="Sin información">
      <formula>NOT(ISERROR(SEARCH("Sin información",E881)))</formula>
    </cfRule>
  </conditionalFormatting>
  <conditionalFormatting sqref="C881:E881">
    <cfRule type="containsText" dxfId="2943" priority="3266" operator="containsText" text="NUEVO">
      <formula>NOT(ISERROR(SEARCH("NUEVO",C881)))</formula>
    </cfRule>
  </conditionalFormatting>
  <conditionalFormatting sqref="C882:D882">
    <cfRule type="containsText" dxfId="2942" priority="3265" operator="containsText" text="NO+$D$4:$D$10">
      <formula>NOT(ISERROR(SEARCH("NO+$D$4:$D$10",C882)))</formula>
    </cfRule>
  </conditionalFormatting>
  <conditionalFormatting sqref="C882:D882">
    <cfRule type="containsText" dxfId="2941" priority="3263" operator="containsText" text="SI">
      <formula>NOT(ISERROR(SEARCH("SI",C882)))</formula>
    </cfRule>
    <cfRule type="containsText" dxfId="2940" priority="3264" operator="containsText" text="NO">
      <formula>NOT(ISERROR(SEARCH("NO",C882)))</formula>
    </cfRule>
  </conditionalFormatting>
  <conditionalFormatting sqref="C882:D882">
    <cfRule type="containsText" dxfId="2939" priority="3262" operator="containsText" text="NUEVO">
      <formula>NOT(ISERROR(SEARCH("NUEVO",C882)))</formula>
    </cfRule>
  </conditionalFormatting>
  <conditionalFormatting sqref="E882">
    <cfRule type="containsText" dxfId="2938" priority="3261" operator="containsText" text="Sin información">
      <formula>NOT(ISERROR(SEARCH("Sin información",E882)))</formula>
    </cfRule>
  </conditionalFormatting>
  <conditionalFormatting sqref="E882">
    <cfRule type="containsText" dxfId="2937" priority="3260" operator="containsText" text="NUEVO">
      <formula>NOT(ISERROR(SEARCH("NUEVO",E882)))</formula>
    </cfRule>
  </conditionalFormatting>
  <conditionalFormatting sqref="C883:D883">
    <cfRule type="containsText" dxfId="2936" priority="3259" operator="containsText" text="NO+$D$4:$D$10">
      <formula>NOT(ISERROR(SEARCH("NO+$D$4:$D$10",C883)))</formula>
    </cfRule>
  </conditionalFormatting>
  <conditionalFormatting sqref="C883:D883">
    <cfRule type="containsText" dxfId="2935" priority="3257" operator="containsText" text="SI">
      <formula>NOT(ISERROR(SEARCH("SI",C883)))</formula>
    </cfRule>
    <cfRule type="containsText" dxfId="2934" priority="3258" operator="containsText" text="NO">
      <formula>NOT(ISERROR(SEARCH("NO",C883)))</formula>
    </cfRule>
  </conditionalFormatting>
  <conditionalFormatting sqref="E883">
    <cfRule type="containsText" dxfId="2933" priority="3256" operator="containsText" text="Sin información">
      <formula>NOT(ISERROR(SEARCH("Sin información",E883)))</formula>
    </cfRule>
  </conditionalFormatting>
  <conditionalFormatting sqref="C883:E883">
    <cfRule type="containsText" dxfId="2932" priority="3255" operator="containsText" text="NUEVO">
      <formula>NOT(ISERROR(SEARCH("NUEVO",C883)))</formula>
    </cfRule>
  </conditionalFormatting>
  <conditionalFormatting sqref="C884:D884">
    <cfRule type="containsText" dxfId="2931" priority="3254" operator="containsText" text="NO+$D$4:$D$10">
      <formula>NOT(ISERROR(SEARCH("NO+$D$4:$D$10",C884)))</formula>
    </cfRule>
  </conditionalFormatting>
  <conditionalFormatting sqref="C884:D884">
    <cfRule type="containsText" dxfId="2930" priority="3252" operator="containsText" text="SI">
      <formula>NOT(ISERROR(SEARCH("SI",C884)))</formula>
    </cfRule>
    <cfRule type="containsText" dxfId="2929" priority="3253" operator="containsText" text="NO">
      <formula>NOT(ISERROR(SEARCH("NO",C884)))</formula>
    </cfRule>
  </conditionalFormatting>
  <conditionalFormatting sqref="E884">
    <cfRule type="containsText" dxfId="2928" priority="3251" operator="containsText" text="Sin información">
      <formula>NOT(ISERROR(SEARCH("Sin información",E884)))</formula>
    </cfRule>
  </conditionalFormatting>
  <conditionalFormatting sqref="C884:E884">
    <cfRule type="containsText" dxfId="2927" priority="3250" operator="containsText" text="NUEVO">
      <formula>NOT(ISERROR(SEARCH("NUEVO",C884)))</formula>
    </cfRule>
  </conditionalFormatting>
  <conditionalFormatting sqref="C885:D885">
    <cfRule type="containsText" dxfId="2926" priority="3249" operator="containsText" text="NO+$D$4:$D$10">
      <formula>NOT(ISERROR(SEARCH("NO+$D$4:$D$10",C885)))</formula>
    </cfRule>
  </conditionalFormatting>
  <conditionalFormatting sqref="C885:D885">
    <cfRule type="containsText" dxfId="2925" priority="3247" operator="containsText" text="SI">
      <formula>NOT(ISERROR(SEARCH("SI",C885)))</formula>
    </cfRule>
    <cfRule type="containsText" dxfId="2924" priority="3248" operator="containsText" text="NO">
      <formula>NOT(ISERROR(SEARCH("NO",C885)))</formula>
    </cfRule>
  </conditionalFormatting>
  <conditionalFormatting sqref="E885">
    <cfRule type="containsText" dxfId="2923" priority="3246" operator="containsText" text="Sin información">
      <formula>NOT(ISERROR(SEARCH("Sin información",E885)))</formula>
    </cfRule>
  </conditionalFormatting>
  <conditionalFormatting sqref="C885:E885">
    <cfRule type="containsText" dxfId="2922" priority="3245" operator="containsText" text="NUEVO">
      <formula>NOT(ISERROR(SEARCH("NUEVO",C885)))</formula>
    </cfRule>
  </conditionalFormatting>
  <conditionalFormatting sqref="C886:D886">
    <cfRule type="containsText" dxfId="2921" priority="3244" operator="containsText" text="NO+$D$4:$D$10">
      <formula>NOT(ISERROR(SEARCH("NO+$D$4:$D$10",C886)))</formula>
    </cfRule>
  </conditionalFormatting>
  <conditionalFormatting sqref="C886:D886">
    <cfRule type="containsText" dxfId="2920" priority="3242" operator="containsText" text="SI">
      <formula>NOT(ISERROR(SEARCH("SI",C886)))</formula>
    </cfRule>
    <cfRule type="containsText" dxfId="2919" priority="3243" operator="containsText" text="NO">
      <formula>NOT(ISERROR(SEARCH("NO",C886)))</formula>
    </cfRule>
  </conditionalFormatting>
  <conditionalFormatting sqref="E886">
    <cfRule type="containsText" dxfId="2918" priority="3241" operator="containsText" text="Sin información">
      <formula>NOT(ISERROR(SEARCH("Sin información",E886)))</formula>
    </cfRule>
  </conditionalFormatting>
  <conditionalFormatting sqref="C886:E886">
    <cfRule type="containsText" dxfId="2917" priority="3240" operator="containsText" text="NUEVO">
      <formula>NOT(ISERROR(SEARCH("NUEVO",C886)))</formula>
    </cfRule>
  </conditionalFormatting>
  <conditionalFormatting sqref="C887:D887">
    <cfRule type="containsText" dxfId="2916" priority="3239" operator="containsText" text="NO+$D$4:$D$10">
      <formula>NOT(ISERROR(SEARCH("NO+$D$4:$D$10",C887)))</formula>
    </cfRule>
  </conditionalFormatting>
  <conditionalFormatting sqref="C887:D887">
    <cfRule type="containsText" dxfId="2915" priority="3237" operator="containsText" text="SI">
      <formula>NOT(ISERROR(SEARCH("SI",C887)))</formula>
    </cfRule>
    <cfRule type="containsText" dxfId="2914" priority="3238" operator="containsText" text="NO">
      <formula>NOT(ISERROR(SEARCH("NO",C887)))</formula>
    </cfRule>
  </conditionalFormatting>
  <conditionalFormatting sqref="C887:D887">
    <cfRule type="containsText" dxfId="2913" priority="3236" operator="containsText" text="NUEVO">
      <formula>NOT(ISERROR(SEARCH("NUEVO",C887)))</formula>
    </cfRule>
  </conditionalFormatting>
  <conditionalFormatting sqref="E887">
    <cfRule type="containsText" dxfId="2912" priority="3234" operator="containsText" text="NUEVO">
      <formula>NOT(ISERROR(SEARCH("NUEVO",E887)))</formula>
    </cfRule>
  </conditionalFormatting>
  <conditionalFormatting sqref="E887">
    <cfRule type="containsText" dxfId="2911" priority="3235" operator="containsText" text="Sin información">
      <formula>NOT(ISERROR(SEARCH("Sin información",E887)))</formula>
    </cfRule>
  </conditionalFormatting>
  <conditionalFormatting sqref="C888:D888">
    <cfRule type="containsText" dxfId="2910" priority="3233" operator="containsText" text="NO+$D$4:$D$10">
      <formula>NOT(ISERROR(SEARCH("NO+$D$4:$D$10",C888)))</formula>
    </cfRule>
  </conditionalFormatting>
  <conditionalFormatting sqref="C888:D888">
    <cfRule type="containsText" dxfId="2909" priority="3231" operator="containsText" text="SI">
      <formula>NOT(ISERROR(SEARCH("SI",C888)))</formula>
    </cfRule>
    <cfRule type="containsText" dxfId="2908" priority="3232" operator="containsText" text="NO">
      <formula>NOT(ISERROR(SEARCH("NO",C888)))</formula>
    </cfRule>
  </conditionalFormatting>
  <conditionalFormatting sqref="E888">
    <cfRule type="containsText" dxfId="2907" priority="3230" operator="containsText" text="Sin información">
      <formula>NOT(ISERROR(SEARCH("Sin información",E888)))</formula>
    </cfRule>
  </conditionalFormatting>
  <conditionalFormatting sqref="C888:E888">
    <cfRule type="containsText" dxfId="2906" priority="3229" operator="containsText" text="NUEVO">
      <formula>NOT(ISERROR(SEARCH("NUEVO",C888)))</formula>
    </cfRule>
  </conditionalFormatting>
  <conditionalFormatting sqref="C889:D889">
    <cfRule type="containsText" dxfId="2905" priority="3228" operator="containsText" text="NO+$D$4:$D$10">
      <formula>NOT(ISERROR(SEARCH("NO+$D$4:$D$10",C889)))</formula>
    </cfRule>
  </conditionalFormatting>
  <conditionalFormatting sqref="C889:D889">
    <cfRule type="containsText" dxfId="2904" priority="3226" operator="containsText" text="SI">
      <formula>NOT(ISERROR(SEARCH("SI",C889)))</formula>
    </cfRule>
    <cfRule type="containsText" dxfId="2903" priority="3227" operator="containsText" text="NO">
      <formula>NOT(ISERROR(SEARCH("NO",C889)))</formula>
    </cfRule>
  </conditionalFormatting>
  <conditionalFormatting sqref="E889">
    <cfRule type="containsText" dxfId="2902" priority="3225" operator="containsText" text="Sin información">
      <formula>NOT(ISERROR(SEARCH("Sin información",E889)))</formula>
    </cfRule>
  </conditionalFormatting>
  <conditionalFormatting sqref="C889:E889">
    <cfRule type="containsText" dxfId="2901" priority="3224" operator="containsText" text="NUEVO">
      <formula>NOT(ISERROR(SEARCH("NUEVO",C889)))</formula>
    </cfRule>
  </conditionalFormatting>
  <conditionalFormatting sqref="C890:D891">
    <cfRule type="containsText" dxfId="2900" priority="3223" operator="containsText" text="NO+$D$4:$D$10">
      <formula>NOT(ISERROR(SEARCH("NO+$D$4:$D$10",C890)))</formula>
    </cfRule>
  </conditionalFormatting>
  <conditionalFormatting sqref="C890:D891">
    <cfRule type="containsText" dxfId="2899" priority="3221" operator="containsText" text="SI">
      <formula>NOT(ISERROR(SEARCH("SI",C890)))</formula>
    </cfRule>
    <cfRule type="containsText" dxfId="2898" priority="3222" operator="containsText" text="NO">
      <formula>NOT(ISERROR(SEARCH("NO",C890)))</formula>
    </cfRule>
  </conditionalFormatting>
  <conditionalFormatting sqref="C890:D891">
    <cfRule type="containsText" dxfId="2897" priority="3220" operator="containsText" text="NUEVO">
      <formula>NOT(ISERROR(SEARCH("NUEVO",C890)))</formula>
    </cfRule>
  </conditionalFormatting>
  <conditionalFormatting sqref="E890:E891">
    <cfRule type="containsText" dxfId="2896" priority="3219" operator="containsText" text="Sin información">
      <formula>NOT(ISERROR(SEARCH("Sin información",E890)))</formula>
    </cfRule>
  </conditionalFormatting>
  <conditionalFormatting sqref="E890:E891">
    <cfRule type="containsText" dxfId="2895" priority="3218" operator="containsText" text="NUEVO">
      <formula>NOT(ISERROR(SEARCH("NUEVO",E890)))</formula>
    </cfRule>
  </conditionalFormatting>
  <conditionalFormatting sqref="C892:D897">
    <cfRule type="containsText" dxfId="2894" priority="3217" operator="containsText" text="NO+$D$4:$D$10">
      <formula>NOT(ISERROR(SEARCH("NO+$D$4:$D$10",C892)))</formula>
    </cfRule>
  </conditionalFormatting>
  <conditionalFormatting sqref="C892:D897">
    <cfRule type="containsText" dxfId="2893" priority="3215" operator="containsText" text="SI">
      <formula>NOT(ISERROR(SEARCH("SI",C892)))</formula>
    </cfRule>
    <cfRule type="containsText" dxfId="2892" priority="3216" operator="containsText" text="NO">
      <formula>NOT(ISERROR(SEARCH("NO",C892)))</formula>
    </cfRule>
  </conditionalFormatting>
  <conditionalFormatting sqref="C892:D897">
    <cfRule type="containsText" dxfId="2891" priority="3214" operator="containsText" text="NUEVO">
      <formula>NOT(ISERROR(SEARCH("NUEVO",C892)))</formula>
    </cfRule>
  </conditionalFormatting>
  <conditionalFormatting sqref="E892:E897">
    <cfRule type="containsText" dxfId="2890" priority="3212" operator="containsText" text="NUEVO">
      <formula>NOT(ISERROR(SEARCH("NUEVO",E892)))</formula>
    </cfRule>
  </conditionalFormatting>
  <conditionalFormatting sqref="E892:E897">
    <cfRule type="containsText" dxfId="2889" priority="3213" operator="containsText" text="Sin información">
      <formula>NOT(ISERROR(SEARCH("Sin información",E892)))</formula>
    </cfRule>
  </conditionalFormatting>
  <conditionalFormatting sqref="C898:D900">
    <cfRule type="containsText" dxfId="2888" priority="3211" operator="containsText" text="NO+$D$4:$D$10">
      <formula>NOT(ISERROR(SEARCH("NO+$D$4:$D$10",C898)))</formula>
    </cfRule>
  </conditionalFormatting>
  <conditionalFormatting sqref="C898:D900">
    <cfRule type="containsText" dxfId="2887" priority="3209" operator="containsText" text="SI">
      <formula>NOT(ISERROR(SEARCH("SI",C898)))</formula>
    </cfRule>
    <cfRule type="containsText" dxfId="2886" priority="3210" operator="containsText" text="NO">
      <formula>NOT(ISERROR(SEARCH("NO",C898)))</formula>
    </cfRule>
  </conditionalFormatting>
  <conditionalFormatting sqref="C898:D900">
    <cfRule type="containsText" dxfId="2885" priority="3208" operator="containsText" text="NUEVO">
      <formula>NOT(ISERROR(SEARCH("NUEVO",C898)))</formula>
    </cfRule>
  </conditionalFormatting>
  <conditionalFormatting sqref="E898">
    <cfRule type="containsText" dxfId="2884" priority="3206" operator="containsText" text="NUEVO">
      <formula>NOT(ISERROR(SEARCH("NUEVO",E898)))</formula>
    </cfRule>
  </conditionalFormatting>
  <conditionalFormatting sqref="E898">
    <cfRule type="containsText" dxfId="2883" priority="3207" operator="containsText" text="Sin información">
      <formula>NOT(ISERROR(SEARCH("Sin información",E898)))</formula>
    </cfRule>
  </conditionalFormatting>
  <conditionalFormatting sqref="E899">
    <cfRule type="containsText" dxfId="2882" priority="3204" operator="containsText" text="NUEVO">
      <formula>NOT(ISERROR(SEARCH("NUEVO",E899)))</formula>
    </cfRule>
  </conditionalFormatting>
  <conditionalFormatting sqref="E899">
    <cfRule type="containsText" dxfId="2881" priority="3205" operator="containsText" text="Sin información">
      <formula>NOT(ISERROR(SEARCH("Sin información",E899)))</formula>
    </cfRule>
  </conditionalFormatting>
  <conditionalFormatting sqref="E900">
    <cfRule type="containsText" dxfId="2880" priority="3202" operator="containsText" text="NUEVO">
      <formula>NOT(ISERROR(SEARCH("NUEVO",E900)))</formula>
    </cfRule>
  </conditionalFormatting>
  <conditionalFormatting sqref="E900">
    <cfRule type="containsText" dxfId="2879" priority="3203" operator="containsText" text="Sin información">
      <formula>NOT(ISERROR(SEARCH("Sin información",E900)))</formula>
    </cfRule>
  </conditionalFormatting>
  <conditionalFormatting sqref="E901">
    <cfRule type="containsText" dxfId="2878" priority="3200" operator="containsText" text="NUEVO">
      <formula>NOT(ISERROR(SEARCH("NUEVO",E901)))</formula>
    </cfRule>
  </conditionalFormatting>
  <conditionalFormatting sqref="E901">
    <cfRule type="containsText" dxfId="2877" priority="3201" operator="containsText" text="Sin información">
      <formula>NOT(ISERROR(SEARCH("Sin información",E901)))</formula>
    </cfRule>
  </conditionalFormatting>
  <conditionalFormatting sqref="E903">
    <cfRule type="containsText" dxfId="2876" priority="3199" operator="containsText" text="Sin información">
      <formula>NOT(ISERROR(SEARCH("Sin información",E903)))</formula>
    </cfRule>
  </conditionalFormatting>
  <conditionalFormatting sqref="E903">
    <cfRule type="containsText" dxfId="2875" priority="3198" operator="containsText" text="NUEVO">
      <formula>NOT(ISERROR(SEARCH("NUEVO",E903)))</formula>
    </cfRule>
  </conditionalFormatting>
  <conditionalFormatting sqref="F904:F905">
    <cfRule type="containsText" dxfId="2874" priority="3194" operator="containsText" text="NUEVO">
      <formula>NOT(ISERROR(SEARCH("NUEVO",F904)))</formula>
    </cfRule>
  </conditionalFormatting>
  <conditionalFormatting sqref="F904:F905">
    <cfRule type="containsText" dxfId="2873" priority="3197" operator="containsText" text="NO+$D$4:$D$10">
      <formula>NOT(ISERROR(SEARCH("NO+$D$4:$D$10",F904)))</formula>
    </cfRule>
  </conditionalFormatting>
  <conditionalFormatting sqref="F904:F905">
    <cfRule type="containsText" dxfId="2872" priority="3195" operator="containsText" text="SI">
      <formula>NOT(ISERROR(SEARCH("SI",F904)))</formula>
    </cfRule>
    <cfRule type="containsText" dxfId="2871" priority="3196" operator="containsText" text="NO">
      <formula>NOT(ISERROR(SEARCH("NO",F904)))</formula>
    </cfRule>
  </conditionalFormatting>
  <conditionalFormatting sqref="C906:D906">
    <cfRule type="containsText" dxfId="2870" priority="3193" operator="containsText" text="NO+$D$4:$D$10">
      <formula>NOT(ISERROR(SEARCH("NO+$D$4:$D$10",C906)))</formula>
    </cfRule>
  </conditionalFormatting>
  <conditionalFormatting sqref="C906:D906">
    <cfRule type="containsText" dxfId="2869" priority="3191" operator="containsText" text="SI">
      <formula>NOT(ISERROR(SEARCH("SI",C906)))</formula>
    </cfRule>
    <cfRule type="containsText" dxfId="2868" priority="3192" operator="containsText" text="NO">
      <formula>NOT(ISERROR(SEARCH("NO",C906)))</formula>
    </cfRule>
  </conditionalFormatting>
  <conditionalFormatting sqref="E906">
    <cfRule type="containsText" dxfId="2867" priority="3190" operator="containsText" text="Sin información">
      <formula>NOT(ISERROR(SEARCH("Sin información",E906)))</formula>
    </cfRule>
  </conditionalFormatting>
  <conditionalFormatting sqref="C906:E906">
    <cfRule type="containsText" dxfId="2866" priority="3189" operator="containsText" text="NUEVO">
      <formula>NOT(ISERROR(SEARCH("NUEVO",C906)))</formula>
    </cfRule>
  </conditionalFormatting>
  <conditionalFormatting sqref="C907:E907">
    <cfRule type="containsText" dxfId="2865" priority="3184" operator="containsText" text="NUEVO">
      <formula>NOT(ISERROR(SEARCH("NUEVO",C907)))</formula>
    </cfRule>
  </conditionalFormatting>
  <conditionalFormatting sqref="C907:D907">
    <cfRule type="containsText" dxfId="2864" priority="3188" operator="containsText" text="NO+$D$4:$D$10">
      <formula>NOT(ISERROR(SEARCH("NO+$D$4:$D$10",C907)))</formula>
    </cfRule>
  </conditionalFormatting>
  <conditionalFormatting sqref="C907:D907">
    <cfRule type="containsText" dxfId="2863" priority="3186" operator="containsText" text="SI">
      <formula>NOT(ISERROR(SEARCH("SI",C907)))</formula>
    </cfRule>
    <cfRule type="containsText" dxfId="2862" priority="3187" operator="containsText" text="NO">
      <formula>NOT(ISERROR(SEARCH("NO",C907)))</formula>
    </cfRule>
  </conditionalFormatting>
  <conditionalFormatting sqref="E907">
    <cfRule type="containsText" dxfId="2861" priority="3185" operator="containsText" text="Sin información">
      <formula>NOT(ISERROR(SEARCH("Sin información",E907)))</formula>
    </cfRule>
  </conditionalFormatting>
  <conditionalFormatting sqref="C908:E908">
    <cfRule type="containsText" dxfId="2860" priority="3179" operator="containsText" text="NUEVO">
      <formula>NOT(ISERROR(SEARCH("NUEVO",C908)))</formula>
    </cfRule>
  </conditionalFormatting>
  <conditionalFormatting sqref="C908:D908">
    <cfRule type="containsText" dxfId="2859" priority="3183" operator="containsText" text="NO+$D$4:$D$10">
      <formula>NOT(ISERROR(SEARCH("NO+$D$4:$D$10",C908)))</formula>
    </cfRule>
  </conditionalFormatting>
  <conditionalFormatting sqref="C908:D908">
    <cfRule type="containsText" dxfId="2858" priority="3181" operator="containsText" text="SI">
      <formula>NOT(ISERROR(SEARCH("SI",C908)))</formula>
    </cfRule>
    <cfRule type="containsText" dxfId="2857" priority="3182" operator="containsText" text="NO">
      <formula>NOT(ISERROR(SEARCH("NO",C908)))</formula>
    </cfRule>
  </conditionalFormatting>
  <conditionalFormatting sqref="E908">
    <cfRule type="containsText" dxfId="2856" priority="3180" operator="containsText" text="Sin información">
      <formula>NOT(ISERROR(SEARCH("Sin información",E908)))</formula>
    </cfRule>
  </conditionalFormatting>
  <conditionalFormatting sqref="C909:D911">
    <cfRule type="containsText" dxfId="2855" priority="3178" operator="containsText" text="NO+$D$4:$D$10">
      <formula>NOT(ISERROR(SEARCH("NO+$D$4:$D$10",C909)))</formula>
    </cfRule>
  </conditionalFormatting>
  <conditionalFormatting sqref="C909:D911">
    <cfRule type="containsText" dxfId="2854" priority="3176" operator="containsText" text="SI">
      <formula>NOT(ISERROR(SEARCH("SI",C909)))</formula>
    </cfRule>
    <cfRule type="containsText" dxfId="2853" priority="3177" operator="containsText" text="NO">
      <formula>NOT(ISERROR(SEARCH("NO",C909)))</formula>
    </cfRule>
  </conditionalFormatting>
  <conditionalFormatting sqref="E909:E910">
    <cfRule type="containsText" dxfId="2852" priority="3175" operator="containsText" text="Sin información">
      <formula>NOT(ISERROR(SEARCH("Sin información",E909)))</formula>
    </cfRule>
  </conditionalFormatting>
  <conditionalFormatting sqref="C909:D911">
    <cfRule type="containsText" dxfId="2851" priority="3174" operator="containsText" text="NUEVO">
      <formula>NOT(ISERROR(SEARCH("NUEVO",C909)))</formula>
    </cfRule>
  </conditionalFormatting>
  <conditionalFormatting sqref="E909">
    <cfRule type="containsText" dxfId="2850" priority="3173" operator="containsText" text="Sin información">
      <formula>NOT(ISERROR(SEARCH("Sin información",E909)))</formula>
    </cfRule>
  </conditionalFormatting>
  <conditionalFormatting sqref="E911">
    <cfRule type="containsText" dxfId="2849" priority="3172" operator="containsText" text="Sin información">
      <formula>NOT(ISERROR(SEARCH("Sin información",E911)))</formula>
    </cfRule>
  </conditionalFormatting>
  <conditionalFormatting sqref="C912:D912">
    <cfRule type="containsText" dxfId="2848" priority="3171" operator="containsText" text="NO+$D$4:$D$10">
      <formula>NOT(ISERROR(SEARCH("NO+$D$4:$D$10",C912)))</formula>
    </cfRule>
  </conditionalFormatting>
  <conditionalFormatting sqref="C912:D912">
    <cfRule type="containsText" dxfId="2847" priority="3169" operator="containsText" text="SI">
      <formula>NOT(ISERROR(SEARCH("SI",C912)))</formula>
    </cfRule>
    <cfRule type="containsText" dxfId="2846" priority="3170" operator="containsText" text="NO">
      <formula>NOT(ISERROR(SEARCH("NO",C912)))</formula>
    </cfRule>
  </conditionalFormatting>
  <conditionalFormatting sqref="E912">
    <cfRule type="containsText" dxfId="2845" priority="3168" operator="containsText" text="Sin información">
      <formula>NOT(ISERROR(SEARCH("Sin información",E912)))</formula>
    </cfRule>
  </conditionalFormatting>
  <conditionalFormatting sqref="C912:D912">
    <cfRule type="containsText" dxfId="2844" priority="3167" operator="containsText" text="NUEVO">
      <formula>NOT(ISERROR(SEARCH("NUEVO",C912)))</formula>
    </cfRule>
  </conditionalFormatting>
  <conditionalFormatting sqref="C913:D913">
    <cfRule type="containsText" dxfId="2843" priority="3166" operator="containsText" text="NO+$D$4:$D$10">
      <formula>NOT(ISERROR(SEARCH("NO+$D$4:$D$10",C913)))</formula>
    </cfRule>
  </conditionalFormatting>
  <conditionalFormatting sqref="C913:D913">
    <cfRule type="containsText" dxfId="2842" priority="3164" operator="containsText" text="SI">
      <formula>NOT(ISERROR(SEARCH("SI",C913)))</formula>
    </cfRule>
    <cfRule type="containsText" dxfId="2841" priority="3165" operator="containsText" text="NO">
      <formula>NOT(ISERROR(SEARCH("NO",C913)))</formula>
    </cfRule>
  </conditionalFormatting>
  <conditionalFormatting sqref="C913:D913">
    <cfRule type="containsText" dxfId="2840" priority="3163" operator="containsText" text="NUEVO">
      <formula>NOT(ISERROR(SEARCH("NUEVO",C913)))</formula>
    </cfRule>
  </conditionalFormatting>
  <conditionalFormatting sqref="E913">
    <cfRule type="containsText" dxfId="2839" priority="3162" operator="containsText" text="Sin información">
      <formula>NOT(ISERROR(SEARCH("Sin información",E913)))</formula>
    </cfRule>
  </conditionalFormatting>
  <conditionalFormatting sqref="E913">
    <cfRule type="containsText" dxfId="2838" priority="3161" operator="containsText" text="NUEVO">
      <formula>NOT(ISERROR(SEARCH("NUEVO",E913)))</formula>
    </cfRule>
  </conditionalFormatting>
  <conditionalFormatting sqref="C914:D915">
    <cfRule type="containsText" dxfId="2837" priority="3160" operator="containsText" text="NO+$D$4:$D$10">
      <formula>NOT(ISERROR(SEARCH("NO+$D$4:$D$10",C914)))</formula>
    </cfRule>
  </conditionalFormatting>
  <conditionalFormatting sqref="C914:D915">
    <cfRule type="containsText" dxfId="2836" priority="3158" operator="containsText" text="SI">
      <formula>NOT(ISERROR(SEARCH("SI",C914)))</formula>
    </cfRule>
    <cfRule type="containsText" dxfId="2835" priority="3159" operator="containsText" text="NO">
      <formula>NOT(ISERROR(SEARCH("NO",C914)))</formula>
    </cfRule>
  </conditionalFormatting>
  <conditionalFormatting sqref="E914">
    <cfRule type="containsText" dxfId="2834" priority="3157" operator="containsText" text="Sin información">
      <formula>NOT(ISERROR(SEARCH("Sin información",E914)))</formula>
    </cfRule>
  </conditionalFormatting>
  <conditionalFormatting sqref="E914 C914:D915">
    <cfRule type="containsText" dxfId="2833" priority="3156" operator="containsText" text="NUEVO">
      <formula>NOT(ISERROR(SEARCH("NUEVO",C914)))</formula>
    </cfRule>
  </conditionalFormatting>
  <conditionalFormatting sqref="E915">
    <cfRule type="containsText" dxfId="2832" priority="3155" operator="containsText" text="Sin información">
      <formula>NOT(ISERROR(SEARCH("Sin información",E915)))</formula>
    </cfRule>
  </conditionalFormatting>
  <conditionalFormatting sqref="E915">
    <cfRule type="containsText" dxfId="2831" priority="3154" operator="containsText" text="NUEVO">
      <formula>NOT(ISERROR(SEARCH("NUEVO",E915)))</formula>
    </cfRule>
  </conditionalFormatting>
  <conditionalFormatting sqref="C916:D918">
    <cfRule type="containsText" dxfId="2830" priority="3153" operator="containsText" text="NO+$D$4:$D$10">
      <formula>NOT(ISERROR(SEARCH("NO+$D$4:$D$10",C916)))</formula>
    </cfRule>
  </conditionalFormatting>
  <conditionalFormatting sqref="C916:D918">
    <cfRule type="containsText" dxfId="2829" priority="3151" operator="containsText" text="SI">
      <formula>NOT(ISERROR(SEARCH("SI",C916)))</formula>
    </cfRule>
    <cfRule type="containsText" dxfId="2828" priority="3152" operator="containsText" text="NO">
      <formula>NOT(ISERROR(SEARCH("NO",C916)))</formula>
    </cfRule>
  </conditionalFormatting>
  <conditionalFormatting sqref="E916">
    <cfRule type="containsText" dxfId="2827" priority="3150" operator="containsText" text="Sin información">
      <formula>NOT(ISERROR(SEARCH("Sin información",E916)))</formula>
    </cfRule>
  </conditionalFormatting>
  <conditionalFormatting sqref="E916 C916:D918">
    <cfRule type="containsText" dxfId="2826" priority="3149" operator="containsText" text="NUEVO">
      <formula>NOT(ISERROR(SEARCH("NUEVO",C916)))</formula>
    </cfRule>
  </conditionalFormatting>
  <conditionalFormatting sqref="E917:E918">
    <cfRule type="containsText" dxfId="2825" priority="3148" operator="containsText" text="Sin información">
      <formula>NOT(ISERROR(SEARCH("Sin información",E917)))</formula>
    </cfRule>
  </conditionalFormatting>
  <conditionalFormatting sqref="E917:E918">
    <cfRule type="containsText" dxfId="2824" priority="3147" operator="containsText" text="NUEVO">
      <formula>NOT(ISERROR(SEARCH("NUEVO",E917)))</formula>
    </cfRule>
  </conditionalFormatting>
  <conditionalFormatting sqref="F918 F916">
    <cfRule type="containsText" dxfId="2823" priority="3143" operator="containsText" text="NUEVO">
      <formula>NOT(ISERROR(SEARCH("NUEVO",F916)))</formula>
    </cfRule>
  </conditionalFormatting>
  <conditionalFormatting sqref="F918 F916">
    <cfRule type="containsText" dxfId="2822" priority="3146" operator="containsText" text="NO+$D$4:$D$10">
      <formula>NOT(ISERROR(SEARCH("NO+$D$4:$D$10",F916)))</formula>
    </cfRule>
  </conditionalFormatting>
  <conditionalFormatting sqref="F918 F916">
    <cfRule type="containsText" dxfId="2821" priority="3144" operator="containsText" text="SI">
      <formula>NOT(ISERROR(SEARCH("SI",F916)))</formula>
    </cfRule>
    <cfRule type="containsText" dxfId="2820" priority="3145" operator="containsText" text="NO">
      <formula>NOT(ISERROR(SEARCH("NO",F916)))</formula>
    </cfRule>
  </conditionalFormatting>
  <conditionalFormatting sqref="C919:D920">
    <cfRule type="containsText" dxfId="2819" priority="3142" operator="containsText" text="NO+$D$4:$D$10">
      <formula>NOT(ISERROR(SEARCH("NO+$D$4:$D$10",C919)))</formula>
    </cfRule>
  </conditionalFormatting>
  <conditionalFormatting sqref="C919:D920">
    <cfRule type="containsText" dxfId="2818" priority="3140" operator="containsText" text="SI">
      <formula>NOT(ISERROR(SEARCH("SI",C919)))</formula>
    </cfRule>
    <cfRule type="containsText" dxfId="2817" priority="3141" operator="containsText" text="NO">
      <formula>NOT(ISERROR(SEARCH("NO",C919)))</formula>
    </cfRule>
  </conditionalFormatting>
  <conditionalFormatting sqref="C919:D920">
    <cfRule type="containsText" dxfId="2816" priority="3139" operator="containsText" text="NUEVO">
      <formula>NOT(ISERROR(SEARCH("NUEVO",C919)))</formula>
    </cfRule>
  </conditionalFormatting>
  <conditionalFormatting sqref="E919:E920">
    <cfRule type="containsText" dxfId="2815" priority="3138" operator="containsText" text="Sin información">
      <formula>NOT(ISERROR(SEARCH("Sin información",E919)))</formula>
    </cfRule>
  </conditionalFormatting>
  <conditionalFormatting sqref="E919:E920">
    <cfRule type="containsText" dxfId="2814" priority="3137" operator="containsText" text="NUEVO">
      <formula>NOT(ISERROR(SEARCH("NUEVO",E919)))</formula>
    </cfRule>
  </conditionalFormatting>
  <conditionalFormatting sqref="F919">
    <cfRule type="containsText" dxfId="2813" priority="3131" operator="containsText" text="NUEVO">
      <formula>NOT(ISERROR(SEARCH("NUEVO",F919)))</formula>
    </cfRule>
  </conditionalFormatting>
  <conditionalFormatting sqref="F919">
    <cfRule type="containsText" dxfId="2812" priority="3134" operator="containsText" text="NO+$D$4:$D$10">
      <formula>NOT(ISERROR(SEARCH("NO+$D$4:$D$10",F919)))</formula>
    </cfRule>
  </conditionalFormatting>
  <conditionalFormatting sqref="F919">
    <cfRule type="containsText" dxfId="2811" priority="3132" operator="containsText" text="SI">
      <formula>NOT(ISERROR(SEARCH("SI",F919)))</formula>
    </cfRule>
    <cfRule type="containsText" dxfId="2810" priority="3133" operator="containsText" text="NO">
      <formula>NOT(ISERROR(SEARCH("NO",F919)))</formula>
    </cfRule>
  </conditionalFormatting>
  <conditionalFormatting sqref="C921:D931">
    <cfRule type="containsText" dxfId="2809" priority="3130" operator="containsText" text="NO+$D$4:$D$10">
      <formula>NOT(ISERROR(SEARCH("NO+$D$4:$D$10",C921)))</formula>
    </cfRule>
  </conditionalFormatting>
  <conditionalFormatting sqref="C921:D931">
    <cfRule type="containsText" dxfId="2808" priority="3128" operator="containsText" text="SI">
      <formula>NOT(ISERROR(SEARCH("SI",C921)))</formula>
    </cfRule>
    <cfRule type="containsText" dxfId="2807" priority="3129" operator="containsText" text="NO">
      <formula>NOT(ISERROR(SEARCH("NO",C921)))</formula>
    </cfRule>
  </conditionalFormatting>
  <conditionalFormatting sqref="C921:D931">
    <cfRule type="containsText" dxfId="2806" priority="3127" operator="containsText" text="NUEVO">
      <formula>NOT(ISERROR(SEARCH("NUEVO",C921)))</formula>
    </cfRule>
  </conditionalFormatting>
  <conditionalFormatting sqref="E921">
    <cfRule type="containsText" dxfId="2805" priority="3125" operator="containsText" text="NUEVO">
      <formula>NOT(ISERROR(SEARCH("NUEVO",E921)))</formula>
    </cfRule>
  </conditionalFormatting>
  <conditionalFormatting sqref="E921">
    <cfRule type="containsText" dxfId="2804" priority="3126" operator="containsText" text="Sin información">
      <formula>NOT(ISERROR(SEARCH("Sin información",E921)))</formula>
    </cfRule>
  </conditionalFormatting>
  <conditionalFormatting sqref="E922:E926">
    <cfRule type="containsText" dxfId="2803" priority="3123" operator="containsText" text="NUEVO">
      <formula>NOT(ISERROR(SEARCH("NUEVO",E922)))</formula>
    </cfRule>
  </conditionalFormatting>
  <conditionalFormatting sqref="E922:E926">
    <cfRule type="containsText" dxfId="2802" priority="3124" operator="containsText" text="Sin información">
      <formula>NOT(ISERROR(SEARCH("Sin información",E922)))</formula>
    </cfRule>
  </conditionalFormatting>
  <conditionalFormatting sqref="E927">
    <cfRule type="containsText" dxfId="2801" priority="3121" operator="containsText" text="NUEVO">
      <formula>NOT(ISERROR(SEARCH("NUEVO",E927)))</formula>
    </cfRule>
  </conditionalFormatting>
  <conditionalFormatting sqref="E927">
    <cfRule type="containsText" dxfId="2800" priority="3122" operator="containsText" text="Sin información">
      <formula>NOT(ISERROR(SEARCH("Sin información",E927)))</formula>
    </cfRule>
  </conditionalFormatting>
  <conditionalFormatting sqref="E928:E930">
    <cfRule type="containsText" dxfId="2799" priority="3119" operator="containsText" text="NUEVO">
      <formula>NOT(ISERROR(SEARCH("NUEVO",E928)))</formula>
    </cfRule>
  </conditionalFormatting>
  <conditionalFormatting sqref="E928:E930">
    <cfRule type="containsText" dxfId="2798" priority="3120" operator="containsText" text="Sin información">
      <formula>NOT(ISERROR(SEARCH("Sin información",E928)))</formula>
    </cfRule>
  </conditionalFormatting>
  <conditionalFormatting sqref="E931">
    <cfRule type="containsText" dxfId="2797" priority="3117" operator="containsText" text="NUEVO">
      <formula>NOT(ISERROR(SEARCH("NUEVO",E931)))</formula>
    </cfRule>
  </conditionalFormatting>
  <conditionalFormatting sqref="E931">
    <cfRule type="containsText" dxfId="2796" priority="3118" operator="containsText" text="Sin información">
      <formula>NOT(ISERROR(SEARCH("Sin información",E931)))</formula>
    </cfRule>
  </conditionalFormatting>
  <conditionalFormatting sqref="F928:F931">
    <cfRule type="containsText" dxfId="2795" priority="3113" operator="containsText" text="NUEVO">
      <formula>NOT(ISERROR(SEARCH("NUEVO",F928)))</formula>
    </cfRule>
  </conditionalFormatting>
  <conditionalFormatting sqref="F928:F931">
    <cfRule type="containsText" dxfId="2794" priority="3116" operator="containsText" text="NO+$D$4:$D$10">
      <formula>NOT(ISERROR(SEARCH("NO+$D$4:$D$10",F928)))</formula>
    </cfRule>
  </conditionalFormatting>
  <conditionalFormatting sqref="F928:F931">
    <cfRule type="containsText" dxfId="2793" priority="3114" operator="containsText" text="SI">
      <formula>NOT(ISERROR(SEARCH("SI",F928)))</formula>
    </cfRule>
    <cfRule type="containsText" dxfId="2792" priority="3115" operator="containsText" text="NO">
      <formula>NOT(ISERROR(SEARCH("NO",F928)))</formula>
    </cfRule>
  </conditionalFormatting>
  <conditionalFormatting sqref="C932:D937">
    <cfRule type="containsText" dxfId="2791" priority="3112" operator="containsText" text="NO+$D$4:$D$10">
      <formula>NOT(ISERROR(SEARCH("NO+$D$4:$D$10",C932)))</formula>
    </cfRule>
  </conditionalFormatting>
  <conditionalFormatting sqref="C932:D937">
    <cfRule type="containsText" dxfId="2790" priority="3110" operator="containsText" text="SI">
      <formula>NOT(ISERROR(SEARCH("SI",C932)))</formula>
    </cfRule>
    <cfRule type="containsText" dxfId="2789" priority="3111" operator="containsText" text="NO">
      <formula>NOT(ISERROR(SEARCH("NO",C932)))</formula>
    </cfRule>
  </conditionalFormatting>
  <conditionalFormatting sqref="C932:D937">
    <cfRule type="containsText" dxfId="2788" priority="3109" operator="containsText" text="NUEVO">
      <formula>NOT(ISERROR(SEARCH("NUEVO",C932)))</formula>
    </cfRule>
  </conditionalFormatting>
  <conditionalFormatting sqref="E932:E934">
    <cfRule type="containsText" dxfId="2787" priority="3107" operator="containsText" text="NUEVO">
      <formula>NOT(ISERROR(SEARCH("NUEVO",E932)))</formula>
    </cfRule>
  </conditionalFormatting>
  <conditionalFormatting sqref="E932:E934">
    <cfRule type="containsText" dxfId="2786" priority="3108" operator="containsText" text="Sin información">
      <formula>NOT(ISERROR(SEARCH("Sin información",E932)))</formula>
    </cfRule>
  </conditionalFormatting>
  <conditionalFormatting sqref="E935">
    <cfRule type="containsText" dxfId="2785" priority="3105" operator="containsText" text="NUEVO">
      <formula>NOT(ISERROR(SEARCH("NUEVO",E935)))</formula>
    </cfRule>
  </conditionalFormatting>
  <conditionalFormatting sqref="E936">
    <cfRule type="containsText" dxfId="2784" priority="3103" operator="containsText" text="NUEVO">
      <formula>NOT(ISERROR(SEARCH("NUEVO",E936)))</formula>
    </cfRule>
  </conditionalFormatting>
  <conditionalFormatting sqref="E935">
    <cfRule type="containsText" dxfId="2783" priority="3106" operator="containsText" text="Sin información">
      <formula>NOT(ISERROR(SEARCH("Sin información",E935)))</formula>
    </cfRule>
  </conditionalFormatting>
  <conditionalFormatting sqref="E936">
    <cfRule type="containsText" dxfId="2782" priority="3104" operator="containsText" text="Sin información">
      <formula>NOT(ISERROR(SEARCH("Sin información",E936)))</formula>
    </cfRule>
  </conditionalFormatting>
  <conditionalFormatting sqref="E937">
    <cfRule type="containsText" dxfId="2781" priority="3101" operator="containsText" text="NUEVO">
      <formula>NOT(ISERROR(SEARCH("NUEVO",E937)))</formula>
    </cfRule>
  </conditionalFormatting>
  <conditionalFormatting sqref="E937">
    <cfRule type="containsText" dxfId="2780" priority="3102" operator="containsText" text="Sin información">
      <formula>NOT(ISERROR(SEARCH("Sin información",E937)))</formula>
    </cfRule>
  </conditionalFormatting>
  <conditionalFormatting sqref="C938:D938">
    <cfRule type="containsText" dxfId="2779" priority="3100" operator="containsText" text="NO+$D$4:$D$10">
      <formula>NOT(ISERROR(SEARCH("NO+$D$4:$D$10",C938)))</formula>
    </cfRule>
  </conditionalFormatting>
  <conditionalFormatting sqref="C938:D938">
    <cfRule type="containsText" dxfId="2778" priority="3098" operator="containsText" text="SI">
      <formula>NOT(ISERROR(SEARCH("SI",C938)))</formula>
    </cfRule>
    <cfRule type="containsText" dxfId="2777" priority="3099" operator="containsText" text="NO">
      <formula>NOT(ISERROR(SEARCH("NO",C938)))</formula>
    </cfRule>
  </conditionalFormatting>
  <conditionalFormatting sqref="E938">
    <cfRule type="containsText" dxfId="2776" priority="3097" operator="containsText" text="Sin información">
      <formula>NOT(ISERROR(SEARCH("Sin información",E938)))</formula>
    </cfRule>
  </conditionalFormatting>
  <conditionalFormatting sqref="C938:E938">
    <cfRule type="containsText" dxfId="2775" priority="3096" operator="containsText" text="NUEVO">
      <formula>NOT(ISERROR(SEARCH("NUEVO",C938)))</formula>
    </cfRule>
  </conditionalFormatting>
  <conditionalFormatting sqref="E938">
    <cfRule type="containsText" dxfId="2774" priority="3094" operator="containsText" text="NUEVO">
      <formula>NOT(ISERROR(SEARCH("NUEVO",E938)))</formula>
    </cfRule>
  </conditionalFormatting>
  <conditionalFormatting sqref="E938">
    <cfRule type="containsText" dxfId="2773" priority="3095" operator="containsText" text="Sin información">
      <formula>NOT(ISERROR(SEARCH("Sin información",E938)))</formula>
    </cfRule>
  </conditionalFormatting>
  <conditionalFormatting sqref="C940:D940">
    <cfRule type="containsText" dxfId="2772" priority="3093" operator="containsText" text="NO+$D$4:$D$10">
      <formula>NOT(ISERROR(SEARCH("NO+$D$4:$D$10",C940)))</formula>
    </cfRule>
  </conditionalFormatting>
  <conditionalFormatting sqref="C940:D940">
    <cfRule type="containsText" dxfId="2771" priority="3091" operator="containsText" text="SI">
      <formula>NOT(ISERROR(SEARCH("SI",C940)))</formula>
    </cfRule>
    <cfRule type="containsText" dxfId="2770" priority="3092" operator="containsText" text="NO">
      <formula>NOT(ISERROR(SEARCH("NO",C940)))</formula>
    </cfRule>
  </conditionalFormatting>
  <conditionalFormatting sqref="E940">
    <cfRule type="containsText" dxfId="2769" priority="3090" operator="containsText" text="Sin información">
      <formula>NOT(ISERROR(SEARCH("Sin información",E940)))</formula>
    </cfRule>
  </conditionalFormatting>
  <conditionalFormatting sqref="C940:E940">
    <cfRule type="containsText" dxfId="2768" priority="3089" operator="containsText" text="NUEVO">
      <formula>NOT(ISERROR(SEARCH("NUEVO",C940)))</formula>
    </cfRule>
  </conditionalFormatting>
  <conditionalFormatting sqref="C942:D942">
    <cfRule type="containsText" dxfId="2767" priority="3088" operator="containsText" text="NO+$D$4:$D$10">
      <formula>NOT(ISERROR(SEARCH("NO+$D$4:$D$10",C942)))</formula>
    </cfRule>
  </conditionalFormatting>
  <conditionalFormatting sqref="C942:D942">
    <cfRule type="containsText" dxfId="2766" priority="3086" operator="containsText" text="SI">
      <formula>NOT(ISERROR(SEARCH("SI",C942)))</formula>
    </cfRule>
    <cfRule type="containsText" dxfId="2765" priority="3087" operator="containsText" text="NO">
      <formula>NOT(ISERROR(SEARCH("NO",C942)))</formula>
    </cfRule>
  </conditionalFormatting>
  <conditionalFormatting sqref="E942">
    <cfRule type="containsText" dxfId="2764" priority="3085" operator="containsText" text="Sin información">
      <formula>NOT(ISERROR(SEARCH("Sin información",E942)))</formula>
    </cfRule>
  </conditionalFormatting>
  <conditionalFormatting sqref="C942:E942">
    <cfRule type="containsText" dxfId="2763" priority="3084" operator="containsText" text="NUEVO">
      <formula>NOT(ISERROR(SEARCH("NUEVO",C942)))</formula>
    </cfRule>
  </conditionalFormatting>
  <conditionalFormatting sqref="C943:D943">
    <cfRule type="containsText" dxfId="2762" priority="3083" operator="containsText" text="NO+$D$4:$D$10">
      <formula>NOT(ISERROR(SEARCH("NO+$D$4:$D$10",C943)))</formula>
    </cfRule>
  </conditionalFormatting>
  <conditionalFormatting sqref="C943:D943">
    <cfRule type="containsText" dxfId="2761" priority="3081" operator="containsText" text="SI">
      <formula>NOT(ISERROR(SEARCH("SI",C943)))</formula>
    </cfRule>
    <cfRule type="containsText" dxfId="2760" priority="3082" operator="containsText" text="NO">
      <formula>NOT(ISERROR(SEARCH("NO",C943)))</formula>
    </cfRule>
  </conditionalFormatting>
  <conditionalFormatting sqref="E943">
    <cfRule type="containsText" dxfId="2759" priority="3080" operator="containsText" text="Sin información">
      <formula>NOT(ISERROR(SEARCH("Sin información",E943)))</formula>
    </cfRule>
  </conditionalFormatting>
  <conditionalFormatting sqref="C943:E943">
    <cfRule type="containsText" dxfId="2758" priority="3079" operator="containsText" text="NUEVO">
      <formula>NOT(ISERROR(SEARCH("NUEVO",C943)))</formula>
    </cfRule>
  </conditionalFormatting>
  <conditionalFormatting sqref="C944:D944">
    <cfRule type="containsText" dxfId="2757" priority="3078" operator="containsText" text="NO+$D$4:$D$10">
      <formula>NOT(ISERROR(SEARCH("NO+$D$4:$D$10",C944)))</formula>
    </cfRule>
  </conditionalFormatting>
  <conditionalFormatting sqref="C944:D944">
    <cfRule type="containsText" dxfId="2756" priority="3076" operator="containsText" text="SI">
      <formula>NOT(ISERROR(SEARCH("SI",C944)))</formula>
    </cfRule>
    <cfRule type="containsText" dxfId="2755" priority="3077" operator="containsText" text="NO">
      <formula>NOT(ISERROR(SEARCH("NO",C944)))</formula>
    </cfRule>
  </conditionalFormatting>
  <conditionalFormatting sqref="C944:E944">
    <cfRule type="containsText" dxfId="2754" priority="3075" operator="containsText" text="NUEVO">
      <formula>NOT(ISERROR(SEARCH("NUEVO",C944)))</formula>
    </cfRule>
  </conditionalFormatting>
  <conditionalFormatting sqref="E944">
    <cfRule type="containsText" dxfId="2753" priority="3074" operator="containsText" text="Sin información">
      <formula>NOT(ISERROR(SEARCH("Sin información",E944)))</formula>
    </cfRule>
  </conditionalFormatting>
  <conditionalFormatting sqref="C945:D945">
    <cfRule type="containsText" dxfId="2752" priority="3073" operator="containsText" text="NO+$D$4:$D$10">
      <formula>NOT(ISERROR(SEARCH("NO+$D$4:$D$10",C945)))</formula>
    </cfRule>
  </conditionalFormatting>
  <conditionalFormatting sqref="C945:D945">
    <cfRule type="containsText" dxfId="2751" priority="3071" operator="containsText" text="SI">
      <formula>NOT(ISERROR(SEARCH("SI",C945)))</formula>
    </cfRule>
    <cfRule type="containsText" dxfId="2750" priority="3072" operator="containsText" text="NO">
      <formula>NOT(ISERROR(SEARCH("NO",C945)))</formula>
    </cfRule>
  </conditionalFormatting>
  <conditionalFormatting sqref="E945">
    <cfRule type="containsText" dxfId="2749" priority="3070" operator="containsText" text="Sin información">
      <formula>NOT(ISERROR(SEARCH("Sin información",E945)))</formula>
    </cfRule>
  </conditionalFormatting>
  <conditionalFormatting sqref="C945:E945">
    <cfRule type="containsText" dxfId="2748" priority="3069" operator="containsText" text="NUEVO">
      <formula>NOT(ISERROR(SEARCH("NUEVO",C945)))</formula>
    </cfRule>
  </conditionalFormatting>
  <conditionalFormatting sqref="C946:D947">
    <cfRule type="containsText" dxfId="2747" priority="3068" operator="containsText" text="NO+$D$4:$D$10">
      <formula>NOT(ISERROR(SEARCH("NO+$D$4:$D$10",C946)))</formula>
    </cfRule>
  </conditionalFormatting>
  <conditionalFormatting sqref="C946:D947">
    <cfRule type="containsText" dxfId="2746" priority="3066" operator="containsText" text="SI">
      <formula>NOT(ISERROR(SEARCH("SI",C946)))</formula>
    </cfRule>
    <cfRule type="containsText" dxfId="2745" priority="3067" operator="containsText" text="NO">
      <formula>NOT(ISERROR(SEARCH("NO",C946)))</formula>
    </cfRule>
  </conditionalFormatting>
  <conditionalFormatting sqref="E946">
    <cfRule type="containsText" dxfId="2744" priority="3065" operator="containsText" text="Sin información">
      <formula>NOT(ISERROR(SEARCH("Sin información",E946)))</formula>
    </cfRule>
  </conditionalFormatting>
  <conditionalFormatting sqref="C946:D947">
    <cfRule type="containsText" dxfId="2743" priority="3064" operator="containsText" text="NUEVO">
      <formula>NOT(ISERROR(SEARCH("NUEVO",C946)))</formula>
    </cfRule>
  </conditionalFormatting>
  <conditionalFormatting sqref="E946">
    <cfRule type="containsText" dxfId="2742" priority="3063" operator="containsText" text="Sin información">
      <formula>NOT(ISERROR(SEARCH("Sin información",E946)))</formula>
    </cfRule>
  </conditionalFormatting>
  <conditionalFormatting sqref="E947">
    <cfRule type="containsText" dxfId="2741" priority="3062" operator="containsText" text="Sin información">
      <formula>NOT(ISERROR(SEARCH("Sin información",E947)))</formula>
    </cfRule>
  </conditionalFormatting>
  <conditionalFormatting sqref="E947">
    <cfRule type="containsText" dxfId="2740" priority="3061" operator="containsText" text="NUEVO">
      <formula>NOT(ISERROR(SEARCH("NUEVO",E947)))</formula>
    </cfRule>
  </conditionalFormatting>
  <conditionalFormatting sqref="C949:D950 C952:D953">
    <cfRule type="containsText" dxfId="2739" priority="3060" operator="containsText" text="NO+$D$4:$D$10">
      <formula>NOT(ISERROR(SEARCH("NO+$D$4:$D$10",C949)))</formula>
    </cfRule>
  </conditionalFormatting>
  <conditionalFormatting sqref="C949:D950 C952:D953">
    <cfRule type="containsText" dxfId="2738" priority="3058" operator="containsText" text="SI">
      <formula>NOT(ISERROR(SEARCH("SI",C949)))</formula>
    </cfRule>
    <cfRule type="containsText" dxfId="2737" priority="3059" operator="containsText" text="NO">
      <formula>NOT(ISERROR(SEARCH("NO",C949)))</formula>
    </cfRule>
  </conditionalFormatting>
  <conditionalFormatting sqref="E949">
    <cfRule type="containsText" dxfId="2736" priority="3057" operator="containsText" text="Sin información">
      <formula>NOT(ISERROR(SEARCH("Sin información",E949)))</formula>
    </cfRule>
  </conditionalFormatting>
  <conditionalFormatting sqref="E949 C949:D950 C952:D953">
    <cfRule type="containsText" dxfId="2735" priority="3056" operator="containsText" text="NUEVO">
      <formula>NOT(ISERROR(SEARCH("NUEVO",C949)))</formula>
    </cfRule>
  </conditionalFormatting>
  <conditionalFormatting sqref="E949">
    <cfRule type="containsText" dxfId="2734" priority="3055" operator="containsText" text="Sin información">
      <formula>NOT(ISERROR(SEARCH("Sin información",E949)))</formula>
    </cfRule>
  </conditionalFormatting>
  <conditionalFormatting sqref="E949">
    <cfRule type="containsText" dxfId="2733" priority="3054" operator="containsText" text="NUEVO">
      <formula>NOT(ISERROR(SEARCH("NUEVO",E949)))</formula>
    </cfRule>
  </conditionalFormatting>
  <conditionalFormatting sqref="E950">
    <cfRule type="containsText" dxfId="2732" priority="3053" operator="containsText" text="Sin información">
      <formula>NOT(ISERROR(SEARCH("Sin información",E950)))</formula>
    </cfRule>
  </conditionalFormatting>
  <conditionalFormatting sqref="E950">
    <cfRule type="containsText" dxfId="2731" priority="3052" operator="containsText" text="NUEVO">
      <formula>NOT(ISERROR(SEARCH("NUEVO",E950)))</formula>
    </cfRule>
  </conditionalFormatting>
  <conditionalFormatting sqref="E952">
    <cfRule type="containsText" dxfId="2730" priority="3050" operator="containsText" text="NUEVO">
      <formula>NOT(ISERROR(SEARCH("NUEVO",E952)))</formula>
    </cfRule>
  </conditionalFormatting>
  <conditionalFormatting sqref="E952">
    <cfRule type="containsText" dxfId="2729" priority="3051" operator="containsText" text="Sin información">
      <formula>NOT(ISERROR(SEARCH("Sin información",E952)))</formula>
    </cfRule>
  </conditionalFormatting>
  <conditionalFormatting sqref="E953">
    <cfRule type="containsText" dxfId="2728" priority="3048" operator="containsText" text="NUEVO">
      <formula>NOT(ISERROR(SEARCH("NUEVO",E953)))</formula>
    </cfRule>
  </conditionalFormatting>
  <conditionalFormatting sqref="E953">
    <cfRule type="containsText" dxfId="2727" priority="3049" operator="containsText" text="Sin información">
      <formula>NOT(ISERROR(SEARCH("Sin información",E953)))</formula>
    </cfRule>
  </conditionalFormatting>
  <conditionalFormatting sqref="C954:D954">
    <cfRule type="containsText" dxfId="2726" priority="3047" operator="containsText" text="NO+$D$4:$D$10">
      <formula>NOT(ISERROR(SEARCH("NO+$D$4:$D$10",C954)))</formula>
    </cfRule>
  </conditionalFormatting>
  <conditionalFormatting sqref="C954:D954">
    <cfRule type="containsText" dxfId="2725" priority="3045" operator="containsText" text="SI">
      <formula>NOT(ISERROR(SEARCH("SI",C954)))</formula>
    </cfRule>
    <cfRule type="containsText" dxfId="2724" priority="3046" operator="containsText" text="NO">
      <formula>NOT(ISERROR(SEARCH("NO",C954)))</formula>
    </cfRule>
  </conditionalFormatting>
  <conditionalFormatting sqref="C954:D954">
    <cfRule type="containsText" dxfId="2723" priority="3044" operator="containsText" text="NUEVO">
      <formula>NOT(ISERROR(SEARCH("NUEVO",C954)))</formula>
    </cfRule>
  </conditionalFormatting>
  <conditionalFormatting sqref="E954">
    <cfRule type="containsText" dxfId="2722" priority="3042" operator="containsText" text="NUEVO">
      <formula>NOT(ISERROR(SEARCH("NUEVO",E954)))</formula>
    </cfRule>
  </conditionalFormatting>
  <conditionalFormatting sqref="E954">
    <cfRule type="containsText" dxfId="2721" priority="3043" operator="containsText" text="Sin información">
      <formula>NOT(ISERROR(SEARCH("Sin información",E954)))</formula>
    </cfRule>
  </conditionalFormatting>
  <conditionalFormatting sqref="C951:D951">
    <cfRule type="containsText" dxfId="2720" priority="3041" operator="containsText" text="NO+$D$4:$D$10">
      <formula>NOT(ISERROR(SEARCH("NO+$D$4:$D$10",C951)))</formula>
    </cfRule>
  </conditionalFormatting>
  <conditionalFormatting sqref="C951:D951">
    <cfRule type="containsText" dxfId="2719" priority="3039" operator="containsText" text="SI">
      <formula>NOT(ISERROR(SEARCH("SI",C951)))</formula>
    </cfRule>
    <cfRule type="containsText" dxfId="2718" priority="3040" operator="containsText" text="NO">
      <formula>NOT(ISERROR(SEARCH("NO",C951)))</formula>
    </cfRule>
  </conditionalFormatting>
  <conditionalFormatting sqref="C951:D951">
    <cfRule type="containsText" dxfId="2717" priority="3038" operator="containsText" text="NUEVO">
      <formula>NOT(ISERROR(SEARCH("NUEVO",C951)))</formula>
    </cfRule>
  </conditionalFormatting>
  <conditionalFormatting sqref="E951">
    <cfRule type="containsText" dxfId="2716" priority="3037" operator="containsText" text="Sin información">
      <formula>NOT(ISERROR(SEARCH("Sin información",E951)))</formula>
    </cfRule>
  </conditionalFormatting>
  <conditionalFormatting sqref="E951">
    <cfRule type="containsText" dxfId="2715" priority="3036" operator="containsText" text="NUEVO">
      <formula>NOT(ISERROR(SEARCH("NUEVO",E951)))</formula>
    </cfRule>
  </conditionalFormatting>
  <conditionalFormatting sqref="C948:D948">
    <cfRule type="containsText" dxfId="2714" priority="3035" operator="containsText" text="NO+$D$4:$D$10">
      <formula>NOT(ISERROR(SEARCH("NO+$D$4:$D$10",C948)))</formula>
    </cfRule>
  </conditionalFormatting>
  <conditionalFormatting sqref="C948:D948">
    <cfRule type="containsText" dxfId="2713" priority="3033" operator="containsText" text="SI">
      <formula>NOT(ISERROR(SEARCH("SI",C948)))</formula>
    </cfRule>
    <cfRule type="containsText" dxfId="2712" priority="3034" operator="containsText" text="NO">
      <formula>NOT(ISERROR(SEARCH("NO",C948)))</formula>
    </cfRule>
  </conditionalFormatting>
  <conditionalFormatting sqref="C948:D948">
    <cfRule type="containsText" dxfId="2711" priority="3032" operator="containsText" text="NUEVO">
      <formula>NOT(ISERROR(SEARCH("NUEVO",C948)))</formula>
    </cfRule>
  </conditionalFormatting>
  <conditionalFormatting sqref="E948">
    <cfRule type="containsText" dxfId="2710" priority="3030" operator="containsText" text="NUEVO">
      <formula>NOT(ISERROR(SEARCH("NUEVO",E948)))</formula>
    </cfRule>
  </conditionalFormatting>
  <conditionalFormatting sqref="E948">
    <cfRule type="containsText" dxfId="2709" priority="3031" operator="containsText" text="Sin información">
      <formula>NOT(ISERROR(SEARCH("Sin información",E948)))</formula>
    </cfRule>
  </conditionalFormatting>
  <conditionalFormatting sqref="C963:D963">
    <cfRule type="containsText" dxfId="2708" priority="3029" operator="containsText" text="NO+$D$4:$D$10">
      <formula>NOT(ISERROR(SEARCH("NO+$D$4:$D$10",C963)))</formula>
    </cfRule>
  </conditionalFormatting>
  <conditionalFormatting sqref="C963:D963">
    <cfRule type="containsText" dxfId="2707" priority="3027" operator="containsText" text="SI">
      <formula>NOT(ISERROR(SEARCH("SI",C963)))</formula>
    </cfRule>
    <cfRule type="containsText" dxfId="2706" priority="3028" operator="containsText" text="NO">
      <formula>NOT(ISERROR(SEARCH("NO",C963)))</formula>
    </cfRule>
  </conditionalFormatting>
  <conditionalFormatting sqref="E963">
    <cfRule type="containsText" dxfId="2705" priority="3026" operator="containsText" text="Sin información">
      <formula>NOT(ISERROR(SEARCH("Sin información",E963)))</formula>
    </cfRule>
  </conditionalFormatting>
  <conditionalFormatting sqref="C963:E963">
    <cfRule type="containsText" dxfId="2704" priority="3025" operator="containsText" text="NUEVO">
      <formula>NOT(ISERROR(SEARCH("NUEVO",C963)))</formula>
    </cfRule>
  </conditionalFormatting>
  <conditionalFormatting sqref="E963">
    <cfRule type="containsText" dxfId="2703" priority="3024" operator="containsText" text="Sin información">
      <formula>NOT(ISERROR(SEARCH("Sin información",E963)))</formula>
    </cfRule>
  </conditionalFormatting>
  <conditionalFormatting sqref="C964:D964">
    <cfRule type="containsText" dxfId="2702" priority="3023" operator="containsText" text="NO+$D$4:$D$10">
      <formula>NOT(ISERROR(SEARCH("NO+$D$4:$D$10",C964)))</formula>
    </cfRule>
  </conditionalFormatting>
  <conditionalFormatting sqref="C964:D964">
    <cfRule type="containsText" dxfId="2701" priority="3021" operator="containsText" text="SI">
      <formula>NOT(ISERROR(SEARCH("SI",C964)))</formula>
    </cfRule>
    <cfRule type="containsText" dxfId="2700" priority="3022" operator="containsText" text="NO">
      <formula>NOT(ISERROR(SEARCH("NO",C964)))</formula>
    </cfRule>
  </conditionalFormatting>
  <conditionalFormatting sqref="C964:D964">
    <cfRule type="containsText" dxfId="2699" priority="3020" operator="containsText" text="NUEVO">
      <formula>NOT(ISERROR(SEARCH("NUEVO",C964)))</formula>
    </cfRule>
  </conditionalFormatting>
  <conditionalFormatting sqref="E964">
    <cfRule type="containsText" dxfId="2698" priority="3018" operator="containsText" text="NUEVO">
      <formula>NOT(ISERROR(SEARCH("NUEVO",E964)))</formula>
    </cfRule>
  </conditionalFormatting>
  <conditionalFormatting sqref="E964">
    <cfRule type="containsText" dxfId="2697" priority="3019" operator="containsText" text="Sin información">
      <formula>NOT(ISERROR(SEARCH("Sin información",E964)))</formula>
    </cfRule>
  </conditionalFormatting>
  <conditionalFormatting sqref="C965:D965">
    <cfRule type="containsText" dxfId="2696" priority="3017" operator="containsText" text="NO+$D$4:$D$10">
      <formula>NOT(ISERROR(SEARCH("NO+$D$4:$D$10",C965)))</formula>
    </cfRule>
  </conditionalFormatting>
  <conditionalFormatting sqref="C965:D965">
    <cfRule type="containsText" dxfId="2695" priority="3015" operator="containsText" text="SI">
      <formula>NOT(ISERROR(SEARCH("SI",C965)))</formula>
    </cfRule>
    <cfRule type="containsText" dxfId="2694" priority="3016" operator="containsText" text="NO">
      <formula>NOT(ISERROR(SEARCH("NO",C965)))</formula>
    </cfRule>
  </conditionalFormatting>
  <conditionalFormatting sqref="E965">
    <cfRule type="containsText" dxfId="2693" priority="3014" operator="containsText" text="Sin información">
      <formula>NOT(ISERROR(SEARCH("Sin información",E965)))</formula>
    </cfRule>
  </conditionalFormatting>
  <conditionalFormatting sqref="C965:E965">
    <cfRule type="containsText" dxfId="2692" priority="3013" operator="containsText" text="NUEVO">
      <formula>NOT(ISERROR(SEARCH("NUEVO",C965)))</formula>
    </cfRule>
  </conditionalFormatting>
  <conditionalFormatting sqref="E965">
    <cfRule type="containsText" dxfId="2691" priority="3012" operator="containsText" text="Sin información">
      <formula>NOT(ISERROR(SEARCH("Sin información",E965)))</formula>
    </cfRule>
  </conditionalFormatting>
  <conditionalFormatting sqref="C966:D967">
    <cfRule type="containsText" dxfId="2690" priority="3011" operator="containsText" text="NO+$D$4:$D$10">
      <formula>NOT(ISERROR(SEARCH("NO+$D$4:$D$10",C966)))</formula>
    </cfRule>
  </conditionalFormatting>
  <conditionalFormatting sqref="C966:D967">
    <cfRule type="containsText" dxfId="2689" priority="3009" operator="containsText" text="SI">
      <formula>NOT(ISERROR(SEARCH("SI",C966)))</formula>
    </cfRule>
    <cfRule type="containsText" dxfId="2688" priority="3010" operator="containsText" text="NO">
      <formula>NOT(ISERROR(SEARCH("NO",C966)))</formula>
    </cfRule>
  </conditionalFormatting>
  <conditionalFormatting sqref="E967">
    <cfRule type="containsText" dxfId="2687" priority="3008" operator="containsText" text="Sin información">
      <formula>NOT(ISERROR(SEARCH("Sin información",E967)))</formula>
    </cfRule>
  </conditionalFormatting>
  <conditionalFormatting sqref="E967 C966:D967">
    <cfRule type="containsText" dxfId="2686" priority="3007" operator="containsText" text="NUEVO">
      <formula>NOT(ISERROR(SEARCH("NUEVO",C966)))</formula>
    </cfRule>
  </conditionalFormatting>
  <conditionalFormatting sqref="E966">
    <cfRule type="containsText" dxfId="2685" priority="3005" operator="containsText" text="NUEVO">
      <formula>NOT(ISERROR(SEARCH("NUEVO",E966)))</formula>
    </cfRule>
  </conditionalFormatting>
  <conditionalFormatting sqref="E966">
    <cfRule type="containsText" dxfId="2684" priority="3006" operator="containsText" text="Sin información">
      <formula>NOT(ISERROR(SEARCH("Sin información",E966)))</formula>
    </cfRule>
  </conditionalFormatting>
  <conditionalFormatting sqref="C968:D968">
    <cfRule type="containsText" dxfId="2683" priority="3004" operator="containsText" text="NO+$D$4:$D$10">
      <formula>NOT(ISERROR(SEARCH("NO+$D$4:$D$10",C968)))</formula>
    </cfRule>
  </conditionalFormatting>
  <conditionalFormatting sqref="C968:D968">
    <cfRule type="containsText" dxfId="2682" priority="3002" operator="containsText" text="SI">
      <formula>NOT(ISERROR(SEARCH("SI",C968)))</formula>
    </cfRule>
    <cfRule type="containsText" dxfId="2681" priority="3003" operator="containsText" text="NO">
      <formula>NOT(ISERROR(SEARCH("NO",C968)))</formula>
    </cfRule>
  </conditionalFormatting>
  <conditionalFormatting sqref="C968:D968">
    <cfRule type="containsText" dxfId="2680" priority="3001" operator="containsText" text="NUEVO">
      <formula>NOT(ISERROR(SEARCH("NUEVO",C968)))</formula>
    </cfRule>
  </conditionalFormatting>
  <conditionalFormatting sqref="E968">
    <cfRule type="containsText" dxfId="2679" priority="3000" operator="containsText" text="Sin información">
      <formula>NOT(ISERROR(SEARCH("Sin información",E968)))</formula>
    </cfRule>
  </conditionalFormatting>
  <conditionalFormatting sqref="E968">
    <cfRule type="containsText" dxfId="2678" priority="2999" operator="containsText" text="NUEVO">
      <formula>NOT(ISERROR(SEARCH("NUEVO",E968)))</formula>
    </cfRule>
  </conditionalFormatting>
  <conditionalFormatting sqref="C969:D969">
    <cfRule type="containsText" dxfId="2677" priority="2998" operator="containsText" text="NO+$D$4:$D$10">
      <formula>NOT(ISERROR(SEARCH("NO+$D$4:$D$10",C969)))</formula>
    </cfRule>
  </conditionalFormatting>
  <conditionalFormatting sqref="C969:D969">
    <cfRule type="containsText" dxfId="2676" priority="2996" operator="containsText" text="SI">
      <formula>NOT(ISERROR(SEARCH("SI",C969)))</formula>
    </cfRule>
    <cfRule type="containsText" dxfId="2675" priority="2997" operator="containsText" text="NO">
      <formula>NOT(ISERROR(SEARCH("NO",C969)))</formula>
    </cfRule>
  </conditionalFormatting>
  <conditionalFormatting sqref="E969">
    <cfRule type="containsText" dxfId="2674" priority="2995" operator="containsText" text="Sin información">
      <formula>NOT(ISERROR(SEARCH("Sin información",E969)))</formula>
    </cfRule>
  </conditionalFormatting>
  <conditionalFormatting sqref="C969:E969">
    <cfRule type="containsText" dxfId="2673" priority="2994" operator="containsText" text="NUEVO">
      <formula>NOT(ISERROR(SEARCH("NUEVO",C969)))</formula>
    </cfRule>
  </conditionalFormatting>
  <conditionalFormatting sqref="C971:D971">
    <cfRule type="containsText" dxfId="2672" priority="2993" operator="containsText" text="NO+$D$4:$D$10">
      <formula>NOT(ISERROR(SEARCH("NO+$D$4:$D$10",C971)))</formula>
    </cfRule>
  </conditionalFormatting>
  <conditionalFormatting sqref="C971:D971">
    <cfRule type="containsText" dxfId="2671" priority="2991" operator="containsText" text="SI">
      <formula>NOT(ISERROR(SEARCH("SI",C971)))</formula>
    </cfRule>
    <cfRule type="containsText" dxfId="2670" priority="2992" operator="containsText" text="NO">
      <formula>NOT(ISERROR(SEARCH("NO",C971)))</formula>
    </cfRule>
  </conditionalFormatting>
  <conditionalFormatting sqref="C971:D971">
    <cfRule type="containsText" dxfId="2669" priority="2990" operator="containsText" text="NUEVO">
      <formula>NOT(ISERROR(SEARCH("NUEVO",C971)))</formula>
    </cfRule>
  </conditionalFormatting>
  <conditionalFormatting sqref="E971">
    <cfRule type="containsText" dxfId="2668" priority="2988" operator="containsText" text="NUEVO">
      <formula>NOT(ISERROR(SEARCH("NUEVO",E971)))</formula>
    </cfRule>
  </conditionalFormatting>
  <conditionalFormatting sqref="E971">
    <cfRule type="containsText" dxfId="2667" priority="2987" operator="containsText" text="Sin Información">
      <formula>NOT(ISERROR(SEARCH("Sin Información",E971)))</formula>
    </cfRule>
  </conditionalFormatting>
  <conditionalFormatting sqref="E971">
    <cfRule type="containsText" dxfId="2666" priority="2989" operator="containsText" text="Sin información">
      <formula>NOT(ISERROR(SEARCH("Sin información",E971)))</formula>
    </cfRule>
  </conditionalFormatting>
  <conditionalFormatting sqref="C972:D972">
    <cfRule type="containsText" dxfId="2665" priority="2986" operator="containsText" text="NO+$D$4:$D$10">
      <formula>NOT(ISERROR(SEARCH("NO+$D$4:$D$10",C972)))</formula>
    </cfRule>
  </conditionalFormatting>
  <conditionalFormatting sqref="C972:D972">
    <cfRule type="containsText" dxfId="2664" priority="2984" operator="containsText" text="SI">
      <formula>NOT(ISERROR(SEARCH("SI",C972)))</formula>
    </cfRule>
    <cfRule type="containsText" dxfId="2663" priority="2985" operator="containsText" text="NO">
      <formula>NOT(ISERROR(SEARCH("NO",C972)))</formula>
    </cfRule>
  </conditionalFormatting>
  <conditionalFormatting sqref="E972">
    <cfRule type="containsText" dxfId="2662" priority="2983" operator="containsText" text="Sin información">
      <formula>NOT(ISERROR(SEARCH("Sin información",E972)))</formula>
    </cfRule>
  </conditionalFormatting>
  <conditionalFormatting sqref="C972:E972">
    <cfRule type="containsText" dxfId="2661" priority="2982" operator="containsText" text="NUEVO">
      <formula>NOT(ISERROR(SEARCH("NUEVO",C972)))</formula>
    </cfRule>
  </conditionalFormatting>
  <conditionalFormatting sqref="C973:D973">
    <cfRule type="containsText" dxfId="2660" priority="2981" operator="containsText" text="NO+$D$4:$D$10">
      <formula>NOT(ISERROR(SEARCH("NO+$D$4:$D$10",C973)))</formula>
    </cfRule>
  </conditionalFormatting>
  <conditionalFormatting sqref="C973:D973">
    <cfRule type="containsText" dxfId="2659" priority="2979" operator="containsText" text="SI">
      <formula>NOT(ISERROR(SEARCH("SI",C973)))</formula>
    </cfRule>
    <cfRule type="containsText" dxfId="2658" priority="2980" operator="containsText" text="NO">
      <formula>NOT(ISERROR(SEARCH("NO",C973)))</formula>
    </cfRule>
  </conditionalFormatting>
  <conditionalFormatting sqref="E973">
    <cfRule type="containsText" dxfId="2657" priority="2978" operator="containsText" text="Sin información">
      <formula>NOT(ISERROR(SEARCH("Sin información",E973)))</formula>
    </cfRule>
  </conditionalFormatting>
  <conditionalFormatting sqref="C973:E973">
    <cfRule type="containsText" dxfId="2656" priority="2977" operator="containsText" text="NUEVO">
      <formula>NOT(ISERROR(SEARCH("NUEVO",C973)))</formula>
    </cfRule>
  </conditionalFormatting>
  <conditionalFormatting sqref="E973">
    <cfRule type="containsText" dxfId="2655" priority="2976" operator="containsText" text="Sin Información">
      <formula>NOT(ISERROR(SEARCH("Sin Información",E973)))</formula>
    </cfRule>
  </conditionalFormatting>
  <conditionalFormatting sqref="C974:D975">
    <cfRule type="containsText" dxfId="2654" priority="2975" operator="containsText" text="NO+$D$4:$D$10">
      <formula>NOT(ISERROR(SEARCH("NO+$D$4:$D$10",C974)))</formula>
    </cfRule>
  </conditionalFormatting>
  <conditionalFormatting sqref="C974:D975">
    <cfRule type="containsText" dxfId="2653" priority="2973" operator="containsText" text="SI">
      <formula>NOT(ISERROR(SEARCH("SI",C974)))</formula>
    </cfRule>
    <cfRule type="containsText" dxfId="2652" priority="2974" operator="containsText" text="NO">
      <formula>NOT(ISERROR(SEARCH("NO",C974)))</formula>
    </cfRule>
  </conditionalFormatting>
  <conditionalFormatting sqref="E975">
    <cfRule type="containsText" dxfId="2651" priority="2972" operator="containsText" text="Sin información">
      <formula>NOT(ISERROR(SEARCH("Sin información",E975)))</formula>
    </cfRule>
  </conditionalFormatting>
  <conditionalFormatting sqref="E975 C974:D975">
    <cfRule type="containsText" dxfId="2650" priority="2971" operator="containsText" text="NUEVO">
      <formula>NOT(ISERROR(SEARCH("NUEVO",C974)))</formula>
    </cfRule>
  </conditionalFormatting>
  <conditionalFormatting sqref="E974">
    <cfRule type="containsText" dxfId="2649" priority="2970" operator="containsText" text="Sin información">
      <formula>NOT(ISERROR(SEARCH("Sin información",E974)))</formula>
    </cfRule>
  </conditionalFormatting>
  <conditionalFormatting sqref="E974">
    <cfRule type="containsText" dxfId="2648" priority="2969" operator="containsText" text="NUEVO">
      <formula>NOT(ISERROR(SEARCH("NUEVO",E974)))</formula>
    </cfRule>
  </conditionalFormatting>
  <conditionalFormatting sqref="C976:D976">
    <cfRule type="containsText" dxfId="2647" priority="2968" operator="containsText" text="NO+$D$4:$D$10">
      <formula>NOT(ISERROR(SEARCH("NO+$D$4:$D$10",C976)))</formula>
    </cfRule>
  </conditionalFormatting>
  <conditionalFormatting sqref="C976:D976">
    <cfRule type="containsText" dxfId="2646" priority="2966" operator="containsText" text="SI">
      <formula>NOT(ISERROR(SEARCH("SI",C976)))</formula>
    </cfRule>
    <cfRule type="containsText" dxfId="2645" priority="2967" operator="containsText" text="NO">
      <formula>NOT(ISERROR(SEARCH("NO",C976)))</formula>
    </cfRule>
  </conditionalFormatting>
  <conditionalFormatting sqref="E976">
    <cfRule type="containsText" dxfId="2644" priority="2965" operator="containsText" text="Sin información">
      <formula>NOT(ISERROR(SEARCH("Sin información",E976)))</formula>
    </cfRule>
  </conditionalFormatting>
  <conditionalFormatting sqref="C976:E976">
    <cfRule type="containsText" dxfId="2643" priority="2964" operator="containsText" text="NUEVO">
      <formula>NOT(ISERROR(SEARCH("NUEVO",C976)))</formula>
    </cfRule>
  </conditionalFormatting>
  <conditionalFormatting sqref="C977:D977">
    <cfRule type="containsText" dxfId="2642" priority="2963" operator="containsText" text="NO+$D$4:$D$10">
      <formula>NOT(ISERROR(SEARCH("NO+$D$4:$D$10",C977)))</formula>
    </cfRule>
  </conditionalFormatting>
  <conditionalFormatting sqref="C977:D977">
    <cfRule type="containsText" dxfId="2641" priority="2961" operator="containsText" text="SI">
      <formula>NOT(ISERROR(SEARCH("SI",C977)))</formula>
    </cfRule>
    <cfRule type="containsText" dxfId="2640" priority="2962" operator="containsText" text="NO">
      <formula>NOT(ISERROR(SEARCH("NO",C977)))</formula>
    </cfRule>
  </conditionalFormatting>
  <conditionalFormatting sqref="C977:D977">
    <cfRule type="containsText" dxfId="2639" priority="2960" operator="containsText" text="NUEVO">
      <formula>NOT(ISERROR(SEARCH("NUEVO",C977)))</formula>
    </cfRule>
  </conditionalFormatting>
  <conditionalFormatting sqref="E977">
    <cfRule type="containsText" dxfId="2638" priority="2958" operator="containsText" text="NUEVO">
      <formula>NOT(ISERROR(SEARCH("NUEVO",E977)))</formula>
    </cfRule>
  </conditionalFormatting>
  <conditionalFormatting sqref="E977">
    <cfRule type="containsText" dxfId="2637" priority="2959" operator="containsText" text="Sin información">
      <formula>NOT(ISERROR(SEARCH("Sin información",E977)))</formula>
    </cfRule>
  </conditionalFormatting>
  <conditionalFormatting sqref="C978:D978">
    <cfRule type="containsText" dxfId="2636" priority="2957" operator="containsText" text="NO+$D$4:$D$10">
      <formula>NOT(ISERROR(SEARCH("NO+$D$4:$D$10",C978)))</formula>
    </cfRule>
  </conditionalFormatting>
  <conditionalFormatting sqref="C978:D978">
    <cfRule type="containsText" dxfId="2635" priority="2955" operator="containsText" text="SI">
      <formula>NOT(ISERROR(SEARCH("SI",C978)))</formula>
    </cfRule>
    <cfRule type="containsText" dxfId="2634" priority="2956" operator="containsText" text="NO">
      <formula>NOT(ISERROR(SEARCH("NO",C978)))</formula>
    </cfRule>
  </conditionalFormatting>
  <conditionalFormatting sqref="C978:D978">
    <cfRule type="containsText" dxfId="2633" priority="2954" operator="containsText" text="NUEVO">
      <formula>NOT(ISERROR(SEARCH("NUEVO",C978)))</formula>
    </cfRule>
  </conditionalFormatting>
  <conditionalFormatting sqref="E978">
    <cfRule type="containsText" dxfId="2632" priority="2953" operator="containsText" text="Sin información">
      <formula>NOT(ISERROR(SEARCH("Sin información",E978)))</formula>
    </cfRule>
  </conditionalFormatting>
  <conditionalFormatting sqref="E978">
    <cfRule type="containsText" dxfId="2631" priority="2952" operator="containsText" text="NUEVO">
      <formula>NOT(ISERROR(SEARCH("NUEVO",E978)))</formula>
    </cfRule>
  </conditionalFormatting>
  <conditionalFormatting sqref="C979:D979">
    <cfRule type="containsText" dxfId="2630" priority="2951" operator="containsText" text="NO+$D$4:$D$10">
      <formula>NOT(ISERROR(SEARCH("NO+$D$4:$D$10",C979)))</formula>
    </cfRule>
  </conditionalFormatting>
  <conditionalFormatting sqref="C979:D979">
    <cfRule type="containsText" dxfId="2629" priority="2949" operator="containsText" text="SI">
      <formula>NOT(ISERROR(SEARCH("SI",C979)))</formula>
    </cfRule>
    <cfRule type="containsText" dxfId="2628" priority="2950" operator="containsText" text="NO">
      <formula>NOT(ISERROR(SEARCH("NO",C979)))</formula>
    </cfRule>
  </conditionalFormatting>
  <conditionalFormatting sqref="C979:D979">
    <cfRule type="containsText" dxfId="2627" priority="2948" operator="containsText" text="NUEVO">
      <formula>NOT(ISERROR(SEARCH("NUEVO",C979)))</formula>
    </cfRule>
  </conditionalFormatting>
  <conditionalFormatting sqref="E979">
    <cfRule type="containsText" dxfId="2626" priority="2947" operator="containsText" text="Sin información">
      <formula>NOT(ISERROR(SEARCH("Sin información",E979)))</formula>
    </cfRule>
  </conditionalFormatting>
  <conditionalFormatting sqref="E979">
    <cfRule type="containsText" dxfId="2625" priority="2946" operator="containsText" text="NUEVO">
      <formula>NOT(ISERROR(SEARCH("NUEVO",E979)))</formula>
    </cfRule>
  </conditionalFormatting>
  <conditionalFormatting sqref="C980:D980">
    <cfRule type="containsText" dxfId="2624" priority="2945" operator="containsText" text="NO+$D$4:$D$10">
      <formula>NOT(ISERROR(SEARCH("NO+$D$4:$D$10",C980)))</formula>
    </cfRule>
  </conditionalFormatting>
  <conditionalFormatting sqref="C980:D980">
    <cfRule type="containsText" dxfId="2623" priority="2943" operator="containsText" text="SI">
      <formula>NOT(ISERROR(SEARCH("SI",C980)))</formula>
    </cfRule>
    <cfRule type="containsText" dxfId="2622" priority="2944" operator="containsText" text="NO">
      <formula>NOT(ISERROR(SEARCH("NO",C980)))</formula>
    </cfRule>
  </conditionalFormatting>
  <conditionalFormatting sqref="C980:D980">
    <cfRule type="containsText" dxfId="2621" priority="2942" operator="containsText" text="NUEVO">
      <formula>NOT(ISERROR(SEARCH("NUEVO",C980)))</formula>
    </cfRule>
  </conditionalFormatting>
  <conditionalFormatting sqref="E980">
    <cfRule type="containsText" dxfId="2620" priority="2940" operator="containsText" text="NUEVO">
      <formula>NOT(ISERROR(SEARCH("NUEVO",E980)))</formula>
    </cfRule>
  </conditionalFormatting>
  <conditionalFormatting sqref="E980">
    <cfRule type="containsText" dxfId="2619" priority="2941" operator="containsText" text="Sin información">
      <formula>NOT(ISERROR(SEARCH("Sin información",E980)))</formula>
    </cfRule>
  </conditionalFormatting>
  <conditionalFormatting sqref="C981:D987">
    <cfRule type="containsText" dxfId="2618" priority="2939" operator="containsText" text="NO+$D$4:$D$10">
      <formula>NOT(ISERROR(SEARCH("NO+$D$4:$D$10",C981)))</formula>
    </cfRule>
  </conditionalFormatting>
  <conditionalFormatting sqref="C981:D987">
    <cfRule type="containsText" dxfId="2617" priority="2937" operator="containsText" text="SI">
      <formula>NOT(ISERROR(SEARCH("SI",C981)))</formula>
    </cfRule>
    <cfRule type="containsText" dxfId="2616" priority="2938" operator="containsText" text="NO">
      <formula>NOT(ISERROR(SEARCH("NO",C981)))</formula>
    </cfRule>
  </conditionalFormatting>
  <conditionalFormatting sqref="C981:D987">
    <cfRule type="containsText" dxfId="2615" priority="2936" operator="containsText" text="NUEVO">
      <formula>NOT(ISERROR(SEARCH("NUEVO",C981)))</formula>
    </cfRule>
  </conditionalFormatting>
  <conditionalFormatting sqref="E981 E983:E984">
    <cfRule type="containsText" dxfId="2614" priority="2935" operator="containsText" text="Sin información">
      <formula>NOT(ISERROR(SEARCH("Sin información",E981)))</formula>
    </cfRule>
  </conditionalFormatting>
  <conditionalFormatting sqref="E981 E983:E984">
    <cfRule type="containsText" dxfId="2613" priority="2934" operator="containsText" text="NUEVO">
      <formula>NOT(ISERROR(SEARCH("NUEVO",E981)))</formula>
    </cfRule>
  </conditionalFormatting>
  <conditionalFormatting sqref="E982">
    <cfRule type="containsText" dxfId="2612" priority="2930" operator="containsText" text="NUEVO">
      <formula>NOT(ISERROR(SEARCH("NUEVO",E982)))</formula>
    </cfRule>
  </conditionalFormatting>
  <conditionalFormatting sqref="E982">
    <cfRule type="containsText" dxfId="2611" priority="2931" operator="containsText" text="Sin información">
      <formula>NOT(ISERROR(SEARCH("Sin información",E982)))</formula>
    </cfRule>
  </conditionalFormatting>
  <conditionalFormatting sqref="E985:E987">
    <cfRule type="containsText" dxfId="2610" priority="2928" operator="containsText" text="NUEVO">
      <formula>NOT(ISERROR(SEARCH("NUEVO",E985)))</formula>
    </cfRule>
  </conditionalFormatting>
  <conditionalFormatting sqref="E985:E987">
    <cfRule type="containsText" dxfId="2609" priority="2929" operator="containsText" text="Sin información">
      <formula>NOT(ISERROR(SEARCH("Sin información",E985)))</formula>
    </cfRule>
  </conditionalFormatting>
  <conditionalFormatting sqref="C988:D988">
    <cfRule type="containsText" dxfId="2608" priority="2927" operator="containsText" text="NO+$D$4:$D$10">
      <formula>NOT(ISERROR(SEARCH("NO+$D$4:$D$10",C988)))</formula>
    </cfRule>
  </conditionalFormatting>
  <conditionalFormatting sqref="C988:D988">
    <cfRule type="containsText" dxfId="2607" priority="2925" operator="containsText" text="SI">
      <formula>NOT(ISERROR(SEARCH("SI",C988)))</formula>
    </cfRule>
    <cfRule type="containsText" dxfId="2606" priority="2926" operator="containsText" text="NO">
      <formula>NOT(ISERROR(SEARCH("NO",C988)))</formula>
    </cfRule>
  </conditionalFormatting>
  <conditionalFormatting sqref="C988:D988">
    <cfRule type="containsText" dxfId="2605" priority="2924" operator="containsText" text="NUEVO">
      <formula>NOT(ISERROR(SEARCH("NUEVO",C988)))</formula>
    </cfRule>
  </conditionalFormatting>
  <conditionalFormatting sqref="E988">
    <cfRule type="containsText" dxfId="2604" priority="2922" operator="containsText" text="NUEVO">
      <formula>NOT(ISERROR(SEARCH("NUEVO",E988)))</formula>
    </cfRule>
  </conditionalFormatting>
  <conditionalFormatting sqref="E988">
    <cfRule type="containsText" dxfId="2603" priority="2923" operator="containsText" text="Sin información">
      <formula>NOT(ISERROR(SEARCH("Sin información",E988)))</formula>
    </cfRule>
  </conditionalFormatting>
  <conditionalFormatting sqref="C989:D989">
    <cfRule type="containsText" dxfId="2602" priority="2921" operator="containsText" text="NO+$D$4:$D$10">
      <formula>NOT(ISERROR(SEARCH("NO+$D$4:$D$10",C989)))</formula>
    </cfRule>
  </conditionalFormatting>
  <conditionalFormatting sqref="C989:D989">
    <cfRule type="containsText" dxfId="2601" priority="2919" operator="containsText" text="SI">
      <formula>NOT(ISERROR(SEARCH("SI",C989)))</formula>
    </cfRule>
    <cfRule type="containsText" dxfId="2600" priority="2920" operator="containsText" text="NO">
      <formula>NOT(ISERROR(SEARCH("NO",C989)))</formula>
    </cfRule>
  </conditionalFormatting>
  <conditionalFormatting sqref="C989:D989">
    <cfRule type="containsText" dxfId="2599" priority="2918" operator="containsText" text="NUEVO">
      <formula>NOT(ISERROR(SEARCH("NUEVO",C989)))</formula>
    </cfRule>
  </conditionalFormatting>
  <conditionalFormatting sqref="E989">
    <cfRule type="containsText" dxfId="2598" priority="2916" operator="containsText" text="NUEVO">
      <formula>NOT(ISERROR(SEARCH("NUEVO",E989)))</formula>
    </cfRule>
  </conditionalFormatting>
  <conditionalFormatting sqref="E989">
    <cfRule type="containsText" dxfId="2597" priority="2917" operator="containsText" text="Sin información">
      <formula>NOT(ISERROR(SEARCH("Sin información",E989)))</formula>
    </cfRule>
  </conditionalFormatting>
  <conditionalFormatting sqref="C970:D970">
    <cfRule type="containsText" dxfId="2596" priority="2915" operator="containsText" text="NO+$D$4:$D$10">
      <formula>NOT(ISERROR(SEARCH("NO+$D$4:$D$10",C970)))</formula>
    </cfRule>
  </conditionalFormatting>
  <conditionalFormatting sqref="C970:D970">
    <cfRule type="containsText" dxfId="2595" priority="2913" operator="containsText" text="SI">
      <formula>NOT(ISERROR(SEARCH("SI",C970)))</formula>
    </cfRule>
    <cfRule type="containsText" dxfId="2594" priority="2914" operator="containsText" text="NO">
      <formula>NOT(ISERROR(SEARCH("NO",C970)))</formula>
    </cfRule>
  </conditionalFormatting>
  <conditionalFormatting sqref="E970">
    <cfRule type="containsText" dxfId="2593" priority="2912" operator="containsText" text="Sin información">
      <formula>NOT(ISERROR(SEARCH("Sin información",E970)))</formula>
    </cfRule>
  </conditionalFormatting>
  <conditionalFormatting sqref="C970:E970">
    <cfRule type="containsText" dxfId="2592" priority="2911" operator="containsText" text="NUEVO">
      <formula>NOT(ISERROR(SEARCH("NUEVO",C970)))</formula>
    </cfRule>
  </conditionalFormatting>
  <conditionalFormatting sqref="C939:D939">
    <cfRule type="containsText" dxfId="2591" priority="2910" operator="containsText" text="NO+$D$4:$D$10">
      <formula>NOT(ISERROR(SEARCH("NO+$D$4:$D$10",C939)))</formula>
    </cfRule>
  </conditionalFormatting>
  <conditionalFormatting sqref="C939:D939">
    <cfRule type="containsText" dxfId="2590" priority="2908" operator="containsText" text="SI">
      <formula>NOT(ISERROR(SEARCH("SI",C939)))</formula>
    </cfRule>
    <cfRule type="containsText" dxfId="2589" priority="2909" operator="containsText" text="NO">
      <formula>NOT(ISERROR(SEARCH("NO",C939)))</formula>
    </cfRule>
  </conditionalFormatting>
  <conditionalFormatting sqref="C939:D939">
    <cfRule type="containsText" dxfId="2588" priority="2907" operator="containsText" text="NUEVO">
      <formula>NOT(ISERROR(SEARCH("NUEVO",C939)))</formula>
    </cfRule>
  </conditionalFormatting>
  <conditionalFormatting sqref="E939">
    <cfRule type="containsText" dxfId="2587" priority="2905" operator="containsText" text="NUEVO">
      <formula>NOT(ISERROR(SEARCH("NUEVO",E939)))</formula>
    </cfRule>
  </conditionalFormatting>
  <conditionalFormatting sqref="E939">
    <cfRule type="containsText" dxfId="2586" priority="2906" operator="containsText" text="Sin información">
      <formula>NOT(ISERROR(SEARCH("Sin información",E939)))</formula>
    </cfRule>
  </conditionalFormatting>
  <conditionalFormatting sqref="C990:D990">
    <cfRule type="containsText" dxfId="2585" priority="2904" operator="containsText" text="NO+$D$4:$D$10">
      <formula>NOT(ISERROR(SEARCH("NO+$D$4:$D$10",C990)))</formula>
    </cfRule>
  </conditionalFormatting>
  <conditionalFormatting sqref="C990:D990">
    <cfRule type="containsText" dxfId="2584" priority="2902" operator="containsText" text="SI">
      <formula>NOT(ISERROR(SEARCH("SI",C990)))</formula>
    </cfRule>
    <cfRule type="containsText" dxfId="2583" priority="2903" operator="containsText" text="NO">
      <formula>NOT(ISERROR(SEARCH("NO",C990)))</formula>
    </cfRule>
  </conditionalFormatting>
  <conditionalFormatting sqref="C990:D990">
    <cfRule type="containsText" dxfId="2582" priority="2901" operator="containsText" text="NUEVO">
      <formula>NOT(ISERROR(SEARCH("NUEVO",C990)))</formula>
    </cfRule>
  </conditionalFormatting>
  <conditionalFormatting sqref="E990">
    <cfRule type="containsText" dxfId="2581" priority="2900" operator="containsText" text="Sin información">
      <formula>NOT(ISERROR(SEARCH("Sin información",E990)))</formula>
    </cfRule>
  </conditionalFormatting>
  <conditionalFormatting sqref="E990">
    <cfRule type="containsText" dxfId="2580" priority="2899" operator="containsText" text="NUEVO">
      <formula>NOT(ISERROR(SEARCH("NUEVO",E990)))</formula>
    </cfRule>
  </conditionalFormatting>
  <conditionalFormatting sqref="C991:D991">
    <cfRule type="containsText" dxfId="2579" priority="2898" operator="containsText" text="NO+$D$4:$D$10">
      <formula>NOT(ISERROR(SEARCH("NO+$D$4:$D$10",C991)))</formula>
    </cfRule>
  </conditionalFormatting>
  <conditionalFormatting sqref="C991:D991">
    <cfRule type="containsText" dxfId="2578" priority="2896" operator="containsText" text="SI">
      <formula>NOT(ISERROR(SEARCH("SI",C991)))</formula>
    </cfRule>
    <cfRule type="containsText" dxfId="2577" priority="2897" operator="containsText" text="NO">
      <formula>NOT(ISERROR(SEARCH("NO",C991)))</formula>
    </cfRule>
  </conditionalFormatting>
  <conditionalFormatting sqref="C991:D991">
    <cfRule type="containsText" dxfId="2576" priority="2895" operator="containsText" text="NUEVO">
      <formula>NOT(ISERROR(SEARCH("NUEVO",C991)))</formula>
    </cfRule>
  </conditionalFormatting>
  <conditionalFormatting sqref="E991">
    <cfRule type="containsText" dxfId="2575" priority="2893" operator="containsText" text="NUEVO">
      <formula>NOT(ISERROR(SEARCH("NUEVO",E991)))</formula>
    </cfRule>
  </conditionalFormatting>
  <conditionalFormatting sqref="E991">
    <cfRule type="containsText" dxfId="2574" priority="2894" operator="containsText" text="Sin información">
      <formula>NOT(ISERROR(SEARCH("Sin información",E991)))</formula>
    </cfRule>
  </conditionalFormatting>
  <conditionalFormatting sqref="C992:D992">
    <cfRule type="containsText" dxfId="2573" priority="2892" operator="containsText" text="NO+$D$4:$D$10">
      <formula>NOT(ISERROR(SEARCH("NO+$D$4:$D$10",C992)))</formula>
    </cfRule>
  </conditionalFormatting>
  <conditionalFormatting sqref="C992:D992">
    <cfRule type="containsText" dxfId="2572" priority="2890" operator="containsText" text="SI">
      <formula>NOT(ISERROR(SEARCH("SI",C992)))</formula>
    </cfRule>
    <cfRule type="containsText" dxfId="2571" priority="2891" operator="containsText" text="NO">
      <formula>NOT(ISERROR(SEARCH("NO",C992)))</formula>
    </cfRule>
  </conditionalFormatting>
  <conditionalFormatting sqref="C992:D992">
    <cfRule type="containsText" dxfId="2570" priority="2889" operator="containsText" text="NUEVO">
      <formula>NOT(ISERROR(SEARCH("NUEVO",C992)))</formula>
    </cfRule>
  </conditionalFormatting>
  <conditionalFormatting sqref="E992">
    <cfRule type="containsText" dxfId="2569" priority="2888" operator="containsText" text="Sin información">
      <formula>NOT(ISERROR(SEARCH("Sin información",E992)))</formula>
    </cfRule>
  </conditionalFormatting>
  <conditionalFormatting sqref="E992">
    <cfRule type="containsText" dxfId="2568" priority="2887" operator="containsText" text="NUEVO">
      <formula>NOT(ISERROR(SEARCH("NUEVO",E992)))</formula>
    </cfRule>
  </conditionalFormatting>
  <conditionalFormatting sqref="C993:D993">
    <cfRule type="containsText" dxfId="2567" priority="2886" operator="containsText" text="NO+$D$4:$D$10">
      <formula>NOT(ISERROR(SEARCH("NO+$D$4:$D$10",C993)))</formula>
    </cfRule>
  </conditionalFormatting>
  <conditionalFormatting sqref="C993:D993">
    <cfRule type="containsText" dxfId="2566" priority="2884" operator="containsText" text="SI">
      <formula>NOT(ISERROR(SEARCH("SI",C993)))</formula>
    </cfRule>
    <cfRule type="containsText" dxfId="2565" priority="2885" operator="containsText" text="NO">
      <formula>NOT(ISERROR(SEARCH("NO",C993)))</formula>
    </cfRule>
  </conditionalFormatting>
  <conditionalFormatting sqref="C993:D993">
    <cfRule type="containsText" dxfId="2564" priority="2883" operator="containsText" text="NUEVO">
      <formula>NOT(ISERROR(SEARCH("NUEVO",C993)))</formula>
    </cfRule>
  </conditionalFormatting>
  <conditionalFormatting sqref="E993">
    <cfRule type="containsText" dxfId="2563" priority="2882" operator="containsText" text="Sin información">
      <formula>NOT(ISERROR(SEARCH("Sin información",E993)))</formula>
    </cfRule>
  </conditionalFormatting>
  <conditionalFormatting sqref="E993">
    <cfRule type="containsText" dxfId="2562" priority="2881" operator="containsText" text="NUEVO">
      <formula>NOT(ISERROR(SEARCH("NUEVO",E993)))</formula>
    </cfRule>
  </conditionalFormatting>
  <conditionalFormatting sqref="C994:D994">
    <cfRule type="containsText" dxfId="2561" priority="2880" operator="containsText" text="NO+$D$4:$D$10">
      <formula>NOT(ISERROR(SEARCH("NO+$D$4:$D$10",C994)))</formula>
    </cfRule>
  </conditionalFormatting>
  <conditionalFormatting sqref="C994:D994">
    <cfRule type="containsText" dxfId="2560" priority="2878" operator="containsText" text="SI">
      <formula>NOT(ISERROR(SEARCH("SI",C994)))</formula>
    </cfRule>
    <cfRule type="containsText" dxfId="2559" priority="2879" operator="containsText" text="NO">
      <formula>NOT(ISERROR(SEARCH("NO",C994)))</formula>
    </cfRule>
  </conditionalFormatting>
  <conditionalFormatting sqref="C994:D994">
    <cfRule type="containsText" dxfId="2558" priority="2877" operator="containsText" text="NUEVO">
      <formula>NOT(ISERROR(SEARCH("NUEVO",C994)))</formula>
    </cfRule>
  </conditionalFormatting>
  <conditionalFormatting sqref="E994">
    <cfRule type="containsText" dxfId="2557" priority="2875" operator="containsText" text="NUEVO">
      <formula>NOT(ISERROR(SEARCH("NUEVO",E994)))</formula>
    </cfRule>
  </conditionalFormatting>
  <conditionalFormatting sqref="E994">
    <cfRule type="containsText" dxfId="2556" priority="2876" operator="containsText" text="Sin información">
      <formula>NOT(ISERROR(SEARCH("Sin información",E994)))</formula>
    </cfRule>
  </conditionalFormatting>
  <conditionalFormatting sqref="F994">
    <cfRule type="containsText" dxfId="2555" priority="2874" operator="containsText" text="NO+$D$4:$D$10">
      <formula>NOT(ISERROR(SEARCH("NO+$D$4:$D$10",F994)))</formula>
    </cfRule>
  </conditionalFormatting>
  <conditionalFormatting sqref="F994">
    <cfRule type="containsText" dxfId="2554" priority="2872" operator="containsText" text="SI">
      <formula>NOT(ISERROR(SEARCH("SI",F994)))</formula>
    </cfRule>
    <cfRule type="containsText" dxfId="2553" priority="2873" operator="containsText" text="NO">
      <formula>NOT(ISERROR(SEARCH("NO",F994)))</formula>
    </cfRule>
  </conditionalFormatting>
  <conditionalFormatting sqref="F994">
    <cfRule type="containsText" dxfId="2552" priority="2871" operator="containsText" text="NUEVO">
      <formula>NOT(ISERROR(SEARCH("NUEVO",F994)))</formula>
    </cfRule>
  </conditionalFormatting>
  <conditionalFormatting sqref="C995:D995">
    <cfRule type="containsText" dxfId="2551" priority="2870" operator="containsText" text="NO+$D$4:$D$10">
      <formula>NOT(ISERROR(SEARCH("NO+$D$4:$D$10",C995)))</formula>
    </cfRule>
  </conditionalFormatting>
  <conditionalFormatting sqref="C995:D995">
    <cfRule type="containsText" dxfId="2550" priority="2868" operator="containsText" text="SI">
      <formula>NOT(ISERROR(SEARCH("SI",C995)))</formula>
    </cfRule>
    <cfRule type="containsText" dxfId="2549" priority="2869" operator="containsText" text="NO">
      <formula>NOT(ISERROR(SEARCH("NO",C995)))</formula>
    </cfRule>
  </conditionalFormatting>
  <conditionalFormatting sqref="E995">
    <cfRule type="containsText" dxfId="2548" priority="2867" operator="containsText" text="Sin información">
      <formula>NOT(ISERROR(SEARCH("Sin información",E995)))</formula>
    </cfRule>
  </conditionalFormatting>
  <conditionalFormatting sqref="C995:E995">
    <cfRule type="containsText" dxfId="2547" priority="2866" operator="containsText" text="NUEVO">
      <formula>NOT(ISERROR(SEARCH("NUEVO",C995)))</formula>
    </cfRule>
  </conditionalFormatting>
  <conditionalFormatting sqref="E995">
    <cfRule type="containsText" dxfId="2546" priority="2865" operator="containsText" text="Sin Información">
      <formula>NOT(ISERROR(SEARCH("Sin Información",E995)))</formula>
    </cfRule>
  </conditionalFormatting>
  <conditionalFormatting sqref="C996:D996">
    <cfRule type="containsText" dxfId="2545" priority="2864" operator="containsText" text="NO+$D$4:$D$10">
      <formula>NOT(ISERROR(SEARCH("NO+$D$4:$D$10",C996)))</formula>
    </cfRule>
  </conditionalFormatting>
  <conditionalFormatting sqref="C996:D996">
    <cfRule type="containsText" dxfId="2544" priority="2862" operator="containsText" text="SI">
      <formula>NOT(ISERROR(SEARCH("SI",C996)))</formula>
    </cfRule>
    <cfRule type="containsText" dxfId="2543" priority="2863" operator="containsText" text="NO">
      <formula>NOT(ISERROR(SEARCH("NO",C996)))</formula>
    </cfRule>
  </conditionalFormatting>
  <conditionalFormatting sqref="C996:D996">
    <cfRule type="containsText" dxfId="2542" priority="2861" operator="containsText" text="NUEVO">
      <formula>NOT(ISERROR(SEARCH("NUEVO",C996)))</formula>
    </cfRule>
  </conditionalFormatting>
  <conditionalFormatting sqref="E996">
    <cfRule type="containsText" dxfId="2541" priority="2860" operator="containsText" text="Sin información">
      <formula>NOT(ISERROR(SEARCH("Sin información",E996)))</formula>
    </cfRule>
  </conditionalFormatting>
  <conditionalFormatting sqref="E996">
    <cfRule type="containsText" dxfId="2540" priority="2859" operator="containsText" text="NUEVO">
      <formula>NOT(ISERROR(SEARCH("NUEVO",E996)))</formula>
    </cfRule>
  </conditionalFormatting>
  <conditionalFormatting sqref="C997:D997">
    <cfRule type="containsText" dxfId="2539" priority="2843" operator="containsText" text="NO+$D$4:$D$10">
      <formula>NOT(ISERROR(SEARCH("NO+$D$4:$D$10",C997)))</formula>
    </cfRule>
  </conditionalFormatting>
  <conditionalFormatting sqref="C997:D997">
    <cfRule type="containsText" dxfId="2538" priority="2841" operator="containsText" text="SI">
      <formula>NOT(ISERROR(SEARCH("SI",C997)))</formula>
    </cfRule>
    <cfRule type="containsText" dxfId="2537" priority="2842" operator="containsText" text="NO">
      <formula>NOT(ISERROR(SEARCH("NO",C997)))</formula>
    </cfRule>
  </conditionalFormatting>
  <conditionalFormatting sqref="C997:D997">
    <cfRule type="containsText" dxfId="2536" priority="2840" operator="containsText" text="NUEVO">
      <formula>NOT(ISERROR(SEARCH("NUEVO",C997)))</formula>
    </cfRule>
  </conditionalFormatting>
  <conditionalFormatting sqref="E997">
    <cfRule type="containsText" dxfId="2535" priority="2838" operator="containsText" text="NUEVO">
      <formula>NOT(ISERROR(SEARCH("NUEVO",E997)))</formula>
    </cfRule>
  </conditionalFormatting>
  <conditionalFormatting sqref="E997">
    <cfRule type="containsText" dxfId="2534" priority="2839" operator="containsText" text="Sin información">
      <formula>NOT(ISERROR(SEARCH("Sin información",E997)))</formula>
    </cfRule>
  </conditionalFormatting>
  <conditionalFormatting sqref="C998:D998">
    <cfRule type="containsText" dxfId="2533" priority="2837" operator="containsText" text="NO+$D$4:$D$10">
      <formula>NOT(ISERROR(SEARCH("NO+$D$4:$D$10",C998)))</formula>
    </cfRule>
  </conditionalFormatting>
  <conditionalFormatting sqref="C998:D998">
    <cfRule type="containsText" dxfId="2532" priority="2835" operator="containsText" text="SI">
      <formula>NOT(ISERROR(SEARCH("SI",C998)))</formula>
    </cfRule>
    <cfRule type="containsText" dxfId="2531" priority="2836" operator="containsText" text="NO">
      <formula>NOT(ISERROR(SEARCH("NO",C998)))</formula>
    </cfRule>
  </conditionalFormatting>
  <conditionalFormatting sqref="E998">
    <cfRule type="containsText" dxfId="2530" priority="2834" operator="containsText" text="Sin información">
      <formula>NOT(ISERROR(SEARCH("Sin información",E998)))</formula>
    </cfRule>
  </conditionalFormatting>
  <conditionalFormatting sqref="C998:E998">
    <cfRule type="containsText" dxfId="2529" priority="2833" operator="containsText" text="NUEVO">
      <formula>NOT(ISERROR(SEARCH("NUEVO",C998)))</formula>
    </cfRule>
  </conditionalFormatting>
  <conditionalFormatting sqref="C999:D999">
    <cfRule type="containsText" dxfId="2528" priority="2832" operator="containsText" text="NO+$D$4:$D$10">
      <formula>NOT(ISERROR(SEARCH("NO+$D$4:$D$10",C999)))</formula>
    </cfRule>
  </conditionalFormatting>
  <conditionalFormatting sqref="C999:D999">
    <cfRule type="containsText" dxfId="2527" priority="2830" operator="containsText" text="SI">
      <formula>NOT(ISERROR(SEARCH("SI",C999)))</formula>
    </cfRule>
    <cfRule type="containsText" dxfId="2526" priority="2831" operator="containsText" text="NO">
      <formula>NOT(ISERROR(SEARCH("NO",C999)))</formula>
    </cfRule>
  </conditionalFormatting>
  <conditionalFormatting sqref="C999:D999">
    <cfRule type="containsText" dxfId="2525" priority="2829" operator="containsText" text="NUEVO">
      <formula>NOT(ISERROR(SEARCH("NUEVO",C999)))</formula>
    </cfRule>
  </conditionalFormatting>
  <conditionalFormatting sqref="E999">
    <cfRule type="containsText" dxfId="2524" priority="2827" operator="containsText" text="NUEVO">
      <formula>NOT(ISERROR(SEARCH("NUEVO",E999)))</formula>
    </cfRule>
  </conditionalFormatting>
  <conditionalFormatting sqref="E999">
    <cfRule type="containsText" dxfId="2523" priority="2828" operator="containsText" text="Sin información">
      <formula>NOT(ISERROR(SEARCH("Sin información",E999)))</formula>
    </cfRule>
  </conditionalFormatting>
  <conditionalFormatting sqref="F999">
    <cfRule type="containsText" dxfId="2522" priority="2826" operator="containsText" text="NO+$D$4:$D$10">
      <formula>NOT(ISERROR(SEARCH("NO+$D$4:$D$10",F999)))</formula>
    </cfRule>
  </conditionalFormatting>
  <conditionalFormatting sqref="F999">
    <cfRule type="containsText" dxfId="2521" priority="2824" operator="containsText" text="SI">
      <formula>NOT(ISERROR(SEARCH("SI",F999)))</formula>
    </cfRule>
    <cfRule type="containsText" dxfId="2520" priority="2825" operator="containsText" text="NO">
      <formula>NOT(ISERROR(SEARCH("NO",F999)))</formula>
    </cfRule>
  </conditionalFormatting>
  <conditionalFormatting sqref="F999">
    <cfRule type="containsText" dxfId="2519" priority="2823" operator="containsText" text="NUEVO">
      <formula>NOT(ISERROR(SEARCH("NUEVO",F999)))</formula>
    </cfRule>
  </conditionalFormatting>
  <conditionalFormatting sqref="C1000:D1000">
    <cfRule type="containsText" dxfId="2518" priority="2822" operator="containsText" text="NO+$D$4:$D$10">
      <formula>NOT(ISERROR(SEARCH("NO+$D$4:$D$10",C1000)))</formula>
    </cfRule>
  </conditionalFormatting>
  <conditionalFormatting sqref="C1000:D1000">
    <cfRule type="containsText" dxfId="2517" priority="2820" operator="containsText" text="SI">
      <formula>NOT(ISERROR(SEARCH("SI",C1000)))</formula>
    </cfRule>
    <cfRule type="containsText" dxfId="2516" priority="2821" operator="containsText" text="NO">
      <formula>NOT(ISERROR(SEARCH("NO",C1000)))</formula>
    </cfRule>
  </conditionalFormatting>
  <conditionalFormatting sqref="E1000">
    <cfRule type="containsText" dxfId="2515" priority="2819" operator="containsText" text="Sin información">
      <formula>NOT(ISERROR(SEARCH("Sin información",E1000)))</formula>
    </cfRule>
  </conditionalFormatting>
  <conditionalFormatting sqref="C1000:E1000">
    <cfRule type="containsText" dxfId="2514" priority="2818" operator="containsText" text="NUEVO">
      <formula>NOT(ISERROR(SEARCH("NUEVO",C1000)))</formula>
    </cfRule>
  </conditionalFormatting>
  <conditionalFormatting sqref="F1000">
    <cfRule type="containsText" dxfId="2513" priority="2817" operator="containsText" text="NO+$D$4:$D$10">
      <formula>NOT(ISERROR(SEARCH("NO+$D$4:$D$10",F1000)))</formula>
    </cfRule>
  </conditionalFormatting>
  <conditionalFormatting sqref="F1000">
    <cfRule type="containsText" dxfId="2512" priority="2815" operator="containsText" text="SI">
      <formula>NOT(ISERROR(SEARCH("SI",F1000)))</formula>
    </cfRule>
    <cfRule type="containsText" dxfId="2511" priority="2816" operator="containsText" text="NO">
      <formula>NOT(ISERROR(SEARCH("NO",F1000)))</formula>
    </cfRule>
  </conditionalFormatting>
  <conditionalFormatting sqref="F1000">
    <cfRule type="containsText" dxfId="2510" priority="2814" operator="containsText" text="NUEVO">
      <formula>NOT(ISERROR(SEARCH("NUEVO",F1000)))</formula>
    </cfRule>
  </conditionalFormatting>
  <conditionalFormatting sqref="C1001:D1001">
    <cfRule type="containsText" dxfId="2509" priority="2813" operator="containsText" text="NO+$D$4:$D$10">
      <formula>NOT(ISERROR(SEARCH("NO+$D$4:$D$10",C1001)))</formula>
    </cfRule>
  </conditionalFormatting>
  <conditionalFormatting sqref="C1001:D1001">
    <cfRule type="containsText" dxfId="2508" priority="2811" operator="containsText" text="SI">
      <formula>NOT(ISERROR(SEARCH("SI",C1001)))</formula>
    </cfRule>
    <cfRule type="containsText" dxfId="2507" priority="2812" operator="containsText" text="NO">
      <formula>NOT(ISERROR(SEARCH("NO",C1001)))</formula>
    </cfRule>
  </conditionalFormatting>
  <conditionalFormatting sqref="E1001">
    <cfRule type="containsText" dxfId="2506" priority="2810" operator="containsText" text="Sin información">
      <formula>NOT(ISERROR(SEARCH("Sin información",E1001)))</formula>
    </cfRule>
  </conditionalFormatting>
  <conditionalFormatting sqref="C1001:E1001">
    <cfRule type="containsText" dxfId="2505" priority="2809" operator="containsText" text="NUEVO">
      <formula>NOT(ISERROR(SEARCH("NUEVO",C1001)))</formula>
    </cfRule>
  </conditionalFormatting>
  <conditionalFormatting sqref="C1002:D1002">
    <cfRule type="containsText" dxfId="2504" priority="2808" operator="containsText" text="NO+$D$4:$D$10">
      <formula>NOT(ISERROR(SEARCH("NO+$D$4:$D$10",C1002)))</formula>
    </cfRule>
  </conditionalFormatting>
  <conditionalFormatting sqref="C1002:D1002">
    <cfRule type="containsText" dxfId="2503" priority="2806" operator="containsText" text="SI">
      <formula>NOT(ISERROR(SEARCH("SI",C1002)))</formula>
    </cfRule>
    <cfRule type="containsText" dxfId="2502" priority="2807" operator="containsText" text="NO">
      <formula>NOT(ISERROR(SEARCH("NO",C1002)))</formula>
    </cfRule>
  </conditionalFormatting>
  <conditionalFormatting sqref="E1002">
    <cfRule type="containsText" dxfId="2501" priority="2805" operator="containsText" text="Sin información">
      <formula>NOT(ISERROR(SEARCH("Sin información",E1002)))</formula>
    </cfRule>
  </conditionalFormatting>
  <conditionalFormatting sqref="C1002:E1002">
    <cfRule type="containsText" dxfId="2500" priority="2804" operator="containsText" text="NUEVO">
      <formula>NOT(ISERROR(SEARCH("NUEVO",C1002)))</formula>
    </cfRule>
  </conditionalFormatting>
  <conditionalFormatting sqref="C1003:D1004">
    <cfRule type="containsText" dxfId="2499" priority="2797" operator="containsText" text="NO+$D$4:$D$10">
      <formula>NOT(ISERROR(SEARCH("NO+$D$4:$D$10",C1003)))</formula>
    </cfRule>
  </conditionalFormatting>
  <conditionalFormatting sqref="C1003:D1004">
    <cfRule type="containsText" dxfId="2498" priority="2795" operator="containsText" text="SI">
      <formula>NOT(ISERROR(SEARCH("SI",C1003)))</formula>
    </cfRule>
    <cfRule type="containsText" dxfId="2497" priority="2796" operator="containsText" text="NO">
      <formula>NOT(ISERROR(SEARCH("NO",C1003)))</formula>
    </cfRule>
  </conditionalFormatting>
  <conditionalFormatting sqref="C1003:D1004">
    <cfRule type="containsText" dxfId="2496" priority="2794" operator="containsText" text="NUEVO">
      <formula>NOT(ISERROR(SEARCH("NUEVO",C1003)))</formula>
    </cfRule>
  </conditionalFormatting>
  <conditionalFormatting sqref="E1003:E1004">
    <cfRule type="containsText" dxfId="2495" priority="2793" operator="containsText" text="NUEVO">
      <formula>NOT(ISERROR(SEARCH("NUEVO",E1003)))</formula>
    </cfRule>
  </conditionalFormatting>
  <conditionalFormatting sqref="E1003:E1004">
    <cfRule type="containsText" dxfId="2494" priority="2792" operator="containsText" text="Sin información">
      <formula>NOT(ISERROR(SEARCH("Sin información",E1003)))</formula>
    </cfRule>
  </conditionalFormatting>
  <conditionalFormatting sqref="C1005:D1005">
    <cfRule type="containsText" dxfId="2493" priority="2791" operator="containsText" text="NO+$D$4:$D$10">
      <formula>NOT(ISERROR(SEARCH("NO+$D$4:$D$10",C1005)))</formula>
    </cfRule>
  </conditionalFormatting>
  <conditionalFormatting sqref="C1005:D1005">
    <cfRule type="containsText" dxfId="2492" priority="2789" operator="containsText" text="SI">
      <formula>NOT(ISERROR(SEARCH("SI",C1005)))</formula>
    </cfRule>
    <cfRule type="containsText" dxfId="2491" priority="2790" operator="containsText" text="NO">
      <formula>NOT(ISERROR(SEARCH("NO",C1005)))</formula>
    </cfRule>
  </conditionalFormatting>
  <conditionalFormatting sqref="E1005">
    <cfRule type="containsText" dxfId="2490" priority="2788" operator="containsText" text="Sin información">
      <formula>NOT(ISERROR(SEARCH("Sin información",E1005)))</formula>
    </cfRule>
  </conditionalFormatting>
  <conditionalFormatting sqref="C1005:E1005">
    <cfRule type="containsText" dxfId="2489" priority="2787" operator="containsText" text="NUEVO">
      <formula>NOT(ISERROR(SEARCH("NUEVO",C1005)))</formula>
    </cfRule>
  </conditionalFormatting>
  <conditionalFormatting sqref="F1005">
    <cfRule type="containsText" dxfId="2488" priority="2786" operator="containsText" text="NO+$D$4:$D$10">
      <formula>NOT(ISERROR(SEARCH("NO+$D$4:$D$10",F1005)))</formula>
    </cfRule>
  </conditionalFormatting>
  <conditionalFormatting sqref="F1005">
    <cfRule type="containsText" dxfId="2487" priority="2784" operator="containsText" text="SI">
      <formula>NOT(ISERROR(SEARCH("SI",F1005)))</formula>
    </cfRule>
    <cfRule type="containsText" dxfId="2486" priority="2785" operator="containsText" text="NO">
      <formula>NOT(ISERROR(SEARCH("NO",F1005)))</formula>
    </cfRule>
  </conditionalFormatting>
  <conditionalFormatting sqref="F1005">
    <cfRule type="containsText" dxfId="2485" priority="2783" operator="containsText" text="NUEVO">
      <formula>NOT(ISERROR(SEARCH("NUEVO",F1005)))</formula>
    </cfRule>
  </conditionalFormatting>
  <conditionalFormatting sqref="C1006:D1006">
    <cfRule type="containsText" dxfId="2484" priority="2782" operator="containsText" text="NO+$D$4:$D$10">
      <formula>NOT(ISERROR(SEARCH("NO+$D$4:$D$10",C1006)))</formula>
    </cfRule>
  </conditionalFormatting>
  <conditionalFormatting sqref="C1006:D1006">
    <cfRule type="containsText" dxfId="2483" priority="2780" operator="containsText" text="SI">
      <formula>NOT(ISERROR(SEARCH("SI",C1006)))</formula>
    </cfRule>
    <cfRule type="containsText" dxfId="2482" priority="2781" operator="containsText" text="NO">
      <formula>NOT(ISERROR(SEARCH("NO",C1006)))</formula>
    </cfRule>
  </conditionalFormatting>
  <conditionalFormatting sqref="C1006:D1006">
    <cfRule type="containsText" dxfId="2481" priority="2779" operator="containsText" text="NUEVO">
      <formula>NOT(ISERROR(SEARCH("NUEVO",C1006)))</formula>
    </cfRule>
  </conditionalFormatting>
  <conditionalFormatting sqref="E1006">
    <cfRule type="containsText" dxfId="2480" priority="2778" operator="containsText" text="Sin información">
      <formula>NOT(ISERROR(SEARCH("Sin información",E1006)))</formula>
    </cfRule>
  </conditionalFormatting>
  <conditionalFormatting sqref="E1006">
    <cfRule type="containsText" dxfId="2479" priority="2777" operator="containsText" text="NUEVO">
      <formula>NOT(ISERROR(SEARCH("NUEVO",E1006)))</formula>
    </cfRule>
  </conditionalFormatting>
  <conditionalFormatting sqref="F1006">
    <cfRule type="containsText" dxfId="2478" priority="2776" operator="containsText" text="NO+$D$4:$D$10">
      <formula>NOT(ISERROR(SEARCH("NO+$D$4:$D$10",F1006)))</formula>
    </cfRule>
  </conditionalFormatting>
  <conditionalFormatting sqref="F1006">
    <cfRule type="containsText" dxfId="2477" priority="2774" operator="containsText" text="SI">
      <formula>NOT(ISERROR(SEARCH("SI",F1006)))</formula>
    </cfRule>
    <cfRule type="containsText" dxfId="2476" priority="2775" operator="containsText" text="NO">
      <formula>NOT(ISERROR(SEARCH("NO",F1006)))</formula>
    </cfRule>
  </conditionalFormatting>
  <conditionalFormatting sqref="F1006">
    <cfRule type="containsText" dxfId="2475" priority="2773" operator="containsText" text="NUEVO">
      <formula>NOT(ISERROR(SEARCH("NUEVO",F1006)))</formula>
    </cfRule>
  </conditionalFormatting>
  <conditionalFormatting sqref="C1007:D1007">
    <cfRule type="containsText" dxfId="2474" priority="2772" operator="containsText" text="NO+$D$4:$D$10">
      <formula>NOT(ISERROR(SEARCH("NO+$D$4:$D$10",C1007)))</formula>
    </cfRule>
  </conditionalFormatting>
  <conditionalFormatting sqref="C1007:D1007">
    <cfRule type="containsText" dxfId="2473" priority="2770" operator="containsText" text="SI">
      <formula>NOT(ISERROR(SEARCH("SI",C1007)))</formula>
    </cfRule>
    <cfRule type="containsText" dxfId="2472" priority="2771" operator="containsText" text="NO">
      <formula>NOT(ISERROR(SEARCH("NO",C1007)))</formula>
    </cfRule>
  </conditionalFormatting>
  <conditionalFormatting sqref="C1007:D1007">
    <cfRule type="containsText" dxfId="2471" priority="2769" operator="containsText" text="NUEVO">
      <formula>NOT(ISERROR(SEARCH("NUEVO",C1007)))</formula>
    </cfRule>
  </conditionalFormatting>
  <conditionalFormatting sqref="E1007">
    <cfRule type="containsText" dxfId="2470" priority="2768" operator="containsText" text="Sin información">
      <formula>NOT(ISERROR(SEARCH("Sin información",E1007)))</formula>
    </cfRule>
  </conditionalFormatting>
  <conditionalFormatting sqref="E1007">
    <cfRule type="containsText" dxfId="2469" priority="2767" operator="containsText" text="NUEVO">
      <formula>NOT(ISERROR(SEARCH("NUEVO",E1007)))</formula>
    </cfRule>
  </conditionalFormatting>
  <conditionalFormatting sqref="C1008:D1008">
    <cfRule type="containsText" dxfId="2468" priority="2766" operator="containsText" text="NO+$D$4:$D$10">
      <formula>NOT(ISERROR(SEARCH("NO+$D$4:$D$10",C1008)))</formula>
    </cfRule>
  </conditionalFormatting>
  <conditionalFormatting sqref="C1008:D1008">
    <cfRule type="containsText" dxfId="2467" priority="2764" operator="containsText" text="SI">
      <formula>NOT(ISERROR(SEARCH("SI",C1008)))</formula>
    </cfRule>
    <cfRule type="containsText" dxfId="2466" priority="2765" operator="containsText" text="NO">
      <formula>NOT(ISERROR(SEARCH("NO",C1008)))</formula>
    </cfRule>
  </conditionalFormatting>
  <conditionalFormatting sqref="E1008">
    <cfRule type="containsText" dxfId="2465" priority="2763" operator="containsText" text="Sin información">
      <formula>NOT(ISERROR(SEARCH("Sin información",E1008)))</formula>
    </cfRule>
  </conditionalFormatting>
  <conditionalFormatting sqref="C1008:E1008">
    <cfRule type="containsText" dxfId="2464" priority="2762" operator="containsText" text="NUEVO">
      <formula>NOT(ISERROR(SEARCH("NUEVO",C1008)))</formula>
    </cfRule>
  </conditionalFormatting>
  <conditionalFormatting sqref="E1008">
    <cfRule type="containsText" dxfId="2463" priority="2761" operator="containsText" text="Sin información">
      <formula>NOT(ISERROR(SEARCH("Sin información",E1008)))</formula>
    </cfRule>
  </conditionalFormatting>
  <conditionalFormatting sqref="E1008">
    <cfRule type="containsText" dxfId="2462" priority="2760" operator="containsText" text="NUEVO">
      <formula>NOT(ISERROR(SEARCH("NUEVO",E1008)))</formula>
    </cfRule>
  </conditionalFormatting>
  <conditionalFormatting sqref="C1009:D1009">
    <cfRule type="containsText" dxfId="2461" priority="2759" operator="containsText" text="NO+$D$4:$D$10">
      <formula>NOT(ISERROR(SEARCH("NO+$D$4:$D$10",C1009)))</formula>
    </cfRule>
  </conditionalFormatting>
  <conditionalFormatting sqref="C1009:D1009">
    <cfRule type="containsText" dxfId="2460" priority="2757" operator="containsText" text="SI">
      <formula>NOT(ISERROR(SEARCH("SI",C1009)))</formula>
    </cfRule>
    <cfRule type="containsText" dxfId="2459" priority="2758" operator="containsText" text="NO">
      <formula>NOT(ISERROR(SEARCH("NO",C1009)))</formula>
    </cfRule>
  </conditionalFormatting>
  <conditionalFormatting sqref="E1009">
    <cfRule type="containsText" dxfId="2458" priority="2756" operator="containsText" text="Sin información">
      <formula>NOT(ISERROR(SEARCH("Sin información",E1009)))</formula>
    </cfRule>
  </conditionalFormatting>
  <conditionalFormatting sqref="C1009:E1009">
    <cfRule type="containsText" dxfId="2457" priority="2755" operator="containsText" text="NUEVO">
      <formula>NOT(ISERROR(SEARCH("NUEVO",C1009)))</formula>
    </cfRule>
  </conditionalFormatting>
  <conditionalFormatting sqref="E1009">
    <cfRule type="containsText" dxfId="2456" priority="2754" operator="containsText" text="Sin información">
      <formula>NOT(ISERROR(SEARCH("Sin información",E1009)))</formula>
    </cfRule>
  </conditionalFormatting>
  <conditionalFormatting sqref="E1009">
    <cfRule type="containsText" dxfId="2455" priority="2753" operator="containsText" text="NUEVO">
      <formula>NOT(ISERROR(SEARCH("NUEVO",E1009)))</formula>
    </cfRule>
  </conditionalFormatting>
  <conditionalFormatting sqref="C1010:D1010">
    <cfRule type="containsText" dxfId="2454" priority="2752" operator="containsText" text="NO+$D$4:$D$10">
      <formula>NOT(ISERROR(SEARCH("NO+$D$4:$D$10",C1010)))</formula>
    </cfRule>
  </conditionalFormatting>
  <conditionalFormatting sqref="C1010:D1010">
    <cfRule type="containsText" dxfId="2453" priority="2750" operator="containsText" text="SI">
      <formula>NOT(ISERROR(SEARCH("SI",C1010)))</formula>
    </cfRule>
    <cfRule type="containsText" dxfId="2452" priority="2751" operator="containsText" text="NO">
      <formula>NOT(ISERROR(SEARCH("NO",C1010)))</formula>
    </cfRule>
  </conditionalFormatting>
  <conditionalFormatting sqref="E1010">
    <cfRule type="containsText" dxfId="2451" priority="2749" operator="containsText" text="Sin información">
      <formula>NOT(ISERROR(SEARCH("Sin información",E1010)))</formula>
    </cfRule>
  </conditionalFormatting>
  <conditionalFormatting sqref="C1010:E1010">
    <cfRule type="containsText" dxfId="2450" priority="2748" operator="containsText" text="NUEVO">
      <formula>NOT(ISERROR(SEARCH("NUEVO",C1010)))</formula>
    </cfRule>
  </conditionalFormatting>
  <conditionalFormatting sqref="E1010">
    <cfRule type="containsText" dxfId="2449" priority="2747" operator="containsText" text="Sin información">
      <formula>NOT(ISERROR(SEARCH("Sin información",E1010)))</formula>
    </cfRule>
  </conditionalFormatting>
  <conditionalFormatting sqref="E1010">
    <cfRule type="containsText" dxfId="2448" priority="2746" operator="containsText" text="NUEVO">
      <formula>NOT(ISERROR(SEARCH("NUEVO",E1010)))</formula>
    </cfRule>
  </conditionalFormatting>
  <conditionalFormatting sqref="F1010">
    <cfRule type="containsText" dxfId="2447" priority="2745" operator="containsText" text="NO+$D$4:$D$10">
      <formula>NOT(ISERROR(SEARCH("NO+$D$4:$D$10",F1010)))</formula>
    </cfRule>
  </conditionalFormatting>
  <conditionalFormatting sqref="F1010">
    <cfRule type="containsText" dxfId="2446" priority="2743" operator="containsText" text="SI">
      <formula>NOT(ISERROR(SEARCH("SI",F1010)))</formula>
    </cfRule>
    <cfRule type="containsText" dxfId="2445" priority="2744" operator="containsText" text="NO">
      <formula>NOT(ISERROR(SEARCH("NO",F1010)))</formula>
    </cfRule>
  </conditionalFormatting>
  <conditionalFormatting sqref="F1010">
    <cfRule type="containsText" dxfId="2444" priority="2742" operator="containsText" text="NUEVO">
      <formula>NOT(ISERROR(SEARCH("NUEVO",F1010)))</formula>
    </cfRule>
  </conditionalFormatting>
  <conditionalFormatting sqref="C1011:D1017">
    <cfRule type="containsText" dxfId="2443" priority="2741" operator="containsText" text="NO+$D$4:$D$10">
      <formula>NOT(ISERROR(SEARCH("NO+$D$4:$D$10",C1011)))</formula>
    </cfRule>
  </conditionalFormatting>
  <conditionalFormatting sqref="C1011:D1017">
    <cfRule type="containsText" dxfId="2442" priority="2739" operator="containsText" text="SI">
      <formula>NOT(ISERROR(SEARCH("SI",C1011)))</formula>
    </cfRule>
    <cfRule type="containsText" dxfId="2441" priority="2740" operator="containsText" text="NO">
      <formula>NOT(ISERROR(SEARCH("NO",C1011)))</formula>
    </cfRule>
  </conditionalFormatting>
  <conditionalFormatting sqref="C1011:D1017">
    <cfRule type="containsText" dxfId="2440" priority="2738" operator="containsText" text="NUEVO">
      <formula>NOT(ISERROR(SEARCH("NUEVO",C1011)))</formula>
    </cfRule>
  </conditionalFormatting>
  <conditionalFormatting sqref="E1011">
    <cfRule type="containsText" dxfId="2439" priority="2737" operator="containsText" text="Sin información">
      <formula>NOT(ISERROR(SEARCH("Sin información",E1011)))</formula>
    </cfRule>
  </conditionalFormatting>
  <conditionalFormatting sqref="E1011">
    <cfRule type="containsText" dxfId="2438" priority="2736" operator="containsText" text="NUEVO">
      <formula>NOT(ISERROR(SEARCH("NUEVO",E1011)))</formula>
    </cfRule>
  </conditionalFormatting>
  <conditionalFormatting sqref="E1013:E1015">
    <cfRule type="containsText" dxfId="2437" priority="2734" operator="containsText" text="NUEVO">
      <formula>NOT(ISERROR(SEARCH("NUEVO",E1013)))</formula>
    </cfRule>
  </conditionalFormatting>
  <conditionalFormatting sqref="E1013:E1015">
    <cfRule type="containsText" dxfId="2436" priority="2735" operator="containsText" text="Sin información">
      <formula>NOT(ISERROR(SEARCH("Sin información",E1013)))</formula>
    </cfRule>
  </conditionalFormatting>
  <conditionalFormatting sqref="E1016">
    <cfRule type="containsText" dxfId="2435" priority="2732" operator="containsText" text="NUEVO">
      <formula>NOT(ISERROR(SEARCH("NUEVO",E1016)))</formula>
    </cfRule>
  </conditionalFormatting>
  <conditionalFormatting sqref="E1016">
    <cfRule type="containsText" dxfId="2434" priority="2733" operator="containsText" text="Sin información">
      <formula>NOT(ISERROR(SEARCH("Sin información",E1016)))</formula>
    </cfRule>
  </conditionalFormatting>
  <conditionalFormatting sqref="E1012">
    <cfRule type="containsText" dxfId="2433" priority="2731" operator="containsText" text="Sin información">
      <formula>NOT(ISERROR(SEARCH("Sin información",E1012)))</formula>
    </cfRule>
  </conditionalFormatting>
  <conditionalFormatting sqref="E1012">
    <cfRule type="containsText" dxfId="2432" priority="2730" operator="containsText" text="NUEVO">
      <formula>NOT(ISERROR(SEARCH("NUEVO",E1012)))</formula>
    </cfRule>
  </conditionalFormatting>
  <conditionalFormatting sqref="F1016 F1013">
    <cfRule type="containsText" dxfId="2431" priority="2729" operator="containsText" text="NO+$D$4:$D$10">
      <formula>NOT(ISERROR(SEARCH("NO+$D$4:$D$10",F1013)))</formula>
    </cfRule>
  </conditionalFormatting>
  <conditionalFormatting sqref="F1016 F1013">
    <cfRule type="containsText" dxfId="2430" priority="2727" operator="containsText" text="SI">
      <formula>NOT(ISERROR(SEARCH("SI",F1013)))</formula>
    </cfRule>
    <cfRule type="containsText" dxfId="2429" priority="2728" operator="containsText" text="NO">
      <formula>NOT(ISERROR(SEARCH("NO",F1013)))</formula>
    </cfRule>
  </conditionalFormatting>
  <conditionalFormatting sqref="F1016 F1013">
    <cfRule type="containsText" dxfId="2428" priority="2726" operator="containsText" text="NUEVO">
      <formula>NOT(ISERROR(SEARCH("NUEVO",F1013)))</formula>
    </cfRule>
  </conditionalFormatting>
  <conditionalFormatting sqref="E1017">
    <cfRule type="containsText" dxfId="2427" priority="2725" operator="containsText" text="Sin información">
      <formula>NOT(ISERROR(SEARCH("Sin información",E1017)))</formula>
    </cfRule>
  </conditionalFormatting>
  <conditionalFormatting sqref="E1017">
    <cfRule type="containsText" dxfId="2426" priority="2724" operator="containsText" text="NUEVO">
      <formula>NOT(ISERROR(SEARCH("NUEVO",E1017)))</formula>
    </cfRule>
  </conditionalFormatting>
  <conditionalFormatting sqref="C1018:D1020">
    <cfRule type="containsText" dxfId="2425" priority="2723" operator="containsText" text="NO+$D$4:$D$10">
      <formula>NOT(ISERROR(SEARCH("NO+$D$4:$D$10",C1018)))</formula>
    </cfRule>
  </conditionalFormatting>
  <conditionalFormatting sqref="C1018:D1020">
    <cfRule type="containsText" dxfId="2424" priority="2721" operator="containsText" text="SI">
      <formula>NOT(ISERROR(SEARCH("SI",C1018)))</formula>
    </cfRule>
    <cfRule type="containsText" dxfId="2423" priority="2722" operator="containsText" text="NO">
      <formula>NOT(ISERROR(SEARCH("NO",C1018)))</formula>
    </cfRule>
  </conditionalFormatting>
  <conditionalFormatting sqref="C1018:D1020">
    <cfRule type="containsText" dxfId="2422" priority="2720" operator="containsText" text="NUEVO">
      <formula>NOT(ISERROR(SEARCH("NUEVO",C1018)))</formula>
    </cfRule>
  </conditionalFormatting>
  <conditionalFormatting sqref="E1018">
    <cfRule type="containsText" dxfId="2421" priority="2719" operator="containsText" text="Sin información">
      <formula>NOT(ISERROR(SEARCH("Sin información",E1018)))</formula>
    </cfRule>
  </conditionalFormatting>
  <conditionalFormatting sqref="E1018">
    <cfRule type="containsText" dxfId="2420" priority="2718" operator="containsText" text="NUEVO">
      <formula>NOT(ISERROR(SEARCH("NUEVO",E1018)))</formula>
    </cfRule>
  </conditionalFormatting>
  <conditionalFormatting sqref="E1019">
    <cfRule type="containsText" dxfId="2419" priority="2717" operator="containsText" text="Sin información">
      <formula>NOT(ISERROR(SEARCH("Sin información",E1019)))</formula>
    </cfRule>
  </conditionalFormatting>
  <conditionalFormatting sqref="E1019">
    <cfRule type="containsText" dxfId="2418" priority="2716" operator="containsText" text="NUEVO">
      <formula>NOT(ISERROR(SEARCH("NUEVO",E1019)))</formula>
    </cfRule>
  </conditionalFormatting>
  <conditionalFormatting sqref="E1020">
    <cfRule type="containsText" dxfId="2417" priority="2715" operator="containsText" text="Sin información">
      <formula>NOT(ISERROR(SEARCH("Sin información",E1020)))</formula>
    </cfRule>
  </conditionalFormatting>
  <conditionalFormatting sqref="E1020">
    <cfRule type="containsText" dxfId="2416" priority="2714" operator="containsText" text="NUEVO">
      <formula>NOT(ISERROR(SEARCH("NUEVO",E1020)))</formula>
    </cfRule>
  </conditionalFormatting>
  <conditionalFormatting sqref="C1021:D1021">
    <cfRule type="containsText" dxfId="2415" priority="2711" operator="containsText" text="NO+$D$4:$D$10">
      <formula>NOT(ISERROR(SEARCH("NO+$D$4:$D$10",C1021)))</formula>
    </cfRule>
  </conditionalFormatting>
  <conditionalFormatting sqref="C1021:D1021">
    <cfRule type="containsText" dxfId="2414" priority="2709" operator="containsText" text="SI">
      <formula>NOT(ISERROR(SEARCH("SI",C1021)))</formula>
    </cfRule>
    <cfRule type="containsText" dxfId="2413" priority="2710" operator="containsText" text="NO">
      <formula>NOT(ISERROR(SEARCH("NO",C1021)))</formula>
    </cfRule>
  </conditionalFormatting>
  <conditionalFormatting sqref="E1021">
    <cfRule type="containsText" dxfId="2412" priority="2708" operator="containsText" text="Sin información">
      <formula>NOT(ISERROR(SEARCH("Sin información",E1021)))</formula>
    </cfRule>
  </conditionalFormatting>
  <conditionalFormatting sqref="C1021:E1021">
    <cfRule type="containsText" dxfId="2411" priority="2707" operator="containsText" text="NUEVO">
      <formula>NOT(ISERROR(SEARCH("NUEVO",C1021)))</formula>
    </cfRule>
  </conditionalFormatting>
  <conditionalFormatting sqref="C1024:D1024 C1026:D1029">
    <cfRule type="containsText" dxfId="2410" priority="2700" operator="containsText" text="NO+$D$4:$D$10">
      <formula>NOT(ISERROR(SEARCH("NO+$D$4:$D$10",C1024)))</formula>
    </cfRule>
  </conditionalFormatting>
  <conditionalFormatting sqref="C1024:D1024 C1026:D1029">
    <cfRule type="containsText" dxfId="2409" priority="2698" operator="containsText" text="SI">
      <formula>NOT(ISERROR(SEARCH("SI",C1024)))</formula>
    </cfRule>
    <cfRule type="containsText" dxfId="2408" priority="2699" operator="containsText" text="NO">
      <formula>NOT(ISERROR(SEARCH("NO",C1024)))</formula>
    </cfRule>
  </conditionalFormatting>
  <conditionalFormatting sqref="C1024:D1024 C1026:D1029">
    <cfRule type="containsText" dxfId="2407" priority="2697" operator="containsText" text="NUEVO">
      <formula>NOT(ISERROR(SEARCH("NUEVO",C1024)))</formula>
    </cfRule>
  </conditionalFormatting>
  <conditionalFormatting sqref="E1024">
    <cfRule type="containsText" dxfId="2406" priority="2696" operator="containsText" text="Sin información">
      <formula>NOT(ISERROR(SEARCH("Sin información",E1024)))</formula>
    </cfRule>
  </conditionalFormatting>
  <conditionalFormatting sqref="E1024">
    <cfRule type="containsText" dxfId="2405" priority="2695" operator="containsText" text="NUEVO">
      <formula>NOT(ISERROR(SEARCH("NUEVO",E1024)))</formula>
    </cfRule>
  </conditionalFormatting>
  <conditionalFormatting sqref="E1026:E1029">
    <cfRule type="containsText" dxfId="2404" priority="2694" operator="containsText" text="Sin información">
      <formula>NOT(ISERROR(SEARCH("Sin información",E1026)))</formula>
    </cfRule>
  </conditionalFormatting>
  <conditionalFormatting sqref="E1026:E1029">
    <cfRule type="containsText" dxfId="2403" priority="2693" operator="containsText" text="NUEVO">
      <formula>NOT(ISERROR(SEARCH("NUEVO",E1026)))</formula>
    </cfRule>
  </conditionalFormatting>
  <conditionalFormatting sqref="F939">
    <cfRule type="containsText" dxfId="2402" priority="2689" operator="containsText" text="NUEVO">
      <formula>NOT(ISERROR(SEARCH("NUEVO",F939)))</formula>
    </cfRule>
  </conditionalFormatting>
  <conditionalFormatting sqref="F939">
    <cfRule type="containsText" dxfId="2401" priority="2692" operator="containsText" text="NO+$D$4:$D$10">
      <formula>NOT(ISERROR(SEARCH("NO+$D$4:$D$10",F939)))</formula>
    </cfRule>
  </conditionalFormatting>
  <conditionalFormatting sqref="F939">
    <cfRule type="containsText" dxfId="2400" priority="2690" operator="containsText" text="SI">
      <formula>NOT(ISERROR(SEARCH("SI",F939)))</formula>
    </cfRule>
    <cfRule type="containsText" dxfId="2399" priority="2691" operator="containsText" text="NO">
      <formula>NOT(ISERROR(SEARCH("NO",F939)))</formula>
    </cfRule>
  </conditionalFormatting>
  <conditionalFormatting sqref="C941:D941">
    <cfRule type="containsText" dxfId="2398" priority="2688" operator="containsText" text="NO+$D$4:$D$10">
      <formula>NOT(ISERROR(SEARCH("NO+$D$4:$D$10",C941)))</formula>
    </cfRule>
  </conditionalFormatting>
  <conditionalFormatting sqref="C941:D941">
    <cfRule type="containsText" dxfId="2397" priority="2686" operator="containsText" text="SI">
      <formula>NOT(ISERROR(SEARCH("SI",C941)))</formula>
    </cfRule>
    <cfRule type="containsText" dxfId="2396" priority="2687" operator="containsText" text="NO">
      <formula>NOT(ISERROR(SEARCH("NO",C941)))</formula>
    </cfRule>
  </conditionalFormatting>
  <conditionalFormatting sqref="C941:D941">
    <cfRule type="containsText" dxfId="2395" priority="2685" operator="containsText" text="NUEVO">
      <formula>NOT(ISERROR(SEARCH("NUEVO",C941)))</formula>
    </cfRule>
  </conditionalFormatting>
  <conditionalFormatting sqref="E941">
    <cfRule type="containsText" dxfId="2394" priority="2684" operator="containsText" text="NUEVO">
      <formula>NOT(ISERROR(SEARCH("NUEVO",E941)))</formula>
    </cfRule>
  </conditionalFormatting>
  <conditionalFormatting sqref="E941">
    <cfRule type="containsText" dxfId="2393" priority="2683" operator="containsText" text="Sin Información">
      <formula>NOT(ISERROR(SEARCH("Sin Información",E941)))</formula>
    </cfRule>
  </conditionalFormatting>
  <conditionalFormatting sqref="F941">
    <cfRule type="containsText" dxfId="2392" priority="2682" operator="containsText" text="NO+$D$4:$D$10">
      <formula>NOT(ISERROR(SEARCH("NO+$D$4:$D$10",F941)))</formula>
    </cfRule>
  </conditionalFormatting>
  <conditionalFormatting sqref="F941">
    <cfRule type="containsText" dxfId="2391" priority="2680" operator="containsText" text="SI">
      <formula>NOT(ISERROR(SEARCH("SI",F941)))</formula>
    </cfRule>
    <cfRule type="containsText" dxfId="2390" priority="2681" operator="containsText" text="NO">
      <formula>NOT(ISERROR(SEARCH("NO",F941)))</formula>
    </cfRule>
  </conditionalFormatting>
  <conditionalFormatting sqref="F941">
    <cfRule type="containsText" dxfId="2389" priority="2679" operator="containsText" text="NUEVO">
      <formula>NOT(ISERROR(SEARCH("NUEVO",F941)))</formula>
    </cfRule>
  </conditionalFormatting>
  <conditionalFormatting sqref="C955:D955">
    <cfRule type="containsText" dxfId="2388" priority="2678" operator="containsText" text="NO+$D$4:$D$10">
      <formula>NOT(ISERROR(SEARCH("NO+$D$4:$D$10",C955)))</formula>
    </cfRule>
  </conditionalFormatting>
  <conditionalFormatting sqref="C955:D955">
    <cfRule type="containsText" dxfId="2387" priority="2676" operator="containsText" text="SI">
      <formula>NOT(ISERROR(SEARCH("SI",C955)))</formula>
    </cfRule>
    <cfRule type="containsText" dxfId="2386" priority="2677" operator="containsText" text="NO">
      <formula>NOT(ISERROR(SEARCH("NO",C955)))</formula>
    </cfRule>
  </conditionalFormatting>
  <conditionalFormatting sqref="E955">
    <cfRule type="containsText" dxfId="2385" priority="2675" operator="containsText" text="Sin información">
      <formula>NOT(ISERROR(SEARCH("Sin información",E955)))</formula>
    </cfRule>
  </conditionalFormatting>
  <conditionalFormatting sqref="C955:E955">
    <cfRule type="containsText" dxfId="2384" priority="2674" operator="containsText" text="NUEVO">
      <formula>NOT(ISERROR(SEARCH("NUEVO",C955)))</formula>
    </cfRule>
  </conditionalFormatting>
  <conditionalFormatting sqref="E955">
    <cfRule type="containsText" dxfId="2383" priority="2673" operator="containsText" text="Sin Información">
      <formula>NOT(ISERROR(SEARCH("Sin Información",E955)))</formula>
    </cfRule>
  </conditionalFormatting>
  <conditionalFormatting sqref="F955">
    <cfRule type="containsText" dxfId="2382" priority="2672" operator="containsText" text="NO+$D$4:$D$10">
      <formula>NOT(ISERROR(SEARCH("NO+$D$4:$D$10",F955)))</formula>
    </cfRule>
  </conditionalFormatting>
  <conditionalFormatting sqref="F955">
    <cfRule type="containsText" dxfId="2381" priority="2670" operator="containsText" text="SI">
      <formula>NOT(ISERROR(SEARCH("SI",F955)))</formula>
    </cfRule>
    <cfRule type="containsText" dxfId="2380" priority="2671" operator="containsText" text="NO">
      <formula>NOT(ISERROR(SEARCH("NO",F955)))</formula>
    </cfRule>
  </conditionalFormatting>
  <conditionalFormatting sqref="F955">
    <cfRule type="containsText" dxfId="2379" priority="2669" operator="containsText" text="NUEVO">
      <formula>NOT(ISERROR(SEARCH("NUEVO",F955)))</formula>
    </cfRule>
  </conditionalFormatting>
  <conditionalFormatting sqref="C1022:D1023">
    <cfRule type="containsText" dxfId="2378" priority="2668" operator="containsText" text="NO+$D$4:$D$10">
      <formula>NOT(ISERROR(SEARCH("NO+$D$4:$D$10",C1022)))</formula>
    </cfRule>
  </conditionalFormatting>
  <conditionalFormatting sqref="C1022:D1023">
    <cfRule type="containsText" dxfId="2377" priority="2666" operator="containsText" text="SI">
      <formula>NOT(ISERROR(SEARCH("SI",C1022)))</formula>
    </cfRule>
    <cfRule type="containsText" dxfId="2376" priority="2667" operator="containsText" text="NO">
      <formula>NOT(ISERROR(SEARCH("NO",C1022)))</formula>
    </cfRule>
  </conditionalFormatting>
  <conditionalFormatting sqref="E1022:E1023">
    <cfRule type="containsText" dxfId="2375" priority="2665" operator="containsText" text="Sin información">
      <formula>NOT(ISERROR(SEARCH("Sin información",E1022)))</formula>
    </cfRule>
  </conditionalFormatting>
  <conditionalFormatting sqref="C1022:E1023">
    <cfRule type="containsText" dxfId="2374" priority="2664" operator="containsText" text="NUEVO">
      <formula>NOT(ISERROR(SEARCH("NUEVO",C1022)))</formula>
    </cfRule>
  </conditionalFormatting>
  <conditionalFormatting sqref="F1022:F1023">
    <cfRule type="containsText" dxfId="2373" priority="2663" operator="containsText" text="NO+$D$4:$D$10">
      <formula>NOT(ISERROR(SEARCH("NO+$D$4:$D$10",F1022)))</formula>
    </cfRule>
  </conditionalFormatting>
  <conditionalFormatting sqref="F1022:F1023">
    <cfRule type="containsText" dxfId="2372" priority="2661" operator="containsText" text="SI">
      <formula>NOT(ISERROR(SEARCH("SI",F1022)))</formula>
    </cfRule>
    <cfRule type="containsText" dxfId="2371" priority="2662" operator="containsText" text="NO">
      <formula>NOT(ISERROR(SEARCH("NO",F1022)))</formula>
    </cfRule>
  </conditionalFormatting>
  <conditionalFormatting sqref="F1022:F1023">
    <cfRule type="containsText" dxfId="2370" priority="2660" operator="containsText" text="NUEVO">
      <formula>NOT(ISERROR(SEARCH("NUEVO",F1022)))</formula>
    </cfRule>
  </conditionalFormatting>
  <conditionalFormatting sqref="C1025:D1025">
    <cfRule type="containsText" dxfId="2369" priority="2659" operator="containsText" text="NO+$D$4:$D$10">
      <formula>NOT(ISERROR(SEARCH("NO+$D$4:$D$10",C1025)))</formula>
    </cfRule>
  </conditionalFormatting>
  <conditionalFormatting sqref="C1025:D1025">
    <cfRule type="containsText" dxfId="2368" priority="2657" operator="containsText" text="SI">
      <formula>NOT(ISERROR(SEARCH("SI",C1025)))</formula>
    </cfRule>
    <cfRule type="containsText" dxfId="2367" priority="2658" operator="containsText" text="NO">
      <formula>NOT(ISERROR(SEARCH("NO",C1025)))</formula>
    </cfRule>
  </conditionalFormatting>
  <conditionalFormatting sqref="C1025:D1025">
    <cfRule type="containsText" dxfId="2366" priority="2656" operator="containsText" text="NUEVO">
      <formula>NOT(ISERROR(SEARCH("NUEVO",C1025)))</formula>
    </cfRule>
  </conditionalFormatting>
  <conditionalFormatting sqref="E1025">
    <cfRule type="containsText" dxfId="2365" priority="2655" operator="containsText" text="Sin información">
      <formula>NOT(ISERROR(SEARCH("Sin información",E1025)))</formula>
    </cfRule>
  </conditionalFormatting>
  <conditionalFormatting sqref="E1025">
    <cfRule type="containsText" dxfId="2364" priority="2654" operator="containsText" text="NUEVO">
      <formula>NOT(ISERROR(SEARCH("NUEVO",E1025)))</formula>
    </cfRule>
  </conditionalFormatting>
  <conditionalFormatting sqref="F1025">
    <cfRule type="containsText" dxfId="2363" priority="2653" operator="containsText" text="NO+$D$4:$D$10">
      <formula>NOT(ISERROR(SEARCH("NO+$D$4:$D$10",F1025)))</formula>
    </cfRule>
  </conditionalFormatting>
  <conditionalFormatting sqref="F1025">
    <cfRule type="containsText" dxfId="2362" priority="2651" operator="containsText" text="SI">
      <formula>NOT(ISERROR(SEARCH("SI",F1025)))</formula>
    </cfRule>
    <cfRule type="containsText" dxfId="2361" priority="2652" operator="containsText" text="NO">
      <formula>NOT(ISERROR(SEARCH("NO",F1025)))</formula>
    </cfRule>
  </conditionalFormatting>
  <conditionalFormatting sqref="F1025">
    <cfRule type="containsText" dxfId="2360" priority="2650" operator="containsText" text="NUEVO">
      <formula>NOT(ISERROR(SEARCH("NUEVO",F1025)))</formula>
    </cfRule>
  </conditionalFormatting>
  <conditionalFormatting sqref="C1030:D1032">
    <cfRule type="containsText" dxfId="2359" priority="2649" operator="containsText" text="NO+$D$4:$D$10">
      <formula>NOT(ISERROR(SEARCH("NO+$D$4:$D$10",C1030)))</formula>
    </cfRule>
  </conditionalFormatting>
  <conditionalFormatting sqref="C1030:D1032">
    <cfRule type="containsText" dxfId="2358" priority="2647" operator="containsText" text="SI">
      <formula>NOT(ISERROR(SEARCH("SI",C1030)))</formula>
    </cfRule>
    <cfRule type="containsText" dxfId="2357" priority="2648" operator="containsText" text="NO">
      <formula>NOT(ISERROR(SEARCH("NO",C1030)))</formula>
    </cfRule>
  </conditionalFormatting>
  <conditionalFormatting sqref="C1030:D1032">
    <cfRule type="containsText" dxfId="2356" priority="2646" operator="containsText" text="NUEVO">
      <formula>NOT(ISERROR(SEARCH("NUEVO",C1030)))</formula>
    </cfRule>
  </conditionalFormatting>
  <conditionalFormatting sqref="E1030">
    <cfRule type="containsText" dxfId="2355" priority="2644" operator="containsText" text="NUEVO">
      <formula>NOT(ISERROR(SEARCH("NUEVO",E1030)))</formula>
    </cfRule>
  </conditionalFormatting>
  <conditionalFormatting sqref="E1030">
    <cfRule type="containsText" dxfId="2354" priority="2645" operator="containsText" text="Sin información">
      <formula>NOT(ISERROR(SEARCH("Sin información",E1030)))</formula>
    </cfRule>
  </conditionalFormatting>
  <conditionalFormatting sqref="E1031">
    <cfRule type="containsText" dxfId="2353" priority="2642" operator="containsText" text="NUEVO">
      <formula>NOT(ISERROR(SEARCH("NUEVO",E1031)))</formula>
    </cfRule>
  </conditionalFormatting>
  <conditionalFormatting sqref="E1031">
    <cfRule type="containsText" dxfId="2352" priority="2643" operator="containsText" text="Sin información">
      <formula>NOT(ISERROR(SEARCH("Sin información",E1031)))</formula>
    </cfRule>
  </conditionalFormatting>
  <conditionalFormatting sqref="E1032">
    <cfRule type="containsText" dxfId="2351" priority="2640" operator="containsText" text="NUEVO">
      <formula>NOT(ISERROR(SEARCH("NUEVO",E1032)))</formula>
    </cfRule>
  </conditionalFormatting>
  <conditionalFormatting sqref="E1032">
    <cfRule type="containsText" dxfId="2350" priority="2641" operator="containsText" text="Sin información">
      <formula>NOT(ISERROR(SEARCH("Sin información",E1032)))</formula>
    </cfRule>
  </conditionalFormatting>
  <conditionalFormatting sqref="F1030:F1032">
    <cfRule type="containsText" dxfId="2349" priority="2639" operator="containsText" text="NO+$D$4:$D$10">
      <formula>NOT(ISERROR(SEARCH("NO+$D$4:$D$10",F1030)))</formula>
    </cfRule>
  </conditionalFormatting>
  <conditionalFormatting sqref="F1030:F1032">
    <cfRule type="containsText" dxfId="2348" priority="2637" operator="containsText" text="SI">
      <formula>NOT(ISERROR(SEARCH("SI",F1030)))</formula>
    </cfRule>
    <cfRule type="containsText" dxfId="2347" priority="2638" operator="containsText" text="NO">
      <formula>NOT(ISERROR(SEARCH("NO",F1030)))</formula>
    </cfRule>
  </conditionalFormatting>
  <conditionalFormatting sqref="F1030:F1032">
    <cfRule type="containsText" dxfId="2346" priority="2636" operator="containsText" text="NUEVO">
      <formula>NOT(ISERROR(SEARCH("NUEVO",F1030)))</formula>
    </cfRule>
  </conditionalFormatting>
  <conditionalFormatting sqref="C1041:D1041">
    <cfRule type="containsText" dxfId="2345" priority="2635" operator="containsText" text="NO+$D$4:$D$10">
      <formula>NOT(ISERROR(SEARCH("NO+$D$4:$D$10",C1041)))</formula>
    </cfRule>
  </conditionalFormatting>
  <conditionalFormatting sqref="C1041:D1041">
    <cfRule type="containsText" dxfId="2344" priority="2633" operator="containsText" text="SI">
      <formula>NOT(ISERROR(SEARCH("SI",C1041)))</formula>
    </cfRule>
    <cfRule type="containsText" dxfId="2343" priority="2634" operator="containsText" text="NO">
      <formula>NOT(ISERROR(SEARCH("NO",C1041)))</formula>
    </cfRule>
  </conditionalFormatting>
  <conditionalFormatting sqref="E1041">
    <cfRule type="containsText" dxfId="2342" priority="2632" operator="containsText" text="Sin información">
      <formula>NOT(ISERROR(SEARCH("Sin información",E1041)))</formula>
    </cfRule>
  </conditionalFormatting>
  <conditionalFormatting sqref="C1041:E1041">
    <cfRule type="containsText" dxfId="2341" priority="2631" operator="containsText" text="NUEVO">
      <formula>NOT(ISERROR(SEARCH("NUEVO",C1041)))</formula>
    </cfRule>
  </conditionalFormatting>
  <conditionalFormatting sqref="E1041">
    <cfRule type="containsText" dxfId="2340" priority="2630" operator="containsText" text="Sin Información">
      <formula>NOT(ISERROR(SEARCH("Sin Información",E1041)))</formula>
    </cfRule>
  </conditionalFormatting>
  <conditionalFormatting sqref="E1041">
    <cfRule type="containsText" dxfId="2339" priority="2629" operator="containsText" text="Sin información">
      <formula>NOT(ISERROR(SEARCH("Sin información",E1041)))</formula>
    </cfRule>
  </conditionalFormatting>
  <conditionalFormatting sqref="C1042:D1042">
    <cfRule type="containsText" dxfId="2338" priority="2628" operator="containsText" text="NO+$D$4:$D$10">
      <formula>NOT(ISERROR(SEARCH("NO+$D$4:$D$10",C1042)))</formula>
    </cfRule>
  </conditionalFormatting>
  <conditionalFormatting sqref="C1042:D1042">
    <cfRule type="containsText" dxfId="2337" priority="2626" operator="containsText" text="SI">
      <formula>NOT(ISERROR(SEARCH("SI",C1042)))</formula>
    </cfRule>
    <cfRule type="containsText" dxfId="2336" priority="2627" operator="containsText" text="NO">
      <formula>NOT(ISERROR(SEARCH("NO",C1042)))</formula>
    </cfRule>
  </conditionalFormatting>
  <conditionalFormatting sqref="C1042:D1042">
    <cfRule type="containsText" dxfId="2335" priority="2625" operator="containsText" text="NUEVO">
      <formula>NOT(ISERROR(SEARCH("NUEVO",C1042)))</formula>
    </cfRule>
  </conditionalFormatting>
  <conditionalFormatting sqref="E1042">
    <cfRule type="containsText" dxfId="2334" priority="2624" operator="containsText" text="Sin información">
      <formula>NOT(ISERROR(SEARCH("Sin información",E1042)))</formula>
    </cfRule>
  </conditionalFormatting>
  <conditionalFormatting sqref="E1042">
    <cfRule type="containsText" dxfId="2333" priority="2623" operator="containsText" text="NUEVO">
      <formula>NOT(ISERROR(SEARCH("NUEVO",E1042)))</formula>
    </cfRule>
  </conditionalFormatting>
  <conditionalFormatting sqref="C1043:D1043">
    <cfRule type="containsText" dxfId="2332" priority="2622" operator="containsText" text="NO+$D$4:$D$10">
      <formula>NOT(ISERROR(SEARCH("NO+$D$4:$D$10",C1043)))</formula>
    </cfRule>
  </conditionalFormatting>
  <conditionalFormatting sqref="C1043:D1043">
    <cfRule type="containsText" dxfId="2331" priority="2620" operator="containsText" text="SI">
      <formula>NOT(ISERROR(SEARCH("SI",C1043)))</formula>
    </cfRule>
    <cfRule type="containsText" dxfId="2330" priority="2621" operator="containsText" text="NO">
      <formula>NOT(ISERROR(SEARCH("NO",C1043)))</formula>
    </cfRule>
  </conditionalFormatting>
  <conditionalFormatting sqref="C1043:D1043">
    <cfRule type="containsText" dxfId="2329" priority="2619" operator="containsText" text="NUEVO">
      <formula>NOT(ISERROR(SEARCH("NUEVO",C1043)))</formula>
    </cfRule>
  </conditionalFormatting>
  <conditionalFormatting sqref="E1043">
    <cfRule type="containsText" dxfId="2328" priority="2618" operator="containsText" text="Sin información">
      <formula>NOT(ISERROR(SEARCH("Sin información",E1043)))</formula>
    </cfRule>
  </conditionalFormatting>
  <conditionalFormatting sqref="E1043">
    <cfRule type="containsText" dxfId="2327" priority="2617" operator="containsText" text="Sin información">
      <formula>NOT(ISERROR(SEARCH("Sin información",E1043)))</formula>
    </cfRule>
  </conditionalFormatting>
  <conditionalFormatting sqref="E1043">
    <cfRule type="containsText" dxfId="2326" priority="2616" operator="containsText" text="NUEVO">
      <formula>NOT(ISERROR(SEARCH("NUEVO",E1043)))</formula>
    </cfRule>
  </conditionalFormatting>
  <conditionalFormatting sqref="C1044:D1044">
    <cfRule type="containsText" dxfId="2325" priority="2609" operator="containsText" text="NO+$D$4:$D$10">
      <formula>NOT(ISERROR(SEARCH("NO+$D$4:$D$10",C1044)))</formula>
    </cfRule>
  </conditionalFormatting>
  <conditionalFormatting sqref="C1044:D1044">
    <cfRule type="containsText" dxfId="2324" priority="2607" operator="containsText" text="SI">
      <formula>NOT(ISERROR(SEARCH("SI",C1044)))</formula>
    </cfRule>
    <cfRule type="containsText" dxfId="2323" priority="2608" operator="containsText" text="NO">
      <formula>NOT(ISERROR(SEARCH("NO",C1044)))</formula>
    </cfRule>
  </conditionalFormatting>
  <conditionalFormatting sqref="C1044:D1044">
    <cfRule type="containsText" dxfId="2322" priority="2606" operator="containsText" text="NUEVO">
      <formula>NOT(ISERROR(SEARCH("NUEVO",C1044)))</formula>
    </cfRule>
  </conditionalFormatting>
  <conditionalFormatting sqref="E1044">
    <cfRule type="containsText" dxfId="2321" priority="2604" operator="containsText" text="NUEVO">
      <formula>NOT(ISERROR(SEARCH("NUEVO",E1044)))</formula>
    </cfRule>
  </conditionalFormatting>
  <conditionalFormatting sqref="E1044">
    <cfRule type="containsText" dxfId="2320" priority="2605" operator="containsText" text="Sin información">
      <formula>NOT(ISERROR(SEARCH("Sin información",E1044)))</formula>
    </cfRule>
  </conditionalFormatting>
  <conditionalFormatting sqref="C1045:D1045">
    <cfRule type="containsText" dxfId="2319" priority="2603" operator="containsText" text="NO+$D$4:$D$10">
      <formula>NOT(ISERROR(SEARCH("NO+$D$4:$D$10",C1045)))</formula>
    </cfRule>
  </conditionalFormatting>
  <conditionalFormatting sqref="C1045:D1045">
    <cfRule type="containsText" dxfId="2318" priority="2601" operator="containsText" text="SI">
      <formula>NOT(ISERROR(SEARCH("SI",C1045)))</formula>
    </cfRule>
    <cfRule type="containsText" dxfId="2317" priority="2602" operator="containsText" text="NO">
      <formula>NOT(ISERROR(SEARCH("NO",C1045)))</formula>
    </cfRule>
  </conditionalFormatting>
  <conditionalFormatting sqref="C1045:D1045">
    <cfRule type="containsText" dxfId="2316" priority="2600" operator="containsText" text="NUEVO">
      <formula>NOT(ISERROR(SEARCH("NUEVO",C1045)))</formula>
    </cfRule>
  </conditionalFormatting>
  <conditionalFormatting sqref="E1045">
    <cfRule type="containsText" dxfId="2315" priority="2599" operator="containsText" text="Sin información">
      <formula>NOT(ISERROR(SEARCH("Sin información",E1045)))</formula>
    </cfRule>
  </conditionalFormatting>
  <conditionalFormatting sqref="E1045">
    <cfRule type="containsText" dxfId="2314" priority="2598" operator="containsText" text="Sin información">
      <formula>NOT(ISERROR(SEARCH("Sin información",E1045)))</formula>
    </cfRule>
  </conditionalFormatting>
  <conditionalFormatting sqref="E1045">
    <cfRule type="containsText" dxfId="2313" priority="2597" operator="containsText" text="NUEVO">
      <formula>NOT(ISERROR(SEARCH("NUEVO",E1045)))</formula>
    </cfRule>
  </conditionalFormatting>
  <conditionalFormatting sqref="C1046:D1046">
    <cfRule type="containsText" dxfId="2312" priority="2596" operator="containsText" text="NO+$D$4:$D$10">
      <formula>NOT(ISERROR(SEARCH("NO+$D$4:$D$10",C1046)))</formula>
    </cfRule>
  </conditionalFormatting>
  <conditionalFormatting sqref="C1046:D1046">
    <cfRule type="containsText" dxfId="2311" priority="2594" operator="containsText" text="SI">
      <formula>NOT(ISERROR(SEARCH("SI",C1046)))</formula>
    </cfRule>
    <cfRule type="containsText" dxfId="2310" priority="2595" operator="containsText" text="NO">
      <formula>NOT(ISERROR(SEARCH("NO",C1046)))</formula>
    </cfRule>
  </conditionalFormatting>
  <conditionalFormatting sqref="C1046:D1046">
    <cfRule type="containsText" dxfId="2309" priority="2593" operator="containsText" text="NUEVO">
      <formula>NOT(ISERROR(SEARCH("NUEVO",C1046)))</formula>
    </cfRule>
  </conditionalFormatting>
  <conditionalFormatting sqref="E1046">
    <cfRule type="containsText" dxfId="2308" priority="2592" operator="containsText" text="NUEVO">
      <formula>NOT(ISERROR(SEARCH("NUEVO",E1046)))</formula>
    </cfRule>
  </conditionalFormatting>
  <conditionalFormatting sqref="E1046">
    <cfRule type="containsText" dxfId="2307" priority="2591" operator="containsText" text="Sin Información">
      <formula>NOT(ISERROR(SEARCH("Sin Información",E1046)))</formula>
    </cfRule>
  </conditionalFormatting>
  <conditionalFormatting sqref="C1047:D1047">
    <cfRule type="containsText" dxfId="2306" priority="2590" operator="containsText" text="NO+$D$4:$D$10">
      <formula>NOT(ISERROR(SEARCH("NO+$D$4:$D$10",C1047)))</formula>
    </cfRule>
  </conditionalFormatting>
  <conditionalFormatting sqref="C1047:D1047">
    <cfRule type="containsText" dxfId="2305" priority="2588" operator="containsText" text="SI">
      <formula>NOT(ISERROR(SEARCH("SI",C1047)))</formula>
    </cfRule>
    <cfRule type="containsText" dxfId="2304" priority="2589" operator="containsText" text="NO">
      <formula>NOT(ISERROR(SEARCH("NO",C1047)))</formula>
    </cfRule>
  </conditionalFormatting>
  <conditionalFormatting sqref="C1047:D1047">
    <cfRule type="containsText" dxfId="2303" priority="2587" operator="containsText" text="NUEVO">
      <formula>NOT(ISERROR(SEARCH("NUEVO",C1047)))</formula>
    </cfRule>
  </conditionalFormatting>
  <conditionalFormatting sqref="E1047">
    <cfRule type="containsText" dxfId="2302" priority="2586" operator="containsText" text="NUEVO">
      <formula>NOT(ISERROR(SEARCH("NUEVO",E1047)))</formula>
    </cfRule>
  </conditionalFormatting>
  <conditionalFormatting sqref="E1047">
    <cfRule type="containsText" dxfId="2301" priority="2585" operator="containsText" text="Sin Información">
      <formula>NOT(ISERROR(SEARCH("Sin Información",E1047)))</formula>
    </cfRule>
  </conditionalFormatting>
  <conditionalFormatting sqref="C1048:D1048">
    <cfRule type="containsText" dxfId="2300" priority="2577" operator="containsText" text="NO+$D$4:$D$10">
      <formula>NOT(ISERROR(SEARCH("NO+$D$4:$D$10",C1048)))</formula>
    </cfRule>
  </conditionalFormatting>
  <conditionalFormatting sqref="C1048:D1048">
    <cfRule type="containsText" dxfId="2299" priority="2575" operator="containsText" text="SI">
      <formula>NOT(ISERROR(SEARCH("SI",C1048)))</formula>
    </cfRule>
    <cfRule type="containsText" dxfId="2298" priority="2576" operator="containsText" text="NO">
      <formula>NOT(ISERROR(SEARCH("NO",C1048)))</formula>
    </cfRule>
  </conditionalFormatting>
  <conditionalFormatting sqref="C1048:D1048">
    <cfRule type="containsText" dxfId="2297" priority="2574" operator="containsText" text="NUEVO">
      <formula>NOT(ISERROR(SEARCH("NUEVO",C1048)))</formula>
    </cfRule>
  </conditionalFormatting>
  <conditionalFormatting sqref="E1048">
    <cfRule type="containsText" dxfId="2296" priority="2578" operator="containsText" text="Sin información">
      <formula>NOT(ISERROR(SEARCH("Sin información",E1424)))</formula>
    </cfRule>
  </conditionalFormatting>
  <conditionalFormatting sqref="E1048">
    <cfRule type="containsText" dxfId="2295" priority="2579" operator="containsText" text="NUEVO">
      <formula>NOT(ISERROR(SEARCH("NUEVO",E1424)))</formula>
    </cfRule>
  </conditionalFormatting>
  <conditionalFormatting sqref="C1049:D1049">
    <cfRule type="containsText" dxfId="2294" priority="2571" operator="containsText" text="NO+$D$4:$D$10">
      <formula>NOT(ISERROR(SEARCH("NO+$D$4:$D$10",C1049)))</formula>
    </cfRule>
  </conditionalFormatting>
  <conditionalFormatting sqref="C1049:D1049">
    <cfRule type="containsText" dxfId="2293" priority="2569" operator="containsText" text="SI">
      <formula>NOT(ISERROR(SEARCH("SI",C1049)))</formula>
    </cfRule>
    <cfRule type="containsText" dxfId="2292" priority="2570" operator="containsText" text="NO">
      <formula>NOT(ISERROR(SEARCH("NO",C1049)))</formula>
    </cfRule>
  </conditionalFormatting>
  <conditionalFormatting sqref="C1049:D1049">
    <cfRule type="containsText" dxfId="2291" priority="2568" operator="containsText" text="NUEVO">
      <formula>NOT(ISERROR(SEARCH("NUEVO",C1049)))</formula>
    </cfRule>
  </conditionalFormatting>
  <conditionalFormatting sqref="E677">
    <cfRule type="containsText" dxfId="2290" priority="2572" operator="containsText" text="NUEVO">
      <formula>NOT(ISERROR(SEARCH("NUEVO",E1062)))</formula>
    </cfRule>
  </conditionalFormatting>
  <conditionalFormatting sqref="E1049">
    <cfRule type="containsText" dxfId="2289" priority="2573" operator="containsText" text="Sin información">
      <formula>NOT(ISERROR(SEARCH("Sin información",E1423)))</formula>
    </cfRule>
  </conditionalFormatting>
  <conditionalFormatting sqref="C1050:D1050">
    <cfRule type="containsText" dxfId="2288" priority="2553" operator="containsText" text="NO+$D$4:$D$10">
      <formula>NOT(ISERROR(SEARCH("NO+$D$4:$D$10",C1050)))</formula>
    </cfRule>
  </conditionalFormatting>
  <conditionalFormatting sqref="C1050:D1050">
    <cfRule type="containsText" dxfId="2287" priority="2551" operator="containsText" text="SI">
      <formula>NOT(ISERROR(SEARCH("SI",C1050)))</formula>
    </cfRule>
    <cfRule type="containsText" dxfId="2286" priority="2552" operator="containsText" text="NO">
      <formula>NOT(ISERROR(SEARCH("NO",C1050)))</formula>
    </cfRule>
  </conditionalFormatting>
  <conditionalFormatting sqref="E1050">
    <cfRule type="containsText" dxfId="2285" priority="2550" operator="containsText" text="Sin información">
      <formula>NOT(ISERROR(SEARCH("Sin información",E1050)))</formula>
    </cfRule>
  </conditionalFormatting>
  <conditionalFormatting sqref="C1050:E1050">
    <cfRule type="containsText" dxfId="2284" priority="2549" operator="containsText" text="NUEVO">
      <formula>NOT(ISERROR(SEARCH("NUEVO",C1050)))</formula>
    </cfRule>
  </conditionalFormatting>
  <conditionalFormatting sqref="C1051:D1051">
    <cfRule type="containsText" dxfId="2283" priority="2548" operator="containsText" text="NO+$D$4:$D$10">
      <formula>NOT(ISERROR(SEARCH("NO+$D$4:$D$10",C1051)))</formula>
    </cfRule>
  </conditionalFormatting>
  <conditionalFormatting sqref="C1051:D1051">
    <cfRule type="containsText" dxfId="2282" priority="2546" operator="containsText" text="SI">
      <formula>NOT(ISERROR(SEARCH("SI",C1051)))</formula>
    </cfRule>
    <cfRule type="containsText" dxfId="2281" priority="2547" operator="containsText" text="NO">
      <formula>NOT(ISERROR(SEARCH("NO",C1051)))</formula>
    </cfRule>
  </conditionalFormatting>
  <conditionalFormatting sqref="E1051">
    <cfRule type="containsText" dxfId="2280" priority="2545" operator="containsText" text="Sin información">
      <formula>NOT(ISERROR(SEARCH("Sin información",E1051)))</formula>
    </cfRule>
  </conditionalFormatting>
  <conditionalFormatting sqref="C1051:D1051">
    <cfRule type="containsText" dxfId="2279" priority="2544" operator="containsText" text="NUEVO">
      <formula>NOT(ISERROR(SEARCH("NUEVO",C1051)))</formula>
    </cfRule>
  </conditionalFormatting>
  <conditionalFormatting sqref="E1051">
    <cfRule type="containsText" dxfId="2278" priority="2542" operator="containsText" text="NUEVO">
      <formula>NOT(ISERROR(SEARCH("NUEVO",E1051)))</formula>
    </cfRule>
  </conditionalFormatting>
  <conditionalFormatting sqref="E1051">
    <cfRule type="containsText" dxfId="2277" priority="2543" operator="containsText" text="Sin información">
      <formula>NOT(ISERROR(SEARCH("Sin información",E1051)))</formula>
    </cfRule>
  </conditionalFormatting>
  <conditionalFormatting sqref="C1052:D1052">
    <cfRule type="containsText" dxfId="2276" priority="2541" operator="containsText" text="NO+$D$4:$D$10">
      <formula>NOT(ISERROR(SEARCH("NO+$D$4:$D$10",C1052)))</formula>
    </cfRule>
  </conditionalFormatting>
  <conditionalFormatting sqref="C1052:D1052">
    <cfRule type="containsText" dxfId="2275" priority="2539" operator="containsText" text="SI">
      <formula>NOT(ISERROR(SEARCH("SI",C1052)))</formula>
    </cfRule>
    <cfRule type="containsText" dxfId="2274" priority="2540" operator="containsText" text="NO">
      <formula>NOT(ISERROR(SEARCH("NO",C1052)))</formula>
    </cfRule>
  </conditionalFormatting>
  <conditionalFormatting sqref="C1052:D1052">
    <cfRule type="containsText" dxfId="2273" priority="2538" operator="containsText" text="NUEVO">
      <formula>NOT(ISERROR(SEARCH("NUEVO",C1052)))</formula>
    </cfRule>
  </conditionalFormatting>
  <conditionalFormatting sqref="E1052">
    <cfRule type="containsText" dxfId="2272" priority="2537" operator="containsText" text="Sin información">
      <formula>NOT(ISERROR(SEARCH("Sin información",E1052)))</formula>
    </cfRule>
  </conditionalFormatting>
  <conditionalFormatting sqref="E1052">
    <cfRule type="containsText" dxfId="2271" priority="2535" operator="containsText" text="NUEVO">
      <formula>NOT(ISERROR(SEARCH("NUEVO",E1052)))</formula>
    </cfRule>
  </conditionalFormatting>
  <conditionalFormatting sqref="E1052">
    <cfRule type="containsText" dxfId="2270" priority="2536" operator="containsText" text="Sin información">
      <formula>NOT(ISERROR(SEARCH("Sin información",E1052)))</formula>
    </cfRule>
  </conditionalFormatting>
  <conditionalFormatting sqref="C1053:D1053">
    <cfRule type="containsText" dxfId="2269" priority="2528" operator="containsText" text="NO+$D$4:$D$10">
      <formula>NOT(ISERROR(SEARCH("NO+$D$4:$D$10",C1053)))</formula>
    </cfRule>
  </conditionalFormatting>
  <conditionalFormatting sqref="C1053:D1053">
    <cfRule type="containsText" dxfId="2268" priority="2526" operator="containsText" text="SI">
      <formula>NOT(ISERROR(SEARCH("SI",C1053)))</formula>
    </cfRule>
    <cfRule type="containsText" dxfId="2267" priority="2527" operator="containsText" text="NO">
      <formula>NOT(ISERROR(SEARCH("NO",C1053)))</formula>
    </cfRule>
  </conditionalFormatting>
  <conditionalFormatting sqref="C1053:D1053">
    <cfRule type="containsText" dxfId="2266" priority="2525" operator="containsText" text="NUEVO">
      <formula>NOT(ISERROR(SEARCH("NUEVO",C1053)))</formula>
    </cfRule>
  </conditionalFormatting>
  <conditionalFormatting sqref="E1053">
    <cfRule type="containsText" dxfId="2265" priority="2524" operator="containsText" text="NUEVO">
      <formula>NOT(ISERROR(SEARCH("NUEVO",E1053)))</formula>
    </cfRule>
  </conditionalFormatting>
  <conditionalFormatting sqref="E1053">
    <cfRule type="containsText" dxfId="2264" priority="2523" operator="containsText" text="Sin Información">
      <formula>NOT(ISERROR(SEARCH("Sin Información",E1053)))</formula>
    </cfRule>
  </conditionalFormatting>
  <conditionalFormatting sqref="C1054:D1054">
    <cfRule type="containsText" dxfId="2263" priority="2522" operator="containsText" text="NO+$D$4:$D$10">
      <formula>NOT(ISERROR(SEARCH("NO+$D$4:$D$10",C1054)))</formula>
    </cfRule>
  </conditionalFormatting>
  <conditionalFormatting sqref="C1054:D1054">
    <cfRule type="containsText" dxfId="2262" priority="2520" operator="containsText" text="SI">
      <formula>NOT(ISERROR(SEARCH("SI",C1054)))</formula>
    </cfRule>
    <cfRule type="containsText" dxfId="2261" priority="2521" operator="containsText" text="NO">
      <formula>NOT(ISERROR(SEARCH("NO",C1054)))</formula>
    </cfRule>
  </conditionalFormatting>
  <conditionalFormatting sqref="C1054:D1054">
    <cfRule type="containsText" dxfId="2260" priority="2519" operator="containsText" text="NUEVO">
      <formula>NOT(ISERROR(SEARCH("NUEVO",C1054)))</formula>
    </cfRule>
  </conditionalFormatting>
  <conditionalFormatting sqref="E1054">
    <cfRule type="containsText" dxfId="2259" priority="2518" operator="containsText" text="NUEVO">
      <formula>NOT(ISERROR(SEARCH("NUEVO",E1054)))</formula>
    </cfRule>
  </conditionalFormatting>
  <conditionalFormatting sqref="E1054">
    <cfRule type="containsText" dxfId="2258" priority="2517" operator="containsText" text="Sin Información">
      <formula>NOT(ISERROR(SEARCH("Sin Información",E1054)))</formula>
    </cfRule>
  </conditionalFormatting>
  <conditionalFormatting sqref="C1068:D1068 C1055:D1055 C1118:D1128 C1094:D1095">
    <cfRule type="containsText" dxfId="2257" priority="2516" operator="containsText" text="NO+$D$4:$D$10">
      <formula>NOT(ISERROR(SEARCH("NO+$D$4:$D$10",C1055)))</formula>
    </cfRule>
  </conditionalFormatting>
  <conditionalFormatting sqref="C1068:D1068 C1055:D1055 C1118:D1128 C1094:D1095">
    <cfRule type="containsText" dxfId="2256" priority="2514" operator="containsText" text="SI">
      <formula>NOT(ISERROR(SEARCH("SI",C1055)))</formula>
    </cfRule>
    <cfRule type="containsText" dxfId="2255" priority="2515" operator="containsText" text="NO">
      <formula>NOT(ISERROR(SEARCH("NO",C1055)))</formula>
    </cfRule>
  </conditionalFormatting>
  <conditionalFormatting sqref="C1068:D1068 C1126:E1128 C1055:D1055 C1118:D1125 C1094:E1095">
    <cfRule type="containsText" dxfId="2254" priority="2513" operator="containsText" text="NUEVO">
      <formula>NOT(ISERROR(SEARCH("NUEVO",C1055)))</formula>
    </cfRule>
  </conditionalFormatting>
  <conditionalFormatting sqref="E1068 E1126:E1128 E1094:E1095">
    <cfRule type="containsText" dxfId="2253" priority="2512" operator="containsText" text="Sin información">
      <formula>NOT(ISERROR(SEARCH("Sin información",E1068)))</formula>
    </cfRule>
  </conditionalFormatting>
  <conditionalFormatting sqref="E1055">
    <cfRule type="containsText" dxfId="2252" priority="2511" operator="containsText" text="Sin información">
      <formula>NOT(ISERROR(SEARCH("Sin información",E1055)))</formula>
    </cfRule>
  </conditionalFormatting>
  <conditionalFormatting sqref="E1055">
    <cfRule type="containsText" dxfId="2251" priority="2510" operator="containsText" text="NUEVO">
      <formula>NOT(ISERROR(SEARCH("NUEVO",E1055)))</formula>
    </cfRule>
  </conditionalFormatting>
  <conditionalFormatting sqref="C1056:D1056">
    <cfRule type="containsText" dxfId="2250" priority="2509" operator="containsText" text="NO+$D$4:$D$10">
      <formula>NOT(ISERROR(SEARCH("NO+$D$4:$D$10",C1056)))</formula>
    </cfRule>
  </conditionalFormatting>
  <conditionalFormatting sqref="C1056:D1056">
    <cfRule type="containsText" dxfId="2249" priority="2507" operator="containsText" text="SI">
      <formula>NOT(ISERROR(SEARCH("SI",C1056)))</formula>
    </cfRule>
    <cfRule type="containsText" dxfId="2248" priority="2508" operator="containsText" text="NO">
      <formula>NOT(ISERROR(SEARCH("NO",C1056)))</formula>
    </cfRule>
  </conditionalFormatting>
  <conditionalFormatting sqref="C1056:E1056">
    <cfRule type="containsText" dxfId="2247" priority="2506" operator="containsText" text="NUEVO">
      <formula>NOT(ISERROR(SEARCH("NUEVO",C1056)))</formula>
    </cfRule>
  </conditionalFormatting>
  <conditionalFormatting sqref="E1056">
    <cfRule type="containsText" dxfId="2246" priority="2505" operator="containsText" text="Sin información">
      <formula>NOT(ISERROR(SEARCH("Sin información",E1056)))</formula>
    </cfRule>
  </conditionalFormatting>
  <conditionalFormatting sqref="C1057:D1057">
    <cfRule type="containsText" dxfId="2245" priority="2504" operator="containsText" text="NO+$D$4:$D$10">
      <formula>NOT(ISERROR(SEARCH("NO+$D$4:$D$10",C1057)))</formula>
    </cfRule>
  </conditionalFormatting>
  <conditionalFormatting sqref="C1057:D1057">
    <cfRule type="containsText" dxfId="2244" priority="2502" operator="containsText" text="SI">
      <formula>NOT(ISERROR(SEARCH("SI",C1057)))</formula>
    </cfRule>
    <cfRule type="containsText" dxfId="2243" priority="2503" operator="containsText" text="NO">
      <formula>NOT(ISERROR(SEARCH("NO",C1057)))</formula>
    </cfRule>
  </conditionalFormatting>
  <conditionalFormatting sqref="E1057">
    <cfRule type="containsText" dxfId="2242" priority="2501" operator="containsText" text="Sin información">
      <formula>NOT(ISERROR(SEARCH("Sin información",E1057)))</formula>
    </cfRule>
  </conditionalFormatting>
  <conditionalFormatting sqref="C1057:E1057">
    <cfRule type="containsText" dxfId="2241" priority="2500" operator="containsText" text="NUEVO">
      <formula>NOT(ISERROR(SEARCH("NUEVO",C1057)))</formula>
    </cfRule>
  </conditionalFormatting>
  <conditionalFormatting sqref="C1058:D1058">
    <cfRule type="containsText" dxfId="2240" priority="2499" operator="containsText" text="NO+$D$4:$D$10">
      <formula>NOT(ISERROR(SEARCH("NO+$D$4:$D$10",C1058)))</formula>
    </cfRule>
  </conditionalFormatting>
  <conditionalFormatting sqref="C1058:D1058">
    <cfRule type="containsText" dxfId="2239" priority="2497" operator="containsText" text="SI">
      <formula>NOT(ISERROR(SEARCH("SI",C1058)))</formula>
    </cfRule>
    <cfRule type="containsText" dxfId="2238" priority="2498" operator="containsText" text="NO">
      <formula>NOT(ISERROR(SEARCH("NO",C1058)))</formula>
    </cfRule>
  </conditionalFormatting>
  <conditionalFormatting sqref="C1058:D1058">
    <cfRule type="containsText" dxfId="2237" priority="2496" operator="containsText" text="NUEVO">
      <formula>NOT(ISERROR(SEARCH("NUEVO",C1058)))</formula>
    </cfRule>
  </conditionalFormatting>
  <conditionalFormatting sqref="E1058">
    <cfRule type="containsText" dxfId="2236" priority="2495" operator="containsText" text="Sin información">
      <formula>NOT(ISERROR(SEARCH("Sin información",E1058)))</formula>
    </cfRule>
  </conditionalFormatting>
  <conditionalFormatting sqref="E1058">
    <cfRule type="containsText" dxfId="2235" priority="2494" operator="containsText" text="NUEVO">
      <formula>NOT(ISERROR(SEARCH("NUEVO",E1058)))</formula>
    </cfRule>
  </conditionalFormatting>
  <conditionalFormatting sqref="C1059:D1059">
    <cfRule type="containsText" dxfId="2234" priority="2493" operator="containsText" text="NO+$D$4:$D$10">
      <formula>NOT(ISERROR(SEARCH("NO+$D$4:$D$10",C1059)))</formula>
    </cfRule>
  </conditionalFormatting>
  <conditionalFormatting sqref="C1059:D1059">
    <cfRule type="containsText" dxfId="2233" priority="2491" operator="containsText" text="SI">
      <formula>NOT(ISERROR(SEARCH("SI",C1059)))</formula>
    </cfRule>
    <cfRule type="containsText" dxfId="2232" priority="2492" operator="containsText" text="NO">
      <formula>NOT(ISERROR(SEARCH("NO",C1059)))</formula>
    </cfRule>
  </conditionalFormatting>
  <conditionalFormatting sqref="E1059">
    <cfRule type="containsText" dxfId="2231" priority="2490" operator="containsText" text="Sin información">
      <formula>NOT(ISERROR(SEARCH("Sin información",E1059)))</formula>
    </cfRule>
  </conditionalFormatting>
  <conditionalFormatting sqref="C1059:E1059">
    <cfRule type="containsText" dxfId="2230" priority="2489" operator="containsText" text="NUEVO">
      <formula>NOT(ISERROR(SEARCH("NUEVO",C1059)))</formula>
    </cfRule>
  </conditionalFormatting>
  <conditionalFormatting sqref="C1060:D1060">
    <cfRule type="containsText" dxfId="2229" priority="2488" operator="containsText" text="NO+$D$4:$D$10">
      <formula>NOT(ISERROR(SEARCH("NO+$D$4:$D$10",C1060)))</formula>
    </cfRule>
  </conditionalFormatting>
  <conditionalFormatting sqref="C1060:D1060">
    <cfRule type="containsText" dxfId="2228" priority="2486" operator="containsText" text="SI">
      <formula>NOT(ISERROR(SEARCH("SI",C1060)))</formula>
    </cfRule>
    <cfRule type="containsText" dxfId="2227" priority="2487" operator="containsText" text="NO">
      <formula>NOT(ISERROR(SEARCH("NO",C1060)))</formula>
    </cfRule>
  </conditionalFormatting>
  <conditionalFormatting sqref="E1060">
    <cfRule type="containsText" dxfId="2226" priority="2485" operator="containsText" text="Sin información">
      <formula>NOT(ISERROR(SEARCH("Sin información",E1060)))</formula>
    </cfRule>
  </conditionalFormatting>
  <conditionalFormatting sqref="C1060:E1060">
    <cfRule type="containsText" dxfId="2225" priority="2484" operator="containsText" text="NUEVO">
      <formula>NOT(ISERROR(SEARCH("NUEVO",C1060)))</formula>
    </cfRule>
  </conditionalFormatting>
  <conditionalFormatting sqref="C1061:D1061">
    <cfRule type="containsText" dxfId="2224" priority="2483" operator="containsText" text="NO+$D$4:$D$10">
      <formula>NOT(ISERROR(SEARCH("NO+$D$4:$D$10",C1061)))</formula>
    </cfRule>
  </conditionalFormatting>
  <conditionalFormatting sqref="C1061:D1061">
    <cfRule type="containsText" dxfId="2223" priority="2481" operator="containsText" text="SI">
      <formula>NOT(ISERROR(SEARCH("SI",C1061)))</formula>
    </cfRule>
    <cfRule type="containsText" dxfId="2222" priority="2482" operator="containsText" text="NO">
      <formula>NOT(ISERROR(SEARCH("NO",C1061)))</formula>
    </cfRule>
  </conditionalFormatting>
  <conditionalFormatting sqref="E1061">
    <cfRule type="containsText" dxfId="2221" priority="2480" operator="containsText" text="Sin información">
      <formula>NOT(ISERROR(SEARCH("Sin información",E1061)))</formula>
    </cfRule>
  </conditionalFormatting>
  <conditionalFormatting sqref="C1061:E1061">
    <cfRule type="containsText" dxfId="2220" priority="2479" operator="containsText" text="NUEVO">
      <formula>NOT(ISERROR(SEARCH("NUEVO",C1061)))</formula>
    </cfRule>
  </conditionalFormatting>
  <conditionalFormatting sqref="C1062:D1062">
    <cfRule type="containsText" dxfId="2219" priority="2478" operator="containsText" text="NO+$D$4:$D$10">
      <formula>NOT(ISERROR(SEARCH("NO+$D$4:$D$10",C1062)))</formula>
    </cfRule>
  </conditionalFormatting>
  <conditionalFormatting sqref="C1062:D1062">
    <cfRule type="containsText" dxfId="2218" priority="2476" operator="containsText" text="SI">
      <formula>NOT(ISERROR(SEARCH("SI",C1062)))</formula>
    </cfRule>
    <cfRule type="containsText" dxfId="2217" priority="2477" operator="containsText" text="NO">
      <formula>NOT(ISERROR(SEARCH("NO",C1062)))</formula>
    </cfRule>
  </conditionalFormatting>
  <conditionalFormatting sqref="E1062">
    <cfRule type="containsText" dxfId="2216" priority="2475" operator="containsText" text="Sin información">
      <formula>NOT(ISERROR(SEARCH("Sin información",E1062)))</formula>
    </cfRule>
  </conditionalFormatting>
  <conditionalFormatting sqref="C1062:E1062">
    <cfRule type="containsText" dxfId="2215" priority="2474" operator="containsText" text="NUEVO">
      <formula>NOT(ISERROR(SEARCH("NUEVO",C1062)))</formula>
    </cfRule>
  </conditionalFormatting>
  <conditionalFormatting sqref="C1063:D1063">
    <cfRule type="containsText" dxfId="2214" priority="2473" operator="containsText" text="NO+$D$4:$D$10">
      <formula>NOT(ISERROR(SEARCH("NO+$D$4:$D$10",C1063)))</formula>
    </cfRule>
  </conditionalFormatting>
  <conditionalFormatting sqref="C1063:D1063">
    <cfRule type="containsText" dxfId="2213" priority="2471" operator="containsText" text="SI">
      <formula>NOT(ISERROR(SEARCH("SI",C1063)))</formula>
    </cfRule>
    <cfRule type="containsText" dxfId="2212" priority="2472" operator="containsText" text="NO">
      <formula>NOT(ISERROR(SEARCH("NO",C1063)))</formula>
    </cfRule>
  </conditionalFormatting>
  <conditionalFormatting sqref="C1063:E1063">
    <cfRule type="containsText" dxfId="2211" priority="2470" operator="containsText" text="NUEVO">
      <formula>NOT(ISERROR(SEARCH("NUEVO",C1063)))</formula>
    </cfRule>
  </conditionalFormatting>
  <conditionalFormatting sqref="E1063">
    <cfRule type="containsText" dxfId="2210" priority="2469" operator="containsText" text="Sin información">
      <formula>NOT(ISERROR(SEARCH("Sin información",E1063)))</formula>
    </cfRule>
  </conditionalFormatting>
  <conditionalFormatting sqref="C1064:D1064">
    <cfRule type="containsText" dxfId="2209" priority="2468" operator="containsText" text="NO+$D$4:$D$10">
      <formula>NOT(ISERROR(SEARCH("NO+$D$4:$D$10",C1064)))</formula>
    </cfRule>
  </conditionalFormatting>
  <conditionalFormatting sqref="C1064:D1064">
    <cfRule type="containsText" dxfId="2208" priority="2466" operator="containsText" text="SI">
      <formula>NOT(ISERROR(SEARCH("SI",C1064)))</formula>
    </cfRule>
    <cfRule type="containsText" dxfId="2207" priority="2467" operator="containsText" text="NO">
      <formula>NOT(ISERROR(SEARCH("NO",C1064)))</formula>
    </cfRule>
  </conditionalFormatting>
  <conditionalFormatting sqref="E1064">
    <cfRule type="containsText" dxfId="2206" priority="2465" operator="containsText" text="Sin información">
      <formula>NOT(ISERROR(SEARCH("Sin información",E1064)))</formula>
    </cfRule>
  </conditionalFormatting>
  <conditionalFormatting sqref="C1064:E1064">
    <cfRule type="containsText" dxfId="2205" priority="2464" operator="containsText" text="NUEVO">
      <formula>NOT(ISERROR(SEARCH("NUEVO",C1064)))</formula>
    </cfRule>
  </conditionalFormatting>
  <conditionalFormatting sqref="C1065:D1065">
    <cfRule type="containsText" dxfId="2204" priority="2457" operator="containsText" text="NO+$D$4:$D$10">
      <formula>NOT(ISERROR(SEARCH("NO+$D$4:$D$10",C1065)))</formula>
    </cfRule>
  </conditionalFormatting>
  <conditionalFormatting sqref="C1065:D1065">
    <cfRule type="containsText" dxfId="2203" priority="2455" operator="containsText" text="SI">
      <formula>NOT(ISERROR(SEARCH("SI",C1065)))</formula>
    </cfRule>
    <cfRule type="containsText" dxfId="2202" priority="2456" operator="containsText" text="NO">
      <formula>NOT(ISERROR(SEARCH("NO",C1065)))</formula>
    </cfRule>
  </conditionalFormatting>
  <conditionalFormatting sqref="C1065:D1065">
    <cfRule type="containsText" dxfId="2201" priority="2454" operator="containsText" text="NUEVO">
      <formula>NOT(ISERROR(SEARCH("NUEVO",C1065)))</formula>
    </cfRule>
  </conditionalFormatting>
  <conditionalFormatting sqref="E1065">
    <cfRule type="containsText" dxfId="2200" priority="2453" operator="containsText" text="Sin información">
      <formula>NOT(ISERROR(SEARCH("Sin información",E1065)))</formula>
    </cfRule>
  </conditionalFormatting>
  <conditionalFormatting sqref="E1065">
    <cfRule type="containsText" dxfId="2199" priority="2452" operator="containsText" text="NUEVO">
      <formula>NOT(ISERROR(SEARCH("NUEVO",E1065)))</formula>
    </cfRule>
  </conditionalFormatting>
  <conditionalFormatting sqref="C1066:D1066">
    <cfRule type="containsText" dxfId="2198" priority="2451" operator="containsText" text="NO+$D$4:$D$10">
      <formula>NOT(ISERROR(SEARCH("NO+$D$4:$D$10",C1066)))</formula>
    </cfRule>
  </conditionalFormatting>
  <conditionalFormatting sqref="C1066:D1066">
    <cfRule type="containsText" dxfId="2197" priority="2449" operator="containsText" text="SI">
      <formula>NOT(ISERROR(SEARCH("SI",C1066)))</formula>
    </cfRule>
    <cfRule type="containsText" dxfId="2196" priority="2450" operator="containsText" text="NO">
      <formula>NOT(ISERROR(SEARCH("NO",C1066)))</formula>
    </cfRule>
  </conditionalFormatting>
  <conditionalFormatting sqref="E1066">
    <cfRule type="containsText" dxfId="2195" priority="2448" operator="containsText" text="Sin información">
      <formula>NOT(ISERROR(SEARCH("Sin información",E1066)))</formula>
    </cfRule>
  </conditionalFormatting>
  <conditionalFormatting sqref="C1066:E1066">
    <cfRule type="containsText" dxfId="2194" priority="2447" operator="containsText" text="NUEVO">
      <formula>NOT(ISERROR(SEARCH("NUEVO",C1066)))</formula>
    </cfRule>
  </conditionalFormatting>
  <conditionalFormatting sqref="C1067:D1067">
    <cfRule type="containsText" dxfId="2193" priority="2446" operator="containsText" text="NO+$D$4:$D$10">
      <formula>NOT(ISERROR(SEARCH("NO+$D$4:$D$10",C1067)))</formula>
    </cfRule>
  </conditionalFormatting>
  <conditionalFormatting sqref="C1067:D1067">
    <cfRule type="containsText" dxfId="2192" priority="2444" operator="containsText" text="SI">
      <formula>NOT(ISERROR(SEARCH("SI",C1067)))</formula>
    </cfRule>
    <cfRule type="containsText" dxfId="2191" priority="2445" operator="containsText" text="NO">
      <formula>NOT(ISERROR(SEARCH("NO",C1067)))</formula>
    </cfRule>
  </conditionalFormatting>
  <conditionalFormatting sqref="E1067">
    <cfRule type="containsText" dxfId="2190" priority="2443" operator="containsText" text="Sin información">
      <formula>NOT(ISERROR(SEARCH("Sin información",E1067)))</formula>
    </cfRule>
  </conditionalFormatting>
  <conditionalFormatting sqref="C1067:E1067">
    <cfRule type="containsText" dxfId="2189" priority="2442" operator="containsText" text="NUEVO">
      <formula>NOT(ISERROR(SEARCH("NUEVO",C1067)))</formula>
    </cfRule>
  </conditionalFormatting>
  <conditionalFormatting sqref="E1068">
    <cfRule type="containsText" dxfId="2188" priority="2441" operator="containsText" text="Sin información">
      <formula>NOT(ISERROR(SEARCH("Sin información",E1068)))</formula>
    </cfRule>
  </conditionalFormatting>
  <conditionalFormatting sqref="C1069:D1069">
    <cfRule type="containsText" dxfId="2187" priority="2440" operator="containsText" text="NO+$D$4:$D$10">
      <formula>NOT(ISERROR(SEARCH("NO+$D$4:$D$10",C1069)))</formula>
    </cfRule>
  </conditionalFormatting>
  <conditionalFormatting sqref="C1069:D1069">
    <cfRule type="containsText" dxfId="2186" priority="2438" operator="containsText" text="SI">
      <formula>NOT(ISERROR(SEARCH("SI",C1069)))</formula>
    </cfRule>
    <cfRule type="containsText" dxfId="2185" priority="2439" operator="containsText" text="NO">
      <formula>NOT(ISERROR(SEARCH("NO",C1069)))</formula>
    </cfRule>
  </conditionalFormatting>
  <conditionalFormatting sqref="E1069">
    <cfRule type="containsText" dxfId="2184" priority="2437" operator="containsText" text="Sin información">
      <formula>NOT(ISERROR(SEARCH("Sin información",E1069)))</formula>
    </cfRule>
  </conditionalFormatting>
  <conditionalFormatting sqref="C1069:E1069">
    <cfRule type="containsText" dxfId="2183" priority="2436" operator="containsText" text="NUEVO">
      <formula>NOT(ISERROR(SEARCH("NUEVO",C1069)))</formula>
    </cfRule>
  </conditionalFormatting>
  <conditionalFormatting sqref="E1069">
    <cfRule type="containsText" dxfId="2182" priority="2435" operator="containsText" text="Sin Información">
      <formula>NOT(ISERROR(SEARCH("Sin Información",E1069)))</formula>
    </cfRule>
  </conditionalFormatting>
  <conditionalFormatting sqref="C1070:D1070">
    <cfRule type="containsText" dxfId="2181" priority="2434" operator="containsText" text="NO+$D$4:$D$10">
      <formula>NOT(ISERROR(SEARCH("NO+$D$4:$D$10",C1070)))</formula>
    </cfRule>
  </conditionalFormatting>
  <conditionalFormatting sqref="C1070:D1070">
    <cfRule type="containsText" dxfId="2180" priority="2432" operator="containsText" text="SI">
      <formula>NOT(ISERROR(SEARCH("SI",C1070)))</formula>
    </cfRule>
    <cfRule type="containsText" dxfId="2179" priority="2433" operator="containsText" text="NO">
      <formula>NOT(ISERROR(SEARCH("NO",C1070)))</formula>
    </cfRule>
  </conditionalFormatting>
  <conditionalFormatting sqref="E1070">
    <cfRule type="containsText" dxfId="2178" priority="2431" operator="containsText" text="Sin información">
      <formula>NOT(ISERROR(SEARCH("Sin información",E1070)))</formula>
    </cfRule>
  </conditionalFormatting>
  <conditionalFormatting sqref="C1070:E1070">
    <cfRule type="containsText" dxfId="2177" priority="2430" operator="containsText" text="NUEVO">
      <formula>NOT(ISERROR(SEARCH("NUEVO",C1070)))</formula>
    </cfRule>
  </conditionalFormatting>
  <conditionalFormatting sqref="C1071:D1071">
    <cfRule type="containsText" dxfId="2176" priority="2429" operator="containsText" text="NO+$D$4:$D$10">
      <formula>NOT(ISERROR(SEARCH("NO+$D$4:$D$10",C1071)))</formula>
    </cfRule>
  </conditionalFormatting>
  <conditionalFormatting sqref="C1071:D1071">
    <cfRule type="containsText" dxfId="2175" priority="2427" operator="containsText" text="SI">
      <formula>NOT(ISERROR(SEARCH("SI",C1071)))</formula>
    </cfRule>
    <cfRule type="containsText" dxfId="2174" priority="2428" operator="containsText" text="NO">
      <formula>NOT(ISERROR(SEARCH("NO",C1071)))</formula>
    </cfRule>
  </conditionalFormatting>
  <conditionalFormatting sqref="E1071">
    <cfRule type="containsText" dxfId="2173" priority="2426" operator="containsText" text="Sin información">
      <formula>NOT(ISERROR(SEARCH("Sin información",E1071)))</formula>
    </cfRule>
  </conditionalFormatting>
  <conditionalFormatting sqref="C1071:E1071">
    <cfRule type="containsText" dxfId="2172" priority="2425" operator="containsText" text="NUEVO">
      <formula>NOT(ISERROR(SEARCH("NUEVO",C1071)))</formula>
    </cfRule>
  </conditionalFormatting>
  <conditionalFormatting sqref="C1072:D1072">
    <cfRule type="containsText" dxfId="2171" priority="2424" operator="containsText" text="NO+$D$4:$D$10">
      <formula>NOT(ISERROR(SEARCH("NO+$D$4:$D$10",C1072)))</formula>
    </cfRule>
  </conditionalFormatting>
  <conditionalFormatting sqref="C1072:D1072">
    <cfRule type="containsText" dxfId="2170" priority="2422" operator="containsText" text="SI">
      <formula>NOT(ISERROR(SEARCH("SI",C1072)))</formula>
    </cfRule>
    <cfRule type="containsText" dxfId="2169" priority="2423" operator="containsText" text="NO">
      <formula>NOT(ISERROR(SEARCH("NO",C1072)))</formula>
    </cfRule>
  </conditionalFormatting>
  <conditionalFormatting sqref="E1072">
    <cfRule type="containsText" dxfId="2168" priority="2421" operator="containsText" text="Sin información">
      <formula>NOT(ISERROR(SEARCH("Sin información",E1072)))</formula>
    </cfRule>
  </conditionalFormatting>
  <conditionalFormatting sqref="C1072:E1072">
    <cfRule type="containsText" dxfId="2167" priority="2420" operator="containsText" text="NUEVO">
      <formula>NOT(ISERROR(SEARCH("NUEVO",C1072)))</formula>
    </cfRule>
  </conditionalFormatting>
  <conditionalFormatting sqref="C1074:D1074">
    <cfRule type="containsText" dxfId="2166" priority="2419" operator="containsText" text="NO+$D$4:$D$10">
      <formula>NOT(ISERROR(SEARCH("NO+$D$4:$D$10",C1074)))</formula>
    </cfRule>
  </conditionalFormatting>
  <conditionalFormatting sqref="C1074:D1074">
    <cfRule type="containsText" dxfId="2165" priority="2417" operator="containsText" text="SI">
      <formula>NOT(ISERROR(SEARCH("SI",C1074)))</formula>
    </cfRule>
    <cfRule type="containsText" dxfId="2164" priority="2418" operator="containsText" text="NO">
      <formula>NOT(ISERROR(SEARCH("NO",C1074)))</formula>
    </cfRule>
  </conditionalFormatting>
  <conditionalFormatting sqref="E1074">
    <cfRule type="containsText" dxfId="2163" priority="2416" operator="containsText" text="Sin información">
      <formula>NOT(ISERROR(SEARCH("Sin información",E1074)))</formula>
    </cfRule>
  </conditionalFormatting>
  <conditionalFormatting sqref="C1074:E1074">
    <cfRule type="containsText" dxfId="2162" priority="2415" operator="containsText" text="NUEVO">
      <formula>NOT(ISERROR(SEARCH("NUEVO",C1074)))</formula>
    </cfRule>
  </conditionalFormatting>
  <conditionalFormatting sqref="C1075:D1075">
    <cfRule type="containsText" dxfId="2161" priority="2414" operator="containsText" text="NO+$D$4:$D$10">
      <formula>NOT(ISERROR(SEARCH("NO+$D$4:$D$10",C1075)))</formula>
    </cfRule>
  </conditionalFormatting>
  <conditionalFormatting sqref="C1075:D1075">
    <cfRule type="containsText" dxfId="2160" priority="2412" operator="containsText" text="SI">
      <formula>NOT(ISERROR(SEARCH("SI",C1075)))</formula>
    </cfRule>
    <cfRule type="containsText" dxfId="2159" priority="2413" operator="containsText" text="NO">
      <formula>NOT(ISERROR(SEARCH("NO",C1075)))</formula>
    </cfRule>
  </conditionalFormatting>
  <conditionalFormatting sqref="E1075">
    <cfRule type="containsText" dxfId="2158" priority="2411" operator="containsText" text="Sin información">
      <formula>NOT(ISERROR(SEARCH("Sin información",E1075)))</formula>
    </cfRule>
  </conditionalFormatting>
  <conditionalFormatting sqref="C1075:E1075">
    <cfRule type="containsText" dxfId="2157" priority="2410" operator="containsText" text="NUEVO">
      <formula>NOT(ISERROR(SEARCH("NUEVO",C1075)))</formula>
    </cfRule>
  </conditionalFormatting>
  <conditionalFormatting sqref="C1076:D1076">
    <cfRule type="containsText" dxfId="2156" priority="2409" operator="containsText" text="NO+$D$4:$D$10">
      <formula>NOT(ISERROR(SEARCH("NO+$D$4:$D$10",C1076)))</formula>
    </cfRule>
  </conditionalFormatting>
  <conditionalFormatting sqref="C1076:D1076">
    <cfRule type="containsText" dxfId="2155" priority="2407" operator="containsText" text="SI">
      <formula>NOT(ISERROR(SEARCH("SI",C1076)))</formula>
    </cfRule>
    <cfRule type="containsText" dxfId="2154" priority="2408" operator="containsText" text="NO">
      <formula>NOT(ISERROR(SEARCH("NO",C1076)))</formula>
    </cfRule>
  </conditionalFormatting>
  <conditionalFormatting sqref="E1076">
    <cfRule type="containsText" dxfId="2153" priority="2406" operator="containsText" text="Sin información">
      <formula>NOT(ISERROR(SEARCH("Sin información",E1076)))</formula>
    </cfRule>
  </conditionalFormatting>
  <conditionalFormatting sqref="C1076:E1076">
    <cfRule type="containsText" dxfId="2152" priority="2405" operator="containsText" text="NUEVO">
      <formula>NOT(ISERROR(SEARCH("NUEVO",C1076)))</formula>
    </cfRule>
  </conditionalFormatting>
  <conditionalFormatting sqref="E1076">
    <cfRule type="containsText" dxfId="2151" priority="2404" operator="containsText" text="Sin Información">
      <formula>NOT(ISERROR(SEARCH("Sin Información",E1076)))</formula>
    </cfRule>
  </conditionalFormatting>
  <conditionalFormatting sqref="C1077:D1077">
    <cfRule type="containsText" dxfId="2150" priority="2403" operator="containsText" text="NO+$D$4:$D$10">
      <formula>NOT(ISERROR(SEARCH("NO+$D$4:$D$10",C1077)))</formula>
    </cfRule>
  </conditionalFormatting>
  <conditionalFormatting sqref="C1077:D1077">
    <cfRule type="containsText" dxfId="2149" priority="2401" operator="containsText" text="SI">
      <formula>NOT(ISERROR(SEARCH("SI",C1077)))</formula>
    </cfRule>
    <cfRule type="containsText" dxfId="2148" priority="2402" operator="containsText" text="NO">
      <formula>NOT(ISERROR(SEARCH("NO",C1077)))</formula>
    </cfRule>
  </conditionalFormatting>
  <conditionalFormatting sqref="E1077">
    <cfRule type="containsText" dxfId="2147" priority="2400" operator="containsText" text="Sin información">
      <formula>NOT(ISERROR(SEARCH("Sin información",E1077)))</formula>
    </cfRule>
  </conditionalFormatting>
  <conditionalFormatting sqref="C1077:E1077">
    <cfRule type="containsText" dxfId="2146" priority="2399" operator="containsText" text="NUEVO">
      <formula>NOT(ISERROR(SEARCH("NUEVO",C1077)))</formula>
    </cfRule>
  </conditionalFormatting>
  <conditionalFormatting sqref="C1078:D1078">
    <cfRule type="containsText" dxfId="2145" priority="2398" operator="containsText" text="NO+$D$4:$D$10">
      <formula>NOT(ISERROR(SEARCH("NO+$D$4:$D$10",C1078)))</formula>
    </cfRule>
  </conditionalFormatting>
  <conditionalFormatting sqref="C1078:D1078">
    <cfRule type="containsText" dxfId="2144" priority="2396" operator="containsText" text="SI">
      <formula>NOT(ISERROR(SEARCH("SI",C1078)))</formula>
    </cfRule>
    <cfRule type="containsText" dxfId="2143" priority="2397" operator="containsText" text="NO">
      <formula>NOT(ISERROR(SEARCH("NO",C1078)))</formula>
    </cfRule>
  </conditionalFormatting>
  <conditionalFormatting sqref="E1078">
    <cfRule type="containsText" dxfId="2142" priority="2395" operator="containsText" text="Sin información">
      <formula>NOT(ISERROR(SEARCH("Sin información",E1078)))</formula>
    </cfRule>
  </conditionalFormatting>
  <conditionalFormatting sqref="C1078:E1078">
    <cfRule type="containsText" dxfId="2141" priority="2394" operator="containsText" text="NUEVO">
      <formula>NOT(ISERROR(SEARCH("NUEVO",C1078)))</formula>
    </cfRule>
  </conditionalFormatting>
  <conditionalFormatting sqref="C1079:D1079">
    <cfRule type="containsText" dxfId="2140" priority="2393" operator="containsText" text="NO+$D$4:$D$10">
      <formula>NOT(ISERROR(SEARCH("NO+$D$4:$D$10",C1079)))</formula>
    </cfRule>
  </conditionalFormatting>
  <conditionalFormatting sqref="C1079:D1079">
    <cfRule type="containsText" dxfId="2139" priority="2391" operator="containsText" text="SI">
      <formula>NOT(ISERROR(SEARCH("SI",C1079)))</formula>
    </cfRule>
    <cfRule type="containsText" dxfId="2138" priority="2392" operator="containsText" text="NO">
      <formula>NOT(ISERROR(SEARCH("NO",C1079)))</formula>
    </cfRule>
  </conditionalFormatting>
  <conditionalFormatting sqref="C1079:D1079">
    <cfRule type="containsText" dxfId="2137" priority="2390" operator="containsText" text="NUEVO">
      <formula>NOT(ISERROR(SEARCH("NUEVO",C1079)))</formula>
    </cfRule>
  </conditionalFormatting>
  <conditionalFormatting sqref="E1079">
    <cfRule type="containsText" dxfId="2136" priority="2389" operator="containsText" text="Sin información">
      <formula>NOT(ISERROR(SEARCH("Sin información",E1079)))</formula>
    </cfRule>
  </conditionalFormatting>
  <conditionalFormatting sqref="E1079">
    <cfRule type="containsText" dxfId="2135" priority="2388" operator="containsText" text="NUEVO">
      <formula>NOT(ISERROR(SEARCH("NUEVO",E1079)))</formula>
    </cfRule>
  </conditionalFormatting>
  <conditionalFormatting sqref="C1080:D1080">
    <cfRule type="containsText" dxfId="2134" priority="2387" operator="containsText" text="NO+$D$4:$D$10">
      <formula>NOT(ISERROR(SEARCH("NO+$D$4:$D$10",C1080)))</formula>
    </cfRule>
  </conditionalFormatting>
  <conditionalFormatting sqref="C1080:D1080">
    <cfRule type="containsText" dxfId="2133" priority="2385" operator="containsText" text="SI">
      <formula>NOT(ISERROR(SEARCH("SI",C1080)))</formula>
    </cfRule>
    <cfRule type="containsText" dxfId="2132" priority="2386" operator="containsText" text="NO">
      <formula>NOT(ISERROR(SEARCH("NO",C1080)))</formula>
    </cfRule>
  </conditionalFormatting>
  <conditionalFormatting sqref="E1080">
    <cfRule type="containsText" dxfId="2131" priority="2384" operator="containsText" text="Sin información">
      <formula>NOT(ISERROR(SEARCH("Sin información",E1080)))</formula>
    </cfRule>
  </conditionalFormatting>
  <conditionalFormatting sqref="C1080:E1080">
    <cfRule type="containsText" dxfId="2130" priority="2383" operator="containsText" text="NUEVO">
      <formula>NOT(ISERROR(SEARCH("NUEVO",C1080)))</formula>
    </cfRule>
  </conditionalFormatting>
  <conditionalFormatting sqref="C1081:D1084">
    <cfRule type="containsText" dxfId="2129" priority="2377" operator="containsText" text="NO+$D$4:$D$10">
      <formula>NOT(ISERROR(SEARCH("NO+$D$4:$D$10",C1081)))</formula>
    </cfRule>
  </conditionalFormatting>
  <conditionalFormatting sqref="C1081:D1084">
    <cfRule type="containsText" dxfId="2128" priority="2375" operator="containsText" text="SI">
      <formula>NOT(ISERROR(SEARCH("SI",C1081)))</formula>
    </cfRule>
    <cfRule type="containsText" dxfId="2127" priority="2376" operator="containsText" text="NO">
      <formula>NOT(ISERROR(SEARCH("NO",C1081)))</formula>
    </cfRule>
  </conditionalFormatting>
  <conditionalFormatting sqref="E1083:E1084 E1081">
    <cfRule type="containsText" dxfId="2126" priority="2374" operator="containsText" text="Sin información">
      <formula>NOT(ISERROR(SEARCH("Sin información",E1081)))</formula>
    </cfRule>
  </conditionalFormatting>
  <conditionalFormatting sqref="E1083:E1084 E1081 C1081:D1084">
    <cfRule type="containsText" dxfId="2125" priority="2373" operator="containsText" text="NUEVO">
      <formula>NOT(ISERROR(SEARCH("NUEVO",C1081)))</formula>
    </cfRule>
  </conditionalFormatting>
  <conditionalFormatting sqref="E1082">
    <cfRule type="containsText" dxfId="2124" priority="2372" operator="containsText" text="Sin información">
      <formula>NOT(ISERROR(SEARCH("Sin información",E1082)))</formula>
    </cfRule>
  </conditionalFormatting>
  <conditionalFormatting sqref="E1082">
    <cfRule type="containsText" dxfId="2123" priority="2371" operator="containsText" text="NUEVO">
      <formula>NOT(ISERROR(SEARCH("NUEVO",E1082)))</formula>
    </cfRule>
  </conditionalFormatting>
  <conditionalFormatting sqref="C1085:D1085">
    <cfRule type="containsText" dxfId="2122" priority="2370" operator="containsText" text="NO+$D$4:$D$10">
      <formula>NOT(ISERROR(SEARCH("NO+$D$4:$D$10",C1085)))</formula>
    </cfRule>
  </conditionalFormatting>
  <conditionalFormatting sqref="C1085:D1085">
    <cfRule type="containsText" dxfId="2121" priority="2368" operator="containsText" text="SI">
      <formula>NOT(ISERROR(SEARCH("SI",C1085)))</formula>
    </cfRule>
    <cfRule type="containsText" dxfId="2120" priority="2369" operator="containsText" text="NO">
      <formula>NOT(ISERROR(SEARCH("NO",C1085)))</formula>
    </cfRule>
  </conditionalFormatting>
  <conditionalFormatting sqref="E1085">
    <cfRule type="containsText" dxfId="2119" priority="2367" operator="containsText" text="Sin información">
      <formula>NOT(ISERROR(SEARCH("Sin información",E1085)))</formula>
    </cfRule>
  </conditionalFormatting>
  <conditionalFormatting sqref="C1085:E1085">
    <cfRule type="containsText" dxfId="2118" priority="2366" operator="containsText" text="NUEVO">
      <formula>NOT(ISERROR(SEARCH("NUEVO",C1085)))</formula>
    </cfRule>
  </conditionalFormatting>
  <conditionalFormatting sqref="C1086:D1086">
    <cfRule type="containsText" dxfId="2117" priority="2365" operator="containsText" text="NO+$D$4:$D$10">
      <formula>NOT(ISERROR(SEARCH("NO+$D$4:$D$10",C1086)))</formula>
    </cfRule>
  </conditionalFormatting>
  <conditionalFormatting sqref="C1086:D1086">
    <cfRule type="containsText" dxfId="2116" priority="2363" operator="containsText" text="SI">
      <formula>NOT(ISERROR(SEARCH("SI",C1086)))</formula>
    </cfRule>
    <cfRule type="containsText" dxfId="2115" priority="2364" operator="containsText" text="NO">
      <formula>NOT(ISERROR(SEARCH("NO",C1086)))</formula>
    </cfRule>
  </conditionalFormatting>
  <conditionalFormatting sqref="C1086:D1086">
    <cfRule type="containsText" dxfId="2114" priority="2362" operator="containsText" text="NUEVO">
      <formula>NOT(ISERROR(SEARCH("NUEVO",C1086)))</formula>
    </cfRule>
  </conditionalFormatting>
  <conditionalFormatting sqref="E1086">
    <cfRule type="containsText" dxfId="2113" priority="2361" operator="containsText" text="Sin información">
      <formula>NOT(ISERROR(SEARCH("Sin información",E1086)))</formula>
    </cfRule>
  </conditionalFormatting>
  <conditionalFormatting sqref="E1086">
    <cfRule type="containsText" dxfId="2112" priority="2360" operator="containsText" text="NUEVO">
      <formula>NOT(ISERROR(SEARCH("NUEVO",E1086)))</formula>
    </cfRule>
  </conditionalFormatting>
  <conditionalFormatting sqref="C1087:D1087">
    <cfRule type="containsText" dxfId="2111" priority="2359" operator="containsText" text="NO+$D$4:$D$10">
      <formula>NOT(ISERROR(SEARCH("NO+$D$4:$D$10",C1087)))</formula>
    </cfRule>
  </conditionalFormatting>
  <conditionalFormatting sqref="C1087:D1087">
    <cfRule type="containsText" dxfId="2110" priority="2357" operator="containsText" text="SI">
      <formula>NOT(ISERROR(SEARCH("SI",C1087)))</formula>
    </cfRule>
    <cfRule type="containsText" dxfId="2109" priority="2358" operator="containsText" text="NO">
      <formula>NOT(ISERROR(SEARCH("NO",C1087)))</formula>
    </cfRule>
  </conditionalFormatting>
  <conditionalFormatting sqref="C1087:D1087">
    <cfRule type="containsText" dxfId="2108" priority="2356" operator="containsText" text="NUEVO">
      <formula>NOT(ISERROR(SEARCH("NUEVO",C1087)))</formula>
    </cfRule>
  </conditionalFormatting>
  <conditionalFormatting sqref="E1087">
    <cfRule type="containsText" dxfId="2107" priority="2355" operator="containsText" text="Sin información">
      <formula>NOT(ISERROR(SEARCH("Sin información",E1087)))</formula>
    </cfRule>
  </conditionalFormatting>
  <conditionalFormatting sqref="E1087">
    <cfRule type="containsText" dxfId="2106" priority="2354" operator="containsText" text="NUEVO">
      <formula>NOT(ISERROR(SEARCH("NUEVO",E1087)))</formula>
    </cfRule>
  </conditionalFormatting>
  <conditionalFormatting sqref="C1088:D1088">
    <cfRule type="containsText" dxfId="2105" priority="2353" operator="containsText" text="NO+$D$4:$D$10">
      <formula>NOT(ISERROR(SEARCH("NO+$D$4:$D$10",C1088)))</formula>
    </cfRule>
  </conditionalFormatting>
  <conditionalFormatting sqref="C1088:D1088">
    <cfRule type="containsText" dxfId="2104" priority="2351" operator="containsText" text="SI">
      <formula>NOT(ISERROR(SEARCH("SI",C1088)))</formula>
    </cfRule>
    <cfRule type="containsText" dxfId="2103" priority="2352" operator="containsText" text="NO">
      <formula>NOT(ISERROR(SEARCH("NO",C1088)))</formula>
    </cfRule>
  </conditionalFormatting>
  <conditionalFormatting sqref="E1088">
    <cfRule type="containsText" dxfId="2102" priority="2350" operator="containsText" text="Sin información">
      <formula>NOT(ISERROR(SEARCH("Sin información",E1088)))</formula>
    </cfRule>
  </conditionalFormatting>
  <conditionalFormatting sqref="C1088:E1088">
    <cfRule type="containsText" dxfId="2101" priority="2349" operator="containsText" text="NUEVO">
      <formula>NOT(ISERROR(SEARCH("NUEVO",C1088)))</formula>
    </cfRule>
  </conditionalFormatting>
  <conditionalFormatting sqref="C1089:D1089">
    <cfRule type="containsText" dxfId="2100" priority="2348" operator="containsText" text="NO+$D$4:$D$10">
      <formula>NOT(ISERROR(SEARCH("NO+$D$4:$D$10",C1089)))</formula>
    </cfRule>
  </conditionalFormatting>
  <conditionalFormatting sqref="C1089:D1089">
    <cfRule type="containsText" dxfId="2099" priority="2346" operator="containsText" text="SI">
      <formula>NOT(ISERROR(SEARCH("SI",C1089)))</formula>
    </cfRule>
    <cfRule type="containsText" dxfId="2098" priority="2347" operator="containsText" text="NO">
      <formula>NOT(ISERROR(SEARCH("NO",C1089)))</formula>
    </cfRule>
  </conditionalFormatting>
  <conditionalFormatting sqref="E1089">
    <cfRule type="containsText" dxfId="2097" priority="2345" operator="containsText" text="Sin información">
      <formula>NOT(ISERROR(SEARCH("Sin información",E1089)))</formula>
    </cfRule>
  </conditionalFormatting>
  <conditionalFormatting sqref="C1089:E1089">
    <cfRule type="containsText" dxfId="2096" priority="2344" operator="containsText" text="NUEVO">
      <formula>NOT(ISERROR(SEARCH("NUEVO",C1089)))</formula>
    </cfRule>
  </conditionalFormatting>
  <conditionalFormatting sqref="C1090:D1090">
    <cfRule type="containsText" dxfId="2095" priority="2343" operator="containsText" text="NO+$D$4:$D$10">
      <formula>NOT(ISERROR(SEARCH("NO+$D$4:$D$10",C1090)))</formula>
    </cfRule>
  </conditionalFormatting>
  <conditionalFormatting sqref="C1090:D1090">
    <cfRule type="containsText" dxfId="2094" priority="2341" operator="containsText" text="SI">
      <formula>NOT(ISERROR(SEARCH("SI",C1090)))</formula>
    </cfRule>
    <cfRule type="containsText" dxfId="2093" priority="2342" operator="containsText" text="NO">
      <formula>NOT(ISERROR(SEARCH("NO",C1090)))</formula>
    </cfRule>
  </conditionalFormatting>
  <conditionalFormatting sqref="E1090">
    <cfRule type="containsText" dxfId="2092" priority="2340" operator="containsText" text="Sin información">
      <formula>NOT(ISERROR(SEARCH("Sin información",E1090)))</formula>
    </cfRule>
  </conditionalFormatting>
  <conditionalFormatting sqref="C1090:E1090">
    <cfRule type="containsText" dxfId="2091" priority="2339" operator="containsText" text="NUEVO">
      <formula>NOT(ISERROR(SEARCH("NUEVO",C1090)))</formula>
    </cfRule>
  </conditionalFormatting>
  <conditionalFormatting sqref="C1091:D1091">
    <cfRule type="containsText" dxfId="2090" priority="2338" operator="containsText" text="NO+$D$4:$D$10">
      <formula>NOT(ISERROR(SEARCH("NO+$D$4:$D$10",C1091)))</formula>
    </cfRule>
  </conditionalFormatting>
  <conditionalFormatting sqref="C1091:D1091">
    <cfRule type="containsText" dxfId="2089" priority="2336" operator="containsText" text="SI">
      <formula>NOT(ISERROR(SEARCH("SI",C1091)))</formula>
    </cfRule>
    <cfRule type="containsText" dxfId="2088" priority="2337" operator="containsText" text="NO">
      <formula>NOT(ISERROR(SEARCH("NO",C1091)))</formula>
    </cfRule>
  </conditionalFormatting>
  <conditionalFormatting sqref="C1091:D1091">
    <cfRule type="containsText" dxfId="2087" priority="2335" operator="containsText" text="NUEVO">
      <formula>NOT(ISERROR(SEARCH("NUEVO",C1091)))</formula>
    </cfRule>
  </conditionalFormatting>
  <conditionalFormatting sqref="E1091">
    <cfRule type="containsText" dxfId="2086" priority="2334" operator="containsText" text="Sin información">
      <formula>NOT(ISERROR(SEARCH("Sin información",E1091)))</formula>
    </cfRule>
  </conditionalFormatting>
  <conditionalFormatting sqref="E1091">
    <cfRule type="containsText" dxfId="2085" priority="2333" operator="containsText" text="NUEVO">
      <formula>NOT(ISERROR(SEARCH("NUEVO",E1091)))</formula>
    </cfRule>
  </conditionalFormatting>
  <conditionalFormatting sqref="C1092:D1092">
    <cfRule type="containsText" dxfId="2084" priority="2332" operator="containsText" text="NO+$D$4:$D$10">
      <formula>NOT(ISERROR(SEARCH("NO+$D$4:$D$10",C1092)))</formula>
    </cfRule>
  </conditionalFormatting>
  <conditionalFormatting sqref="C1092:D1092">
    <cfRule type="containsText" dxfId="2083" priority="2330" operator="containsText" text="SI">
      <formula>NOT(ISERROR(SEARCH("SI",C1092)))</formula>
    </cfRule>
    <cfRule type="containsText" dxfId="2082" priority="2331" operator="containsText" text="NO">
      <formula>NOT(ISERROR(SEARCH("NO",C1092)))</formula>
    </cfRule>
  </conditionalFormatting>
  <conditionalFormatting sqref="E1092">
    <cfRule type="containsText" dxfId="2081" priority="2329" operator="containsText" text="Sin información">
      <formula>NOT(ISERROR(SEARCH("Sin información",E1092)))</formula>
    </cfRule>
  </conditionalFormatting>
  <conditionalFormatting sqref="C1092:E1092">
    <cfRule type="containsText" dxfId="2080" priority="2328" operator="containsText" text="NUEVO">
      <formula>NOT(ISERROR(SEARCH("NUEVO",C1092)))</formula>
    </cfRule>
  </conditionalFormatting>
  <conditionalFormatting sqref="C1093:D1093">
    <cfRule type="containsText" dxfId="2079" priority="2327" operator="containsText" text="NO+$D$4:$D$10">
      <formula>NOT(ISERROR(SEARCH("NO+$D$4:$D$10",C1093)))</formula>
    </cfRule>
  </conditionalFormatting>
  <conditionalFormatting sqref="C1093:D1093">
    <cfRule type="containsText" dxfId="2078" priority="2325" operator="containsText" text="SI">
      <formula>NOT(ISERROR(SEARCH("SI",C1093)))</formula>
    </cfRule>
    <cfRule type="containsText" dxfId="2077" priority="2326" operator="containsText" text="NO">
      <formula>NOT(ISERROR(SEARCH("NO",C1093)))</formula>
    </cfRule>
  </conditionalFormatting>
  <conditionalFormatting sqref="E1093">
    <cfRule type="containsText" dxfId="2076" priority="2324" operator="containsText" text="Sin información">
      <formula>NOT(ISERROR(SEARCH("Sin información",E1093)))</formula>
    </cfRule>
  </conditionalFormatting>
  <conditionalFormatting sqref="C1093:E1093">
    <cfRule type="containsText" dxfId="2075" priority="2323" operator="containsText" text="NUEVO">
      <formula>NOT(ISERROR(SEARCH("NUEVO",C1093)))</formula>
    </cfRule>
  </conditionalFormatting>
  <conditionalFormatting sqref="C1096:D1096">
    <cfRule type="containsText" dxfId="2074" priority="2322" operator="containsText" text="NO+$D$4:$D$10">
      <formula>NOT(ISERROR(SEARCH("NO+$D$4:$D$10",C1096)))</formula>
    </cfRule>
  </conditionalFormatting>
  <conditionalFormatting sqref="C1096:D1096">
    <cfRule type="containsText" dxfId="2073" priority="2320" operator="containsText" text="SI">
      <formula>NOT(ISERROR(SEARCH("SI",C1096)))</formula>
    </cfRule>
    <cfRule type="containsText" dxfId="2072" priority="2321" operator="containsText" text="NO">
      <formula>NOT(ISERROR(SEARCH("NO",C1096)))</formula>
    </cfRule>
  </conditionalFormatting>
  <conditionalFormatting sqref="C1096:D1096">
    <cfRule type="containsText" dxfId="2071" priority="2319" operator="containsText" text="NUEVO">
      <formula>NOT(ISERROR(SEARCH("NUEVO",C1096)))</formula>
    </cfRule>
  </conditionalFormatting>
  <conditionalFormatting sqref="E1096">
    <cfRule type="containsText" dxfId="2070" priority="2317" operator="containsText" text="NUEVO">
      <formula>NOT(ISERROR(SEARCH("NUEVO",E1096)))</formula>
    </cfRule>
  </conditionalFormatting>
  <conditionalFormatting sqref="E1096">
    <cfRule type="containsText" dxfId="2069" priority="2318" operator="containsText" text="Sin información">
      <formula>NOT(ISERROR(SEARCH("Sin información",E1096)))</formula>
    </cfRule>
  </conditionalFormatting>
  <conditionalFormatting sqref="C1097:D1097">
    <cfRule type="containsText" dxfId="2068" priority="2316" operator="containsText" text="NO+$D$4:$D$10">
      <formula>NOT(ISERROR(SEARCH("NO+$D$4:$D$10",C1097)))</formula>
    </cfRule>
  </conditionalFormatting>
  <conditionalFormatting sqref="C1097:D1097">
    <cfRule type="containsText" dxfId="2067" priority="2314" operator="containsText" text="SI">
      <formula>NOT(ISERROR(SEARCH("SI",C1097)))</formula>
    </cfRule>
    <cfRule type="containsText" dxfId="2066" priority="2315" operator="containsText" text="NO">
      <formula>NOT(ISERROR(SEARCH("NO",C1097)))</formula>
    </cfRule>
  </conditionalFormatting>
  <conditionalFormatting sqref="E1097">
    <cfRule type="containsText" dxfId="2065" priority="2313" operator="containsText" text="Sin información">
      <formula>NOT(ISERROR(SEARCH("Sin información",E1097)))</formula>
    </cfRule>
  </conditionalFormatting>
  <conditionalFormatting sqref="C1097:E1097">
    <cfRule type="containsText" dxfId="2064" priority="2312" operator="containsText" text="NUEVO">
      <formula>NOT(ISERROR(SEARCH("NUEVO",C1097)))</formula>
    </cfRule>
  </conditionalFormatting>
  <conditionalFormatting sqref="C1098:D1098">
    <cfRule type="containsText" dxfId="2063" priority="2311" operator="containsText" text="NO+$D$4:$D$10">
      <formula>NOT(ISERROR(SEARCH("NO+$D$4:$D$10",C1098)))</formula>
    </cfRule>
  </conditionalFormatting>
  <conditionalFormatting sqref="C1098:D1098">
    <cfRule type="containsText" dxfId="2062" priority="2309" operator="containsText" text="SI">
      <formula>NOT(ISERROR(SEARCH("SI",C1098)))</formula>
    </cfRule>
    <cfRule type="containsText" dxfId="2061" priority="2310" operator="containsText" text="NO">
      <formula>NOT(ISERROR(SEARCH("NO",C1098)))</formula>
    </cfRule>
  </conditionalFormatting>
  <conditionalFormatting sqref="E1098">
    <cfRule type="containsText" dxfId="2060" priority="2308" operator="containsText" text="Sin información">
      <formula>NOT(ISERROR(SEARCH("Sin información",E1098)))</formula>
    </cfRule>
  </conditionalFormatting>
  <conditionalFormatting sqref="C1098:E1098">
    <cfRule type="containsText" dxfId="2059" priority="2307" operator="containsText" text="NUEVO">
      <formula>NOT(ISERROR(SEARCH("NUEVO",C1098)))</formula>
    </cfRule>
  </conditionalFormatting>
  <conditionalFormatting sqref="C1099:D1099">
    <cfRule type="containsText" dxfId="2058" priority="2306" operator="containsText" text="NO+$D$4:$D$10">
      <formula>NOT(ISERROR(SEARCH("NO+$D$4:$D$10",C1099)))</formula>
    </cfRule>
  </conditionalFormatting>
  <conditionalFormatting sqref="C1099:D1099">
    <cfRule type="containsText" dxfId="2057" priority="2304" operator="containsText" text="SI">
      <formula>NOT(ISERROR(SEARCH("SI",C1099)))</formula>
    </cfRule>
    <cfRule type="containsText" dxfId="2056" priority="2305" operator="containsText" text="NO">
      <formula>NOT(ISERROR(SEARCH("NO",C1099)))</formula>
    </cfRule>
  </conditionalFormatting>
  <conditionalFormatting sqref="E1099">
    <cfRule type="containsText" dxfId="2055" priority="2303" operator="containsText" text="Sin información">
      <formula>NOT(ISERROR(SEARCH("Sin información",E1099)))</formula>
    </cfRule>
  </conditionalFormatting>
  <conditionalFormatting sqref="C1099:E1099">
    <cfRule type="containsText" dxfId="2054" priority="2302" operator="containsText" text="NUEVO">
      <formula>NOT(ISERROR(SEARCH("NUEVO",C1099)))</formula>
    </cfRule>
  </conditionalFormatting>
  <conditionalFormatting sqref="E1103">
    <cfRule type="containsText" dxfId="2053" priority="2299" operator="containsText" text="Sin información">
      <formula>NOT(ISERROR(SEARCH("Sin información",E1103)))</formula>
    </cfRule>
  </conditionalFormatting>
  <conditionalFormatting sqref="E1103">
    <cfRule type="containsText" dxfId="2052" priority="2298" operator="containsText" text="NUEVO">
      <formula>NOT(ISERROR(SEARCH("NUEVO",E1103)))</formula>
    </cfRule>
  </conditionalFormatting>
  <conditionalFormatting sqref="C1104:D1104">
    <cfRule type="containsText" dxfId="2051" priority="2297" operator="containsText" text="NO+$D$4:$D$10">
      <formula>NOT(ISERROR(SEARCH("NO+$D$4:$D$10",C1104)))</formula>
    </cfRule>
  </conditionalFormatting>
  <conditionalFormatting sqref="C1104:D1104">
    <cfRule type="containsText" dxfId="2050" priority="2295" operator="containsText" text="SI">
      <formula>NOT(ISERROR(SEARCH("SI",C1104)))</formula>
    </cfRule>
    <cfRule type="containsText" dxfId="2049" priority="2296" operator="containsText" text="NO">
      <formula>NOT(ISERROR(SEARCH("NO",C1104)))</formula>
    </cfRule>
  </conditionalFormatting>
  <conditionalFormatting sqref="E1104">
    <cfRule type="containsText" dxfId="2048" priority="2294" operator="containsText" text="Sin información">
      <formula>NOT(ISERROR(SEARCH("Sin información",E1104)))</formula>
    </cfRule>
  </conditionalFormatting>
  <conditionalFormatting sqref="C1104:E1104">
    <cfRule type="containsText" dxfId="2047" priority="2293" operator="containsText" text="NUEVO">
      <formula>NOT(ISERROR(SEARCH("NUEVO",C1104)))</formula>
    </cfRule>
  </conditionalFormatting>
  <conditionalFormatting sqref="C1105:D1105">
    <cfRule type="containsText" dxfId="2046" priority="2292" operator="containsText" text="NO+$D$4:$D$10">
      <formula>NOT(ISERROR(SEARCH("NO+$D$4:$D$10",C1105)))</formula>
    </cfRule>
  </conditionalFormatting>
  <conditionalFormatting sqref="C1105:D1105">
    <cfRule type="containsText" dxfId="2045" priority="2290" operator="containsText" text="SI">
      <formula>NOT(ISERROR(SEARCH("SI",C1105)))</formula>
    </cfRule>
    <cfRule type="containsText" dxfId="2044" priority="2291" operator="containsText" text="NO">
      <formula>NOT(ISERROR(SEARCH("NO",C1105)))</formula>
    </cfRule>
  </conditionalFormatting>
  <conditionalFormatting sqref="E1105">
    <cfRule type="containsText" dxfId="2043" priority="2289" operator="containsText" text="Sin información">
      <formula>NOT(ISERROR(SEARCH("Sin información",E1105)))</formula>
    </cfRule>
  </conditionalFormatting>
  <conditionalFormatting sqref="C1105:E1105">
    <cfRule type="containsText" dxfId="2042" priority="2288" operator="containsText" text="NUEVO">
      <formula>NOT(ISERROR(SEARCH("NUEVO",C1105)))</formula>
    </cfRule>
  </conditionalFormatting>
  <conditionalFormatting sqref="C1106:D1106">
    <cfRule type="containsText" dxfId="2041" priority="2287" operator="containsText" text="NO+$D$4:$D$10">
      <formula>NOT(ISERROR(SEARCH("NO+$D$4:$D$10",C1106)))</formula>
    </cfRule>
  </conditionalFormatting>
  <conditionalFormatting sqref="C1106:D1106">
    <cfRule type="containsText" dxfId="2040" priority="2285" operator="containsText" text="SI">
      <formula>NOT(ISERROR(SEARCH("SI",C1106)))</formula>
    </cfRule>
    <cfRule type="containsText" dxfId="2039" priority="2286" operator="containsText" text="NO">
      <formula>NOT(ISERROR(SEARCH("NO",C1106)))</formula>
    </cfRule>
  </conditionalFormatting>
  <conditionalFormatting sqref="E1106">
    <cfRule type="containsText" dxfId="2038" priority="2284" operator="containsText" text="Sin información">
      <formula>NOT(ISERROR(SEARCH("Sin información",E1106)))</formula>
    </cfRule>
  </conditionalFormatting>
  <conditionalFormatting sqref="C1106:E1106">
    <cfRule type="containsText" dxfId="2037" priority="2283" operator="containsText" text="NUEVO">
      <formula>NOT(ISERROR(SEARCH("NUEVO",C1106)))</formula>
    </cfRule>
  </conditionalFormatting>
  <conditionalFormatting sqref="E1106">
    <cfRule type="containsText" dxfId="2036" priority="2282" operator="containsText" text="Sin Información">
      <formula>NOT(ISERROR(SEARCH("Sin Información",E1106)))</formula>
    </cfRule>
  </conditionalFormatting>
  <conditionalFormatting sqref="C1107:D1107">
    <cfRule type="containsText" dxfId="2035" priority="2281" operator="containsText" text="NO+$D$4:$D$10">
      <formula>NOT(ISERROR(SEARCH("NO+$D$4:$D$10",C1107)))</formula>
    </cfRule>
  </conditionalFormatting>
  <conditionalFormatting sqref="C1107:D1107">
    <cfRule type="containsText" dxfId="2034" priority="2279" operator="containsText" text="SI">
      <formula>NOT(ISERROR(SEARCH("SI",C1107)))</formula>
    </cfRule>
    <cfRule type="containsText" dxfId="2033" priority="2280" operator="containsText" text="NO">
      <formula>NOT(ISERROR(SEARCH("NO",C1107)))</formula>
    </cfRule>
  </conditionalFormatting>
  <conditionalFormatting sqref="E1107">
    <cfRule type="containsText" dxfId="2032" priority="2278" operator="containsText" text="Sin información">
      <formula>NOT(ISERROR(SEARCH("Sin información",E1107)))</formula>
    </cfRule>
  </conditionalFormatting>
  <conditionalFormatting sqref="C1107:E1107">
    <cfRule type="containsText" dxfId="2031" priority="2277" operator="containsText" text="NUEVO">
      <formula>NOT(ISERROR(SEARCH("NUEVO",C1107)))</formula>
    </cfRule>
  </conditionalFormatting>
  <conditionalFormatting sqref="C1108:D1108">
    <cfRule type="containsText" dxfId="2030" priority="2276" operator="containsText" text="NO+$D$4:$D$10">
      <formula>NOT(ISERROR(SEARCH("NO+$D$4:$D$10",C1108)))</formula>
    </cfRule>
  </conditionalFormatting>
  <conditionalFormatting sqref="C1108:D1108">
    <cfRule type="containsText" dxfId="2029" priority="2274" operator="containsText" text="SI">
      <formula>NOT(ISERROR(SEARCH("SI",C1108)))</formula>
    </cfRule>
    <cfRule type="containsText" dxfId="2028" priority="2275" operator="containsText" text="NO">
      <formula>NOT(ISERROR(SEARCH("NO",C1108)))</formula>
    </cfRule>
  </conditionalFormatting>
  <conditionalFormatting sqref="E1108">
    <cfRule type="containsText" dxfId="2027" priority="2273" operator="containsText" text="Sin información">
      <formula>NOT(ISERROR(SEARCH("Sin información",E1108)))</formula>
    </cfRule>
  </conditionalFormatting>
  <conditionalFormatting sqref="C1108:E1108">
    <cfRule type="containsText" dxfId="2026" priority="2272" operator="containsText" text="NUEVO">
      <formula>NOT(ISERROR(SEARCH("NUEVO",C1108)))</formula>
    </cfRule>
  </conditionalFormatting>
  <conditionalFormatting sqref="C1109:D1110">
    <cfRule type="containsText" dxfId="2025" priority="2271" operator="containsText" text="NO+$D$4:$D$10">
      <formula>NOT(ISERROR(SEARCH("NO+$D$4:$D$10",C1109)))</formula>
    </cfRule>
  </conditionalFormatting>
  <conditionalFormatting sqref="C1109:D1110">
    <cfRule type="containsText" dxfId="2024" priority="2269" operator="containsText" text="SI">
      <formula>NOT(ISERROR(SEARCH("SI",C1109)))</formula>
    </cfRule>
    <cfRule type="containsText" dxfId="2023" priority="2270" operator="containsText" text="NO">
      <formula>NOT(ISERROR(SEARCH("NO",C1109)))</formula>
    </cfRule>
  </conditionalFormatting>
  <conditionalFormatting sqref="E1109:E1110">
    <cfRule type="containsText" dxfId="2022" priority="2268" operator="containsText" text="Sin información">
      <formula>NOT(ISERROR(SEARCH("Sin información",E1109)))</formula>
    </cfRule>
  </conditionalFormatting>
  <conditionalFormatting sqref="C1109:E1110">
    <cfRule type="containsText" dxfId="2021" priority="2267" operator="containsText" text="NUEVO">
      <formula>NOT(ISERROR(SEARCH("NUEVO",C1109)))</formula>
    </cfRule>
  </conditionalFormatting>
  <conditionalFormatting sqref="C1111:D1114">
    <cfRule type="containsText" dxfId="2020" priority="2266" operator="containsText" text="NO+$D$4:$D$10">
      <formula>NOT(ISERROR(SEARCH("NO+$D$4:$D$10",C1111)))</formula>
    </cfRule>
  </conditionalFormatting>
  <conditionalFormatting sqref="C1111:D1114">
    <cfRule type="containsText" dxfId="2019" priority="2264" operator="containsText" text="SI">
      <formula>NOT(ISERROR(SEARCH("SI",C1111)))</formula>
    </cfRule>
    <cfRule type="containsText" dxfId="2018" priority="2265" operator="containsText" text="NO">
      <formula>NOT(ISERROR(SEARCH("NO",C1111)))</formula>
    </cfRule>
  </conditionalFormatting>
  <conditionalFormatting sqref="E1111:E1114">
    <cfRule type="containsText" dxfId="2017" priority="2263" operator="containsText" text="Sin información">
      <formula>NOT(ISERROR(SEARCH("Sin información",E1111)))</formula>
    </cfRule>
  </conditionalFormatting>
  <conditionalFormatting sqref="C1111:E1114">
    <cfRule type="containsText" dxfId="2016" priority="2262" operator="containsText" text="NUEVO">
      <formula>NOT(ISERROR(SEARCH("NUEVO",C1111)))</formula>
    </cfRule>
  </conditionalFormatting>
  <conditionalFormatting sqref="C1115:D1115">
    <cfRule type="containsText" dxfId="2015" priority="2261" operator="containsText" text="NO+$D$4:$D$10">
      <formula>NOT(ISERROR(SEARCH("NO+$D$4:$D$10",C1115)))</formula>
    </cfRule>
  </conditionalFormatting>
  <conditionalFormatting sqref="C1115:D1115">
    <cfRule type="containsText" dxfId="2014" priority="2259" operator="containsText" text="SI">
      <formula>NOT(ISERROR(SEARCH("SI",C1115)))</formula>
    </cfRule>
    <cfRule type="containsText" dxfId="2013" priority="2260" operator="containsText" text="NO">
      <formula>NOT(ISERROR(SEARCH("NO",C1115)))</formula>
    </cfRule>
  </conditionalFormatting>
  <conditionalFormatting sqref="C1115:D1115">
    <cfRule type="containsText" dxfId="2012" priority="2257" operator="containsText" text="NUEVO">
      <formula>NOT(ISERROR(SEARCH("NUEVO",C1115)))</formula>
    </cfRule>
  </conditionalFormatting>
  <conditionalFormatting sqref="E1115">
    <cfRule type="containsText" dxfId="2011" priority="2256" operator="containsText" text="Sin información">
      <formula>NOT(ISERROR(SEARCH("Sin información",E1115)))</formula>
    </cfRule>
  </conditionalFormatting>
  <conditionalFormatting sqref="E1115">
    <cfRule type="containsText" dxfId="2010" priority="2255" operator="containsText" text="NUEVO">
      <formula>NOT(ISERROR(SEARCH("NUEVO",E1115)))</formula>
    </cfRule>
  </conditionalFormatting>
  <conditionalFormatting sqref="C1116:D1116">
    <cfRule type="containsText" dxfId="2009" priority="2254" operator="containsText" text="NO+$D$4:$D$10">
      <formula>NOT(ISERROR(SEARCH("NO+$D$4:$D$10",C1116)))</formula>
    </cfRule>
  </conditionalFormatting>
  <conditionalFormatting sqref="C1116:D1116">
    <cfRule type="containsText" dxfId="2008" priority="2252" operator="containsText" text="SI">
      <formula>NOT(ISERROR(SEARCH("SI",C1116)))</formula>
    </cfRule>
    <cfRule type="containsText" dxfId="2007" priority="2253" operator="containsText" text="NO">
      <formula>NOT(ISERROR(SEARCH("NO",C1116)))</formula>
    </cfRule>
  </conditionalFormatting>
  <conditionalFormatting sqref="E1116">
    <cfRule type="containsText" dxfId="2006" priority="2251" operator="containsText" text="Sin información">
      <formula>NOT(ISERROR(SEARCH("Sin información",E1116)))</formula>
    </cfRule>
  </conditionalFormatting>
  <conditionalFormatting sqref="C1116:E1116">
    <cfRule type="containsText" dxfId="2005" priority="2250" operator="containsText" text="NUEVO">
      <formula>NOT(ISERROR(SEARCH("NUEVO",C1116)))</formula>
    </cfRule>
  </conditionalFormatting>
  <conditionalFormatting sqref="C1117:D1117">
    <cfRule type="containsText" dxfId="2004" priority="2249" operator="containsText" text="NO+$D$4:$D$10">
      <formula>NOT(ISERROR(SEARCH("NO+$D$4:$D$10",C1117)))</formula>
    </cfRule>
  </conditionalFormatting>
  <conditionalFormatting sqref="C1117:D1117">
    <cfRule type="containsText" dxfId="2003" priority="2247" operator="containsText" text="SI">
      <formula>NOT(ISERROR(SEARCH("SI",C1117)))</formula>
    </cfRule>
    <cfRule type="containsText" dxfId="2002" priority="2248" operator="containsText" text="NO">
      <formula>NOT(ISERROR(SEARCH("NO",C1117)))</formula>
    </cfRule>
  </conditionalFormatting>
  <conditionalFormatting sqref="E1117">
    <cfRule type="containsText" dxfId="2001" priority="2246" operator="containsText" text="Sin información">
      <formula>NOT(ISERROR(SEARCH("Sin información",E1117)))</formula>
    </cfRule>
  </conditionalFormatting>
  <conditionalFormatting sqref="C1117:E1117">
    <cfRule type="containsText" dxfId="2000" priority="2245" operator="containsText" text="NUEVO">
      <formula>NOT(ISERROR(SEARCH("NUEVO",C1117)))</formula>
    </cfRule>
  </conditionalFormatting>
  <conditionalFormatting sqref="E1117">
    <cfRule type="containsText" dxfId="1999" priority="2244" operator="containsText" text="Sin Información">
      <formula>NOT(ISERROR(SEARCH("Sin Información",E1117)))</formula>
    </cfRule>
  </conditionalFormatting>
  <conditionalFormatting sqref="E1118">
    <cfRule type="containsText" dxfId="1998" priority="2243" operator="containsText" text="Sin información">
      <formula>NOT(ISERROR(SEARCH("Sin información",E1118)))</formula>
    </cfRule>
  </conditionalFormatting>
  <conditionalFormatting sqref="E1118">
    <cfRule type="containsText" dxfId="1997" priority="2242" operator="containsText" text="NUEVO">
      <formula>NOT(ISERROR(SEARCH("NUEVO",E1118)))</formula>
    </cfRule>
  </conditionalFormatting>
  <conditionalFormatting sqref="E1118">
    <cfRule type="containsText" dxfId="1996" priority="2241" operator="containsText" text="Sin Información">
      <formula>NOT(ISERROR(SEARCH("Sin Información",E1118)))</formula>
    </cfRule>
  </conditionalFormatting>
  <conditionalFormatting sqref="E1119:E1125">
    <cfRule type="containsText" dxfId="1995" priority="2240" operator="containsText" text="Sin información">
      <formula>NOT(ISERROR(SEARCH("Sin información",E1119)))</formula>
    </cfRule>
  </conditionalFormatting>
  <conditionalFormatting sqref="E1119:E1125">
    <cfRule type="containsText" dxfId="1994" priority="2239" operator="containsText" text="NUEVO">
      <formula>NOT(ISERROR(SEARCH("NUEVO",E1119)))</formula>
    </cfRule>
  </conditionalFormatting>
  <conditionalFormatting sqref="C1129:D1129">
    <cfRule type="containsText" dxfId="1993" priority="2238" operator="containsText" text="NO+$D$4:$D$10">
      <formula>NOT(ISERROR(SEARCH("NO+$D$4:$D$10",C1129)))</formula>
    </cfRule>
  </conditionalFormatting>
  <conditionalFormatting sqref="C1129:D1129">
    <cfRule type="containsText" dxfId="1992" priority="2236" operator="containsText" text="SI">
      <formula>NOT(ISERROR(SEARCH("SI",C1129)))</formula>
    </cfRule>
    <cfRule type="containsText" dxfId="1991" priority="2237" operator="containsText" text="NO">
      <formula>NOT(ISERROR(SEARCH("NO",C1129)))</formula>
    </cfRule>
  </conditionalFormatting>
  <conditionalFormatting sqref="C1129:D1129">
    <cfRule type="containsText" dxfId="1990" priority="2235" operator="containsText" text="NUEVO">
      <formula>NOT(ISERROR(SEARCH("NUEVO",C1129)))</formula>
    </cfRule>
  </conditionalFormatting>
  <conditionalFormatting sqref="E1129">
    <cfRule type="containsText" dxfId="1989" priority="2234" operator="containsText" text="Sin información">
      <formula>NOT(ISERROR(SEARCH("Sin información",E1129)))</formula>
    </cfRule>
  </conditionalFormatting>
  <conditionalFormatting sqref="E1129">
    <cfRule type="containsText" dxfId="1988" priority="2233" operator="containsText" text="NUEVO">
      <formula>NOT(ISERROR(SEARCH("NUEVO",E1129)))</formula>
    </cfRule>
  </conditionalFormatting>
  <conditionalFormatting sqref="C1130:D1131">
    <cfRule type="containsText" dxfId="1987" priority="2232" operator="containsText" text="NO+$D$4:$D$10">
      <formula>NOT(ISERROR(SEARCH("NO+$D$4:$D$10",C1130)))</formula>
    </cfRule>
  </conditionalFormatting>
  <conditionalFormatting sqref="C1130:D1131">
    <cfRule type="containsText" dxfId="1986" priority="2230" operator="containsText" text="SI">
      <formula>NOT(ISERROR(SEARCH("SI",C1130)))</formula>
    </cfRule>
    <cfRule type="containsText" dxfId="1985" priority="2231" operator="containsText" text="NO">
      <formula>NOT(ISERROR(SEARCH("NO",C1130)))</formula>
    </cfRule>
  </conditionalFormatting>
  <conditionalFormatting sqref="E1130">
    <cfRule type="containsText" dxfId="1984" priority="2229" operator="containsText" text="Sin información">
      <formula>NOT(ISERROR(SEARCH("Sin información",E1130)))</formula>
    </cfRule>
  </conditionalFormatting>
  <conditionalFormatting sqref="E1130 C1130:D1131">
    <cfRule type="containsText" dxfId="1983" priority="2228" operator="containsText" text="NUEVO">
      <formula>NOT(ISERROR(SEARCH("NUEVO",C1130)))</formula>
    </cfRule>
  </conditionalFormatting>
  <conditionalFormatting sqref="E1130">
    <cfRule type="containsText" dxfId="1982" priority="2227" operator="containsText" text="Sin Información">
      <formula>NOT(ISERROR(SEARCH("Sin Información",E1130)))</formula>
    </cfRule>
  </conditionalFormatting>
  <conditionalFormatting sqref="E1131">
    <cfRule type="containsText" dxfId="1981" priority="2226" operator="containsText" text="Sin información">
      <formula>NOT(ISERROR(SEARCH("Sin información",E1131)))</formula>
    </cfRule>
  </conditionalFormatting>
  <conditionalFormatting sqref="E1131">
    <cfRule type="containsText" dxfId="1980" priority="2225" operator="containsText" text="NUEVO">
      <formula>NOT(ISERROR(SEARCH("NUEVO",E1131)))</formula>
    </cfRule>
  </conditionalFormatting>
  <conditionalFormatting sqref="E1131">
    <cfRule type="containsText" dxfId="1979" priority="2224" operator="containsText" text="Sin Información">
      <formula>NOT(ISERROR(SEARCH("Sin Información",E1131)))</formula>
    </cfRule>
  </conditionalFormatting>
  <conditionalFormatting sqref="C1132:D1132">
    <cfRule type="containsText" dxfId="1978" priority="2223" operator="containsText" text="NO+$D$4:$D$10">
      <formula>NOT(ISERROR(SEARCH("NO+$D$4:$D$10",C1132)))</formula>
    </cfRule>
  </conditionalFormatting>
  <conditionalFormatting sqref="C1132:D1132">
    <cfRule type="containsText" dxfId="1977" priority="2221" operator="containsText" text="SI">
      <formula>NOT(ISERROR(SEARCH("SI",C1132)))</formula>
    </cfRule>
    <cfRule type="containsText" dxfId="1976" priority="2222" operator="containsText" text="NO">
      <formula>NOT(ISERROR(SEARCH("NO",C1132)))</formula>
    </cfRule>
  </conditionalFormatting>
  <conditionalFormatting sqref="E1132">
    <cfRule type="containsText" dxfId="1975" priority="2220" operator="containsText" text="Sin información">
      <formula>NOT(ISERROR(SEARCH("Sin información",E1132)))</formula>
    </cfRule>
  </conditionalFormatting>
  <conditionalFormatting sqref="C1132:E1132">
    <cfRule type="containsText" dxfId="1974" priority="2219" operator="containsText" text="NUEVO">
      <formula>NOT(ISERROR(SEARCH("NUEVO",C1132)))</formula>
    </cfRule>
  </conditionalFormatting>
  <conditionalFormatting sqref="C1133:E1133">
    <cfRule type="containsText" dxfId="1973" priority="2214" operator="containsText" text="NUEVO">
      <formula>NOT(ISERROR(SEARCH("NUEVO",C1133)))</formula>
    </cfRule>
  </conditionalFormatting>
  <conditionalFormatting sqref="C1133:D1133">
    <cfRule type="containsText" dxfId="1972" priority="2218" operator="containsText" text="NO+$D$4:$D$10">
      <formula>NOT(ISERROR(SEARCH("NO+$D$4:$D$10",C1133)))</formula>
    </cfRule>
  </conditionalFormatting>
  <conditionalFormatting sqref="C1133:D1133">
    <cfRule type="containsText" dxfId="1971" priority="2216" operator="containsText" text="SI">
      <formula>NOT(ISERROR(SEARCH("SI",C1133)))</formula>
    </cfRule>
    <cfRule type="containsText" dxfId="1970" priority="2217" operator="containsText" text="NO">
      <formula>NOT(ISERROR(SEARCH("NO",C1133)))</formula>
    </cfRule>
  </conditionalFormatting>
  <conditionalFormatting sqref="E1133">
    <cfRule type="containsText" dxfId="1969" priority="2215" operator="containsText" text="Sin información">
      <formula>NOT(ISERROR(SEARCH("Sin información",E1133)))</formula>
    </cfRule>
  </conditionalFormatting>
  <conditionalFormatting sqref="C1134:D1134">
    <cfRule type="containsText" dxfId="1968" priority="2213" operator="containsText" text="NO+$D$4:$D$10">
      <formula>NOT(ISERROR(SEARCH("NO+$D$4:$D$10",C1134)))</formula>
    </cfRule>
  </conditionalFormatting>
  <conditionalFormatting sqref="C1134:D1134">
    <cfRule type="containsText" dxfId="1967" priority="2211" operator="containsText" text="SI">
      <formula>NOT(ISERROR(SEARCH("SI",C1134)))</formula>
    </cfRule>
    <cfRule type="containsText" dxfId="1966" priority="2212" operator="containsText" text="NO">
      <formula>NOT(ISERROR(SEARCH("NO",C1134)))</formula>
    </cfRule>
  </conditionalFormatting>
  <conditionalFormatting sqref="E1134">
    <cfRule type="containsText" dxfId="1965" priority="2210" operator="containsText" text="Sin información">
      <formula>NOT(ISERROR(SEARCH("Sin información",E1134)))</formula>
    </cfRule>
  </conditionalFormatting>
  <conditionalFormatting sqref="C1134:E1134">
    <cfRule type="containsText" dxfId="1964" priority="2209" operator="containsText" text="NUEVO">
      <formula>NOT(ISERROR(SEARCH("NUEVO",C1134)))</formula>
    </cfRule>
  </conditionalFormatting>
  <conditionalFormatting sqref="C1135:D1135">
    <cfRule type="containsText" dxfId="1963" priority="2208" operator="containsText" text="NO+$D$4:$D$10">
      <formula>NOT(ISERROR(SEARCH("NO+$D$4:$D$10",C1135)))</formula>
    </cfRule>
  </conditionalFormatting>
  <conditionalFormatting sqref="C1135:D1135">
    <cfRule type="containsText" dxfId="1962" priority="2206" operator="containsText" text="SI">
      <formula>NOT(ISERROR(SEARCH("SI",C1135)))</formula>
    </cfRule>
    <cfRule type="containsText" dxfId="1961" priority="2207" operator="containsText" text="NO">
      <formula>NOT(ISERROR(SEARCH("NO",C1135)))</formula>
    </cfRule>
  </conditionalFormatting>
  <conditionalFormatting sqref="E1135">
    <cfRule type="containsText" dxfId="1960" priority="2205" operator="containsText" text="Sin información">
      <formula>NOT(ISERROR(SEARCH("Sin información",E1135)))</formula>
    </cfRule>
  </conditionalFormatting>
  <conditionalFormatting sqref="C1135:E1135">
    <cfRule type="containsText" dxfId="1959" priority="2204" operator="containsText" text="NUEVO">
      <formula>NOT(ISERROR(SEARCH("NUEVO",C1135)))</formula>
    </cfRule>
  </conditionalFormatting>
  <conditionalFormatting sqref="E1135">
    <cfRule type="containsText" dxfId="1958" priority="2203" operator="containsText" text="Sin Información">
      <formula>NOT(ISERROR(SEARCH("Sin Información",E1135)))</formula>
    </cfRule>
  </conditionalFormatting>
  <conditionalFormatting sqref="C1136:D1136">
    <cfRule type="containsText" dxfId="1957" priority="2202" operator="containsText" text="NO+$D$4:$D$10">
      <formula>NOT(ISERROR(SEARCH("NO+$D$4:$D$10",C1136)))</formula>
    </cfRule>
  </conditionalFormatting>
  <conditionalFormatting sqref="C1136:D1136">
    <cfRule type="containsText" dxfId="1956" priority="2200" operator="containsText" text="SI">
      <formula>NOT(ISERROR(SEARCH("SI",C1136)))</formula>
    </cfRule>
    <cfRule type="containsText" dxfId="1955" priority="2201" operator="containsText" text="NO">
      <formula>NOT(ISERROR(SEARCH("NO",C1136)))</formula>
    </cfRule>
  </conditionalFormatting>
  <conditionalFormatting sqref="C1136:D1136">
    <cfRule type="containsText" dxfId="1954" priority="2199" operator="containsText" text="NUEVO">
      <formula>NOT(ISERROR(SEARCH("NUEVO",C1136)))</formula>
    </cfRule>
  </conditionalFormatting>
  <conditionalFormatting sqref="E1136">
    <cfRule type="containsText" dxfId="1953" priority="2198" operator="containsText" text="Sin información">
      <formula>NOT(ISERROR(SEARCH("Sin información",E1136)))</formula>
    </cfRule>
  </conditionalFormatting>
  <conditionalFormatting sqref="E1136">
    <cfRule type="containsText" dxfId="1952" priority="2197" operator="containsText" text="NUEVO">
      <formula>NOT(ISERROR(SEARCH("NUEVO",E1136)))</formula>
    </cfRule>
  </conditionalFormatting>
  <conditionalFormatting sqref="C1137:D1137">
    <cfRule type="containsText" dxfId="1951" priority="2196" operator="containsText" text="NO+$D$4:$D$10">
      <formula>NOT(ISERROR(SEARCH("NO+$D$4:$D$10",C1137)))</formula>
    </cfRule>
  </conditionalFormatting>
  <conditionalFormatting sqref="C1137:D1137">
    <cfRule type="containsText" dxfId="1950" priority="2194" operator="containsText" text="SI">
      <formula>NOT(ISERROR(SEARCH("SI",C1137)))</formula>
    </cfRule>
    <cfRule type="containsText" dxfId="1949" priority="2195" operator="containsText" text="NO">
      <formula>NOT(ISERROR(SEARCH("NO",C1137)))</formula>
    </cfRule>
  </conditionalFormatting>
  <conditionalFormatting sqref="E1137">
    <cfRule type="containsText" dxfId="1948" priority="2193" operator="containsText" text="Sin información">
      <formula>NOT(ISERROR(SEARCH("Sin información",E1137)))</formula>
    </cfRule>
  </conditionalFormatting>
  <conditionalFormatting sqref="C1137:E1137">
    <cfRule type="containsText" dxfId="1947" priority="2192" operator="containsText" text="NUEVO">
      <formula>NOT(ISERROR(SEARCH("NUEVO",C1137)))</formula>
    </cfRule>
  </conditionalFormatting>
  <conditionalFormatting sqref="C1138:D1138">
    <cfRule type="containsText" dxfId="1946" priority="2191" operator="containsText" text="NO+$D$4:$D$10">
      <formula>NOT(ISERROR(SEARCH("NO+$D$4:$D$10",C1138)))</formula>
    </cfRule>
  </conditionalFormatting>
  <conditionalFormatting sqref="C1138:D1138">
    <cfRule type="containsText" dxfId="1945" priority="2189" operator="containsText" text="SI">
      <formula>NOT(ISERROR(SEARCH("SI",C1138)))</formula>
    </cfRule>
    <cfRule type="containsText" dxfId="1944" priority="2190" operator="containsText" text="NO">
      <formula>NOT(ISERROR(SEARCH("NO",C1138)))</formula>
    </cfRule>
  </conditionalFormatting>
  <conditionalFormatting sqref="E1138">
    <cfRule type="containsText" dxfId="1943" priority="2188" operator="containsText" text="Sin información">
      <formula>NOT(ISERROR(SEARCH("Sin información",E1138)))</formula>
    </cfRule>
  </conditionalFormatting>
  <conditionalFormatting sqref="C1138:E1138">
    <cfRule type="containsText" dxfId="1942" priority="2187" operator="containsText" text="NUEVO">
      <formula>NOT(ISERROR(SEARCH("NUEVO",C1138)))</formula>
    </cfRule>
  </conditionalFormatting>
  <conditionalFormatting sqref="C1139:D1139">
    <cfRule type="containsText" dxfId="1941" priority="2186" operator="containsText" text="NO+$D$4:$D$10">
      <formula>NOT(ISERROR(SEARCH("NO+$D$4:$D$10",C1139)))</formula>
    </cfRule>
  </conditionalFormatting>
  <conditionalFormatting sqref="C1139:D1139">
    <cfRule type="containsText" dxfId="1940" priority="2184" operator="containsText" text="SI">
      <formula>NOT(ISERROR(SEARCH("SI",C1139)))</formula>
    </cfRule>
    <cfRule type="containsText" dxfId="1939" priority="2185" operator="containsText" text="NO">
      <formula>NOT(ISERROR(SEARCH("NO",C1139)))</formula>
    </cfRule>
  </conditionalFormatting>
  <conditionalFormatting sqref="E1139">
    <cfRule type="containsText" dxfId="1938" priority="2183" operator="containsText" text="Sin información">
      <formula>NOT(ISERROR(SEARCH("Sin información",E1139)))</formula>
    </cfRule>
  </conditionalFormatting>
  <conditionalFormatting sqref="C1139:E1139">
    <cfRule type="containsText" dxfId="1937" priority="2182" operator="containsText" text="NUEVO">
      <formula>NOT(ISERROR(SEARCH("NUEVO",C1139)))</formula>
    </cfRule>
  </conditionalFormatting>
  <conditionalFormatting sqref="C1140:D1140">
    <cfRule type="containsText" dxfId="1936" priority="2181" operator="containsText" text="NO+$D$4:$D$10">
      <formula>NOT(ISERROR(SEARCH("NO+$D$4:$D$10",C1140)))</formula>
    </cfRule>
  </conditionalFormatting>
  <conditionalFormatting sqref="C1140:D1140">
    <cfRule type="containsText" dxfId="1935" priority="2179" operator="containsText" text="SI">
      <formula>NOT(ISERROR(SEARCH("SI",C1140)))</formula>
    </cfRule>
    <cfRule type="containsText" dxfId="1934" priority="2180" operator="containsText" text="NO">
      <formula>NOT(ISERROR(SEARCH("NO",C1140)))</formula>
    </cfRule>
  </conditionalFormatting>
  <conditionalFormatting sqref="E1140">
    <cfRule type="containsText" dxfId="1933" priority="2178" operator="containsText" text="Sin información">
      <formula>NOT(ISERROR(SEARCH("Sin información",E1140)))</formula>
    </cfRule>
  </conditionalFormatting>
  <conditionalFormatting sqref="C1140:E1140">
    <cfRule type="containsText" dxfId="1932" priority="2177" operator="containsText" text="NUEVO">
      <formula>NOT(ISERROR(SEARCH("NUEVO",C1140)))</formula>
    </cfRule>
  </conditionalFormatting>
  <conditionalFormatting sqref="C1141:D1141">
    <cfRule type="containsText" dxfId="1931" priority="2176" operator="containsText" text="NO+$D$4:$D$10">
      <formula>NOT(ISERROR(SEARCH("NO+$D$4:$D$10",C1141)))</formula>
    </cfRule>
  </conditionalFormatting>
  <conditionalFormatting sqref="C1141:D1141">
    <cfRule type="containsText" dxfId="1930" priority="2174" operator="containsText" text="SI">
      <formula>NOT(ISERROR(SEARCH("SI",C1141)))</formula>
    </cfRule>
    <cfRule type="containsText" dxfId="1929" priority="2175" operator="containsText" text="NO">
      <formula>NOT(ISERROR(SEARCH("NO",C1141)))</formula>
    </cfRule>
  </conditionalFormatting>
  <conditionalFormatting sqref="E1141">
    <cfRule type="containsText" dxfId="1928" priority="2173" operator="containsText" text="Sin información">
      <formula>NOT(ISERROR(SEARCH("Sin información",E1141)))</formula>
    </cfRule>
  </conditionalFormatting>
  <conditionalFormatting sqref="C1141:E1141">
    <cfRule type="containsText" dxfId="1927" priority="2172" operator="containsText" text="NUEVO">
      <formula>NOT(ISERROR(SEARCH("NUEVO",C1141)))</formula>
    </cfRule>
  </conditionalFormatting>
  <conditionalFormatting sqref="C1142:D1142">
    <cfRule type="containsText" dxfId="1926" priority="2171" operator="containsText" text="NO+$D$4:$D$10">
      <formula>NOT(ISERROR(SEARCH("NO+$D$4:$D$10",C1142)))</formula>
    </cfRule>
  </conditionalFormatting>
  <conditionalFormatting sqref="C1142:D1142">
    <cfRule type="containsText" dxfId="1925" priority="2169" operator="containsText" text="SI">
      <formula>NOT(ISERROR(SEARCH("SI",C1142)))</formula>
    </cfRule>
    <cfRule type="containsText" dxfId="1924" priority="2170" operator="containsText" text="NO">
      <formula>NOT(ISERROR(SEARCH("NO",C1142)))</formula>
    </cfRule>
  </conditionalFormatting>
  <conditionalFormatting sqref="E1142">
    <cfRule type="containsText" dxfId="1923" priority="2168" operator="containsText" text="Sin información">
      <formula>NOT(ISERROR(SEARCH("Sin información",E1142)))</formula>
    </cfRule>
  </conditionalFormatting>
  <conditionalFormatting sqref="C1142:E1142">
    <cfRule type="containsText" dxfId="1922" priority="2167" operator="containsText" text="NUEVO">
      <formula>NOT(ISERROR(SEARCH("NUEVO",C1142)))</formula>
    </cfRule>
  </conditionalFormatting>
  <conditionalFormatting sqref="C1143:D1143">
    <cfRule type="containsText" dxfId="1921" priority="2166" operator="containsText" text="NO+$D$4:$D$10">
      <formula>NOT(ISERROR(SEARCH("NO+$D$4:$D$10",C1143)))</formula>
    </cfRule>
  </conditionalFormatting>
  <conditionalFormatting sqref="C1143:D1143">
    <cfRule type="containsText" dxfId="1920" priority="2164" operator="containsText" text="SI">
      <formula>NOT(ISERROR(SEARCH("SI",C1143)))</formula>
    </cfRule>
    <cfRule type="containsText" dxfId="1919" priority="2165" operator="containsText" text="NO">
      <formula>NOT(ISERROR(SEARCH("NO",C1143)))</formula>
    </cfRule>
  </conditionalFormatting>
  <conditionalFormatting sqref="E1143">
    <cfRule type="containsText" dxfId="1918" priority="2163" operator="containsText" text="Sin información">
      <formula>NOT(ISERROR(SEARCH("Sin información",E1143)))</formula>
    </cfRule>
  </conditionalFormatting>
  <conditionalFormatting sqref="C1143:E1143">
    <cfRule type="containsText" dxfId="1917" priority="2162" operator="containsText" text="NUEVO">
      <formula>NOT(ISERROR(SEARCH("NUEVO",C1143)))</formula>
    </cfRule>
  </conditionalFormatting>
  <conditionalFormatting sqref="C1144:D1144">
    <cfRule type="containsText" dxfId="1916" priority="2161" operator="containsText" text="NO+$D$4:$D$10">
      <formula>NOT(ISERROR(SEARCH("NO+$D$4:$D$10",C1144)))</formula>
    </cfRule>
  </conditionalFormatting>
  <conditionalFormatting sqref="C1144:D1144">
    <cfRule type="containsText" dxfId="1915" priority="2159" operator="containsText" text="SI">
      <formula>NOT(ISERROR(SEARCH("SI",C1144)))</formula>
    </cfRule>
    <cfRule type="containsText" dxfId="1914" priority="2160" operator="containsText" text="NO">
      <formula>NOT(ISERROR(SEARCH("NO",C1144)))</formula>
    </cfRule>
  </conditionalFormatting>
  <conditionalFormatting sqref="E1144">
    <cfRule type="containsText" dxfId="1913" priority="2158" operator="containsText" text="Sin información">
      <formula>NOT(ISERROR(SEARCH("Sin información",E1144)))</formula>
    </cfRule>
  </conditionalFormatting>
  <conditionalFormatting sqref="C1144:E1144">
    <cfRule type="containsText" dxfId="1912" priority="2157" operator="containsText" text="NUEVO">
      <formula>NOT(ISERROR(SEARCH("NUEVO",C1144)))</formula>
    </cfRule>
  </conditionalFormatting>
  <conditionalFormatting sqref="C1145:D1145">
    <cfRule type="containsText" dxfId="1911" priority="2156" operator="containsText" text="NO+$D$4:$D$10">
      <formula>NOT(ISERROR(SEARCH("NO+$D$4:$D$10",C1145)))</formula>
    </cfRule>
  </conditionalFormatting>
  <conditionalFormatting sqref="C1145:D1145">
    <cfRule type="containsText" dxfId="1910" priority="2154" operator="containsText" text="SI">
      <formula>NOT(ISERROR(SEARCH("SI",C1145)))</formula>
    </cfRule>
    <cfRule type="containsText" dxfId="1909" priority="2155" operator="containsText" text="NO">
      <formula>NOT(ISERROR(SEARCH("NO",C1145)))</formula>
    </cfRule>
  </conditionalFormatting>
  <conditionalFormatting sqref="E1145">
    <cfRule type="containsText" dxfId="1908" priority="2153" operator="containsText" text="Sin información">
      <formula>NOT(ISERROR(SEARCH("Sin información",E1145)))</formula>
    </cfRule>
  </conditionalFormatting>
  <conditionalFormatting sqref="C1145:E1145">
    <cfRule type="containsText" dxfId="1907" priority="2152" operator="containsText" text="NUEVO">
      <formula>NOT(ISERROR(SEARCH("NUEVO",C1145)))</formula>
    </cfRule>
  </conditionalFormatting>
  <conditionalFormatting sqref="C1146:D1146">
    <cfRule type="containsText" dxfId="1906" priority="2151" operator="containsText" text="NO+$D$4:$D$10">
      <formula>NOT(ISERROR(SEARCH("NO+$D$4:$D$10",C1146)))</formula>
    </cfRule>
  </conditionalFormatting>
  <conditionalFormatting sqref="C1146:D1146">
    <cfRule type="containsText" dxfId="1905" priority="2149" operator="containsText" text="SI">
      <formula>NOT(ISERROR(SEARCH("SI",C1146)))</formula>
    </cfRule>
    <cfRule type="containsText" dxfId="1904" priority="2150" operator="containsText" text="NO">
      <formula>NOT(ISERROR(SEARCH("NO",C1146)))</formula>
    </cfRule>
  </conditionalFormatting>
  <conditionalFormatting sqref="E1146">
    <cfRule type="containsText" dxfId="1903" priority="2148" operator="containsText" text="Sin información">
      <formula>NOT(ISERROR(SEARCH("Sin información",E1146)))</formula>
    </cfRule>
  </conditionalFormatting>
  <conditionalFormatting sqref="C1146:E1146">
    <cfRule type="containsText" dxfId="1902" priority="2147" operator="containsText" text="NUEVO">
      <formula>NOT(ISERROR(SEARCH("NUEVO",C1146)))</formula>
    </cfRule>
  </conditionalFormatting>
  <conditionalFormatting sqref="C1147:D1147">
    <cfRule type="containsText" dxfId="1901" priority="2146" operator="containsText" text="NO+$D$4:$D$10">
      <formula>NOT(ISERROR(SEARCH("NO+$D$4:$D$10",C1147)))</formula>
    </cfRule>
  </conditionalFormatting>
  <conditionalFormatting sqref="C1147:D1147">
    <cfRule type="containsText" dxfId="1900" priority="2144" operator="containsText" text="SI">
      <formula>NOT(ISERROR(SEARCH("SI",C1147)))</formula>
    </cfRule>
    <cfRule type="containsText" dxfId="1899" priority="2145" operator="containsText" text="NO">
      <formula>NOT(ISERROR(SEARCH("NO",C1147)))</formula>
    </cfRule>
  </conditionalFormatting>
  <conditionalFormatting sqref="E1147">
    <cfRule type="containsText" dxfId="1898" priority="2143" operator="containsText" text="Sin información">
      <formula>NOT(ISERROR(SEARCH("Sin información",E1147)))</formula>
    </cfRule>
  </conditionalFormatting>
  <conditionalFormatting sqref="C1147:E1147">
    <cfRule type="containsText" dxfId="1897" priority="2142" operator="containsText" text="NUEVO">
      <formula>NOT(ISERROR(SEARCH("NUEVO",C1147)))</formula>
    </cfRule>
  </conditionalFormatting>
  <conditionalFormatting sqref="C1148:D1148">
    <cfRule type="containsText" dxfId="1896" priority="2141" operator="containsText" text="NO+$D$4:$D$10">
      <formula>NOT(ISERROR(SEARCH("NO+$D$4:$D$10",C1148)))</formula>
    </cfRule>
  </conditionalFormatting>
  <conditionalFormatting sqref="C1148:D1148">
    <cfRule type="containsText" dxfId="1895" priority="2139" operator="containsText" text="SI">
      <formula>NOT(ISERROR(SEARCH("SI",C1148)))</formula>
    </cfRule>
    <cfRule type="containsText" dxfId="1894" priority="2140" operator="containsText" text="NO">
      <formula>NOT(ISERROR(SEARCH("NO",C1148)))</formula>
    </cfRule>
  </conditionalFormatting>
  <conditionalFormatting sqref="E1148">
    <cfRule type="containsText" dxfId="1893" priority="2138" operator="containsText" text="Sin información">
      <formula>NOT(ISERROR(SEARCH("Sin información",E1148)))</formula>
    </cfRule>
  </conditionalFormatting>
  <conditionalFormatting sqref="C1148:E1148">
    <cfRule type="containsText" dxfId="1892" priority="2137" operator="containsText" text="NUEVO">
      <formula>NOT(ISERROR(SEARCH("NUEVO",C1148)))</formula>
    </cfRule>
  </conditionalFormatting>
  <conditionalFormatting sqref="C1149:D1149">
    <cfRule type="containsText" dxfId="1891" priority="2136" operator="containsText" text="NO+$D$4:$D$10">
      <formula>NOT(ISERROR(SEARCH("NO+$D$4:$D$10",C1149)))</formula>
    </cfRule>
  </conditionalFormatting>
  <conditionalFormatting sqref="C1149:D1149">
    <cfRule type="containsText" dxfId="1890" priority="2134" operator="containsText" text="SI">
      <formula>NOT(ISERROR(SEARCH("SI",C1149)))</formula>
    </cfRule>
    <cfRule type="containsText" dxfId="1889" priority="2135" operator="containsText" text="NO">
      <formula>NOT(ISERROR(SEARCH("NO",C1149)))</formula>
    </cfRule>
  </conditionalFormatting>
  <conditionalFormatting sqref="E1149">
    <cfRule type="containsText" dxfId="1888" priority="2133" operator="containsText" text="Sin información">
      <formula>NOT(ISERROR(SEARCH("Sin información",E1149)))</formula>
    </cfRule>
  </conditionalFormatting>
  <conditionalFormatting sqref="C1149:E1149">
    <cfRule type="containsText" dxfId="1887" priority="2132" operator="containsText" text="NUEVO">
      <formula>NOT(ISERROR(SEARCH("NUEVO",C1149)))</formula>
    </cfRule>
  </conditionalFormatting>
  <conditionalFormatting sqref="C1150:D1150">
    <cfRule type="containsText" dxfId="1886" priority="2125" operator="containsText" text="NO+$D$4:$D$10">
      <formula>NOT(ISERROR(SEARCH("NO+$D$4:$D$10",C1150)))</formula>
    </cfRule>
  </conditionalFormatting>
  <conditionalFormatting sqref="C1150:D1150">
    <cfRule type="containsText" dxfId="1885" priority="2123" operator="containsText" text="SI">
      <formula>NOT(ISERROR(SEARCH("SI",C1150)))</formula>
    </cfRule>
    <cfRule type="containsText" dxfId="1884" priority="2124" operator="containsText" text="NO">
      <formula>NOT(ISERROR(SEARCH("NO",C1150)))</formula>
    </cfRule>
  </conditionalFormatting>
  <conditionalFormatting sqref="E1150">
    <cfRule type="containsText" dxfId="1883" priority="2122" operator="containsText" text="Sin información">
      <formula>NOT(ISERROR(SEARCH("Sin información",E1150)))</formula>
    </cfRule>
  </conditionalFormatting>
  <conditionalFormatting sqref="C1150:E1150">
    <cfRule type="containsText" dxfId="1882" priority="2121" operator="containsText" text="NUEVO">
      <formula>NOT(ISERROR(SEARCH("NUEVO",C1150)))</formula>
    </cfRule>
  </conditionalFormatting>
  <conditionalFormatting sqref="C1151:D1151">
    <cfRule type="containsText" dxfId="1881" priority="2120" operator="containsText" text="NO+$D$4:$D$10">
      <formula>NOT(ISERROR(SEARCH("NO+$D$4:$D$10",C1151)))</formula>
    </cfRule>
  </conditionalFormatting>
  <conditionalFormatting sqref="C1151:D1151">
    <cfRule type="containsText" dxfId="1880" priority="2118" operator="containsText" text="SI">
      <formula>NOT(ISERROR(SEARCH("SI",C1151)))</formula>
    </cfRule>
    <cfRule type="containsText" dxfId="1879" priority="2119" operator="containsText" text="NO">
      <formula>NOT(ISERROR(SEARCH("NO",C1151)))</formula>
    </cfRule>
  </conditionalFormatting>
  <conditionalFormatting sqref="E1151">
    <cfRule type="containsText" dxfId="1878" priority="2117" operator="containsText" text="Sin información">
      <formula>NOT(ISERROR(SEARCH("Sin información",E1151)))</formula>
    </cfRule>
  </conditionalFormatting>
  <conditionalFormatting sqref="C1151:E1151">
    <cfRule type="containsText" dxfId="1877" priority="2116" operator="containsText" text="NUEVO">
      <formula>NOT(ISERROR(SEARCH("NUEVO",C1151)))</formula>
    </cfRule>
  </conditionalFormatting>
  <conditionalFormatting sqref="C1152:D1152">
    <cfRule type="containsText" dxfId="1876" priority="2115" operator="containsText" text="NO+$D$4:$D$10">
      <formula>NOT(ISERROR(SEARCH("NO+$D$4:$D$10",C1152)))</formula>
    </cfRule>
  </conditionalFormatting>
  <conditionalFormatting sqref="C1152:D1152">
    <cfRule type="containsText" dxfId="1875" priority="2113" operator="containsText" text="SI">
      <formula>NOT(ISERROR(SEARCH("SI",C1152)))</formula>
    </cfRule>
    <cfRule type="containsText" dxfId="1874" priority="2114" operator="containsText" text="NO">
      <formula>NOT(ISERROR(SEARCH("NO",C1152)))</formula>
    </cfRule>
  </conditionalFormatting>
  <conditionalFormatting sqref="E1152">
    <cfRule type="containsText" dxfId="1873" priority="2112" operator="containsText" text="Sin información">
      <formula>NOT(ISERROR(SEARCH("Sin información",E1152)))</formula>
    </cfRule>
  </conditionalFormatting>
  <conditionalFormatting sqref="C1152:E1152">
    <cfRule type="containsText" dxfId="1872" priority="2111" operator="containsText" text="NUEVO">
      <formula>NOT(ISERROR(SEARCH("NUEVO",C1152)))</formula>
    </cfRule>
  </conditionalFormatting>
  <conditionalFormatting sqref="C1153:D1153">
    <cfRule type="containsText" dxfId="1871" priority="2110" operator="containsText" text="NO+$D$4:$D$10">
      <formula>NOT(ISERROR(SEARCH("NO+$D$4:$D$10",C1153)))</formula>
    </cfRule>
  </conditionalFormatting>
  <conditionalFormatting sqref="C1153:D1153">
    <cfRule type="containsText" dxfId="1870" priority="2108" operator="containsText" text="SI">
      <formula>NOT(ISERROR(SEARCH("SI",C1153)))</formula>
    </cfRule>
    <cfRule type="containsText" dxfId="1869" priority="2109" operator="containsText" text="NO">
      <formula>NOT(ISERROR(SEARCH("NO",C1153)))</formula>
    </cfRule>
  </conditionalFormatting>
  <conditionalFormatting sqref="C1153:D1153">
    <cfRule type="containsText" dxfId="1868" priority="2107" operator="containsText" text="NUEVO">
      <formula>NOT(ISERROR(SEARCH("NUEVO",C1153)))</formula>
    </cfRule>
  </conditionalFormatting>
  <conditionalFormatting sqref="E1153">
    <cfRule type="containsText" dxfId="1867" priority="2106" operator="containsText" text="Sin información">
      <formula>NOT(ISERROR(SEARCH("Sin información",E1153)))</formula>
    </cfRule>
  </conditionalFormatting>
  <conditionalFormatting sqref="E1153">
    <cfRule type="containsText" dxfId="1866" priority="2105" operator="containsText" text="NUEVO">
      <formula>NOT(ISERROR(SEARCH("NUEVO",E1153)))</formula>
    </cfRule>
  </conditionalFormatting>
  <conditionalFormatting sqref="C1154:D1154">
    <cfRule type="containsText" dxfId="1865" priority="2104" operator="containsText" text="NO+$D$4:$D$10">
      <formula>NOT(ISERROR(SEARCH("NO+$D$4:$D$10",C1154)))</formula>
    </cfRule>
  </conditionalFormatting>
  <conditionalFormatting sqref="C1154:D1154">
    <cfRule type="containsText" dxfId="1864" priority="2102" operator="containsText" text="SI">
      <formula>NOT(ISERROR(SEARCH("SI",C1154)))</formula>
    </cfRule>
    <cfRule type="containsText" dxfId="1863" priority="2103" operator="containsText" text="NO">
      <formula>NOT(ISERROR(SEARCH("NO",C1154)))</formula>
    </cfRule>
  </conditionalFormatting>
  <conditionalFormatting sqref="C1154:D1154">
    <cfRule type="containsText" dxfId="1862" priority="2101" operator="containsText" text="NUEVO">
      <formula>NOT(ISERROR(SEARCH("NUEVO",C1154)))</formula>
    </cfRule>
  </conditionalFormatting>
  <conditionalFormatting sqref="E1154">
    <cfRule type="containsText" dxfId="1861" priority="2100" operator="containsText" text="Sin información">
      <formula>NOT(ISERROR(SEARCH("Sin información",E1154)))</formula>
    </cfRule>
  </conditionalFormatting>
  <conditionalFormatting sqref="E1154">
    <cfRule type="containsText" dxfId="1860" priority="2099" operator="containsText" text="NUEVO">
      <formula>NOT(ISERROR(SEARCH("NUEVO",E1154)))</formula>
    </cfRule>
  </conditionalFormatting>
  <conditionalFormatting sqref="C1155:D1155">
    <cfRule type="containsText" dxfId="1859" priority="2098" operator="containsText" text="NO+$D$4:$D$10">
      <formula>NOT(ISERROR(SEARCH("NO+$D$4:$D$10",C1155)))</formula>
    </cfRule>
  </conditionalFormatting>
  <conditionalFormatting sqref="C1155:D1155">
    <cfRule type="containsText" dxfId="1858" priority="2096" operator="containsText" text="SI">
      <formula>NOT(ISERROR(SEARCH("SI",C1155)))</formula>
    </cfRule>
    <cfRule type="containsText" dxfId="1857" priority="2097" operator="containsText" text="NO">
      <formula>NOT(ISERROR(SEARCH("NO",C1155)))</formula>
    </cfRule>
  </conditionalFormatting>
  <conditionalFormatting sqref="E1155">
    <cfRule type="containsText" dxfId="1856" priority="2095" operator="containsText" text="Sin información">
      <formula>NOT(ISERROR(SEARCH("Sin información",E1155)))</formula>
    </cfRule>
  </conditionalFormatting>
  <conditionalFormatting sqref="C1155:E1155">
    <cfRule type="containsText" dxfId="1855" priority="2094" operator="containsText" text="NUEVO">
      <formula>NOT(ISERROR(SEARCH("NUEVO",C1155)))</formula>
    </cfRule>
  </conditionalFormatting>
  <conditionalFormatting sqref="C1156:D1156">
    <cfRule type="containsText" dxfId="1854" priority="2093" operator="containsText" text="NO+$D$4:$D$10">
      <formula>NOT(ISERROR(SEARCH("NO+$D$4:$D$10",C1156)))</formula>
    </cfRule>
  </conditionalFormatting>
  <conditionalFormatting sqref="C1156:D1156">
    <cfRule type="containsText" dxfId="1853" priority="2091" operator="containsText" text="SI">
      <formula>NOT(ISERROR(SEARCH("SI",C1156)))</formula>
    </cfRule>
    <cfRule type="containsText" dxfId="1852" priority="2092" operator="containsText" text="NO">
      <formula>NOT(ISERROR(SEARCH("NO",C1156)))</formula>
    </cfRule>
  </conditionalFormatting>
  <conditionalFormatting sqref="E1156">
    <cfRule type="containsText" dxfId="1851" priority="2090" operator="containsText" text="Sin información">
      <formula>NOT(ISERROR(SEARCH("Sin información",E1156)))</formula>
    </cfRule>
  </conditionalFormatting>
  <conditionalFormatting sqref="C1156:E1156">
    <cfRule type="containsText" dxfId="1850" priority="2089" operator="containsText" text="NUEVO">
      <formula>NOT(ISERROR(SEARCH("NUEVO",C1156)))</formula>
    </cfRule>
  </conditionalFormatting>
  <conditionalFormatting sqref="C1157:D1157">
    <cfRule type="containsText" dxfId="1849" priority="2088" operator="containsText" text="NO+$D$4:$D$10">
      <formula>NOT(ISERROR(SEARCH("NO+$D$4:$D$10",C1157)))</formula>
    </cfRule>
  </conditionalFormatting>
  <conditionalFormatting sqref="C1157:D1157">
    <cfRule type="containsText" dxfId="1848" priority="2086" operator="containsText" text="SI">
      <formula>NOT(ISERROR(SEARCH("SI",C1157)))</formula>
    </cfRule>
    <cfRule type="containsText" dxfId="1847" priority="2087" operator="containsText" text="NO">
      <formula>NOT(ISERROR(SEARCH("NO",C1157)))</formula>
    </cfRule>
  </conditionalFormatting>
  <conditionalFormatting sqref="E1157">
    <cfRule type="containsText" dxfId="1846" priority="2085" operator="containsText" text="Sin información">
      <formula>NOT(ISERROR(SEARCH("Sin información",E1157)))</formula>
    </cfRule>
  </conditionalFormatting>
  <conditionalFormatting sqref="C1157:E1157">
    <cfRule type="containsText" dxfId="1845" priority="2084" operator="containsText" text="NUEVO">
      <formula>NOT(ISERROR(SEARCH("NUEVO",C1157)))</formula>
    </cfRule>
  </conditionalFormatting>
  <conditionalFormatting sqref="C1158:D1158">
    <cfRule type="containsText" dxfId="1844" priority="2083" operator="containsText" text="NO+$D$4:$D$10">
      <formula>NOT(ISERROR(SEARCH("NO+$D$4:$D$10",C1158)))</formula>
    </cfRule>
  </conditionalFormatting>
  <conditionalFormatting sqref="C1158:D1158">
    <cfRule type="containsText" dxfId="1843" priority="2081" operator="containsText" text="SI">
      <formula>NOT(ISERROR(SEARCH("SI",C1158)))</formula>
    </cfRule>
    <cfRule type="containsText" dxfId="1842" priority="2082" operator="containsText" text="NO">
      <formula>NOT(ISERROR(SEARCH("NO",C1158)))</formula>
    </cfRule>
  </conditionalFormatting>
  <conditionalFormatting sqref="E1158">
    <cfRule type="containsText" dxfId="1841" priority="2080" operator="containsText" text="Sin información">
      <formula>NOT(ISERROR(SEARCH("Sin información",E1158)))</formula>
    </cfRule>
  </conditionalFormatting>
  <conditionalFormatting sqref="C1158:E1158">
    <cfRule type="containsText" dxfId="1840" priority="2079" operator="containsText" text="NUEVO">
      <formula>NOT(ISERROR(SEARCH("NUEVO",C1158)))</formula>
    </cfRule>
  </conditionalFormatting>
  <conditionalFormatting sqref="C1159:D1159">
    <cfRule type="containsText" dxfId="1839" priority="2078" operator="containsText" text="NO+$D$4:$D$10">
      <formula>NOT(ISERROR(SEARCH("NO+$D$4:$D$10",C1159)))</formula>
    </cfRule>
  </conditionalFormatting>
  <conditionalFormatting sqref="C1159:D1159">
    <cfRule type="containsText" dxfId="1838" priority="2076" operator="containsText" text="SI">
      <formula>NOT(ISERROR(SEARCH("SI",C1159)))</formula>
    </cfRule>
    <cfRule type="containsText" dxfId="1837" priority="2077" operator="containsText" text="NO">
      <formula>NOT(ISERROR(SEARCH("NO",C1159)))</formula>
    </cfRule>
  </conditionalFormatting>
  <conditionalFormatting sqref="E1159">
    <cfRule type="containsText" dxfId="1836" priority="2075" operator="containsText" text="Sin información">
      <formula>NOT(ISERROR(SEARCH("Sin información",E1159)))</formula>
    </cfRule>
  </conditionalFormatting>
  <conditionalFormatting sqref="C1159:E1159">
    <cfRule type="containsText" dxfId="1835" priority="2074" operator="containsText" text="NUEVO">
      <formula>NOT(ISERROR(SEARCH("NUEVO",C1159)))</formula>
    </cfRule>
  </conditionalFormatting>
  <conditionalFormatting sqref="C1160:D1160">
    <cfRule type="containsText" dxfId="1834" priority="2068" operator="containsText" text="NO+$D$4:$D$10">
      <formula>NOT(ISERROR(SEARCH("NO+$D$4:$D$10",C1160)))</formula>
    </cfRule>
  </conditionalFormatting>
  <conditionalFormatting sqref="C1160:D1160">
    <cfRule type="containsText" dxfId="1833" priority="2066" operator="containsText" text="SI">
      <formula>NOT(ISERROR(SEARCH("SI",C1160)))</formula>
    </cfRule>
    <cfRule type="containsText" dxfId="1832" priority="2067" operator="containsText" text="NO">
      <formula>NOT(ISERROR(SEARCH("NO",C1160)))</formula>
    </cfRule>
  </conditionalFormatting>
  <conditionalFormatting sqref="C1160:D1160">
    <cfRule type="containsText" dxfId="1831" priority="2065" operator="containsText" text="NUEVO">
      <formula>NOT(ISERROR(SEARCH("NUEVO",C1160)))</formula>
    </cfRule>
  </conditionalFormatting>
  <conditionalFormatting sqref="E1160">
    <cfRule type="containsText" dxfId="1830" priority="2064" operator="containsText" text="Sin información">
      <formula>NOT(ISERROR(SEARCH("Sin información",E1160)))</formula>
    </cfRule>
  </conditionalFormatting>
  <conditionalFormatting sqref="E1160">
    <cfRule type="containsText" dxfId="1829" priority="2063" operator="containsText" text="NUEVO">
      <formula>NOT(ISERROR(SEARCH("NUEVO",E1160)))</formula>
    </cfRule>
  </conditionalFormatting>
  <conditionalFormatting sqref="C1161:D1161">
    <cfRule type="containsText" dxfId="1828" priority="2062" operator="containsText" text="NO+$D$4:$D$10">
      <formula>NOT(ISERROR(SEARCH("NO+$D$4:$D$10",C1161)))</formula>
    </cfRule>
  </conditionalFormatting>
  <conditionalFormatting sqref="C1161:D1161">
    <cfRule type="containsText" dxfId="1827" priority="2060" operator="containsText" text="SI">
      <formula>NOT(ISERROR(SEARCH("SI",C1161)))</formula>
    </cfRule>
    <cfRule type="containsText" dxfId="1826" priority="2061" operator="containsText" text="NO">
      <formula>NOT(ISERROR(SEARCH("NO",C1161)))</formula>
    </cfRule>
  </conditionalFormatting>
  <conditionalFormatting sqref="C1161:D1161">
    <cfRule type="containsText" dxfId="1825" priority="2059" operator="containsText" text="NUEVO">
      <formula>NOT(ISERROR(SEARCH("NUEVO",C1161)))</formula>
    </cfRule>
  </conditionalFormatting>
  <conditionalFormatting sqref="E1161">
    <cfRule type="containsText" dxfId="1824" priority="2057" operator="containsText" text="NUEVO">
      <formula>NOT(ISERROR(SEARCH("NUEVO",E1161)))</formula>
    </cfRule>
  </conditionalFormatting>
  <conditionalFormatting sqref="E1161">
    <cfRule type="containsText" dxfId="1823" priority="2058" operator="containsText" text="Sin información">
      <formula>NOT(ISERROR(SEARCH("Sin información",E1161)))</formula>
    </cfRule>
  </conditionalFormatting>
  <conditionalFormatting sqref="C1162:D1162">
    <cfRule type="containsText" dxfId="1822" priority="2056" operator="containsText" text="NO+$D$4:$D$10">
      <formula>NOT(ISERROR(SEARCH("NO+$D$4:$D$10",C1162)))</formula>
    </cfRule>
  </conditionalFormatting>
  <conditionalFormatting sqref="C1162:D1162">
    <cfRule type="containsText" dxfId="1821" priority="2054" operator="containsText" text="SI">
      <formula>NOT(ISERROR(SEARCH("SI",C1162)))</formula>
    </cfRule>
    <cfRule type="containsText" dxfId="1820" priority="2055" operator="containsText" text="NO">
      <formula>NOT(ISERROR(SEARCH("NO",C1162)))</formula>
    </cfRule>
  </conditionalFormatting>
  <conditionalFormatting sqref="C1162:D1162">
    <cfRule type="containsText" dxfId="1819" priority="2053" operator="containsText" text="NUEVO">
      <formula>NOT(ISERROR(SEARCH("NUEVO",C1162)))</formula>
    </cfRule>
  </conditionalFormatting>
  <conditionalFormatting sqref="E1162">
    <cfRule type="containsText" dxfId="1818" priority="2052" operator="containsText" text="Sin información">
      <formula>NOT(ISERROR(SEARCH("Sin información",E1162)))</formula>
    </cfRule>
  </conditionalFormatting>
  <conditionalFormatting sqref="E1162">
    <cfRule type="containsText" dxfId="1817" priority="2051" operator="containsText" text="NUEVO">
      <formula>NOT(ISERROR(SEARCH("NUEVO",E1162)))</formula>
    </cfRule>
  </conditionalFormatting>
  <conditionalFormatting sqref="C1163:D1163">
    <cfRule type="containsText" dxfId="1816" priority="2050" operator="containsText" text="NO+$D$4:$D$10">
      <formula>NOT(ISERROR(SEARCH("NO+$D$4:$D$10",C1163)))</formula>
    </cfRule>
  </conditionalFormatting>
  <conditionalFormatting sqref="C1163:D1163">
    <cfRule type="containsText" dxfId="1815" priority="2048" operator="containsText" text="SI">
      <formula>NOT(ISERROR(SEARCH("SI",C1163)))</formula>
    </cfRule>
    <cfRule type="containsText" dxfId="1814" priority="2049" operator="containsText" text="NO">
      <formula>NOT(ISERROR(SEARCH("NO",C1163)))</formula>
    </cfRule>
  </conditionalFormatting>
  <conditionalFormatting sqref="C1163:D1163">
    <cfRule type="containsText" dxfId="1813" priority="2047" operator="containsText" text="NUEVO">
      <formula>NOT(ISERROR(SEARCH("NUEVO",C1163)))</formula>
    </cfRule>
  </conditionalFormatting>
  <conditionalFormatting sqref="E1163">
    <cfRule type="containsText" dxfId="1812" priority="2046" operator="containsText" text="Sin información">
      <formula>NOT(ISERROR(SEARCH("Sin información",E1163)))</formula>
    </cfRule>
  </conditionalFormatting>
  <conditionalFormatting sqref="E1163">
    <cfRule type="containsText" dxfId="1811" priority="2045" operator="containsText" text="NUEVO">
      <formula>NOT(ISERROR(SEARCH("NUEVO",E1163)))</formula>
    </cfRule>
  </conditionalFormatting>
  <conditionalFormatting sqref="C1164:D1164">
    <cfRule type="containsText" dxfId="1810" priority="2044" operator="containsText" text="NO+$D$4:$D$10">
      <formula>NOT(ISERROR(SEARCH("NO+$D$4:$D$10",C1164)))</formula>
    </cfRule>
  </conditionalFormatting>
  <conditionalFormatting sqref="C1164:D1164">
    <cfRule type="containsText" dxfId="1809" priority="2042" operator="containsText" text="SI">
      <formula>NOT(ISERROR(SEARCH("SI",C1164)))</formula>
    </cfRule>
    <cfRule type="containsText" dxfId="1808" priority="2043" operator="containsText" text="NO">
      <formula>NOT(ISERROR(SEARCH("NO",C1164)))</formula>
    </cfRule>
  </conditionalFormatting>
  <conditionalFormatting sqref="C1164:D1164">
    <cfRule type="containsText" dxfId="1807" priority="2041" operator="containsText" text="NUEVO">
      <formula>NOT(ISERROR(SEARCH("NUEVO",C1164)))</formula>
    </cfRule>
  </conditionalFormatting>
  <conditionalFormatting sqref="E1164">
    <cfRule type="containsText" dxfId="1806" priority="2039" operator="containsText" text="NUEVO">
      <formula>NOT(ISERROR(SEARCH("NUEVO",E1164)))</formula>
    </cfRule>
  </conditionalFormatting>
  <conditionalFormatting sqref="E1164">
    <cfRule type="containsText" dxfId="1805" priority="2040" operator="containsText" text="Sin información">
      <formula>NOT(ISERROR(SEARCH("Sin información",E1164)))</formula>
    </cfRule>
  </conditionalFormatting>
  <conditionalFormatting sqref="C1165:D1165">
    <cfRule type="containsText" dxfId="1804" priority="2038" operator="containsText" text="NO+$D$4:$D$10">
      <formula>NOT(ISERROR(SEARCH("NO+$D$4:$D$10",C1165)))</formula>
    </cfRule>
  </conditionalFormatting>
  <conditionalFormatting sqref="C1165:D1165">
    <cfRule type="containsText" dxfId="1803" priority="2036" operator="containsText" text="SI">
      <formula>NOT(ISERROR(SEARCH("SI",C1165)))</formula>
    </cfRule>
    <cfRule type="containsText" dxfId="1802" priority="2037" operator="containsText" text="NO">
      <formula>NOT(ISERROR(SEARCH("NO",C1165)))</formula>
    </cfRule>
  </conditionalFormatting>
  <conditionalFormatting sqref="C1165:D1165">
    <cfRule type="containsText" dxfId="1801" priority="2035" operator="containsText" text="NUEVO">
      <formula>NOT(ISERROR(SEARCH("NUEVO",C1165)))</formula>
    </cfRule>
  </conditionalFormatting>
  <conditionalFormatting sqref="E1165">
    <cfRule type="containsText" dxfId="1800" priority="2034" operator="containsText" text="Sin información">
      <formula>NOT(ISERROR(SEARCH("Sin información",E1165)))</formula>
    </cfRule>
  </conditionalFormatting>
  <conditionalFormatting sqref="E1165">
    <cfRule type="containsText" dxfId="1799" priority="2033" operator="containsText" text="NUEVO">
      <formula>NOT(ISERROR(SEARCH("NUEVO",E1165)))</formula>
    </cfRule>
  </conditionalFormatting>
  <conditionalFormatting sqref="C1166:D1166">
    <cfRule type="containsText" dxfId="1798" priority="2032" operator="containsText" text="NO+$D$4:$D$10">
      <formula>NOT(ISERROR(SEARCH("NO+$D$4:$D$10",C1166)))</formula>
    </cfRule>
  </conditionalFormatting>
  <conditionalFormatting sqref="C1166:D1166">
    <cfRule type="containsText" dxfId="1797" priority="2030" operator="containsText" text="SI">
      <formula>NOT(ISERROR(SEARCH("SI",C1166)))</formula>
    </cfRule>
    <cfRule type="containsText" dxfId="1796" priority="2031" operator="containsText" text="NO">
      <formula>NOT(ISERROR(SEARCH("NO",C1166)))</formula>
    </cfRule>
  </conditionalFormatting>
  <conditionalFormatting sqref="E1166">
    <cfRule type="containsText" dxfId="1795" priority="2029" operator="containsText" text="Sin información">
      <formula>NOT(ISERROR(SEARCH("Sin información",E1166)))</formula>
    </cfRule>
  </conditionalFormatting>
  <conditionalFormatting sqref="C1166:E1166">
    <cfRule type="containsText" dxfId="1794" priority="2028" operator="containsText" text="NUEVO">
      <formula>NOT(ISERROR(SEARCH("NUEVO",C1166)))</formula>
    </cfRule>
  </conditionalFormatting>
  <conditionalFormatting sqref="C1167:D1167">
    <cfRule type="containsText" dxfId="1793" priority="2027" operator="containsText" text="NO+$D$4:$D$10">
      <formula>NOT(ISERROR(SEARCH("NO+$D$4:$D$10",C1167)))</formula>
    </cfRule>
  </conditionalFormatting>
  <conditionalFormatting sqref="C1167:D1167">
    <cfRule type="containsText" dxfId="1792" priority="2025" operator="containsText" text="SI">
      <formula>NOT(ISERROR(SEARCH("SI",C1167)))</formula>
    </cfRule>
    <cfRule type="containsText" dxfId="1791" priority="2026" operator="containsText" text="NO">
      <formula>NOT(ISERROR(SEARCH("NO",C1167)))</formula>
    </cfRule>
  </conditionalFormatting>
  <conditionalFormatting sqref="E1167">
    <cfRule type="containsText" dxfId="1790" priority="2024" operator="containsText" text="Sin información">
      <formula>NOT(ISERROR(SEARCH("Sin información",E1167)))</formula>
    </cfRule>
  </conditionalFormatting>
  <conditionalFormatting sqref="C1167:E1167">
    <cfRule type="containsText" dxfId="1789" priority="2023" operator="containsText" text="NUEVO">
      <formula>NOT(ISERROR(SEARCH("NUEVO",C1167)))</formula>
    </cfRule>
  </conditionalFormatting>
  <conditionalFormatting sqref="C1168:D1168">
    <cfRule type="containsText" dxfId="1788" priority="2022" operator="containsText" text="NO+$D$4:$D$10">
      <formula>NOT(ISERROR(SEARCH("NO+$D$4:$D$10",C1168)))</formula>
    </cfRule>
  </conditionalFormatting>
  <conditionalFormatting sqref="C1168:D1168">
    <cfRule type="containsText" dxfId="1787" priority="2020" operator="containsText" text="SI">
      <formula>NOT(ISERROR(SEARCH("SI",C1168)))</formula>
    </cfRule>
    <cfRule type="containsText" dxfId="1786" priority="2021" operator="containsText" text="NO">
      <formula>NOT(ISERROR(SEARCH("NO",C1168)))</formula>
    </cfRule>
  </conditionalFormatting>
  <conditionalFormatting sqref="C1168:D1168">
    <cfRule type="containsText" dxfId="1785" priority="2019" operator="containsText" text="NUEVO">
      <formula>NOT(ISERROR(SEARCH("NUEVO",C1168)))</formula>
    </cfRule>
  </conditionalFormatting>
  <conditionalFormatting sqref="E1168">
    <cfRule type="containsText" dxfId="1784" priority="2018" operator="containsText" text="Sin información">
      <formula>NOT(ISERROR(SEARCH("Sin información",E1168)))</formula>
    </cfRule>
  </conditionalFormatting>
  <conditionalFormatting sqref="E1168">
    <cfRule type="containsText" dxfId="1783" priority="2017" operator="containsText" text="NUEVO">
      <formula>NOT(ISERROR(SEARCH("NUEVO",E1168)))</formula>
    </cfRule>
  </conditionalFormatting>
  <conditionalFormatting sqref="C1169:D1169">
    <cfRule type="containsText" dxfId="1782" priority="2016" operator="containsText" text="NO+$D$4:$D$10">
      <formula>NOT(ISERROR(SEARCH("NO+$D$4:$D$10",C1169)))</formula>
    </cfRule>
  </conditionalFormatting>
  <conditionalFormatting sqref="C1169:D1169">
    <cfRule type="containsText" dxfId="1781" priority="2014" operator="containsText" text="SI">
      <formula>NOT(ISERROR(SEARCH("SI",C1169)))</formula>
    </cfRule>
    <cfRule type="containsText" dxfId="1780" priority="2015" operator="containsText" text="NO">
      <formula>NOT(ISERROR(SEARCH("NO",C1169)))</formula>
    </cfRule>
  </conditionalFormatting>
  <conditionalFormatting sqref="C1169:D1169">
    <cfRule type="containsText" dxfId="1779" priority="2013" operator="containsText" text="NUEVO">
      <formula>NOT(ISERROR(SEARCH("NUEVO",C1169)))</formula>
    </cfRule>
  </conditionalFormatting>
  <conditionalFormatting sqref="E1169">
    <cfRule type="containsText" dxfId="1778" priority="2012" operator="containsText" text="Sin información">
      <formula>NOT(ISERROR(SEARCH("Sin información",E1169)))</formula>
    </cfRule>
  </conditionalFormatting>
  <conditionalFormatting sqref="E1169">
    <cfRule type="containsText" dxfId="1777" priority="2011" operator="containsText" text="NUEVO">
      <formula>NOT(ISERROR(SEARCH("NUEVO",E1169)))</formula>
    </cfRule>
  </conditionalFormatting>
  <conditionalFormatting sqref="C1170:D1170">
    <cfRule type="containsText" dxfId="1776" priority="2010" operator="containsText" text="NO+$D$4:$D$10">
      <formula>NOT(ISERROR(SEARCH("NO+$D$4:$D$10",C1170)))</formula>
    </cfRule>
  </conditionalFormatting>
  <conditionalFormatting sqref="C1170:D1170">
    <cfRule type="containsText" dxfId="1775" priority="2008" operator="containsText" text="SI">
      <formula>NOT(ISERROR(SEARCH("SI",C1170)))</formula>
    </cfRule>
    <cfRule type="containsText" dxfId="1774" priority="2009" operator="containsText" text="NO">
      <formula>NOT(ISERROR(SEARCH("NO",C1170)))</formula>
    </cfRule>
  </conditionalFormatting>
  <conditionalFormatting sqref="C1170:D1170">
    <cfRule type="containsText" dxfId="1773" priority="2007" operator="containsText" text="NUEVO">
      <formula>NOT(ISERROR(SEARCH("NUEVO",C1170)))</formula>
    </cfRule>
  </conditionalFormatting>
  <conditionalFormatting sqref="E1170">
    <cfRule type="containsText" dxfId="1772" priority="2006" operator="containsText" text="Sin información">
      <formula>NOT(ISERROR(SEARCH("Sin información",E1170)))</formula>
    </cfRule>
  </conditionalFormatting>
  <conditionalFormatting sqref="E1170">
    <cfRule type="containsText" dxfId="1771" priority="2005" operator="containsText" text="NUEVO">
      <formula>NOT(ISERROR(SEARCH("NUEVO",E1170)))</formula>
    </cfRule>
  </conditionalFormatting>
  <conditionalFormatting sqref="C1171:D1171">
    <cfRule type="containsText" dxfId="1770" priority="2004" operator="containsText" text="NO+$D$4:$D$10">
      <formula>NOT(ISERROR(SEARCH("NO+$D$4:$D$10",C1171)))</formula>
    </cfRule>
  </conditionalFormatting>
  <conditionalFormatting sqref="C1171:D1171">
    <cfRule type="containsText" dxfId="1769" priority="2002" operator="containsText" text="SI">
      <formula>NOT(ISERROR(SEARCH("SI",C1171)))</formula>
    </cfRule>
    <cfRule type="containsText" dxfId="1768" priority="2003" operator="containsText" text="NO">
      <formula>NOT(ISERROR(SEARCH("NO",C1171)))</formula>
    </cfRule>
  </conditionalFormatting>
  <conditionalFormatting sqref="C1171:D1171">
    <cfRule type="containsText" dxfId="1767" priority="2001" operator="containsText" text="NUEVO">
      <formula>NOT(ISERROR(SEARCH("NUEVO",C1171)))</formula>
    </cfRule>
  </conditionalFormatting>
  <conditionalFormatting sqref="E1171">
    <cfRule type="containsText" dxfId="1766" priority="1999" operator="containsText" text="NUEVO">
      <formula>NOT(ISERROR(SEARCH("NUEVO",E1171)))</formula>
    </cfRule>
  </conditionalFormatting>
  <conditionalFormatting sqref="E1171">
    <cfRule type="containsText" dxfId="1765" priority="2000" operator="containsText" text="Sin información">
      <formula>NOT(ISERROR(SEARCH("Sin información",E1171)))</formula>
    </cfRule>
  </conditionalFormatting>
  <conditionalFormatting sqref="C1172:D1172">
    <cfRule type="containsText" dxfId="1764" priority="1998" operator="containsText" text="NO+$D$4:$D$10">
      <formula>NOT(ISERROR(SEARCH("NO+$D$4:$D$10",C1172)))</formula>
    </cfRule>
  </conditionalFormatting>
  <conditionalFormatting sqref="C1172:D1172">
    <cfRule type="containsText" dxfId="1763" priority="1996" operator="containsText" text="SI">
      <formula>NOT(ISERROR(SEARCH("SI",C1172)))</formula>
    </cfRule>
    <cfRule type="containsText" dxfId="1762" priority="1997" operator="containsText" text="NO">
      <formula>NOT(ISERROR(SEARCH("NO",C1172)))</formula>
    </cfRule>
  </conditionalFormatting>
  <conditionalFormatting sqref="E1172">
    <cfRule type="containsText" dxfId="1761" priority="1995" operator="containsText" text="Sin información">
      <formula>NOT(ISERROR(SEARCH("Sin información",E1172)))</formula>
    </cfRule>
  </conditionalFormatting>
  <conditionalFormatting sqref="C1172:E1172">
    <cfRule type="containsText" dxfId="1760" priority="1994" operator="containsText" text="NUEVO">
      <formula>NOT(ISERROR(SEARCH("NUEVO",C1172)))</formula>
    </cfRule>
  </conditionalFormatting>
  <conditionalFormatting sqref="C1173:D1173">
    <cfRule type="containsText" dxfId="1759" priority="1993" operator="containsText" text="NO+$D$4:$D$10">
      <formula>NOT(ISERROR(SEARCH("NO+$D$4:$D$10",C1173)))</formula>
    </cfRule>
  </conditionalFormatting>
  <conditionalFormatting sqref="C1173:D1173">
    <cfRule type="containsText" dxfId="1758" priority="1991" operator="containsText" text="SI">
      <formula>NOT(ISERROR(SEARCH("SI",C1173)))</formula>
    </cfRule>
    <cfRule type="containsText" dxfId="1757" priority="1992" operator="containsText" text="NO">
      <formula>NOT(ISERROR(SEARCH("NO",C1173)))</formula>
    </cfRule>
  </conditionalFormatting>
  <conditionalFormatting sqref="E1173">
    <cfRule type="containsText" dxfId="1756" priority="1990" operator="containsText" text="Sin información">
      <formula>NOT(ISERROR(SEARCH("Sin información",E1173)))</formula>
    </cfRule>
  </conditionalFormatting>
  <conditionalFormatting sqref="C1173:E1173">
    <cfRule type="containsText" dxfId="1755" priority="1989" operator="containsText" text="NUEVO">
      <formula>NOT(ISERROR(SEARCH("NUEVO",C1173)))</formula>
    </cfRule>
  </conditionalFormatting>
  <conditionalFormatting sqref="E1173">
    <cfRule type="containsText" dxfId="1754" priority="1988" operator="containsText" text="Sin Información">
      <formula>NOT(ISERROR(SEARCH("Sin Información",E1173)))</formula>
    </cfRule>
  </conditionalFormatting>
  <conditionalFormatting sqref="C1174:D1174">
    <cfRule type="containsText" dxfId="1753" priority="1987" operator="containsText" text="NO+$D$4:$D$10">
      <formula>NOT(ISERROR(SEARCH("NO+$D$4:$D$10",C1174)))</formula>
    </cfRule>
  </conditionalFormatting>
  <conditionalFormatting sqref="C1174:D1174">
    <cfRule type="containsText" dxfId="1752" priority="1985" operator="containsText" text="SI">
      <formula>NOT(ISERROR(SEARCH("SI",C1174)))</formula>
    </cfRule>
    <cfRule type="containsText" dxfId="1751" priority="1986" operator="containsText" text="NO">
      <formula>NOT(ISERROR(SEARCH("NO",C1174)))</formula>
    </cfRule>
  </conditionalFormatting>
  <conditionalFormatting sqref="E1174">
    <cfRule type="containsText" dxfId="1750" priority="1984" operator="containsText" text="Sin información">
      <formula>NOT(ISERROR(SEARCH("Sin información",E1174)))</formula>
    </cfRule>
  </conditionalFormatting>
  <conditionalFormatting sqref="C1174:E1174">
    <cfRule type="containsText" dxfId="1749" priority="1983" operator="containsText" text="NUEVO">
      <formula>NOT(ISERROR(SEARCH("NUEVO",C1174)))</formula>
    </cfRule>
  </conditionalFormatting>
  <conditionalFormatting sqref="E1174">
    <cfRule type="containsText" dxfId="1748" priority="1982" operator="containsText" text="Sin Información">
      <formula>NOT(ISERROR(SEARCH("Sin Información",E1174)))</formula>
    </cfRule>
  </conditionalFormatting>
  <conditionalFormatting sqref="C1175:D1175">
    <cfRule type="containsText" dxfId="1747" priority="1981" operator="containsText" text="NO+$D$4:$D$10">
      <formula>NOT(ISERROR(SEARCH("NO+$D$4:$D$10",C1175)))</formula>
    </cfRule>
  </conditionalFormatting>
  <conditionalFormatting sqref="C1175:D1175">
    <cfRule type="containsText" dxfId="1746" priority="1979" operator="containsText" text="SI">
      <formula>NOT(ISERROR(SEARCH("SI",C1175)))</formula>
    </cfRule>
    <cfRule type="containsText" dxfId="1745" priority="1980" operator="containsText" text="NO">
      <formula>NOT(ISERROR(SEARCH("NO",C1175)))</formula>
    </cfRule>
  </conditionalFormatting>
  <conditionalFormatting sqref="E1175">
    <cfRule type="containsText" dxfId="1744" priority="1978" operator="containsText" text="Sin información">
      <formula>NOT(ISERROR(SEARCH("Sin información",E1175)))</formula>
    </cfRule>
  </conditionalFormatting>
  <conditionalFormatting sqref="C1175:E1175">
    <cfRule type="containsText" dxfId="1743" priority="1977" operator="containsText" text="NUEVO">
      <formula>NOT(ISERROR(SEARCH("NUEVO",C1175)))</formula>
    </cfRule>
  </conditionalFormatting>
  <conditionalFormatting sqref="C1176:D1176">
    <cfRule type="containsText" dxfId="1742" priority="1976" operator="containsText" text="NO+$D$4:$D$10">
      <formula>NOT(ISERROR(SEARCH("NO+$D$4:$D$10",C1176)))</formula>
    </cfRule>
  </conditionalFormatting>
  <conditionalFormatting sqref="C1176:D1176">
    <cfRule type="containsText" dxfId="1741" priority="1974" operator="containsText" text="SI">
      <formula>NOT(ISERROR(SEARCH("SI",C1176)))</formula>
    </cfRule>
    <cfRule type="containsText" dxfId="1740" priority="1975" operator="containsText" text="NO">
      <formula>NOT(ISERROR(SEARCH("NO",C1176)))</formula>
    </cfRule>
  </conditionalFormatting>
  <conditionalFormatting sqref="C1176:D1176">
    <cfRule type="containsText" dxfId="1739" priority="1973" operator="containsText" text="NUEVO">
      <formula>NOT(ISERROR(SEARCH("NUEVO",C1176)))</formula>
    </cfRule>
  </conditionalFormatting>
  <conditionalFormatting sqref="E1176">
    <cfRule type="containsText" dxfId="1738" priority="1972" operator="containsText" text="Sin información">
      <formula>NOT(ISERROR(SEARCH("Sin información",E1176)))</formula>
    </cfRule>
  </conditionalFormatting>
  <conditionalFormatting sqref="E1176">
    <cfRule type="containsText" dxfId="1737" priority="1971" operator="containsText" text="NUEVO">
      <formula>NOT(ISERROR(SEARCH("NUEVO",E1176)))</formula>
    </cfRule>
  </conditionalFormatting>
  <conditionalFormatting sqref="C1177:D1177">
    <cfRule type="containsText" dxfId="1736" priority="1970" operator="containsText" text="NO+$D$4:$D$10">
      <formula>NOT(ISERROR(SEARCH("NO+$D$4:$D$10",C1177)))</formula>
    </cfRule>
  </conditionalFormatting>
  <conditionalFormatting sqref="C1177:D1177">
    <cfRule type="containsText" dxfId="1735" priority="1968" operator="containsText" text="SI">
      <formula>NOT(ISERROR(SEARCH("SI",C1177)))</formula>
    </cfRule>
    <cfRule type="containsText" dxfId="1734" priority="1969" operator="containsText" text="NO">
      <formula>NOT(ISERROR(SEARCH("NO",C1177)))</formula>
    </cfRule>
  </conditionalFormatting>
  <conditionalFormatting sqref="C1177:D1177">
    <cfRule type="containsText" dxfId="1733" priority="1967" operator="containsText" text="NUEVO">
      <formula>NOT(ISERROR(SEARCH("NUEVO",C1177)))</formula>
    </cfRule>
  </conditionalFormatting>
  <conditionalFormatting sqref="E1177">
    <cfRule type="containsText" dxfId="1732" priority="1965" operator="containsText" text="NUEVO">
      <formula>NOT(ISERROR(SEARCH("NUEVO",E1177)))</formula>
    </cfRule>
  </conditionalFormatting>
  <conditionalFormatting sqref="E1177">
    <cfRule type="containsText" dxfId="1731" priority="1966" operator="containsText" text="Sin información">
      <formula>NOT(ISERROR(SEARCH("Sin información",E1177)))</formula>
    </cfRule>
  </conditionalFormatting>
  <conditionalFormatting sqref="C1178:D1178">
    <cfRule type="containsText" dxfId="1730" priority="1964" operator="containsText" text="NO+$D$4:$D$10">
      <formula>NOT(ISERROR(SEARCH("NO+$D$4:$D$10",C1178)))</formula>
    </cfRule>
  </conditionalFormatting>
  <conditionalFormatting sqref="C1178:D1178">
    <cfRule type="containsText" dxfId="1729" priority="1962" operator="containsText" text="SI">
      <formula>NOT(ISERROR(SEARCH("SI",C1178)))</formula>
    </cfRule>
    <cfRule type="containsText" dxfId="1728" priority="1963" operator="containsText" text="NO">
      <formula>NOT(ISERROR(SEARCH("NO",C1178)))</formula>
    </cfRule>
  </conditionalFormatting>
  <conditionalFormatting sqref="C1178:D1178">
    <cfRule type="containsText" dxfId="1727" priority="1961" operator="containsText" text="NUEVO">
      <formula>NOT(ISERROR(SEARCH("NUEVO",C1178)))</formula>
    </cfRule>
  </conditionalFormatting>
  <conditionalFormatting sqref="E1178">
    <cfRule type="containsText" dxfId="1726" priority="1959" operator="containsText" text="NUEVO">
      <formula>NOT(ISERROR(SEARCH("NUEVO",E1178)))</formula>
    </cfRule>
  </conditionalFormatting>
  <conditionalFormatting sqref="E1178">
    <cfRule type="containsText" dxfId="1725" priority="1960" operator="containsText" text="Sin información">
      <formula>NOT(ISERROR(SEARCH("Sin información",E1178)))</formula>
    </cfRule>
  </conditionalFormatting>
  <conditionalFormatting sqref="C1179:D1179">
    <cfRule type="containsText" dxfId="1724" priority="1958" operator="containsText" text="NO+$D$4:$D$10">
      <formula>NOT(ISERROR(SEARCH("NO+$D$4:$D$10",C1179)))</formula>
    </cfRule>
  </conditionalFormatting>
  <conditionalFormatting sqref="C1179:D1179">
    <cfRule type="containsText" dxfId="1723" priority="1956" operator="containsText" text="SI">
      <formula>NOT(ISERROR(SEARCH("SI",C1179)))</formula>
    </cfRule>
    <cfRule type="containsText" dxfId="1722" priority="1957" operator="containsText" text="NO">
      <formula>NOT(ISERROR(SEARCH("NO",C1179)))</formula>
    </cfRule>
  </conditionalFormatting>
  <conditionalFormatting sqref="C1179:D1179">
    <cfRule type="containsText" dxfId="1721" priority="1955" operator="containsText" text="NUEVO">
      <formula>NOT(ISERROR(SEARCH("NUEVO",C1179)))</formula>
    </cfRule>
  </conditionalFormatting>
  <conditionalFormatting sqref="E1179">
    <cfRule type="containsText" dxfId="1720" priority="1953" operator="containsText" text="NUEVO">
      <formula>NOT(ISERROR(SEARCH("NUEVO",E1179)))</formula>
    </cfRule>
  </conditionalFormatting>
  <conditionalFormatting sqref="E1179">
    <cfRule type="containsText" dxfId="1719" priority="1954" operator="containsText" text="Sin información">
      <formula>NOT(ISERROR(SEARCH("Sin información",E1179)))</formula>
    </cfRule>
  </conditionalFormatting>
  <conditionalFormatting sqref="C1180:D1180">
    <cfRule type="containsText" dxfId="1718" priority="1952" operator="containsText" text="NO+$D$4:$D$10">
      <formula>NOT(ISERROR(SEARCH("NO+$D$4:$D$10",C1180)))</formula>
    </cfRule>
  </conditionalFormatting>
  <conditionalFormatting sqref="C1180:D1180">
    <cfRule type="containsText" dxfId="1717" priority="1950" operator="containsText" text="SI">
      <formula>NOT(ISERROR(SEARCH("SI",C1180)))</formula>
    </cfRule>
    <cfRule type="containsText" dxfId="1716" priority="1951" operator="containsText" text="NO">
      <formula>NOT(ISERROR(SEARCH("NO",C1180)))</formula>
    </cfRule>
  </conditionalFormatting>
  <conditionalFormatting sqref="C1180:D1180">
    <cfRule type="containsText" dxfId="1715" priority="1949" operator="containsText" text="NUEVO">
      <formula>NOT(ISERROR(SEARCH("NUEVO",C1180)))</formula>
    </cfRule>
  </conditionalFormatting>
  <conditionalFormatting sqref="E1180">
    <cfRule type="containsText" dxfId="1714" priority="1947" operator="containsText" text="NUEVO">
      <formula>NOT(ISERROR(SEARCH("NUEVO",E1180)))</formula>
    </cfRule>
  </conditionalFormatting>
  <conditionalFormatting sqref="E1180">
    <cfRule type="containsText" dxfId="1713" priority="1948" operator="containsText" text="Sin información">
      <formula>NOT(ISERROR(SEARCH("Sin información",E1180)))</formula>
    </cfRule>
  </conditionalFormatting>
  <conditionalFormatting sqref="C1181:D1181">
    <cfRule type="containsText" dxfId="1712" priority="1946" operator="containsText" text="NO+$D$4:$D$10">
      <formula>NOT(ISERROR(SEARCH("NO+$D$4:$D$10",C1181)))</formula>
    </cfRule>
  </conditionalFormatting>
  <conditionalFormatting sqref="C1181:D1181">
    <cfRule type="containsText" dxfId="1711" priority="1944" operator="containsText" text="SI">
      <formula>NOT(ISERROR(SEARCH("SI",C1181)))</formula>
    </cfRule>
    <cfRule type="containsText" dxfId="1710" priority="1945" operator="containsText" text="NO">
      <formula>NOT(ISERROR(SEARCH("NO",C1181)))</formula>
    </cfRule>
  </conditionalFormatting>
  <conditionalFormatting sqref="C1181:D1181">
    <cfRule type="containsText" dxfId="1709" priority="1943" operator="containsText" text="NUEVO">
      <formula>NOT(ISERROR(SEARCH("NUEVO",C1181)))</formula>
    </cfRule>
  </conditionalFormatting>
  <conditionalFormatting sqref="E1181">
    <cfRule type="containsText" dxfId="1708" priority="1941" operator="containsText" text="NUEVO">
      <formula>NOT(ISERROR(SEARCH("NUEVO",E1181)))</formula>
    </cfRule>
  </conditionalFormatting>
  <conditionalFormatting sqref="E1181">
    <cfRule type="containsText" dxfId="1707" priority="1942" operator="containsText" text="Sin información">
      <formula>NOT(ISERROR(SEARCH("Sin información",E1181)))</formula>
    </cfRule>
  </conditionalFormatting>
  <conditionalFormatting sqref="C1182:D1182">
    <cfRule type="containsText" dxfId="1706" priority="1940" operator="containsText" text="NO+$D$4:$D$10">
      <formula>NOT(ISERROR(SEARCH("NO+$D$4:$D$10",C1182)))</formula>
    </cfRule>
  </conditionalFormatting>
  <conditionalFormatting sqref="C1182:D1182">
    <cfRule type="containsText" dxfId="1705" priority="1938" operator="containsText" text="SI">
      <formula>NOT(ISERROR(SEARCH("SI",C1182)))</formula>
    </cfRule>
    <cfRule type="containsText" dxfId="1704" priority="1939" operator="containsText" text="NO">
      <formula>NOT(ISERROR(SEARCH("NO",C1182)))</formula>
    </cfRule>
  </conditionalFormatting>
  <conditionalFormatting sqref="E1182">
    <cfRule type="containsText" dxfId="1703" priority="1937" operator="containsText" text="Sin información">
      <formula>NOT(ISERROR(SEARCH("Sin información",E1182)))</formula>
    </cfRule>
  </conditionalFormatting>
  <conditionalFormatting sqref="C1182:E1182">
    <cfRule type="containsText" dxfId="1702" priority="1936" operator="containsText" text="NUEVO">
      <formula>NOT(ISERROR(SEARCH("NUEVO",C1182)))</formula>
    </cfRule>
  </conditionalFormatting>
  <conditionalFormatting sqref="E1185">
    <cfRule type="containsText" dxfId="1701" priority="1927" operator="containsText" text="Sin información">
      <formula>NOT(ISERROR(SEARCH("Sin información",E1185)))</formula>
    </cfRule>
  </conditionalFormatting>
  <conditionalFormatting sqref="C1183:D1184">
    <cfRule type="containsText" dxfId="1700" priority="1935" operator="containsText" text="NO+$D$4:$D$10">
      <formula>NOT(ISERROR(SEARCH("NO+$D$4:$D$10",C1183)))</formula>
    </cfRule>
  </conditionalFormatting>
  <conditionalFormatting sqref="C1183:D1184">
    <cfRule type="containsText" dxfId="1699" priority="1933" operator="containsText" text="SI">
      <formula>NOT(ISERROR(SEARCH("SI",C1183)))</formula>
    </cfRule>
    <cfRule type="containsText" dxfId="1698" priority="1934" operator="containsText" text="NO">
      <formula>NOT(ISERROR(SEARCH("NO",C1183)))</formula>
    </cfRule>
  </conditionalFormatting>
  <conditionalFormatting sqref="E1183:E1184">
    <cfRule type="containsText" dxfId="1697" priority="1932" operator="containsText" text="Sin información">
      <formula>NOT(ISERROR(SEARCH("Sin información",E1183)))</formula>
    </cfRule>
  </conditionalFormatting>
  <conditionalFormatting sqref="C1183:E1184">
    <cfRule type="containsText" dxfId="1696" priority="1931" operator="containsText" text="NUEVO">
      <formula>NOT(ISERROR(SEARCH("NUEVO",C1183)))</formula>
    </cfRule>
  </conditionalFormatting>
  <conditionalFormatting sqref="C1185:D1185">
    <cfRule type="containsText" dxfId="1695" priority="1930" operator="containsText" text="NO+$D$4:$D$10">
      <formula>NOT(ISERROR(SEARCH("NO+$D$4:$D$10",C1185)))</formula>
    </cfRule>
  </conditionalFormatting>
  <conditionalFormatting sqref="C1185:D1185">
    <cfRule type="containsText" dxfId="1694" priority="1928" operator="containsText" text="SI">
      <formula>NOT(ISERROR(SEARCH("SI",C1185)))</formula>
    </cfRule>
    <cfRule type="containsText" dxfId="1693" priority="1929" operator="containsText" text="NO">
      <formula>NOT(ISERROR(SEARCH("NO",C1185)))</formula>
    </cfRule>
  </conditionalFormatting>
  <conditionalFormatting sqref="C1185:E1185">
    <cfRule type="containsText" dxfId="1692" priority="1926" operator="containsText" text="NUEVO">
      <formula>NOT(ISERROR(SEARCH("NUEVO",C1185)))</formula>
    </cfRule>
  </conditionalFormatting>
  <conditionalFormatting sqref="C1186:D1186">
    <cfRule type="containsText" dxfId="1691" priority="1925" operator="containsText" text="NO+$D$4:$D$10">
      <formula>NOT(ISERROR(SEARCH("NO+$D$4:$D$10",C1186)))</formula>
    </cfRule>
  </conditionalFormatting>
  <conditionalFormatting sqref="C1186:D1186">
    <cfRule type="containsText" dxfId="1690" priority="1923" operator="containsText" text="SI">
      <formula>NOT(ISERROR(SEARCH("SI",C1186)))</formula>
    </cfRule>
    <cfRule type="containsText" dxfId="1689" priority="1924" operator="containsText" text="NO">
      <formula>NOT(ISERROR(SEARCH("NO",C1186)))</formula>
    </cfRule>
  </conditionalFormatting>
  <conditionalFormatting sqref="E1186">
    <cfRule type="containsText" dxfId="1688" priority="1922" operator="containsText" text="Sin información">
      <formula>NOT(ISERROR(SEARCH("Sin información",E1186)))</formula>
    </cfRule>
  </conditionalFormatting>
  <conditionalFormatting sqref="C1186:D1186">
    <cfRule type="containsText" dxfId="1687" priority="1921" operator="containsText" text="NUEVO">
      <formula>NOT(ISERROR(SEARCH("NUEVO",C1186)))</formula>
    </cfRule>
  </conditionalFormatting>
  <conditionalFormatting sqref="E1186">
    <cfRule type="containsText" dxfId="1686" priority="1920" operator="containsText" text="Sin información">
      <formula>NOT(ISERROR(SEARCH("Sin información",E1186)))</formula>
    </cfRule>
  </conditionalFormatting>
  <conditionalFormatting sqref="C1188:D1188">
    <cfRule type="containsText" dxfId="1685" priority="1919" operator="containsText" text="NO+$D$4:$D$10">
      <formula>NOT(ISERROR(SEARCH("NO+$D$4:$D$10",C1188)))</formula>
    </cfRule>
  </conditionalFormatting>
  <conditionalFormatting sqref="C1188:D1188">
    <cfRule type="containsText" dxfId="1684" priority="1917" operator="containsText" text="SI">
      <formula>NOT(ISERROR(SEARCH("SI",C1188)))</formula>
    </cfRule>
    <cfRule type="containsText" dxfId="1683" priority="1918" operator="containsText" text="NO">
      <formula>NOT(ISERROR(SEARCH("NO",C1188)))</formula>
    </cfRule>
  </conditionalFormatting>
  <conditionalFormatting sqref="E1188">
    <cfRule type="containsText" dxfId="1682" priority="1916" operator="containsText" text="Sin información">
      <formula>NOT(ISERROR(SEARCH("Sin información",E1188)))</formula>
    </cfRule>
  </conditionalFormatting>
  <conditionalFormatting sqref="C1188:E1188">
    <cfRule type="containsText" dxfId="1681" priority="1915" operator="containsText" text="NUEVO">
      <formula>NOT(ISERROR(SEARCH("NUEVO",C1188)))</formula>
    </cfRule>
  </conditionalFormatting>
  <conditionalFormatting sqref="C1189:D1189">
    <cfRule type="containsText" dxfId="1680" priority="1914" operator="containsText" text="NO+$D$4:$D$10">
      <formula>NOT(ISERROR(SEARCH("NO+$D$4:$D$10",C1189)))</formula>
    </cfRule>
  </conditionalFormatting>
  <conditionalFormatting sqref="C1189:D1189">
    <cfRule type="containsText" dxfId="1679" priority="1912" operator="containsText" text="SI">
      <formula>NOT(ISERROR(SEARCH("SI",C1189)))</formula>
    </cfRule>
    <cfRule type="containsText" dxfId="1678" priority="1913" operator="containsText" text="NO">
      <formula>NOT(ISERROR(SEARCH("NO",C1189)))</formula>
    </cfRule>
  </conditionalFormatting>
  <conditionalFormatting sqref="E1189">
    <cfRule type="containsText" dxfId="1677" priority="1911" operator="containsText" text="Sin información">
      <formula>NOT(ISERROR(SEARCH("Sin información",E1189)))</formula>
    </cfRule>
  </conditionalFormatting>
  <conditionalFormatting sqref="C1189:E1189">
    <cfRule type="containsText" dxfId="1676" priority="1910" operator="containsText" text="NUEVO">
      <formula>NOT(ISERROR(SEARCH("NUEVO",C1189)))</formula>
    </cfRule>
  </conditionalFormatting>
  <conditionalFormatting sqref="C1193:D1195">
    <cfRule type="containsText" dxfId="1675" priority="1909" operator="containsText" text="NO+$D$4:$D$10">
      <formula>NOT(ISERROR(SEARCH("NO+$D$4:$D$10",C1193)))</formula>
    </cfRule>
  </conditionalFormatting>
  <conditionalFormatting sqref="C1193:D1195">
    <cfRule type="containsText" dxfId="1674" priority="1907" operator="containsText" text="SI">
      <formula>NOT(ISERROR(SEARCH("SI",C1193)))</formula>
    </cfRule>
    <cfRule type="containsText" dxfId="1673" priority="1908" operator="containsText" text="NO">
      <formula>NOT(ISERROR(SEARCH("NO",C1193)))</formula>
    </cfRule>
  </conditionalFormatting>
  <conditionalFormatting sqref="C1193:D1195">
    <cfRule type="containsText" dxfId="1672" priority="1906" operator="containsText" text="NUEVO">
      <formula>NOT(ISERROR(SEARCH("NUEVO",C1193)))</formula>
    </cfRule>
  </conditionalFormatting>
  <conditionalFormatting sqref="E1193:E1195">
    <cfRule type="containsText" dxfId="1671" priority="1905" operator="containsText" text="Sin información">
      <formula>NOT(ISERROR(SEARCH("Sin información",E1193)))</formula>
    </cfRule>
  </conditionalFormatting>
  <conditionalFormatting sqref="E1193:E1195">
    <cfRule type="containsText" dxfId="1670" priority="1904" operator="containsText" text="NUEVO">
      <formula>NOT(ISERROR(SEARCH("NUEVO",E1193)))</formula>
    </cfRule>
  </conditionalFormatting>
  <conditionalFormatting sqref="C1196:D1207">
    <cfRule type="containsText" dxfId="1669" priority="1903" operator="containsText" text="NO+$D$4:$D$10">
      <formula>NOT(ISERROR(SEARCH("NO+$D$4:$D$10",C1196)))</formula>
    </cfRule>
  </conditionalFormatting>
  <conditionalFormatting sqref="C1196:D1207">
    <cfRule type="containsText" dxfId="1668" priority="1901" operator="containsText" text="SI">
      <formula>NOT(ISERROR(SEARCH("SI",C1196)))</formula>
    </cfRule>
    <cfRule type="containsText" dxfId="1667" priority="1902" operator="containsText" text="NO">
      <formula>NOT(ISERROR(SEARCH("NO",C1196)))</formula>
    </cfRule>
  </conditionalFormatting>
  <conditionalFormatting sqref="E1196:E1207">
    <cfRule type="containsText" dxfId="1666" priority="1900" operator="containsText" text="Sin información">
      <formula>NOT(ISERROR(SEARCH("Sin información",E1196)))</formula>
    </cfRule>
  </conditionalFormatting>
  <conditionalFormatting sqref="C1196:E1207">
    <cfRule type="containsText" dxfId="1665" priority="1899" operator="containsText" text="NUEVO">
      <formula>NOT(ISERROR(SEARCH("NUEVO",C1196)))</formula>
    </cfRule>
  </conditionalFormatting>
  <conditionalFormatting sqref="E1206:E1207">
    <cfRule type="containsText" dxfId="1664" priority="1898" operator="containsText" text="Sin Información">
      <formula>NOT(ISERROR(SEARCH("Sin Información",E1206)))</formula>
    </cfRule>
  </conditionalFormatting>
  <conditionalFormatting sqref="E1206">
    <cfRule type="containsText" dxfId="1663" priority="1897" operator="containsText" text="Sin información">
      <formula>NOT(ISERROR(SEARCH("Sin información",E1206)))</formula>
    </cfRule>
  </conditionalFormatting>
  <conditionalFormatting sqref="C1208:D1208">
    <cfRule type="containsText" dxfId="1662" priority="1896" operator="containsText" text="NO+$D$4:$D$10">
      <formula>NOT(ISERROR(SEARCH("NO+$D$4:$D$10",C1208)))</formula>
    </cfRule>
  </conditionalFormatting>
  <conditionalFormatting sqref="C1208:D1208">
    <cfRule type="containsText" dxfId="1661" priority="1894" operator="containsText" text="SI">
      <formula>NOT(ISERROR(SEARCH("SI",C1208)))</formula>
    </cfRule>
    <cfRule type="containsText" dxfId="1660" priority="1895" operator="containsText" text="NO">
      <formula>NOT(ISERROR(SEARCH("NO",C1208)))</formula>
    </cfRule>
  </conditionalFormatting>
  <conditionalFormatting sqref="E1208">
    <cfRule type="containsText" dxfId="1659" priority="1893" operator="containsText" text="Sin información">
      <formula>NOT(ISERROR(SEARCH("Sin información",E1208)))</formula>
    </cfRule>
  </conditionalFormatting>
  <conditionalFormatting sqref="C1208:E1208">
    <cfRule type="containsText" dxfId="1658" priority="1892" operator="containsText" text="NUEVO">
      <formula>NOT(ISERROR(SEARCH("NUEVO",C1208)))</formula>
    </cfRule>
  </conditionalFormatting>
  <conditionalFormatting sqref="C1209:D1210">
    <cfRule type="containsText" dxfId="1657" priority="1891" operator="containsText" text="NO+$D$4:$D$10">
      <formula>NOT(ISERROR(SEARCH("NO+$D$4:$D$10",C1209)))</formula>
    </cfRule>
  </conditionalFormatting>
  <conditionalFormatting sqref="C1209:D1210">
    <cfRule type="containsText" dxfId="1656" priority="1889" operator="containsText" text="SI">
      <formula>NOT(ISERROR(SEARCH("SI",C1209)))</formula>
    </cfRule>
    <cfRule type="containsText" dxfId="1655" priority="1890" operator="containsText" text="NO">
      <formula>NOT(ISERROR(SEARCH("NO",C1209)))</formula>
    </cfRule>
  </conditionalFormatting>
  <conditionalFormatting sqref="E1209">
    <cfRule type="containsText" dxfId="1654" priority="1888" operator="containsText" text="Sin información">
      <formula>NOT(ISERROR(SEARCH("Sin información",E1209)))</formula>
    </cfRule>
  </conditionalFormatting>
  <conditionalFormatting sqref="C1209:D1210 E1209">
    <cfRule type="containsText" dxfId="1653" priority="1887" operator="containsText" text="NUEVO">
      <formula>NOT(ISERROR(SEARCH("NUEVO",C1209)))</formula>
    </cfRule>
  </conditionalFormatting>
  <conditionalFormatting sqref="E1210">
    <cfRule type="containsText" dxfId="1652" priority="1885" operator="containsText" text="NUEVO">
      <formula>NOT(ISERROR(SEARCH("NUEVO",E1210)))</formula>
    </cfRule>
  </conditionalFormatting>
  <conditionalFormatting sqref="E1210">
    <cfRule type="containsText" dxfId="1651" priority="1886" operator="containsText" text="Sin información">
      <formula>NOT(ISERROR(SEARCH("Sin información",E1210)))</formula>
    </cfRule>
  </conditionalFormatting>
  <conditionalFormatting sqref="C1211:D1212">
    <cfRule type="containsText" dxfId="1650" priority="1884" operator="containsText" text="NO+$D$4:$D$10">
      <formula>NOT(ISERROR(SEARCH("NO+$D$4:$D$10",C1211)))</formula>
    </cfRule>
  </conditionalFormatting>
  <conditionalFormatting sqref="C1211:D1212">
    <cfRule type="containsText" dxfId="1649" priority="1882" operator="containsText" text="SI">
      <formula>NOT(ISERROR(SEARCH("SI",C1211)))</formula>
    </cfRule>
    <cfRule type="containsText" dxfId="1648" priority="1883" operator="containsText" text="NO">
      <formula>NOT(ISERROR(SEARCH("NO",C1211)))</formula>
    </cfRule>
  </conditionalFormatting>
  <conditionalFormatting sqref="C1211:D1212">
    <cfRule type="containsText" dxfId="1647" priority="1881" operator="containsText" text="NUEVO">
      <formula>NOT(ISERROR(SEARCH("NUEVO",C1211)))</formula>
    </cfRule>
  </conditionalFormatting>
  <conditionalFormatting sqref="E1211">
    <cfRule type="containsText" dxfId="1646" priority="1879" operator="containsText" text="NUEVO">
      <formula>NOT(ISERROR(SEARCH("NUEVO",E1211)))</formula>
    </cfRule>
  </conditionalFormatting>
  <conditionalFormatting sqref="E1211">
    <cfRule type="containsText" dxfId="1645" priority="1880" operator="containsText" text="Sin información">
      <formula>NOT(ISERROR(SEARCH("Sin información",E1211)))</formula>
    </cfRule>
  </conditionalFormatting>
  <conditionalFormatting sqref="E1212">
    <cfRule type="containsText" dxfId="1644" priority="1877" operator="containsText" text="NUEVO">
      <formula>NOT(ISERROR(SEARCH("NUEVO",E1212)))</formula>
    </cfRule>
  </conditionalFormatting>
  <conditionalFormatting sqref="E1212">
    <cfRule type="containsText" dxfId="1643" priority="1878" operator="containsText" text="Sin información">
      <formula>NOT(ISERROR(SEARCH("Sin información",E1212)))</formula>
    </cfRule>
  </conditionalFormatting>
  <conditionalFormatting sqref="C1214:D1214">
    <cfRule type="containsText" dxfId="1642" priority="1876" operator="containsText" text="NO+$D$4:$D$10">
      <formula>NOT(ISERROR(SEARCH("NO+$D$4:$D$10",C1214)))</formula>
    </cfRule>
  </conditionalFormatting>
  <conditionalFormatting sqref="C1214:D1214">
    <cfRule type="containsText" dxfId="1641" priority="1874" operator="containsText" text="SI">
      <formula>NOT(ISERROR(SEARCH("SI",C1214)))</formula>
    </cfRule>
    <cfRule type="containsText" dxfId="1640" priority="1875" operator="containsText" text="NO">
      <formula>NOT(ISERROR(SEARCH("NO",C1214)))</formula>
    </cfRule>
  </conditionalFormatting>
  <conditionalFormatting sqref="C1214:D1214">
    <cfRule type="containsText" dxfId="1639" priority="1873" operator="containsText" text="NUEVO">
      <formula>NOT(ISERROR(SEARCH("NUEVO",C1214)))</formula>
    </cfRule>
  </conditionalFormatting>
  <conditionalFormatting sqref="E1214">
    <cfRule type="containsText" dxfId="1638" priority="1871" operator="containsText" text="NUEVO">
      <formula>NOT(ISERROR(SEARCH("NUEVO",E1214)))</formula>
    </cfRule>
  </conditionalFormatting>
  <conditionalFormatting sqref="E1214">
    <cfRule type="containsText" dxfId="1637" priority="1872" operator="containsText" text="Sin información">
      <formula>NOT(ISERROR(SEARCH("Sin información",E1214)))</formula>
    </cfRule>
  </conditionalFormatting>
  <conditionalFormatting sqref="C1216:D1216">
    <cfRule type="containsText" dxfId="1636" priority="1870" operator="containsText" text="NO+$D$4:$D$10">
      <formula>NOT(ISERROR(SEARCH("NO+$D$4:$D$10",C1216)))</formula>
    </cfRule>
  </conditionalFormatting>
  <conditionalFormatting sqref="C1216:D1216">
    <cfRule type="containsText" dxfId="1635" priority="1868" operator="containsText" text="SI">
      <formula>NOT(ISERROR(SEARCH("SI",C1216)))</formula>
    </cfRule>
    <cfRule type="containsText" dxfId="1634" priority="1869" operator="containsText" text="NO">
      <formula>NOT(ISERROR(SEARCH("NO",C1216)))</formula>
    </cfRule>
  </conditionalFormatting>
  <conditionalFormatting sqref="C1216:D1216">
    <cfRule type="containsText" dxfId="1633" priority="1867" operator="containsText" text="NUEVO">
      <formula>NOT(ISERROR(SEARCH("NUEVO",C1216)))</formula>
    </cfRule>
  </conditionalFormatting>
  <conditionalFormatting sqref="E1216">
    <cfRule type="containsText" dxfId="1632" priority="1865" operator="containsText" text="NUEVO">
      <formula>NOT(ISERROR(SEARCH("NUEVO",E1216)))</formula>
    </cfRule>
  </conditionalFormatting>
  <conditionalFormatting sqref="E1216">
    <cfRule type="containsText" dxfId="1631" priority="1866" operator="containsText" text="Sin información">
      <formula>NOT(ISERROR(SEARCH("Sin información",E1216)))</formula>
    </cfRule>
  </conditionalFormatting>
  <conditionalFormatting sqref="C1217:D1217">
    <cfRule type="containsText" dxfId="1630" priority="1864" operator="containsText" text="NO+$D$4:$D$10">
      <formula>NOT(ISERROR(SEARCH("NO+$D$4:$D$10",C1217)))</formula>
    </cfRule>
  </conditionalFormatting>
  <conditionalFormatting sqref="C1217:D1217">
    <cfRule type="containsText" dxfId="1629" priority="1862" operator="containsText" text="SI">
      <formula>NOT(ISERROR(SEARCH("SI",C1217)))</formula>
    </cfRule>
    <cfRule type="containsText" dxfId="1628" priority="1863" operator="containsText" text="NO">
      <formula>NOT(ISERROR(SEARCH("NO",C1217)))</formula>
    </cfRule>
  </conditionalFormatting>
  <conditionalFormatting sqref="C1217:D1217">
    <cfRule type="containsText" dxfId="1627" priority="1861" operator="containsText" text="NUEVO">
      <formula>NOT(ISERROR(SEARCH("NUEVO",C1217)))</formula>
    </cfRule>
  </conditionalFormatting>
  <conditionalFormatting sqref="E1217">
    <cfRule type="containsText" dxfId="1626" priority="1859" operator="containsText" text="NUEVO">
      <formula>NOT(ISERROR(SEARCH("NUEVO",E1217)))</formula>
    </cfRule>
  </conditionalFormatting>
  <conditionalFormatting sqref="E1217">
    <cfRule type="containsText" dxfId="1625" priority="1860" operator="containsText" text="Sin información">
      <formula>NOT(ISERROR(SEARCH("Sin información",E1217)))</formula>
    </cfRule>
  </conditionalFormatting>
  <conditionalFormatting sqref="C1218:D1218">
    <cfRule type="containsText" dxfId="1624" priority="1858" operator="containsText" text="NO+$D$4:$D$10">
      <formula>NOT(ISERROR(SEARCH("NO+$D$4:$D$10",C1218)))</formula>
    </cfRule>
  </conditionalFormatting>
  <conditionalFormatting sqref="C1218:D1218">
    <cfRule type="containsText" dxfId="1623" priority="1856" operator="containsText" text="SI">
      <formula>NOT(ISERROR(SEARCH("SI",C1218)))</formula>
    </cfRule>
    <cfRule type="containsText" dxfId="1622" priority="1857" operator="containsText" text="NO">
      <formula>NOT(ISERROR(SEARCH("NO",C1218)))</formula>
    </cfRule>
  </conditionalFormatting>
  <conditionalFormatting sqref="C1218:D1218">
    <cfRule type="containsText" dxfId="1621" priority="1855" operator="containsText" text="NUEVO">
      <formula>NOT(ISERROR(SEARCH("NUEVO",C1218)))</formula>
    </cfRule>
  </conditionalFormatting>
  <conditionalFormatting sqref="E1218">
    <cfRule type="containsText" dxfId="1620" priority="1853" operator="containsText" text="NUEVO">
      <formula>NOT(ISERROR(SEARCH("NUEVO",E1218)))</formula>
    </cfRule>
  </conditionalFormatting>
  <conditionalFormatting sqref="E1218">
    <cfRule type="containsText" dxfId="1619" priority="1854" operator="containsText" text="Sin información">
      <formula>NOT(ISERROR(SEARCH("Sin información",E1218)))</formula>
    </cfRule>
  </conditionalFormatting>
  <conditionalFormatting sqref="C1220:D1220">
    <cfRule type="containsText" dxfId="1618" priority="1852" operator="containsText" text="NO+$D$4:$D$10">
      <formula>NOT(ISERROR(SEARCH("NO+$D$4:$D$10",C1220)))</formula>
    </cfRule>
  </conditionalFormatting>
  <conditionalFormatting sqref="C1220:D1220">
    <cfRule type="containsText" dxfId="1617" priority="1850" operator="containsText" text="SI">
      <formula>NOT(ISERROR(SEARCH("SI",C1220)))</formula>
    </cfRule>
    <cfRule type="containsText" dxfId="1616" priority="1851" operator="containsText" text="NO">
      <formula>NOT(ISERROR(SEARCH("NO",C1220)))</formula>
    </cfRule>
  </conditionalFormatting>
  <conditionalFormatting sqref="E1220">
    <cfRule type="containsText" dxfId="1615" priority="1849" operator="containsText" text="Sin información">
      <formula>NOT(ISERROR(SEARCH("Sin información",E1220)))</formula>
    </cfRule>
  </conditionalFormatting>
  <conditionalFormatting sqref="C1220:E1220">
    <cfRule type="containsText" dxfId="1614" priority="1848" operator="containsText" text="NUEVO">
      <formula>NOT(ISERROR(SEARCH("NUEVO",C1220)))</formula>
    </cfRule>
  </conditionalFormatting>
  <conditionalFormatting sqref="C1222:D1222">
    <cfRule type="containsText" dxfId="1613" priority="1847" operator="containsText" text="NO+$D$4:$D$10">
      <formula>NOT(ISERROR(SEARCH("NO+$D$4:$D$10",C1222)))</formula>
    </cfRule>
  </conditionalFormatting>
  <conditionalFormatting sqref="C1222:D1222">
    <cfRule type="containsText" dxfId="1612" priority="1845" operator="containsText" text="SI">
      <formula>NOT(ISERROR(SEARCH("SI",C1222)))</formula>
    </cfRule>
    <cfRule type="containsText" dxfId="1611" priority="1846" operator="containsText" text="NO">
      <formula>NOT(ISERROR(SEARCH("NO",C1222)))</formula>
    </cfRule>
  </conditionalFormatting>
  <conditionalFormatting sqref="E1222">
    <cfRule type="containsText" dxfId="1610" priority="1844" operator="containsText" text="Sin información">
      <formula>NOT(ISERROR(SEARCH("Sin información",E1222)))</formula>
    </cfRule>
  </conditionalFormatting>
  <conditionalFormatting sqref="C1222:E1222">
    <cfRule type="containsText" dxfId="1609" priority="1843" operator="containsText" text="NUEVO">
      <formula>NOT(ISERROR(SEARCH("NUEVO",C1222)))</formula>
    </cfRule>
  </conditionalFormatting>
  <conditionalFormatting sqref="C1229:D1229">
    <cfRule type="containsText" dxfId="1608" priority="1837" operator="containsText" text="NO+$D$4:$D$10">
      <formula>NOT(ISERROR(SEARCH("NO+$D$4:$D$10",C1229)))</formula>
    </cfRule>
  </conditionalFormatting>
  <conditionalFormatting sqref="C1229:D1229">
    <cfRule type="containsText" dxfId="1607" priority="1835" operator="containsText" text="SI">
      <formula>NOT(ISERROR(SEARCH("SI",C1229)))</formula>
    </cfRule>
    <cfRule type="containsText" dxfId="1606" priority="1836" operator="containsText" text="NO">
      <formula>NOT(ISERROR(SEARCH("NO",C1229)))</formula>
    </cfRule>
  </conditionalFormatting>
  <conditionalFormatting sqref="E1229">
    <cfRule type="containsText" dxfId="1605" priority="1834" operator="containsText" text="Sin información">
      <formula>NOT(ISERROR(SEARCH("Sin información",E1229)))</formula>
    </cfRule>
  </conditionalFormatting>
  <conditionalFormatting sqref="C1229:E1229">
    <cfRule type="containsText" dxfId="1604" priority="1833" operator="containsText" text="NUEVO">
      <formula>NOT(ISERROR(SEARCH("NUEVO",C1229)))</formula>
    </cfRule>
  </conditionalFormatting>
  <conditionalFormatting sqref="C1225:D1225">
    <cfRule type="containsText" dxfId="1603" priority="1842" operator="containsText" text="NO+$D$4:$D$10">
      <formula>NOT(ISERROR(SEARCH("NO+$D$4:$D$10",C1225)))</formula>
    </cfRule>
  </conditionalFormatting>
  <conditionalFormatting sqref="C1225:D1225">
    <cfRule type="containsText" dxfId="1602" priority="1840" operator="containsText" text="SI">
      <formula>NOT(ISERROR(SEARCH("SI",C1225)))</formula>
    </cfRule>
    <cfRule type="containsText" dxfId="1601" priority="1841" operator="containsText" text="NO">
      <formula>NOT(ISERROR(SEARCH("NO",C1225)))</formula>
    </cfRule>
  </conditionalFormatting>
  <conditionalFormatting sqref="E1225">
    <cfRule type="containsText" dxfId="1600" priority="1839" operator="containsText" text="Sin información">
      <formula>NOT(ISERROR(SEARCH("Sin información",E1225)))</formula>
    </cfRule>
  </conditionalFormatting>
  <conditionalFormatting sqref="C1225:E1225">
    <cfRule type="containsText" dxfId="1599" priority="1838" operator="containsText" text="NUEVO">
      <formula>NOT(ISERROR(SEARCH("NUEVO",C1225)))</formula>
    </cfRule>
  </conditionalFormatting>
  <conditionalFormatting sqref="E1229">
    <cfRule type="containsText" dxfId="1598" priority="1832" operator="containsText" text="NUEVO">
      <formula>NOT(ISERROR(SEARCH("NUEVO",E1229)))</formula>
    </cfRule>
  </conditionalFormatting>
  <conditionalFormatting sqref="E1229">
    <cfRule type="containsText" dxfId="1597" priority="1831" operator="containsText" text="Sin información">
      <formula>NOT(ISERROR(SEARCH("Sin información",E1229)))</formula>
    </cfRule>
  </conditionalFormatting>
  <conditionalFormatting sqref="C1232:D1232">
    <cfRule type="containsText" dxfId="1596" priority="1830" operator="containsText" text="NO+$D$4:$D$10">
      <formula>NOT(ISERROR(SEARCH("NO+$D$4:$D$10",C1232)))</formula>
    </cfRule>
  </conditionalFormatting>
  <conditionalFormatting sqref="C1232:D1232">
    <cfRule type="containsText" dxfId="1595" priority="1828" operator="containsText" text="SI">
      <formula>NOT(ISERROR(SEARCH("SI",C1232)))</formula>
    </cfRule>
    <cfRule type="containsText" dxfId="1594" priority="1829" operator="containsText" text="NO">
      <formula>NOT(ISERROR(SEARCH("NO",C1232)))</formula>
    </cfRule>
  </conditionalFormatting>
  <conditionalFormatting sqref="C1232:D1232">
    <cfRule type="containsText" dxfId="1593" priority="1827" operator="containsText" text="NUEVO">
      <formula>NOT(ISERROR(SEARCH("NUEVO",C1232)))</formula>
    </cfRule>
  </conditionalFormatting>
  <conditionalFormatting sqref="E1232">
    <cfRule type="containsText" dxfId="1592" priority="1825" operator="containsText" text="NUEVO">
      <formula>NOT(ISERROR(SEARCH("NUEVO",E1232)))</formula>
    </cfRule>
  </conditionalFormatting>
  <conditionalFormatting sqref="E1232">
    <cfRule type="containsText" dxfId="1591" priority="1826" operator="containsText" text="Sin información">
      <formula>NOT(ISERROR(SEARCH("Sin información",E1232)))</formula>
    </cfRule>
  </conditionalFormatting>
  <conditionalFormatting sqref="C1233:D1233">
    <cfRule type="containsText" dxfId="1590" priority="1824" operator="containsText" text="NO+$D$4:$D$10">
      <formula>NOT(ISERROR(SEARCH("NO+$D$4:$D$10",C1233)))</formula>
    </cfRule>
  </conditionalFormatting>
  <conditionalFormatting sqref="C1233:D1233">
    <cfRule type="containsText" dxfId="1589" priority="1822" operator="containsText" text="SI">
      <formula>NOT(ISERROR(SEARCH("SI",C1233)))</formula>
    </cfRule>
    <cfRule type="containsText" dxfId="1588" priority="1823" operator="containsText" text="NO">
      <formula>NOT(ISERROR(SEARCH("NO",C1233)))</formula>
    </cfRule>
  </conditionalFormatting>
  <conditionalFormatting sqref="C1233:D1233">
    <cfRule type="containsText" dxfId="1587" priority="1821" operator="containsText" text="NUEVO">
      <formula>NOT(ISERROR(SEARCH("NUEVO",C1233)))</formula>
    </cfRule>
  </conditionalFormatting>
  <conditionalFormatting sqref="E1233">
    <cfRule type="containsText" dxfId="1586" priority="1819" operator="containsText" text="NUEVO">
      <formula>NOT(ISERROR(SEARCH("NUEVO",E1233)))</formula>
    </cfRule>
  </conditionalFormatting>
  <conditionalFormatting sqref="E1233">
    <cfRule type="containsText" dxfId="1585" priority="1820" operator="containsText" text="Sin información">
      <formula>NOT(ISERROR(SEARCH("Sin información",E1233)))</formula>
    </cfRule>
  </conditionalFormatting>
  <conditionalFormatting sqref="C1234:D1234">
    <cfRule type="containsText" dxfId="1584" priority="1818" operator="containsText" text="NO+$D$4:$D$10">
      <formula>NOT(ISERROR(SEARCH("NO+$D$4:$D$10",C1234)))</formula>
    </cfRule>
  </conditionalFormatting>
  <conditionalFormatting sqref="C1234:D1234">
    <cfRule type="containsText" dxfId="1583" priority="1816" operator="containsText" text="SI">
      <formula>NOT(ISERROR(SEARCH("SI",C1234)))</formula>
    </cfRule>
    <cfRule type="containsText" dxfId="1582" priority="1817" operator="containsText" text="NO">
      <formula>NOT(ISERROR(SEARCH("NO",C1234)))</formula>
    </cfRule>
  </conditionalFormatting>
  <conditionalFormatting sqref="C1234:D1234">
    <cfRule type="containsText" dxfId="1581" priority="1815" operator="containsText" text="NUEVO">
      <formula>NOT(ISERROR(SEARCH("NUEVO",C1234)))</formula>
    </cfRule>
  </conditionalFormatting>
  <conditionalFormatting sqref="E1234">
    <cfRule type="containsText" dxfId="1580" priority="1814" operator="containsText" text="Sin información">
      <formula>NOT(ISERROR(SEARCH("Sin información",E1234)))</formula>
    </cfRule>
  </conditionalFormatting>
  <conditionalFormatting sqref="E1234">
    <cfRule type="containsText" dxfId="1579" priority="1813" operator="containsText" text="NUEVO">
      <formula>NOT(ISERROR(SEARCH("NUEVO",E1234)))</formula>
    </cfRule>
  </conditionalFormatting>
  <conditionalFormatting sqref="C1235:D1240">
    <cfRule type="containsText" dxfId="1578" priority="1812" operator="containsText" text="NO+$D$4:$D$10">
      <formula>NOT(ISERROR(SEARCH("NO+$D$4:$D$10",C1235)))</formula>
    </cfRule>
  </conditionalFormatting>
  <conditionalFormatting sqref="C1235:D1240">
    <cfRule type="containsText" dxfId="1577" priority="1810" operator="containsText" text="SI">
      <formula>NOT(ISERROR(SEARCH("SI",C1235)))</formula>
    </cfRule>
    <cfRule type="containsText" dxfId="1576" priority="1811" operator="containsText" text="NO">
      <formula>NOT(ISERROR(SEARCH("NO",C1235)))</formula>
    </cfRule>
  </conditionalFormatting>
  <conditionalFormatting sqref="C1235:D1240">
    <cfRule type="containsText" dxfId="1575" priority="1809" operator="containsText" text="NUEVO">
      <formula>NOT(ISERROR(SEARCH("NUEVO",C1235)))</formula>
    </cfRule>
  </conditionalFormatting>
  <conditionalFormatting sqref="E1235:E1240">
    <cfRule type="containsText" dxfId="1574" priority="1808" operator="containsText" text="Sin información">
      <formula>NOT(ISERROR(SEARCH("Sin información",E1235)))</formula>
    </cfRule>
  </conditionalFormatting>
  <conditionalFormatting sqref="E1235:E1240">
    <cfRule type="containsText" dxfId="1573" priority="1807" operator="containsText" text="NUEVO">
      <formula>NOT(ISERROR(SEARCH("NUEVO",E1235)))</formula>
    </cfRule>
  </conditionalFormatting>
  <conditionalFormatting sqref="E1241">
    <cfRule type="containsText" dxfId="1572" priority="1802" operator="containsText" text="Sin información">
      <formula>NOT(ISERROR(SEARCH("Sin información",E1241)))</formula>
    </cfRule>
  </conditionalFormatting>
  <conditionalFormatting sqref="E1241">
    <cfRule type="containsText" dxfId="1571" priority="1801" operator="containsText" text="NUEVO">
      <formula>NOT(ISERROR(SEARCH("NUEVO",E1241)))</formula>
    </cfRule>
  </conditionalFormatting>
  <conditionalFormatting sqref="E1242">
    <cfRule type="containsText" dxfId="1570" priority="1799" operator="containsText" text="NUEVO">
      <formula>NOT(ISERROR(SEARCH("NUEVO",E1242)))</formula>
    </cfRule>
  </conditionalFormatting>
  <conditionalFormatting sqref="E1242">
    <cfRule type="containsText" dxfId="1569" priority="1800" operator="containsText" text="Sin información">
      <formula>NOT(ISERROR(SEARCH("Sin información",E1242)))</formula>
    </cfRule>
  </conditionalFormatting>
  <conditionalFormatting sqref="E1243">
    <cfRule type="containsText" dxfId="1568" priority="1797" operator="containsText" text="NUEVO">
      <formula>NOT(ISERROR(SEARCH("NUEVO",E1243)))</formula>
    </cfRule>
  </conditionalFormatting>
  <conditionalFormatting sqref="E1243">
    <cfRule type="containsText" dxfId="1567" priority="1798" operator="containsText" text="Sin información">
      <formula>NOT(ISERROR(SEARCH("Sin información",E1243)))</formula>
    </cfRule>
  </conditionalFormatting>
  <conditionalFormatting sqref="C1223:D1223">
    <cfRule type="containsText" dxfId="1566" priority="1796" operator="containsText" text="NO+$D$4:$D$10">
      <formula>NOT(ISERROR(SEARCH("NO+$D$4:$D$10",C1223)))</formula>
    </cfRule>
  </conditionalFormatting>
  <conditionalFormatting sqref="C1223:D1223">
    <cfRule type="containsText" dxfId="1565" priority="1794" operator="containsText" text="SI">
      <formula>NOT(ISERROR(SEARCH("SI",C1223)))</formula>
    </cfRule>
    <cfRule type="containsText" dxfId="1564" priority="1795" operator="containsText" text="NO">
      <formula>NOT(ISERROR(SEARCH("NO",C1223)))</formula>
    </cfRule>
  </conditionalFormatting>
  <conditionalFormatting sqref="C1223:D1223">
    <cfRule type="containsText" dxfId="1563" priority="1793" operator="containsText" text="NUEVO">
      <formula>NOT(ISERROR(SEARCH("NUEVO",C1223)))</formula>
    </cfRule>
  </conditionalFormatting>
  <conditionalFormatting sqref="E1223">
    <cfRule type="containsText" dxfId="1562" priority="1792" operator="containsText" text="Sin información">
      <formula>NOT(ISERROR(SEARCH("Sin información",E1223)))</formula>
    </cfRule>
  </conditionalFormatting>
  <conditionalFormatting sqref="E1223">
    <cfRule type="containsText" dxfId="1561" priority="1791" operator="containsText" text="NUEVO">
      <formula>NOT(ISERROR(SEARCH("NUEVO",E1223)))</formula>
    </cfRule>
  </conditionalFormatting>
  <conditionalFormatting sqref="C1226:D1226">
    <cfRule type="containsText" dxfId="1560" priority="1790" operator="containsText" text="NO+$D$4:$D$10">
      <formula>NOT(ISERROR(SEARCH("NO+$D$4:$D$10",C1226)))</formula>
    </cfRule>
  </conditionalFormatting>
  <conditionalFormatting sqref="C1226:D1226">
    <cfRule type="containsText" dxfId="1559" priority="1788" operator="containsText" text="SI">
      <formula>NOT(ISERROR(SEARCH("SI",C1226)))</formula>
    </cfRule>
    <cfRule type="containsText" dxfId="1558" priority="1789" operator="containsText" text="NO">
      <formula>NOT(ISERROR(SEARCH("NO",C1226)))</formula>
    </cfRule>
  </conditionalFormatting>
  <conditionalFormatting sqref="C1226:D1226">
    <cfRule type="containsText" dxfId="1557" priority="1787" operator="containsText" text="NUEVO">
      <formula>NOT(ISERROR(SEARCH("NUEVO",C1226)))</formula>
    </cfRule>
  </conditionalFormatting>
  <conditionalFormatting sqref="E1226">
    <cfRule type="containsText" dxfId="1556" priority="1786" operator="containsText" text="Sin información">
      <formula>NOT(ISERROR(SEARCH("Sin información",E1226)))</formula>
    </cfRule>
  </conditionalFormatting>
  <conditionalFormatting sqref="E1226">
    <cfRule type="containsText" dxfId="1555" priority="1784" operator="containsText" text="NUEVO">
      <formula>NOT(ISERROR(SEARCH("NUEVO",E1226)))</formula>
    </cfRule>
  </conditionalFormatting>
  <conditionalFormatting sqref="E1226">
    <cfRule type="containsText" dxfId="1554" priority="1785" operator="containsText" text="Sin información">
      <formula>NOT(ISERROR(SEARCH("Sin información",E1226)))</formula>
    </cfRule>
  </conditionalFormatting>
  <conditionalFormatting sqref="C1192:D1192">
    <cfRule type="containsText" dxfId="1553" priority="1783" operator="containsText" text="NO+$D$4:$D$10">
      <formula>NOT(ISERROR(SEARCH("NO+$D$4:$D$10",C1192)))</formula>
    </cfRule>
  </conditionalFormatting>
  <conditionalFormatting sqref="C1192:D1192">
    <cfRule type="containsText" dxfId="1552" priority="1781" operator="containsText" text="SI">
      <formula>NOT(ISERROR(SEARCH("SI",C1192)))</formula>
    </cfRule>
    <cfRule type="containsText" dxfId="1551" priority="1782" operator="containsText" text="NO">
      <formula>NOT(ISERROR(SEARCH("NO",C1192)))</formula>
    </cfRule>
  </conditionalFormatting>
  <conditionalFormatting sqref="C1192:D1192">
    <cfRule type="containsText" dxfId="1550" priority="1780" operator="containsText" text="NUEVO">
      <formula>NOT(ISERROR(SEARCH("NUEVO",C1192)))</formula>
    </cfRule>
  </conditionalFormatting>
  <conditionalFormatting sqref="E1192">
    <cfRule type="containsText" dxfId="1549" priority="1779" operator="containsText" text="Sin información">
      <formula>NOT(ISERROR(SEARCH("Sin información",E1192)))</formula>
    </cfRule>
  </conditionalFormatting>
  <conditionalFormatting sqref="E1192">
    <cfRule type="containsText" dxfId="1548" priority="1777" operator="containsText" text="NUEVO">
      <formula>NOT(ISERROR(SEARCH("NUEVO",E1192)))</formula>
    </cfRule>
  </conditionalFormatting>
  <conditionalFormatting sqref="E1192">
    <cfRule type="containsText" dxfId="1547" priority="1778" operator="containsText" text="Sin información">
      <formula>NOT(ISERROR(SEARCH("Sin información",E1192)))</formula>
    </cfRule>
  </conditionalFormatting>
  <conditionalFormatting sqref="C1191:D1191">
    <cfRule type="containsText" dxfId="1546" priority="1776" operator="containsText" text="NO+$D$4:$D$10">
      <formula>NOT(ISERROR(SEARCH("NO+$D$4:$D$10",C1191)))</formula>
    </cfRule>
  </conditionalFormatting>
  <conditionalFormatting sqref="C1191:D1191">
    <cfRule type="containsText" dxfId="1545" priority="1774" operator="containsText" text="SI">
      <formula>NOT(ISERROR(SEARCH("SI",C1191)))</formula>
    </cfRule>
    <cfRule type="containsText" dxfId="1544" priority="1775" operator="containsText" text="NO">
      <formula>NOT(ISERROR(SEARCH("NO",C1191)))</formula>
    </cfRule>
  </conditionalFormatting>
  <conditionalFormatting sqref="C1191:D1191">
    <cfRule type="containsText" dxfId="1543" priority="1773" operator="containsText" text="NUEVO">
      <formula>NOT(ISERROR(SEARCH("NUEVO",C1191)))</formula>
    </cfRule>
  </conditionalFormatting>
  <conditionalFormatting sqref="E1191">
    <cfRule type="containsText" dxfId="1542" priority="1772" operator="containsText" text="Sin información">
      <formula>NOT(ISERROR(SEARCH("Sin información",E1191)))</formula>
    </cfRule>
  </conditionalFormatting>
  <conditionalFormatting sqref="E1191">
    <cfRule type="containsText" dxfId="1541" priority="1770" operator="containsText" text="NUEVO">
      <formula>NOT(ISERROR(SEARCH("NUEVO",E1191)))</formula>
    </cfRule>
  </conditionalFormatting>
  <conditionalFormatting sqref="E1191">
    <cfRule type="containsText" dxfId="1540" priority="1771" operator="containsText" text="Sin información">
      <formula>NOT(ISERROR(SEARCH("Sin información",E1191)))</formula>
    </cfRule>
  </conditionalFormatting>
  <conditionalFormatting sqref="C1190:D1190">
    <cfRule type="containsText" dxfId="1539" priority="1769" operator="containsText" text="NO+$D$4:$D$10">
      <formula>NOT(ISERROR(SEARCH("NO+$D$4:$D$10",C1190)))</formula>
    </cfRule>
  </conditionalFormatting>
  <conditionalFormatting sqref="C1190:D1190">
    <cfRule type="containsText" dxfId="1538" priority="1767" operator="containsText" text="SI">
      <formula>NOT(ISERROR(SEARCH("SI",C1190)))</formula>
    </cfRule>
    <cfRule type="containsText" dxfId="1537" priority="1768" operator="containsText" text="NO">
      <formula>NOT(ISERROR(SEARCH("NO",C1190)))</formula>
    </cfRule>
  </conditionalFormatting>
  <conditionalFormatting sqref="C1190:D1190">
    <cfRule type="containsText" dxfId="1536" priority="1766" operator="containsText" text="NUEVO">
      <formula>NOT(ISERROR(SEARCH("NUEVO",C1190)))</formula>
    </cfRule>
  </conditionalFormatting>
  <conditionalFormatting sqref="E1190">
    <cfRule type="containsText" dxfId="1535" priority="1765" operator="containsText" text="Sin información">
      <formula>NOT(ISERROR(SEARCH("Sin información",E1190)))</formula>
    </cfRule>
  </conditionalFormatting>
  <conditionalFormatting sqref="E1190">
    <cfRule type="containsText" dxfId="1534" priority="1764" operator="containsText" text="NUEVO">
      <formula>NOT(ISERROR(SEARCH("NUEVO",E1190)))</formula>
    </cfRule>
  </conditionalFormatting>
  <conditionalFormatting sqref="C1187:D1187">
    <cfRule type="containsText" dxfId="1533" priority="1763" operator="containsText" text="NO+$D$4:$D$10">
      <formula>NOT(ISERROR(SEARCH("NO+$D$4:$D$10",C1187)))</formula>
    </cfRule>
  </conditionalFormatting>
  <conditionalFormatting sqref="C1187:D1187">
    <cfRule type="containsText" dxfId="1532" priority="1761" operator="containsText" text="SI">
      <formula>NOT(ISERROR(SEARCH("SI",C1187)))</formula>
    </cfRule>
    <cfRule type="containsText" dxfId="1531" priority="1762" operator="containsText" text="NO">
      <formula>NOT(ISERROR(SEARCH("NO",C1187)))</formula>
    </cfRule>
  </conditionalFormatting>
  <conditionalFormatting sqref="C1187:D1187">
    <cfRule type="containsText" dxfId="1530" priority="1760" operator="containsText" text="NUEVO">
      <formula>NOT(ISERROR(SEARCH("NUEVO",C1187)))</formula>
    </cfRule>
  </conditionalFormatting>
  <conditionalFormatting sqref="E1187">
    <cfRule type="containsText" dxfId="1529" priority="1759" operator="containsText" text="Sin información">
      <formula>NOT(ISERROR(SEARCH("Sin información",E1187)))</formula>
    </cfRule>
  </conditionalFormatting>
  <conditionalFormatting sqref="E1187">
    <cfRule type="containsText" dxfId="1528" priority="1758" operator="containsText" text="NUEVO">
      <formula>NOT(ISERROR(SEARCH("NUEVO",E1187)))</formula>
    </cfRule>
  </conditionalFormatting>
  <conditionalFormatting sqref="C1244:D1244">
    <cfRule type="containsText" dxfId="1527" priority="1757" operator="containsText" text="NO+$D$4:$D$10">
      <formula>NOT(ISERROR(SEARCH("NO+$D$4:$D$10",C1244)))</formula>
    </cfRule>
  </conditionalFormatting>
  <conditionalFormatting sqref="C1244:D1244">
    <cfRule type="containsText" dxfId="1526" priority="1755" operator="containsText" text="SI">
      <formula>NOT(ISERROR(SEARCH("SI",C1244)))</formula>
    </cfRule>
    <cfRule type="containsText" dxfId="1525" priority="1756" operator="containsText" text="NO">
      <formula>NOT(ISERROR(SEARCH("NO",C1244)))</formula>
    </cfRule>
  </conditionalFormatting>
  <conditionalFormatting sqref="C1244:D1244">
    <cfRule type="containsText" dxfId="1524" priority="1754" operator="containsText" text="NUEVO">
      <formula>NOT(ISERROR(SEARCH("NUEVO",C1244)))</formula>
    </cfRule>
  </conditionalFormatting>
  <conditionalFormatting sqref="E1244">
    <cfRule type="containsText" dxfId="1523" priority="1752" operator="containsText" text="NUEVO">
      <formula>NOT(ISERROR(SEARCH("NUEVO",E1244)))</formula>
    </cfRule>
  </conditionalFormatting>
  <conditionalFormatting sqref="E1244">
    <cfRule type="containsText" dxfId="1522" priority="1753" operator="containsText" text="Sin información">
      <formula>NOT(ISERROR(SEARCH("Sin información",E1244)))</formula>
    </cfRule>
  </conditionalFormatting>
  <conditionalFormatting sqref="C1245:D1245">
    <cfRule type="containsText" dxfId="1521" priority="1751" operator="containsText" text="NO+$D$4:$D$10">
      <formula>NOT(ISERROR(SEARCH("NO+$D$4:$D$10",C1245)))</formula>
    </cfRule>
  </conditionalFormatting>
  <conditionalFormatting sqref="C1245:D1245">
    <cfRule type="containsText" dxfId="1520" priority="1749" operator="containsText" text="SI">
      <formula>NOT(ISERROR(SEARCH("SI",C1245)))</formula>
    </cfRule>
    <cfRule type="containsText" dxfId="1519" priority="1750" operator="containsText" text="NO">
      <formula>NOT(ISERROR(SEARCH("NO",C1245)))</formula>
    </cfRule>
  </conditionalFormatting>
  <conditionalFormatting sqref="E1245">
    <cfRule type="containsText" dxfId="1518" priority="1748" operator="containsText" text="Sin información">
      <formula>NOT(ISERROR(SEARCH("Sin información",E1245)))</formula>
    </cfRule>
  </conditionalFormatting>
  <conditionalFormatting sqref="C1245:E1245">
    <cfRule type="containsText" dxfId="1517" priority="1747" operator="containsText" text="NUEVO">
      <formula>NOT(ISERROR(SEARCH("NUEVO",C1245)))</formula>
    </cfRule>
  </conditionalFormatting>
  <conditionalFormatting sqref="C1246:D1246">
    <cfRule type="containsText" dxfId="1516" priority="1746" operator="containsText" text="NO+$D$4:$D$10">
      <formula>NOT(ISERROR(SEARCH("NO+$D$4:$D$10",C1246)))</formula>
    </cfRule>
  </conditionalFormatting>
  <conditionalFormatting sqref="C1246:D1246">
    <cfRule type="containsText" dxfId="1515" priority="1744" operator="containsText" text="SI">
      <formula>NOT(ISERROR(SEARCH("SI",C1246)))</formula>
    </cfRule>
    <cfRule type="containsText" dxfId="1514" priority="1745" operator="containsText" text="NO">
      <formula>NOT(ISERROR(SEARCH("NO",C1246)))</formula>
    </cfRule>
  </conditionalFormatting>
  <conditionalFormatting sqref="E1246">
    <cfRule type="containsText" dxfId="1513" priority="1743" operator="containsText" text="Sin información">
      <formula>NOT(ISERROR(SEARCH("Sin información",E1246)))</formula>
    </cfRule>
  </conditionalFormatting>
  <conditionalFormatting sqref="C1246:E1246">
    <cfRule type="containsText" dxfId="1512" priority="1742" operator="containsText" text="NUEVO">
      <formula>NOT(ISERROR(SEARCH("NUEVO",C1246)))</formula>
    </cfRule>
  </conditionalFormatting>
  <conditionalFormatting sqref="C1257:D1257">
    <cfRule type="containsText" dxfId="1511" priority="1741" operator="containsText" text="NO+$D$4:$D$10">
      <formula>NOT(ISERROR(SEARCH("NO+$D$4:$D$10",C1257)))</formula>
    </cfRule>
  </conditionalFormatting>
  <conditionalFormatting sqref="C1257:D1257">
    <cfRule type="containsText" dxfId="1510" priority="1739" operator="containsText" text="SI">
      <formula>NOT(ISERROR(SEARCH("SI",C1257)))</formula>
    </cfRule>
    <cfRule type="containsText" dxfId="1509" priority="1740" operator="containsText" text="NO">
      <formula>NOT(ISERROR(SEARCH("NO",C1257)))</formula>
    </cfRule>
  </conditionalFormatting>
  <conditionalFormatting sqref="E1257">
    <cfRule type="containsText" dxfId="1508" priority="1738" operator="containsText" text="Sin información">
      <formula>NOT(ISERROR(SEARCH("Sin información",E1257)))</formula>
    </cfRule>
  </conditionalFormatting>
  <conditionalFormatting sqref="C1257:E1257">
    <cfRule type="containsText" dxfId="1507" priority="1737" operator="containsText" text="NUEVO">
      <formula>NOT(ISERROR(SEARCH("NUEVO",C1257)))</formula>
    </cfRule>
  </conditionalFormatting>
  <conditionalFormatting sqref="E1257">
    <cfRule type="containsText" dxfId="1506" priority="1736" operator="containsText" text="NUEVO">
      <formula>NOT(ISERROR(SEARCH("NUEVO",E1257)))</formula>
    </cfRule>
  </conditionalFormatting>
  <conditionalFormatting sqref="E1257">
    <cfRule type="containsText" dxfId="1505" priority="1735" operator="containsText" text="Sin información">
      <formula>NOT(ISERROR(SEARCH("Sin información",E1257)))</formula>
    </cfRule>
  </conditionalFormatting>
  <conditionalFormatting sqref="C1258:D1258">
    <cfRule type="containsText" dxfId="1504" priority="1734" operator="containsText" text="NO+$D$4:$D$10">
      <formula>NOT(ISERROR(SEARCH("NO+$D$4:$D$10",C1258)))</formula>
    </cfRule>
  </conditionalFormatting>
  <conditionalFormatting sqref="C1258:D1258">
    <cfRule type="containsText" dxfId="1503" priority="1732" operator="containsText" text="SI">
      <formula>NOT(ISERROR(SEARCH("SI",C1258)))</formula>
    </cfRule>
    <cfRule type="containsText" dxfId="1502" priority="1733" operator="containsText" text="NO">
      <formula>NOT(ISERROR(SEARCH("NO",C1258)))</formula>
    </cfRule>
  </conditionalFormatting>
  <conditionalFormatting sqref="E1258">
    <cfRule type="containsText" dxfId="1501" priority="1731" operator="containsText" text="Sin información">
      <formula>NOT(ISERROR(SEARCH("Sin información",E1258)))</formula>
    </cfRule>
  </conditionalFormatting>
  <conditionalFormatting sqref="C1258:E1258">
    <cfRule type="containsText" dxfId="1500" priority="1730" operator="containsText" text="NUEVO">
      <formula>NOT(ISERROR(SEARCH("NUEVO",C1258)))</formula>
    </cfRule>
  </conditionalFormatting>
  <conditionalFormatting sqref="E1258">
    <cfRule type="containsText" dxfId="1499" priority="1729" operator="containsText" text="NUEVO">
      <formula>NOT(ISERROR(SEARCH("NUEVO",E1258)))</formula>
    </cfRule>
  </conditionalFormatting>
  <conditionalFormatting sqref="E1258">
    <cfRule type="containsText" dxfId="1498" priority="1728" operator="containsText" text="Sin información">
      <formula>NOT(ISERROR(SEARCH("Sin información",E1258)))</formula>
    </cfRule>
  </conditionalFormatting>
  <conditionalFormatting sqref="C1259:D1259">
    <cfRule type="containsText" dxfId="1497" priority="1727" operator="containsText" text="NO+$D$4:$D$10">
      <formula>NOT(ISERROR(SEARCH("NO+$D$4:$D$10",C1259)))</formula>
    </cfRule>
  </conditionalFormatting>
  <conditionalFormatting sqref="C1259:D1259">
    <cfRule type="containsText" dxfId="1496" priority="1725" operator="containsText" text="SI">
      <formula>NOT(ISERROR(SEARCH("SI",C1259)))</formula>
    </cfRule>
    <cfRule type="containsText" dxfId="1495" priority="1726" operator="containsText" text="NO">
      <formula>NOT(ISERROR(SEARCH("NO",C1259)))</formula>
    </cfRule>
  </conditionalFormatting>
  <conditionalFormatting sqref="E1259">
    <cfRule type="containsText" dxfId="1494" priority="1724" operator="containsText" text="Sin información">
      <formula>NOT(ISERROR(SEARCH("Sin información",E1259)))</formula>
    </cfRule>
  </conditionalFormatting>
  <conditionalFormatting sqref="C1259:E1259">
    <cfRule type="containsText" dxfId="1493" priority="1723" operator="containsText" text="NUEVO">
      <formula>NOT(ISERROR(SEARCH("NUEVO",C1259)))</formula>
    </cfRule>
  </conditionalFormatting>
  <conditionalFormatting sqref="E1259">
    <cfRule type="containsText" dxfId="1492" priority="1722" operator="containsText" text="NUEVO">
      <formula>NOT(ISERROR(SEARCH("NUEVO",E1259)))</formula>
    </cfRule>
  </conditionalFormatting>
  <conditionalFormatting sqref="E1259">
    <cfRule type="containsText" dxfId="1491" priority="1721" operator="containsText" text="Sin información">
      <formula>NOT(ISERROR(SEARCH("Sin información",E1259)))</formula>
    </cfRule>
  </conditionalFormatting>
  <conditionalFormatting sqref="C1260:D1260">
    <cfRule type="containsText" dxfId="1490" priority="1720" operator="containsText" text="NO+$D$4:$D$10">
      <formula>NOT(ISERROR(SEARCH("NO+$D$4:$D$10",C1260)))</formula>
    </cfRule>
  </conditionalFormatting>
  <conditionalFormatting sqref="C1260:D1260">
    <cfRule type="containsText" dxfId="1489" priority="1718" operator="containsText" text="SI">
      <formula>NOT(ISERROR(SEARCH("SI",C1260)))</formula>
    </cfRule>
    <cfRule type="containsText" dxfId="1488" priority="1719" operator="containsText" text="NO">
      <formula>NOT(ISERROR(SEARCH("NO",C1260)))</formula>
    </cfRule>
  </conditionalFormatting>
  <conditionalFormatting sqref="C1260:D1260">
    <cfRule type="containsText" dxfId="1487" priority="1717" operator="containsText" text="NUEVO">
      <formula>NOT(ISERROR(SEARCH("NUEVO",C1260)))</formula>
    </cfRule>
  </conditionalFormatting>
  <conditionalFormatting sqref="E1260">
    <cfRule type="containsText" dxfId="1486" priority="1715" operator="containsText" text="NUEVO">
      <formula>NOT(ISERROR(SEARCH("NUEVO",E1260)))</formula>
    </cfRule>
  </conditionalFormatting>
  <conditionalFormatting sqref="E1260">
    <cfRule type="containsText" dxfId="1485" priority="1716" operator="containsText" text="Sin información">
      <formula>NOT(ISERROR(SEARCH("Sin información",E1260)))</formula>
    </cfRule>
  </conditionalFormatting>
  <conditionalFormatting sqref="C1261:D1262">
    <cfRule type="containsText" dxfId="1484" priority="1714" operator="containsText" text="NO+$D$4:$D$10">
      <formula>NOT(ISERROR(SEARCH("NO+$D$4:$D$10",C1261)))</formula>
    </cfRule>
  </conditionalFormatting>
  <conditionalFormatting sqref="C1261:D1262">
    <cfRule type="containsText" dxfId="1483" priority="1712" operator="containsText" text="SI">
      <formula>NOT(ISERROR(SEARCH("SI",C1261)))</formula>
    </cfRule>
    <cfRule type="containsText" dxfId="1482" priority="1713" operator="containsText" text="NO">
      <formula>NOT(ISERROR(SEARCH("NO",C1261)))</formula>
    </cfRule>
  </conditionalFormatting>
  <conditionalFormatting sqref="C1261:D1262">
    <cfRule type="containsText" dxfId="1481" priority="1711" operator="containsText" text="NUEVO">
      <formula>NOT(ISERROR(SEARCH("NUEVO",C1261)))</formula>
    </cfRule>
  </conditionalFormatting>
  <conditionalFormatting sqref="E1261:E1262">
    <cfRule type="containsText" dxfId="1480" priority="1709" operator="containsText" text="NUEVO">
      <formula>NOT(ISERROR(SEARCH("NUEVO",E1261)))</formula>
    </cfRule>
  </conditionalFormatting>
  <conditionalFormatting sqref="E1261:E1262">
    <cfRule type="containsText" dxfId="1479" priority="1710" operator="containsText" text="Sin información">
      <formula>NOT(ISERROR(SEARCH("Sin información",E1261)))</formula>
    </cfRule>
  </conditionalFormatting>
  <conditionalFormatting sqref="C1263:D1263">
    <cfRule type="containsText" dxfId="1478" priority="1708" operator="containsText" text="NO+$D$4:$D$10">
      <formula>NOT(ISERROR(SEARCH("NO+$D$4:$D$10",C1263)))</formula>
    </cfRule>
  </conditionalFormatting>
  <conditionalFormatting sqref="C1263:D1263">
    <cfRule type="containsText" dxfId="1477" priority="1706" operator="containsText" text="SI">
      <formula>NOT(ISERROR(SEARCH("SI",C1263)))</formula>
    </cfRule>
    <cfRule type="containsText" dxfId="1476" priority="1707" operator="containsText" text="NO">
      <formula>NOT(ISERROR(SEARCH("NO",C1263)))</formula>
    </cfRule>
  </conditionalFormatting>
  <conditionalFormatting sqref="E1263">
    <cfRule type="containsText" dxfId="1475" priority="1705" operator="containsText" text="Sin información">
      <formula>NOT(ISERROR(SEARCH("Sin información",E1263)))</formula>
    </cfRule>
  </conditionalFormatting>
  <conditionalFormatting sqref="C1263:D1263">
    <cfRule type="containsText" dxfId="1474" priority="1704" operator="containsText" text="NUEVO">
      <formula>NOT(ISERROR(SEARCH("NUEVO",C1263)))</formula>
    </cfRule>
  </conditionalFormatting>
  <conditionalFormatting sqref="E1263">
    <cfRule type="containsText" dxfId="1473" priority="1703" operator="containsText" text="Sin información">
      <formula>NOT(ISERROR(SEARCH("Sin información",E1263)))</formula>
    </cfRule>
  </conditionalFormatting>
  <conditionalFormatting sqref="E1263">
    <cfRule type="containsText" dxfId="1472" priority="1701" operator="containsText" text="NUEVO">
      <formula>NOT(ISERROR(SEARCH("NUEVO",E1263)))</formula>
    </cfRule>
  </conditionalFormatting>
  <conditionalFormatting sqref="E1263">
    <cfRule type="containsText" dxfId="1471" priority="1702" operator="containsText" text="Sin información">
      <formula>NOT(ISERROR(SEARCH("Sin información",E1263)))</formula>
    </cfRule>
  </conditionalFormatting>
  <conditionalFormatting sqref="C1264:D1264">
    <cfRule type="containsText" dxfId="1470" priority="1700" operator="containsText" text="NO+$D$4:$D$10">
      <formula>NOT(ISERROR(SEARCH("NO+$D$4:$D$10",C1264)))</formula>
    </cfRule>
  </conditionalFormatting>
  <conditionalFormatting sqref="C1264:D1264">
    <cfRule type="containsText" dxfId="1469" priority="1698" operator="containsText" text="SI">
      <formula>NOT(ISERROR(SEARCH("SI",C1264)))</formula>
    </cfRule>
    <cfRule type="containsText" dxfId="1468" priority="1699" operator="containsText" text="NO">
      <formula>NOT(ISERROR(SEARCH("NO",C1264)))</formula>
    </cfRule>
  </conditionalFormatting>
  <conditionalFormatting sqref="C1264:D1264">
    <cfRule type="containsText" dxfId="1467" priority="1697" operator="containsText" text="NUEVO">
      <formula>NOT(ISERROR(SEARCH("NUEVO",C1264)))</formula>
    </cfRule>
  </conditionalFormatting>
  <conditionalFormatting sqref="E1264">
    <cfRule type="containsText" dxfId="1466" priority="1696" operator="containsText" text="Sin información">
      <formula>NOT(ISERROR(SEARCH("Sin información",E1264)))</formula>
    </cfRule>
  </conditionalFormatting>
  <conditionalFormatting sqref="E1264">
    <cfRule type="containsText" dxfId="1465" priority="1694" operator="containsText" text="NUEVO">
      <formula>NOT(ISERROR(SEARCH("NUEVO",E1264)))</formula>
    </cfRule>
  </conditionalFormatting>
  <conditionalFormatting sqref="E1264">
    <cfRule type="containsText" dxfId="1464" priority="1695" operator="containsText" text="Sin información">
      <formula>NOT(ISERROR(SEARCH("Sin información",E1264)))</formula>
    </cfRule>
  </conditionalFormatting>
  <conditionalFormatting sqref="C1266:D1267">
    <cfRule type="containsText" dxfId="1463" priority="1693" operator="containsText" text="NO+$D$4:$D$10">
      <formula>NOT(ISERROR(SEARCH("NO+$D$4:$D$10",C1266)))</formula>
    </cfRule>
  </conditionalFormatting>
  <conditionalFormatting sqref="C1266:D1267">
    <cfRule type="containsText" dxfId="1462" priority="1691" operator="containsText" text="SI">
      <formula>NOT(ISERROR(SEARCH("SI",C1266)))</formula>
    </cfRule>
    <cfRule type="containsText" dxfId="1461" priority="1692" operator="containsText" text="NO">
      <formula>NOT(ISERROR(SEARCH("NO",C1266)))</formula>
    </cfRule>
  </conditionalFormatting>
  <conditionalFormatting sqref="C1266:D1267">
    <cfRule type="containsText" dxfId="1460" priority="1690" operator="containsText" text="NUEVO">
      <formula>NOT(ISERROR(SEARCH("NUEVO",C1266)))</formula>
    </cfRule>
  </conditionalFormatting>
  <conditionalFormatting sqref="E1266:E1267">
    <cfRule type="containsText" dxfId="1459" priority="1689" operator="containsText" text="Sin información">
      <formula>NOT(ISERROR(SEARCH("Sin información",E1266)))</formula>
    </cfRule>
  </conditionalFormatting>
  <conditionalFormatting sqref="E1266:E1267">
    <cfRule type="containsText" dxfId="1458" priority="1687" operator="containsText" text="NUEVO">
      <formula>NOT(ISERROR(SEARCH("NUEVO",E1266)))</formula>
    </cfRule>
  </conditionalFormatting>
  <conditionalFormatting sqref="E1266:E1267">
    <cfRule type="containsText" dxfId="1457" priority="1688" operator="containsText" text="Sin información">
      <formula>NOT(ISERROR(SEARCH("Sin información",E1266)))</formula>
    </cfRule>
  </conditionalFormatting>
  <conditionalFormatting sqref="C1268:D1268">
    <cfRule type="containsText" dxfId="1456" priority="1686" operator="containsText" text="NO+$D$4:$D$10">
      <formula>NOT(ISERROR(SEARCH("NO+$D$4:$D$10",C1268)))</formula>
    </cfRule>
  </conditionalFormatting>
  <conditionalFormatting sqref="C1268:D1268">
    <cfRule type="containsText" dxfId="1455" priority="1684" operator="containsText" text="SI">
      <formula>NOT(ISERROR(SEARCH("SI",C1268)))</formula>
    </cfRule>
    <cfRule type="containsText" dxfId="1454" priority="1685" operator="containsText" text="NO">
      <formula>NOT(ISERROR(SEARCH("NO",C1268)))</formula>
    </cfRule>
  </conditionalFormatting>
  <conditionalFormatting sqref="C1268:D1268">
    <cfRule type="containsText" dxfId="1453" priority="1683" operator="containsText" text="NUEVO">
      <formula>NOT(ISERROR(SEARCH("NUEVO",C1268)))</formula>
    </cfRule>
  </conditionalFormatting>
  <conditionalFormatting sqref="E1268">
    <cfRule type="containsText" dxfId="1452" priority="1682" operator="containsText" text="Sin información">
      <formula>NOT(ISERROR(SEARCH("Sin información",E1268)))</formula>
    </cfRule>
  </conditionalFormatting>
  <conditionalFormatting sqref="E1268">
    <cfRule type="containsText" dxfId="1451" priority="1680" operator="containsText" text="NUEVO">
      <formula>NOT(ISERROR(SEARCH("NUEVO",E1268)))</formula>
    </cfRule>
  </conditionalFormatting>
  <conditionalFormatting sqref="E1268">
    <cfRule type="containsText" dxfId="1450" priority="1681" operator="containsText" text="Sin información">
      <formula>NOT(ISERROR(SEARCH("Sin información",E1268)))</formula>
    </cfRule>
  </conditionalFormatting>
  <conditionalFormatting sqref="C1269:D1270">
    <cfRule type="containsText" dxfId="1449" priority="1679" operator="containsText" text="NO+$D$4:$D$10">
      <formula>NOT(ISERROR(SEARCH("NO+$D$4:$D$10",C1269)))</formula>
    </cfRule>
  </conditionalFormatting>
  <conditionalFormatting sqref="C1269:D1270">
    <cfRule type="containsText" dxfId="1448" priority="1677" operator="containsText" text="SI">
      <formula>NOT(ISERROR(SEARCH("SI",C1269)))</formula>
    </cfRule>
    <cfRule type="containsText" dxfId="1447" priority="1678" operator="containsText" text="NO">
      <formula>NOT(ISERROR(SEARCH("NO",C1269)))</formula>
    </cfRule>
  </conditionalFormatting>
  <conditionalFormatting sqref="C1269:D1270">
    <cfRule type="containsText" dxfId="1446" priority="1676" operator="containsText" text="NUEVO">
      <formula>NOT(ISERROR(SEARCH("NUEVO",C1269)))</formula>
    </cfRule>
  </conditionalFormatting>
  <conditionalFormatting sqref="E1269">
    <cfRule type="containsText" dxfId="1445" priority="1675" operator="containsText" text="Sin información">
      <formula>NOT(ISERROR(SEARCH("Sin información",E1269)))</formula>
    </cfRule>
  </conditionalFormatting>
  <conditionalFormatting sqref="E1269">
    <cfRule type="containsText" dxfId="1444" priority="1673" operator="containsText" text="NUEVO">
      <formula>NOT(ISERROR(SEARCH("NUEVO",E1269)))</formula>
    </cfRule>
  </conditionalFormatting>
  <conditionalFormatting sqref="E1269">
    <cfRule type="containsText" dxfId="1443" priority="1674" operator="containsText" text="Sin información">
      <formula>NOT(ISERROR(SEARCH("Sin información",E1269)))</formula>
    </cfRule>
  </conditionalFormatting>
  <conditionalFormatting sqref="E1270">
    <cfRule type="containsText" dxfId="1442" priority="1672" operator="containsText" text="Sin información">
      <formula>NOT(ISERROR(SEARCH("Sin información",E1270)))</formula>
    </cfRule>
  </conditionalFormatting>
  <conditionalFormatting sqref="E1270">
    <cfRule type="containsText" dxfId="1441" priority="1671" operator="containsText" text="NUEVO">
      <formula>NOT(ISERROR(SEARCH("NUEVO",E1270)))</formula>
    </cfRule>
  </conditionalFormatting>
  <conditionalFormatting sqref="C1271:D1272">
    <cfRule type="containsText" dxfId="1440" priority="1670" operator="containsText" text="NO+$D$4:$D$10">
      <formula>NOT(ISERROR(SEARCH("NO+$D$4:$D$10",C1271)))</formula>
    </cfRule>
  </conditionalFormatting>
  <conditionalFormatting sqref="C1271:D1272">
    <cfRule type="containsText" dxfId="1439" priority="1668" operator="containsText" text="SI">
      <formula>NOT(ISERROR(SEARCH("SI",C1271)))</formula>
    </cfRule>
    <cfRule type="containsText" dxfId="1438" priority="1669" operator="containsText" text="NO">
      <formula>NOT(ISERROR(SEARCH("NO",C1271)))</formula>
    </cfRule>
  </conditionalFormatting>
  <conditionalFormatting sqref="C1271:D1272">
    <cfRule type="containsText" dxfId="1437" priority="1667" operator="containsText" text="NUEVO">
      <formula>NOT(ISERROR(SEARCH("NUEVO",C1271)))</formula>
    </cfRule>
  </conditionalFormatting>
  <conditionalFormatting sqref="E1271:E1272">
    <cfRule type="containsText" dxfId="1436" priority="1666" operator="containsText" text="Sin información">
      <formula>NOT(ISERROR(SEARCH("Sin información",E1271)))</formula>
    </cfRule>
  </conditionalFormatting>
  <conditionalFormatting sqref="E1271:E1272">
    <cfRule type="containsText" dxfId="1435" priority="1664" operator="containsText" text="NUEVO">
      <formula>NOT(ISERROR(SEARCH("NUEVO",E1271)))</formula>
    </cfRule>
  </conditionalFormatting>
  <conditionalFormatting sqref="E1271:E1272">
    <cfRule type="containsText" dxfId="1434" priority="1665" operator="containsText" text="Sin información">
      <formula>NOT(ISERROR(SEARCH("Sin información",E1271)))</formula>
    </cfRule>
  </conditionalFormatting>
  <conditionalFormatting sqref="C1273:D1278">
    <cfRule type="containsText" dxfId="1433" priority="1663" operator="containsText" text="NO+$D$4:$D$10">
      <formula>NOT(ISERROR(SEARCH("NO+$D$4:$D$10",C1273)))</formula>
    </cfRule>
  </conditionalFormatting>
  <conditionalFormatting sqref="C1273:D1278">
    <cfRule type="containsText" dxfId="1432" priority="1661" operator="containsText" text="SI">
      <formula>NOT(ISERROR(SEARCH("SI",C1273)))</formula>
    </cfRule>
    <cfRule type="containsText" dxfId="1431" priority="1662" operator="containsText" text="NO">
      <formula>NOT(ISERROR(SEARCH("NO",C1273)))</formula>
    </cfRule>
  </conditionalFormatting>
  <conditionalFormatting sqref="C1273:D1278">
    <cfRule type="containsText" dxfId="1430" priority="1660" operator="containsText" text="NUEVO">
      <formula>NOT(ISERROR(SEARCH("NUEVO",C1273)))</formula>
    </cfRule>
  </conditionalFormatting>
  <conditionalFormatting sqref="E1273">
    <cfRule type="containsText" dxfId="1429" priority="1659" operator="containsText" text="Sin información">
      <formula>NOT(ISERROR(SEARCH("Sin información",E1273)))</formula>
    </cfRule>
  </conditionalFormatting>
  <conditionalFormatting sqref="E1273">
    <cfRule type="containsText" dxfId="1428" priority="1658" operator="containsText" text="NUEVO">
      <formula>NOT(ISERROR(SEARCH("NUEVO",E1273)))</formula>
    </cfRule>
  </conditionalFormatting>
  <conditionalFormatting sqref="E1274:E1277">
    <cfRule type="containsText" dxfId="1427" priority="1655" operator="containsText" text="NUEVO">
      <formula>NOT(ISERROR(SEARCH("NUEVO",E1274)))</formula>
    </cfRule>
  </conditionalFormatting>
  <conditionalFormatting sqref="E1274:E1277">
    <cfRule type="containsText" dxfId="1426" priority="1657" operator="containsText" text="Sin información">
      <formula>NOT(ISERROR(SEARCH("Sin información",E1274)))</formula>
    </cfRule>
  </conditionalFormatting>
  <conditionalFormatting sqref="E1274:E1277">
    <cfRule type="containsText" dxfId="1425" priority="1656" operator="containsText" text="Sin información">
      <formula>NOT(ISERROR(SEARCH("Sin información",E1274)))</formula>
    </cfRule>
  </conditionalFormatting>
  <conditionalFormatting sqref="E1278">
    <cfRule type="containsText" dxfId="1424" priority="1653" operator="containsText" text="NUEVO">
      <formula>NOT(ISERROR(SEARCH("NUEVO",E1278)))</formula>
    </cfRule>
  </conditionalFormatting>
  <conditionalFormatting sqref="E1278">
    <cfRule type="containsText" dxfId="1423" priority="1654" operator="containsText" text="Sin información">
      <formula>NOT(ISERROR(SEARCH("Sin información",E1278)))</formula>
    </cfRule>
  </conditionalFormatting>
  <conditionalFormatting sqref="E1279">
    <cfRule type="containsText" dxfId="1422" priority="1648" operator="containsText" text="Sin información">
      <formula>NOT(ISERROR(SEARCH("Sin información",E1279)))</formula>
    </cfRule>
  </conditionalFormatting>
  <conditionalFormatting sqref="C1279:D1280">
    <cfRule type="containsText" dxfId="1421" priority="1652" operator="containsText" text="NO+$D$4:$D$10">
      <formula>NOT(ISERROR(SEARCH("NO+$D$4:$D$10",C1279)))</formula>
    </cfRule>
  </conditionalFormatting>
  <conditionalFormatting sqref="C1279:D1280">
    <cfRule type="containsText" dxfId="1420" priority="1650" operator="containsText" text="SI">
      <formula>NOT(ISERROR(SEARCH("SI",C1279)))</formula>
    </cfRule>
    <cfRule type="containsText" dxfId="1419" priority="1651" operator="containsText" text="NO">
      <formula>NOT(ISERROR(SEARCH("NO",C1279)))</formula>
    </cfRule>
  </conditionalFormatting>
  <conditionalFormatting sqref="C1279:D1280">
    <cfRule type="containsText" dxfId="1418" priority="1649" operator="containsText" text="NUEVO">
      <formula>NOT(ISERROR(SEARCH("NUEVO",C1279)))</formula>
    </cfRule>
  </conditionalFormatting>
  <conditionalFormatting sqref="E1279">
    <cfRule type="containsText" dxfId="1417" priority="1646" operator="containsText" text="NUEVO">
      <formula>NOT(ISERROR(SEARCH("NUEVO",E1279)))</formula>
    </cfRule>
  </conditionalFormatting>
  <conditionalFormatting sqref="E1279">
    <cfRule type="containsText" dxfId="1416" priority="1647" operator="containsText" text="Sin información">
      <formula>NOT(ISERROR(SEARCH("Sin información",E1279)))</formula>
    </cfRule>
  </conditionalFormatting>
  <conditionalFormatting sqref="E1280">
    <cfRule type="containsText" dxfId="1415" priority="1645" operator="containsText" text="Sin información">
      <formula>NOT(ISERROR(SEARCH("Sin información",E1280)))</formula>
    </cfRule>
  </conditionalFormatting>
  <conditionalFormatting sqref="E1280">
    <cfRule type="containsText" dxfId="1414" priority="1644" operator="containsText" text="NUEVO">
      <formula>NOT(ISERROR(SEARCH("NUEVO",E1280)))</formula>
    </cfRule>
  </conditionalFormatting>
  <conditionalFormatting sqref="C1281:D1281">
    <cfRule type="containsText" dxfId="1413" priority="1643" operator="containsText" text="NO+$D$4:$D$10">
      <formula>NOT(ISERROR(SEARCH("NO+$D$4:$D$10",C1281)))</formula>
    </cfRule>
  </conditionalFormatting>
  <conditionalFormatting sqref="C1281:D1281">
    <cfRule type="containsText" dxfId="1412" priority="1641" operator="containsText" text="SI">
      <formula>NOT(ISERROR(SEARCH("SI",C1281)))</formula>
    </cfRule>
    <cfRule type="containsText" dxfId="1411" priority="1642" operator="containsText" text="NO">
      <formula>NOT(ISERROR(SEARCH("NO",C1281)))</formula>
    </cfRule>
  </conditionalFormatting>
  <conditionalFormatting sqref="C1281:D1281">
    <cfRule type="containsText" dxfId="1410" priority="1640" operator="containsText" text="NUEVO">
      <formula>NOT(ISERROR(SEARCH("NUEVO",C1281)))</formula>
    </cfRule>
  </conditionalFormatting>
  <conditionalFormatting sqref="E1281">
    <cfRule type="containsText" dxfId="1409" priority="1637" operator="containsText" text="NUEVO">
      <formula>NOT(ISERROR(SEARCH("NUEVO",E1281)))</formula>
    </cfRule>
  </conditionalFormatting>
  <conditionalFormatting sqref="E1281">
    <cfRule type="containsText" dxfId="1408" priority="1639" operator="containsText" text="Sin información">
      <formula>NOT(ISERROR(SEARCH("Sin información",E1281)))</formula>
    </cfRule>
  </conditionalFormatting>
  <conditionalFormatting sqref="E1281">
    <cfRule type="containsText" dxfId="1407" priority="1638" operator="containsText" text="Sin información">
      <formula>NOT(ISERROR(SEARCH("Sin información",E1281)))</formula>
    </cfRule>
  </conditionalFormatting>
  <conditionalFormatting sqref="C1282:D1282">
    <cfRule type="containsText" dxfId="1406" priority="1634" operator="containsText" text="NO+$D$4:$D$10">
      <formula>NOT(ISERROR(SEARCH("NO+$D$4:$D$10",C1282)))</formula>
    </cfRule>
  </conditionalFormatting>
  <conditionalFormatting sqref="C1282:D1282">
    <cfRule type="containsText" dxfId="1405" priority="1632" operator="containsText" text="SI">
      <formula>NOT(ISERROR(SEARCH("SI",C1282)))</formula>
    </cfRule>
    <cfRule type="containsText" dxfId="1404" priority="1633" operator="containsText" text="NO">
      <formula>NOT(ISERROR(SEARCH("NO",C1282)))</formula>
    </cfRule>
  </conditionalFormatting>
  <conditionalFormatting sqref="C1282:D1282">
    <cfRule type="containsText" dxfId="1403" priority="1631" operator="containsText" text="NUEVO">
      <formula>NOT(ISERROR(SEARCH("NUEVO",C1282)))</formula>
    </cfRule>
  </conditionalFormatting>
  <conditionalFormatting sqref="E1282">
    <cfRule type="containsText" dxfId="1402" priority="1628" operator="containsText" text="NUEVO">
      <formula>NOT(ISERROR(SEARCH("NUEVO",E1282)))</formula>
    </cfRule>
  </conditionalFormatting>
  <conditionalFormatting sqref="E1282">
    <cfRule type="containsText" dxfId="1401" priority="1629" operator="containsText" text="Sin información">
      <formula>NOT(ISERROR(SEARCH("Sin información",E1282)))</formula>
    </cfRule>
  </conditionalFormatting>
  <conditionalFormatting sqref="E1282">
    <cfRule type="containsText" dxfId="1400" priority="1630" operator="containsText" text="Sin información">
      <formula>NOT(ISERROR(SEARCH("Sin información",E1282)))</formula>
    </cfRule>
  </conditionalFormatting>
  <conditionalFormatting sqref="C1283:D1285">
    <cfRule type="containsText" dxfId="1399" priority="1627" operator="containsText" text="NO+$D$4:$D$10">
      <formula>NOT(ISERROR(SEARCH("NO+$D$4:$D$10",C1283)))</formula>
    </cfRule>
  </conditionalFormatting>
  <conditionalFormatting sqref="C1283:D1285">
    <cfRule type="containsText" dxfId="1398" priority="1625" operator="containsText" text="SI">
      <formula>NOT(ISERROR(SEARCH("SI",C1283)))</formula>
    </cfRule>
    <cfRule type="containsText" dxfId="1397" priority="1626" operator="containsText" text="NO">
      <formula>NOT(ISERROR(SEARCH("NO",C1283)))</formula>
    </cfRule>
  </conditionalFormatting>
  <conditionalFormatting sqref="C1283:D1285">
    <cfRule type="containsText" dxfId="1396" priority="1624" operator="containsText" text="NUEVO">
      <formula>NOT(ISERROR(SEARCH("NUEVO",C1283)))</formula>
    </cfRule>
  </conditionalFormatting>
  <conditionalFormatting sqref="E1283:E1285">
    <cfRule type="containsText" dxfId="1395" priority="1623" operator="containsText" text="Sin información">
      <formula>NOT(ISERROR(SEARCH("Sin información",E1283)))</formula>
    </cfRule>
  </conditionalFormatting>
  <conditionalFormatting sqref="E1283:E1285">
    <cfRule type="containsText" dxfId="1394" priority="1622" operator="containsText" text="Sin información">
      <formula>NOT(ISERROR(SEARCH("Sin información",E1283)))</formula>
    </cfRule>
  </conditionalFormatting>
  <conditionalFormatting sqref="E1283:E1285">
    <cfRule type="containsText" dxfId="1393" priority="1621" operator="containsText" text="NUEVO">
      <formula>NOT(ISERROR(SEARCH("NUEVO",E1283)))</formula>
    </cfRule>
  </conditionalFormatting>
  <conditionalFormatting sqref="C1286:D1286">
    <cfRule type="containsText" dxfId="1392" priority="1620" operator="containsText" text="NO+$D$4:$D$10">
      <formula>NOT(ISERROR(SEARCH("NO+$D$4:$D$10",C1286)))</formula>
    </cfRule>
  </conditionalFormatting>
  <conditionalFormatting sqref="C1286:D1286">
    <cfRule type="containsText" dxfId="1391" priority="1618" operator="containsText" text="SI">
      <formula>NOT(ISERROR(SEARCH("SI",C1286)))</formula>
    </cfRule>
    <cfRule type="containsText" dxfId="1390" priority="1619" operator="containsText" text="NO">
      <formula>NOT(ISERROR(SEARCH("NO",C1286)))</formula>
    </cfRule>
  </conditionalFormatting>
  <conditionalFormatting sqref="C1286:D1286">
    <cfRule type="containsText" dxfId="1389" priority="1617" operator="containsText" text="NUEVO">
      <formula>NOT(ISERROR(SEARCH("NUEVO",C1286)))</formula>
    </cfRule>
  </conditionalFormatting>
  <conditionalFormatting sqref="E1286">
    <cfRule type="containsText" dxfId="1388" priority="1615" operator="containsText" text="Sin información">
      <formula>NOT(ISERROR(SEARCH("Sin información",E1286)))</formula>
    </cfRule>
  </conditionalFormatting>
  <conditionalFormatting sqref="E1286">
    <cfRule type="containsText" dxfId="1387" priority="1614" operator="containsText" text="NUEVO">
      <formula>NOT(ISERROR(SEARCH("NUEVO",E1286)))</formula>
    </cfRule>
  </conditionalFormatting>
  <conditionalFormatting sqref="E1286">
    <cfRule type="containsText" dxfId="1386" priority="1616" operator="containsText" text="Sin información">
      <formula>NOT(ISERROR(SEARCH("Sin información",E1286)))</formula>
    </cfRule>
  </conditionalFormatting>
  <conditionalFormatting sqref="C1073:D1073">
    <cfRule type="containsText" dxfId="1385" priority="1613" operator="containsText" text="NO+$D$4:$D$10">
      <formula>NOT(ISERROR(SEARCH("NO+$D$4:$D$10",C1073)))</formula>
    </cfRule>
  </conditionalFormatting>
  <conditionalFormatting sqref="C1073:D1073">
    <cfRule type="containsText" dxfId="1384" priority="1611" operator="containsText" text="SI">
      <formula>NOT(ISERROR(SEARCH("SI",C1073)))</formula>
    </cfRule>
    <cfRule type="containsText" dxfId="1383" priority="1612" operator="containsText" text="NO">
      <formula>NOT(ISERROR(SEARCH("NO",C1073)))</formula>
    </cfRule>
  </conditionalFormatting>
  <conditionalFormatting sqref="C1073:D1073">
    <cfRule type="containsText" dxfId="1382" priority="1610" operator="containsText" text="NUEVO">
      <formula>NOT(ISERROR(SEARCH("NUEVO",C1073)))</formula>
    </cfRule>
  </conditionalFormatting>
  <conditionalFormatting sqref="E1073">
    <cfRule type="containsText" dxfId="1381" priority="1609" operator="containsText" text="Sin información">
      <formula>NOT(ISERROR(SEARCH("Sin información",E1073)))</formula>
    </cfRule>
  </conditionalFormatting>
  <conditionalFormatting sqref="E1073">
    <cfRule type="containsText" dxfId="1380" priority="1608" operator="containsText" text="NUEVO">
      <formula>NOT(ISERROR(SEARCH("NUEVO",E1073)))</formula>
    </cfRule>
  </conditionalFormatting>
  <conditionalFormatting sqref="C1213:D1213">
    <cfRule type="containsText" dxfId="1379" priority="1594" operator="containsText" text="NO+$D$4:$D$10">
      <formula>NOT(ISERROR(SEARCH("NO+$D$4:$D$10",C1213)))</formula>
    </cfRule>
  </conditionalFormatting>
  <conditionalFormatting sqref="C1213:D1213">
    <cfRule type="containsText" dxfId="1378" priority="1592" operator="containsText" text="SI">
      <formula>NOT(ISERROR(SEARCH("SI",C1213)))</formula>
    </cfRule>
    <cfRule type="containsText" dxfId="1377" priority="1593" operator="containsText" text="NO">
      <formula>NOT(ISERROR(SEARCH("NO",C1213)))</formula>
    </cfRule>
  </conditionalFormatting>
  <conditionalFormatting sqref="E1213">
    <cfRule type="containsText" dxfId="1376" priority="1591" operator="containsText" text="Sin información">
      <formula>NOT(ISERROR(SEARCH("Sin información",E1213)))</formula>
    </cfRule>
  </conditionalFormatting>
  <conditionalFormatting sqref="C1213:E1213">
    <cfRule type="containsText" dxfId="1375" priority="1590" operator="containsText" text="NUEVO">
      <formula>NOT(ISERROR(SEARCH("NUEVO",C1213)))</formula>
    </cfRule>
  </conditionalFormatting>
  <conditionalFormatting sqref="E1213">
    <cfRule type="containsText" dxfId="1374" priority="1589" operator="containsText" text="NUEVO">
      <formula>NOT(ISERROR(SEARCH("NUEVO",E1213)))</formula>
    </cfRule>
  </conditionalFormatting>
  <conditionalFormatting sqref="E1213">
    <cfRule type="containsText" dxfId="1373" priority="1588" operator="containsText" text="Sin información">
      <formula>NOT(ISERROR(SEARCH("Sin información",E1213)))</formula>
    </cfRule>
  </conditionalFormatting>
  <conditionalFormatting sqref="C1215:D1215">
    <cfRule type="containsText" dxfId="1372" priority="1587" operator="containsText" text="NO+$D$4:$D$10">
      <formula>NOT(ISERROR(SEARCH("NO+$D$4:$D$10",C1215)))</formula>
    </cfRule>
  </conditionalFormatting>
  <conditionalFormatting sqref="C1215:D1215">
    <cfRule type="containsText" dxfId="1371" priority="1585" operator="containsText" text="SI">
      <formula>NOT(ISERROR(SEARCH("SI",C1215)))</formula>
    </cfRule>
    <cfRule type="containsText" dxfId="1370" priority="1586" operator="containsText" text="NO">
      <formula>NOT(ISERROR(SEARCH("NO",C1215)))</formula>
    </cfRule>
  </conditionalFormatting>
  <conditionalFormatting sqref="C1215:D1215">
    <cfRule type="containsText" dxfId="1369" priority="1584" operator="containsText" text="NUEVO">
      <formula>NOT(ISERROR(SEARCH("NUEVO",C1215)))</formula>
    </cfRule>
  </conditionalFormatting>
  <conditionalFormatting sqref="E1215">
    <cfRule type="containsText" dxfId="1368" priority="1583" operator="containsText" text="Sin información">
      <formula>NOT(ISERROR(SEARCH("Sin información",E1215)))</formula>
    </cfRule>
  </conditionalFormatting>
  <conditionalFormatting sqref="E1215">
    <cfRule type="containsText" dxfId="1367" priority="1581" operator="containsText" text="NUEVO">
      <formula>NOT(ISERROR(SEARCH("NUEVO",E1215)))</formula>
    </cfRule>
  </conditionalFormatting>
  <conditionalFormatting sqref="E1215">
    <cfRule type="containsText" dxfId="1366" priority="1582" operator="containsText" text="Sin información">
      <formula>NOT(ISERROR(SEARCH("Sin información",E1215)))</formula>
    </cfRule>
  </conditionalFormatting>
  <conditionalFormatting sqref="C1219:D1219">
    <cfRule type="containsText" dxfId="1365" priority="1580" operator="containsText" text="NO+$D$4:$D$10">
      <formula>NOT(ISERROR(SEARCH("NO+$D$4:$D$10",C1219)))</formula>
    </cfRule>
  </conditionalFormatting>
  <conditionalFormatting sqref="C1219:D1219">
    <cfRule type="containsText" dxfId="1364" priority="1578" operator="containsText" text="SI">
      <formula>NOT(ISERROR(SEARCH("SI",C1219)))</formula>
    </cfRule>
    <cfRule type="containsText" dxfId="1363" priority="1579" operator="containsText" text="NO">
      <formula>NOT(ISERROR(SEARCH("NO",C1219)))</formula>
    </cfRule>
  </conditionalFormatting>
  <conditionalFormatting sqref="C1219:D1219">
    <cfRule type="containsText" dxfId="1362" priority="1577" operator="containsText" text="NUEVO">
      <formula>NOT(ISERROR(SEARCH("NUEVO",C1219)))</formula>
    </cfRule>
  </conditionalFormatting>
  <conditionalFormatting sqref="E1219">
    <cfRule type="containsText" dxfId="1361" priority="1576" operator="containsText" text="Sin información">
      <formula>NOT(ISERROR(SEARCH("Sin información",E1219)))</formula>
    </cfRule>
  </conditionalFormatting>
  <conditionalFormatting sqref="E1219">
    <cfRule type="containsText" dxfId="1360" priority="1574" operator="containsText" text="NUEVO">
      <formula>NOT(ISERROR(SEARCH("NUEVO",E1219)))</formula>
    </cfRule>
  </conditionalFormatting>
  <conditionalFormatting sqref="E1219">
    <cfRule type="containsText" dxfId="1359" priority="1575" operator="containsText" text="Sin información">
      <formula>NOT(ISERROR(SEARCH("Sin información",E1219)))</formula>
    </cfRule>
  </conditionalFormatting>
  <conditionalFormatting sqref="C1221:D1221">
    <cfRule type="containsText" dxfId="1358" priority="1573" operator="containsText" text="NO+$D$4:$D$10">
      <formula>NOT(ISERROR(SEARCH("NO+$D$4:$D$10",C1221)))</formula>
    </cfRule>
  </conditionalFormatting>
  <conditionalFormatting sqref="C1221:D1221">
    <cfRule type="containsText" dxfId="1357" priority="1571" operator="containsText" text="SI">
      <formula>NOT(ISERROR(SEARCH("SI",C1221)))</formula>
    </cfRule>
    <cfRule type="containsText" dxfId="1356" priority="1572" operator="containsText" text="NO">
      <formula>NOT(ISERROR(SEARCH("NO",C1221)))</formula>
    </cfRule>
  </conditionalFormatting>
  <conditionalFormatting sqref="C1221:D1221">
    <cfRule type="containsText" dxfId="1355" priority="1570" operator="containsText" text="NUEVO">
      <formula>NOT(ISERROR(SEARCH("NUEVO",C1221)))</formula>
    </cfRule>
  </conditionalFormatting>
  <conditionalFormatting sqref="E1221">
    <cfRule type="containsText" dxfId="1354" priority="1567" operator="containsText" text="NUEVO">
      <formula>NOT(ISERROR(SEARCH("NUEVO",E1221)))</formula>
    </cfRule>
  </conditionalFormatting>
  <conditionalFormatting sqref="E1221">
    <cfRule type="containsText" dxfId="1353" priority="1569" operator="containsText" text="Sin información">
      <formula>NOT(ISERROR(SEARCH("Sin información",E1221)))</formula>
    </cfRule>
  </conditionalFormatting>
  <conditionalFormatting sqref="E1221">
    <cfRule type="containsText" dxfId="1352" priority="1568" operator="containsText" text="Sin información">
      <formula>NOT(ISERROR(SEARCH("Sin información",E1221)))</formula>
    </cfRule>
  </conditionalFormatting>
  <conditionalFormatting sqref="C1224:D1224">
    <cfRule type="containsText" dxfId="1351" priority="1566" operator="containsText" text="NO+$D$4:$D$10">
      <formula>NOT(ISERROR(SEARCH("NO+$D$4:$D$10",C1224)))</formula>
    </cfRule>
  </conditionalFormatting>
  <conditionalFormatting sqref="C1224:D1224">
    <cfRule type="containsText" dxfId="1350" priority="1564" operator="containsText" text="SI">
      <formula>NOT(ISERROR(SEARCH("SI",C1224)))</formula>
    </cfRule>
    <cfRule type="containsText" dxfId="1349" priority="1565" operator="containsText" text="NO">
      <formula>NOT(ISERROR(SEARCH("NO",C1224)))</formula>
    </cfRule>
  </conditionalFormatting>
  <conditionalFormatting sqref="C1224:D1224">
    <cfRule type="containsText" dxfId="1348" priority="1563" operator="containsText" text="NUEVO">
      <formula>NOT(ISERROR(SEARCH("NUEVO",C1224)))</formula>
    </cfRule>
  </conditionalFormatting>
  <conditionalFormatting sqref="E1224">
    <cfRule type="containsText" dxfId="1347" priority="1560" operator="containsText" text="NUEVO">
      <formula>NOT(ISERROR(SEARCH("NUEVO",E1224)))</formula>
    </cfRule>
  </conditionalFormatting>
  <conditionalFormatting sqref="E1224">
    <cfRule type="containsText" dxfId="1346" priority="1562" operator="containsText" text="Sin información">
      <formula>NOT(ISERROR(SEARCH("Sin información",E1224)))</formula>
    </cfRule>
  </conditionalFormatting>
  <conditionalFormatting sqref="E1224">
    <cfRule type="containsText" dxfId="1345" priority="1561" operator="containsText" text="Sin información">
      <formula>NOT(ISERROR(SEARCH("Sin información",E1224)))</formula>
    </cfRule>
  </conditionalFormatting>
  <conditionalFormatting sqref="C1227:D1227">
    <cfRule type="containsText" dxfId="1344" priority="1559" operator="containsText" text="NO+$D$4:$D$10">
      <formula>NOT(ISERROR(SEARCH("NO+$D$4:$D$10",C1227)))</formula>
    </cfRule>
  </conditionalFormatting>
  <conditionalFormatting sqref="C1227:D1227">
    <cfRule type="containsText" dxfId="1343" priority="1557" operator="containsText" text="SI">
      <formula>NOT(ISERROR(SEARCH("SI",C1227)))</formula>
    </cfRule>
    <cfRule type="containsText" dxfId="1342" priority="1558" operator="containsText" text="NO">
      <formula>NOT(ISERROR(SEARCH("NO",C1227)))</formula>
    </cfRule>
  </conditionalFormatting>
  <conditionalFormatting sqref="C1227:D1227">
    <cfRule type="containsText" dxfId="1341" priority="1556" operator="containsText" text="NUEVO">
      <formula>NOT(ISERROR(SEARCH("NUEVO",C1227)))</formula>
    </cfRule>
  </conditionalFormatting>
  <conditionalFormatting sqref="E1227">
    <cfRule type="containsText" dxfId="1340" priority="1553" operator="containsText" text="NUEVO">
      <formula>NOT(ISERROR(SEARCH("NUEVO",E1227)))</formula>
    </cfRule>
  </conditionalFormatting>
  <conditionalFormatting sqref="E1227">
    <cfRule type="containsText" dxfId="1339" priority="1555" operator="containsText" text="Sin información">
      <formula>NOT(ISERROR(SEARCH("Sin información",E1227)))</formula>
    </cfRule>
  </conditionalFormatting>
  <conditionalFormatting sqref="E1227">
    <cfRule type="containsText" dxfId="1338" priority="1554" operator="containsText" text="Sin información">
      <formula>NOT(ISERROR(SEARCH("Sin información",E1227)))</formula>
    </cfRule>
  </conditionalFormatting>
  <conditionalFormatting sqref="C1228:D1228">
    <cfRule type="containsText" dxfId="1337" priority="1545" operator="containsText" text="NO+$D$4:$D$10">
      <formula>NOT(ISERROR(SEARCH("NO+$D$4:$D$10",C1228)))</formula>
    </cfRule>
  </conditionalFormatting>
  <conditionalFormatting sqref="C1228:D1228">
    <cfRule type="containsText" dxfId="1336" priority="1543" operator="containsText" text="SI">
      <formula>NOT(ISERROR(SEARCH("SI",C1228)))</formula>
    </cfRule>
    <cfRule type="containsText" dxfId="1335" priority="1544" operator="containsText" text="NO">
      <formula>NOT(ISERROR(SEARCH("NO",C1228)))</formula>
    </cfRule>
  </conditionalFormatting>
  <conditionalFormatting sqref="C1228:D1228">
    <cfRule type="containsText" dxfId="1334" priority="1542" operator="containsText" text="NUEVO">
      <formula>NOT(ISERROR(SEARCH("NUEVO",C1228)))</formula>
    </cfRule>
  </conditionalFormatting>
  <conditionalFormatting sqref="E1228">
    <cfRule type="containsText" dxfId="1333" priority="1540" operator="containsText" text="Sin información">
      <formula>NOT(ISERROR(SEARCH("Sin información",E1228)))</formula>
    </cfRule>
  </conditionalFormatting>
  <conditionalFormatting sqref="E1228">
    <cfRule type="containsText" dxfId="1332" priority="1539" operator="containsText" text="NUEVO">
      <formula>NOT(ISERROR(SEARCH("NUEVO",E1228)))</formula>
    </cfRule>
  </conditionalFormatting>
  <conditionalFormatting sqref="E1228">
    <cfRule type="containsText" dxfId="1331" priority="1541" operator="containsText" text="Sin información">
      <formula>NOT(ISERROR(SEARCH("Sin información",E1228)))</formula>
    </cfRule>
  </conditionalFormatting>
  <conditionalFormatting sqref="C1287:D1289">
    <cfRule type="containsText" dxfId="1330" priority="1538" operator="containsText" text="NO+$D$4:$D$10">
      <formula>NOT(ISERROR(SEARCH("NO+$D$4:$D$10",C1287)))</formula>
    </cfRule>
  </conditionalFormatting>
  <conditionalFormatting sqref="C1287:D1289">
    <cfRule type="containsText" dxfId="1329" priority="1536" operator="containsText" text="SI">
      <formula>NOT(ISERROR(SEARCH("SI",C1287)))</formula>
    </cfRule>
    <cfRule type="containsText" dxfId="1328" priority="1537" operator="containsText" text="NO">
      <formula>NOT(ISERROR(SEARCH("NO",C1287)))</formula>
    </cfRule>
  </conditionalFormatting>
  <conditionalFormatting sqref="C1287:D1289">
    <cfRule type="containsText" dxfId="1327" priority="1535" operator="containsText" text="NUEVO">
      <formula>NOT(ISERROR(SEARCH("NUEVO",C1287)))</formula>
    </cfRule>
  </conditionalFormatting>
  <conditionalFormatting sqref="E1287">
    <cfRule type="containsText" dxfId="1326" priority="1533" operator="containsText" text="Sin información">
      <formula>NOT(ISERROR(SEARCH("Sin información",E1287)))</formula>
    </cfRule>
  </conditionalFormatting>
  <conditionalFormatting sqref="E1287">
    <cfRule type="containsText" dxfId="1325" priority="1532" operator="containsText" text="NUEVO">
      <formula>NOT(ISERROR(SEARCH("NUEVO",E1287)))</formula>
    </cfRule>
  </conditionalFormatting>
  <conditionalFormatting sqref="E1287">
    <cfRule type="containsText" dxfId="1324" priority="1534" operator="containsText" text="Sin información">
      <formula>NOT(ISERROR(SEARCH("Sin información",E1287)))</formula>
    </cfRule>
  </conditionalFormatting>
  <conditionalFormatting sqref="E1288">
    <cfRule type="containsText" dxfId="1323" priority="1529" operator="containsText" text="NUEVO">
      <formula>NOT(ISERROR(SEARCH("NUEVO",E1288)))</formula>
    </cfRule>
  </conditionalFormatting>
  <conditionalFormatting sqref="E1288">
    <cfRule type="containsText" dxfId="1322" priority="1530" operator="containsText" text="Sin información">
      <formula>NOT(ISERROR(SEARCH("Sin información",E1288)))</formula>
    </cfRule>
  </conditionalFormatting>
  <conditionalFormatting sqref="E1288">
    <cfRule type="containsText" dxfId="1321" priority="1531" operator="containsText" text="Sin información">
      <formula>NOT(ISERROR(SEARCH("Sin información",E1288)))</formula>
    </cfRule>
  </conditionalFormatting>
  <conditionalFormatting sqref="E1289">
    <cfRule type="containsText" dxfId="1320" priority="1527" operator="containsText" text="Sin información">
      <formula>NOT(ISERROR(SEARCH("Sin información",E1289)))</formula>
    </cfRule>
  </conditionalFormatting>
  <conditionalFormatting sqref="E1289">
    <cfRule type="containsText" dxfId="1319" priority="1526" operator="containsText" text="NUEVO">
      <formula>NOT(ISERROR(SEARCH("NUEVO",E1289)))</formula>
    </cfRule>
  </conditionalFormatting>
  <conditionalFormatting sqref="E1289">
    <cfRule type="containsText" dxfId="1318" priority="1528" operator="containsText" text="Sin información">
      <formula>NOT(ISERROR(SEARCH("Sin información",E1289)))</formula>
    </cfRule>
  </conditionalFormatting>
  <conditionalFormatting sqref="C1230:D1231">
    <cfRule type="containsText" dxfId="1317" priority="1525" operator="containsText" text="NO+$D$4:$D$10">
      <formula>NOT(ISERROR(SEARCH("NO+$D$4:$D$10",C1230)))</formula>
    </cfRule>
  </conditionalFormatting>
  <conditionalFormatting sqref="C1230:D1231">
    <cfRule type="containsText" dxfId="1316" priority="1523" operator="containsText" text="SI">
      <formula>NOT(ISERROR(SEARCH("SI",C1230)))</formula>
    </cfRule>
    <cfRule type="containsText" dxfId="1315" priority="1524" operator="containsText" text="NO">
      <formula>NOT(ISERROR(SEARCH("NO",C1230)))</formula>
    </cfRule>
  </conditionalFormatting>
  <conditionalFormatting sqref="C1230:D1231">
    <cfRule type="containsText" dxfId="1314" priority="1522" operator="containsText" text="NUEVO">
      <formula>NOT(ISERROR(SEARCH("NUEVO",C1230)))</formula>
    </cfRule>
  </conditionalFormatting>
  <conditionalFormatting sqref="E1230:E1231">
    <cfRule type="containsText" dxfId="1313" priority="1520" operator="containsText" text="Sin información">
      <formula>NOT(ISERROR(SEARCH("Sin información",E1230)))</formula>
    </cfRule>
  </conditionalFormatting>
  <conditionalFormatting sqref="E1230:E1231">
    <cfRule type="containsText" dxfId="1312" priority="1519" operator="containsText" text="NUEVO">
      <formula>NOT(ISERROR(SEARCH("NUEVO",E1230)))</formula>
    </cfRule>
  </conditionalFormatting>
  <conditionalFormatting sqref="E1230:E1231">
    <cfRule type="containsText" dxfId="1311" priority="1521" operator="containsText" text="Sin información">
      <formula>NOT(ISERROR(SEARCH("Sin información",E1230)))</formula>
    </cfRule>
  </conditionalFormatting>
  <conditionalFormatting sqref="C1290:D1293">
    <cfRule type="containsText" dxfId="1310" priority="1518" operator="containsText" text="NO+$D$4:$D$10">
      <formula>NOT(ISERROR(SEARCH("NO+$D$4:$D$10",C1290)))</formula>
    </cfRule>
  </conditionalFormatting>
  <conditionalFormatting sqref="C1290:D1293">
    <cfRule type="containsText" dxfId="1309" priority="1516" operator="containsText" text="SI">
      <formula>NOT(ISERROR(SEARCH("SI",C1290)))</formula>
    </cfRule>
    <cfRule type="containsText" dxfId="1308" priority="1517" operator="containsText" text="NO">
      <formula>NOT(ISERROR(SEARCH("NO",C1290)))</formula>
    </cfRule>
  </conditionalFormatting>
  <conditionalFormatting sqref="C1290:D1293">
    <cfRule type="containsText" dxfId="1307" priority="1515" operator="containsText" text="NUEVO">
      <formula>NOT(ISERROR(SEARCH("NUEVO",C1290)))</formula>
    </cfRule>
  </conditionalFormatting>
  <conditionalFormatting sqref="E1290:E1293">
    <cfRule type="containsText" dxfId="1306" priority="1513" operator="containsText" text="Sin información">
      <formula>NOT(ISERROR(SEARCH("Sin información",E1290)))</formula>
    </cfRule>
  </conditionalFormatting>
  <conditionalFormatting sqref="E1290:E1293">
    <cfRule type="containsText" dxfId="1305" priority="1512" operator="containsText" text="NUEVO">
      <formula>NOT(ISERROR(SEARCH("NUEVO",E1290)))</formula>
    </cfRule>
  </conditionalFormatting>
  <conditionalFormatting sqref="E1290:E1293">
    <cfRule type="containsText" dxfId="1304" priority="1514" operator="containsText" text="Sin información">
      <formula>NOT(ISERROR(SEARCH("Sin información",E1290)))</formula>
    </cfRule>
  </conditionalFormatting>
  <conditionalFormatting sqref="C1265:D1265">
    <cfRule type="containsText" dxfId="1303" priority="1511" operator="containsText" text="NO+$D$4:$D$10">
      <formula>NOT(ISERROR(SEARCH("NO+$D$4:$D$10",C1265)))</formula>
    </cfRule>
  </conditionalFormatting>
  <conditionalFormatting sqref="C1265:D1265">
    <cfRule type="containsText" dxfId="1302" priority="1509" operator="containsText" text="SI">
      <formula>NOT(ISERROR(SEARCH("SI",C1265)))</formula>
    </cfRule>
    <cfRule type="containsText" dxfId="1301" priority="1510" operator="containsText" text="NO">
      <formula>NOT(ISERROR(SEARCH("NO",C1265)))</formula>
    </cfRule>
  </conditionalFormatting>
  <conditionalFormatting sqref="C1265:D1265">
    <cfRule type="containsText" dxfId="1300" priority="1508" operator="containsText" text="NUEVO">
      <formula>NOT(ISERROR(SEARCH("NUEVO",C1265)))</formula>
    </cfRule>
  </conditionalFormatting>
  <conditionalFormatting sqref="E1265">
    <cfRule type="containsText" dxfId="1299" priority="1506" operator="containsText" text="Sin información">
      <formula>NOT(ISERROR(SEARCH("Sin información",E1265)))</formula>
    </cfRule>
  </conditionalFormatting>
  <conditionalFormatting sqref="E1265">
    <cfRule type="containsText" dxfId="1298" priority="1505" operator="containsText" text="NUEVO">
      <formula>NOT(ISERROR(SEARCH("NUEVO",E1265)))</formula>
    </cfRule>
  </conditionalFormatting>
  <conditionalFormatting sqref="E1265">
    <cfRule type="containsText" dxfId="1297" priority="1507" operator="containsText" text="Sin información">
      <formula>NOT(ISERROR(SEARCH("Sin información",E1265)))</formula>
    </cfRule>
  </conditionalFormatting>
  <conditionalFormatting sqref="C1294:D1294">
    <cfRule type="containsText" dxfId="1296" priority="1504" operator="containsText" text="NO+$D$4:$D$10">
      <formula>NOT(ISERROR(SEARCH("NO+$D$4:$D$10",C1294)))</formula>
    </cfRule>
  </conditionalFormatting>
  <conditionalFormatting sqref="C1294:D1294">
    <cfRule type="containsText" dxfId="1295" priority="1502" operator="containsText" text="SI">
      <formula>NOT(ISERROR(SEARCH("SI",C1294)))</formula>
    </cfRule>
    <cfRule type="containsText" dxfId="1294" priority="1503" operator="containsText" text="NO">
      <formula>NOT(ISERROR(SEARCH("NO",C1294)))</formula>
    </cfRule>
  </conditionalFormatting>
  <conditionalFormatting sqref="C1294:D1294">
    <cfRule type="containsText" dxfId="1293" priority="1501" operator="containsText" text="NUEVO">
      <formula>NOT(ISERROR(SEARCH("NUEVO",C1294)))</formula>
    </cfRule>
  </conditionalFormatting>
  <conditionalFormatting sqref="E1294">
    <cfRule type="containsText" dxfId="1292" priority="1500" operator="containsText" text="Sin información">
      <formula>NOT(ISERROR(SEARCH("Sin información",E1294)))</formula>
    </cfRule>
  </conditionalFormatting>
  <conditionalFormatting sqref="E1294">
    <cfRule type="containsText" dxfId="1291" priority="1499" operator="containsText" text="NUEVO">
      <formula>NOT(ISERROR(SEARCH("NUEVO",E1294)))</formula>
    </cfRule>
  </conditionalFormatting>
  <conditionalFormatting sqref="C1295:D1295">
    <cfRule type="containsText" dxfId="1290" priority="1498" operator="containsText" text="NO+$D$4:$D$10">
      <formula>NOT(ISERROR(SEARCH("NO+$D$4:$D$10",C1295)))</formula>
    </cfRule>
  </conditionalFormatting>
  <conditionalFormatting sqref="C1295:D1295">
    <cfRule type="containsText" dxfId="1289" priority="1496" operator="containsText" text="SI">
      <formula>NOT(ISERROR(SEARCH("SI",C1295)))</formula>
    </cfRule>
    <cfRule type="containsText" dxfId="1288" priority="1497" operator="containsText" text="NO">
      <formula>NOT(ISERROR(SEARCH("NO",C1295)))</formula>
    </cfRule>
  </conditionalFormatting>
  <conditionalFormatting sqref="E1295">
    <cfRule type="containsText" dxfId="1287" priority="1495" operator="containsText" text="Sin información">
      <formula>NOT(ISERROR(SEARCH("Sin información",E1295)))</formula>
    </cfRule>
  </conditionalFormatting>
  <conditionalFormatting sqref="C1295:E1295">
    <cfRule type="containsText" dxfId="1286" priority="1494" operator="containsText" text="NUEVO">
      <formula>NOT(ISERROR(SEARCH("NUEVO",C1295)))</formula>
    </cfRule>
  </conditionalFormatting>
  <conditionalFormatting sqref="E1295">
    <cfRule type="containsText" dxfId="1285" priority="1493" operator="containsText" text="Sin Información">
      <formula>NOT(ISERROR(SEARCH("Sin Información",E1295)))</formula>
    </cfRule>
  </conditionalFormatting>
  <conditionalFormatting sqref="E1295">
    <cfRule type="containsText" dxfId="1284" priority="1491" operator="containsText" text="NUEVO">
      <formula>NOT(ISERROR(SEARCH("NUEVO",E1295)))</formula>
    </cfRule>
  </conditionalFormatting>
  <conditionalFormatting sqref="E1295">
    <cfRule type="containsText" dxfId="1283" priority="1492" operator="containsText" text="Sin información">
      <formula>NOT(ISERROR(SEARCH("Sin información",E1295)))</formula>
    </cfRule>
  </conditionalFormatting>
  <conditionalFormatting sqref="C1296:D1296">
    <cfRule type="containsText" dxfId="1282" priority="1485" operator="containsText" text="NO+$D$4:$D$10">
      <formula>NOT(ISERROR(SEARCH("NO+$D$4:$D$10",C1296)))</formula>
    </cfRule>
  </conditionalFormatting>
  <conditionalFormatting sqref="C1296:D1296">
    <cfRule type="containsText" dxfId="1281" priority="1483" operator="containsText" text="SI">
      <formula>NOT(ISERROR(SEARCH("SI",C1296)))</formula>
    </cfRule>
    <cfRule type="containsText" dxfId="1280" priority="1484" operator="containsText" text="NO">
      <formula>NOT(ISERROR(SEARCH("NO",C1296)))</formula>
    </cfRule>
  </conditionalFormatting>
  <conditionalFormatting sqref="C1296:D1296">
    <cfRule type="containsText" dxfId="1279" priority="1482" operator="containsText" text="NUEVO">
      <formula>NOT(ISERROR(SEARCH("NUEVO",C1296)))</formula>
    </cfRule>
  </conditionalFormatting>
  <conditionalFormatting sqref="E1296">
    <cfRule type="containsText" dxfId="1278" priority="1480" operator="containsText" text="NUEVO">
      <formula>NOT(ISERROR(SEARCH("NUEVO",E1296)))</formula>
    </cfRule>
  </conditionalFormatting>
  <conditionalFormatting sqref="E1296">
    <cfRule type="containsText" dxfId="1277" priority="1481" operator="containsText" text="Sin información">
      <formula>NOT(ISERROR(SEARCH("Sin información",E1296)))</formula>
    </cfRule>
  </conditionalFormatting>
  <conditionalFormatting sqref="C1297:D1298">
    <cfRule type="containsText" dxfId="1276" priority="1473" operator="containsText" text="NO+$D$4:$D$10">
      <formula>NOT(ISERROR(SEARCH("NO+$D$4:$D$10",C1297)))</formula>
    </cfRule>
  </conditionalFormatting>
  <conditionalFormatting sqref="C1297:D1298">
    <cfRule type="containsText" dxfId="1275" priority="1471" operator="containsText" text="SI">
      <formula>NOT(ISERROR(SEARCH("SI",C1297)))</formula>
    </cfRule>
    <cfRule type="containsText" dxfId="1274" priority="1472" operator="containsText" text="NO">
      <formula>NOT(ISERROR(SEARCH("NO",C1297)))</formula>
    </cfRule>
  </conditionalFormatting>
  <conditionalFormatting sqref="C1297:D1298">
    <cfRule type="containsText" dxfId="1273" priority="1470" operator="containsText" text="NUEVO">
      <formula>NOT(ISERROR(SEARCH("NUEVO",C1297)))</formula>
    </cfRule>
  </conditionalFormatting>
  <conditionalFormatting sqref="E1297:E1298">
    <cfRule type="containsText" dxfId="1272" priority="1469" operator="containsText" text="Sin información">
      <formula>NOT(ISERROR(SEARCH("Sin información",E1297)))</formula>
    </cfRule>
  </conditionalFormatting>
  <conditionalFormatting sqref="E1297:E1298">
    <cfRule type="containsText" dxfId="1271" priority="1467" operator="containsText" text="NUEVO">
      <formula>NOT(ISERROR(SEARCH("NUEVO",E1297)))</formula>
    </cfRule>
  </conditionalFormatting>
  <conditionalFormatting sqref="E1297:E1298">
    <cfRule type="containsText" dxfId="1270" priority="1468" operator="containsText" text="Sin información">
      <formula>NOT(ISERROR(SEARCH("Sin información",E1297)))</formula>
    </cfRule>
  </conditionalFormatting>
  <conditionalFormatting sqref="C1299:D1299">
    <cfRule type="containsText" dxfId="1269" priority="1466" operator="containsText" text="NO+$D$4:$D$10">
      <formula>NOT(ISERROR(SEARCH("NO+$D$4:$D$10",C1299)))</formula>
    </cfRule>
  </conditionalFormatting>
  <conditionalFormatting sqref="C1299:D1299">
    <cfRule type="containsText" dxfId="1268" priority="1464" operator="containsText" text="SI">
      <formula>NOT(ISERROR(SEARCH("SI",C1299)))</formula>
    </cfRule>
    <cfRule type="containsText" dxfId="1267" priority="1465" operator="containsText" text="NO">
      <formula>NOT(ISERROR(SEARCH("NO",C1299)))</formula>
    </cfRule>
  </conditionalFormatting>
  <conditionalFormatting sqref="C1299:D1299">
    <cfRule type="containsText" dxfId="1266" priority="1463" operator="containsText" text="NUEVO">
      <formula>NOT(ISERROR(SEARCH("NUEVO",C1299)))</formula>
    </cfRule>
  </conditionalFormatting>
  <conditionalFormatting sqref="E1299">
    <cfRule type="containsText" dxfId="1265" priority="1461" operator="containsText" text="Sin información">
      <formula>NOT(ISERROR(SEARCH("Sin información",E1299)))</formula>
    </cfRule>
  </conditionalFormatting>
  <conditionalFormatting sqref="E1299">
    <cfRule type="containsText" dxfId="1264" priority="1460" operator="containsText" text="NUEVO">
      <formula>NOT(ISERROR(SEARCH("NUEVO",E1299)))</formula>
    </cfRule>
  </conditionalFormatting>
  <conditionalFormatting sqref="E1299">
    <cfRule type="containsText" dxfId="1263" priority="1462" operator="containsText" text="Sin información">
      <formula>NOT(ISERROR(SEARCH("Sin información",E1299)))</formula>
    </cfRule>
  </conditionalFormatting>
  <conditionalFormatting sqref="C1300:D1300">
    <cfRule type="containsText" dxfId="1262" priority="1459" operator="containsText" text="NO+$D$4:$D$10">
      <formula>NOT(ISERROR(SEARCH("NO+$D$4:$D$10",C1300)))</formula>
    </cfRule>
  </conditionalFormatting>
  <conditionalFormatting sqref="C1300:D1300">
    <cfRule type="containsText" dxfId="1261" priority="1457" operator="containsText" text="SI">
      <formula>NOT(ISERROR(SEARCH("SI",C1300)))</formula>
    </cfRule>
    <cfRule type="containsText" dxfId="1260" priority="1458" operator="containsText" text="NO">
      <formula>NOT(ISERROR(SEARCH("NO",C1300)))</formula>
    </cfRule>
  </conditionalFormatting>
  <conditionalFormatting sqref="C1300:D1300">
    <cfRule type="containsText" dxfId="1259" priority="1456" operator="containsText" text="NUEVO">
      <formula>NOT(ISERROR(SEARCH("NUEVO",C1300)))</formula>
    </cfRule>
  </conditionalFormatting>
  <conditionalFormatting sqref="E1300">
    <cfRule type="containsText" dxfId="1258" priority="1454" operator="containsText" text="Sin información">
      <formula>NOT(ISERROR(SEARCH("Sin información",E1300)))</formula>
    </cfRule>
  </conditionalFormatting>
  <conditionalFormatting sqref="E1300">
    <cfRule type="containsText" dxfId="1257" priority="1453" operator="containsText" text="NUEVO">
      <formula>NOT(ISERROR(SEARCH("NUEVO",E1300)))</formula>
    </cfRule>
  </conditionalFormatting>
  <conditionalFormatting sqref="E1300">
    <cfRule type="containsText" dxfId="1256" priority="1455" operator="containsText" text="Sin información">
      <formula>NOT(ISERROR(SEARCH("Sin información",E1300)))</formula>
    </cfRule>
  </conditionalFormatting>
  <conditionalFormatting sqref="E1301:E1302">
    <cfRule type="containsText" dxfId="1255" priority="1447" operator="containsText" text="Sin información">
      <formula>NOT(ISERROR(SEARCH("Sin información",E1301)))</formula>
    </cfRule>
  </conditionalFormatting>
  <conditionalFormatting sqref="E1301:E1302">
    <cfRule type="containsText" dxfId="1254" priority="1446" operator="containsText" text="NUEVO">
      <formula>NOT(ISERROR(SEARCH("NUEVO",E1301)))</formula>
    </cfRule>
  </conditionalFormatting>
  <conditionalFormatting sqref="E1301:E1302">
    <cfRule type="containsText" dxfId="1253" priority="1448" operator="containsText" text="Sin información">
      <formula>NOT(ISERROR(SEARCH("Sin información",E1301)))</formula>
    </cfRule>
  </conditionalFormatting>
  <conditionalFormatting sqref="E1303">
    <cfRule type="containsText" dxfId="1252" priority="1444" operator="containsText" text="Sin información">
      <formula>NOT(ISERROR(SEARCH("Sin información",E1303)))</formula>
    </cfRule>
  </conditionalFormatting>
  <conditionalFormatting sqref="E1303">
    <cfRule type="containsText" dxfId="1251" priority="1443" operator="containsText" text="NUEVO">
      <formula>NOT(ISERROR(SEARCH("NUEVO",E1303)))</formula>
    </cfRule>
  </conditionalFormatting>
  <conditionalFormatting sqref="E1303">
    <cfRule type="containsText" dxfId="1250" priority="1445" operator="containsText" text="Sin información">
      <formula>NOT(ISERROR(SEARCH("Sin información",E1303)))</formula>
    </cfRule>
  </conditionalFormatting>
  <conditionalFormatting sqref="C1320:D1322">
    <cfRule type="containsText" dxfId="1249" priority="1439" operator="containsText" text="NO+$D$4:$D$10">
      <formula>NOT(ISERROR(SEARCH("NO+$D$4:$D$10",C1320)))</formula>
    </cfRule>
  </conditionalFormatting>
  <conditionalFormatting sqref="C1320:D1322">
    <cfRule type="containsText" dxfId="1248" priority="1437" operator="containsText" text="SI">
      <formula>NOT(ISERROR(SEARCH("SI",C1320)))</formula>
    </cfRule>
    <cfRule type="containsText" dxfId="1247" priority="1438" operator="containsText" text="NO">
      <formula>NOT(ISERROR(SEARCH("NO",C1320)))</formula>
    </cfRule>
  </conditionalFormatting>
  <conditionalFormatting sqref="C1320:D1322">
    <cfRule type="containsText" dxfId="1246" priority="1436" operator="containsText" text="NUEVO">
      <formula>NOT(ISERROR(SEARCH("NUEVO",C1320)))</formula>
    </cfRule>
  </conditionalFormatting>
  <conditionalFormatting sqref="E1320:E1321">
    <cfRule type="containsText" dxfId="1245" priority="1435" operator="containsText" text="Sin información">
      <formula>NOT(ISERROR(SEARCH("Sin información",E1320)))</formula>
    </cfRule>
  </conditionalFormatting>
  <conditionalFormatting sqref="E1320:E1321">
    <cfRule type="containsText" dxfId="1244" priority="1434" operator="containsText" text="Sin información">
      <formula>NOT(ISERROR(SEARCH("Sin información",E1320)))</formula>
    </cfRule>
  </conditionalFormatting>
  <conditionalFormatting sqref="E1320:E1321">
    <cfRule type="containsText" dxfId="1243" priority="1433" operator="containsText" text="NUEVO">
      <formula>NOT(ISERROR(SEARCH("NUEVO",E1320)))</formula>
    </cfRule>
  </conditionalFormatting>
  <conditionalFormatting sqref="E1322">
    <cfRule type="containsText" dxfId="1242" priority="1432" operator="containsText" text="Sin información">
      <formula>NOT(ISERROR(SEARCH("Sin información",E1322)))</formula>
    </cfRule>
  </conditionalFormatting>
  <conditionalFormatting sqref="E1322">
    <cfRule type="containsText" dxfId="1241" priority="1430" operator="containsText" text="NUEVO">
      <formula>NOT(ISERROR(SEARCH("NUEVO",E1322)))</formula>
    </cfRule>
  </conditionalFormatting>
  <conditionalFormatting sqref="E1322">
    <cfRule type="containsText" dxfId="1240" priority="1431" operator="containsText" text="Sin información">
      <formula>NOT(ISERROR(SEARCH("Sin información",E1322)))</formula>
    </cfRule>
  </conditionalFormatting>
  <conditionalFormatting sqref="C1323:D1324">
    <cfRule type="containsText" dxfId="1239" priority="1429" operator="containsText" text="NO+$D$4:$D$10">
      <formula>NOT(ISERROR(SEARCH("NO+$D$4:$D$10",C1323)))</formula>
    </cfRule>
  </conditionalFormatting>
  <conditionalFormatting sqref="C1323:D1324">
    <cfRule type="containsText" dxfId="1238" priority="1427" operator="containsText" text="SI">
      <formula>NOT(ISERROR(SEARCH("SI",C1323)))</formula>
    </cfRule>
    <cfRule type="containsText" dxfId="1237" priority="1428" operator="containsText" text="NO">
      <formula>NOT(ISERROR(SEARCH("NO",C1323)))</formula>
    </cfRule>
  </conditionalFormatting>
  <conditionalFormatting sqref="E1323:E1324">
    <cfRule type="containsText" dxfId="1236" priority="1426" operator="containsText" text="Sin información">
      <formula>NOT(ISERROR(SEARCH("Sin información",E1323)))</formula>
    </cfRule>
  </conditionalFormatting>
  <conditionalFormatting sqref="C1323:E1324">
    <cfRule type="containsText" dxfId="1235" priority="1425" operator="containsText" text="NUEVO">
      <formula>NOT(ISERROR(SEARCH("NUEVO",C1323)))</formula>
    </cfRule>
  </conditionalFormatting>
  <conditionalFormatting sqref="C1325:D1325">
    <cfRule type="containsText" dxfId="1234" priority="1424" operator="containsText" text="NO+$D$4:$D$10">
      <formula>NOT(ISERROR(SEARCH("NO+$D$4:$D$10",C1325)))</formula>
    </cfRule>
  </conditionalFormatting>
  <conditionalFormatting sqref="C1325:D1325">
    <cfRule type="containsText" dxfId="1233" priority="1422" operator="containsText" text="SI">
      <formula>NOT(ISERROR(SEARCH("SI",C1325)))</formula>
    </cfRule>
    <cfRule type="containsText" dxfId="1232" priority="1423" operator="containsText" text="NO">
      <formula>NOT(ISERROR(SEARCH("NO",C1325)))</formula>
    </cfRule>
  </conditionalFormatting>
  <conditionalFormatting sqref="C1325:D1325">
    <cfRule type="containsText" dxfId="1231" priority="1421" operator="containsText" text="NUEVO">
      <formula>NOT(ISERROR(SEARCH("NUEVO",C1325)))</formula>
    </cfRule>
  </conditionalFormatting>
  <conditionalFormatting sqref="E1325">
    <cfRule type="containsText" dxfId="1230" priority="1420" operator="containsText" text="Sin información">
      <formula>NOT(ISERROR(SEARCH("Sin información",E1325)))</formula>
    </cfRule>
  </conditionalFormatting>
  <conditionalFormatting sqref="E1325">
    <cfRule type="containsText" dxfId="1229" priority="1419" operator="containsText" text="NUEVO">
      <formula>NOT(ISERROR(SEARCH("NUEVO",E1325)))</formula>
    </cfRule>
  </conditionalFormatting>
  <conditionalFormatting sqref="E1325">
    <cfRule type="containsText" dxfId="1228" priority="1418" operator="containsText" text="Sin Información">
      <formula>NOT(ISERROR(SEARCH("Sin Información",E1325)))</formula>
    </cfRule>
  </conditionalFormatting>
  <conditionalFormatting sqref="C1326:D1326">
    <cfRule type="containsText" dxfId="1227" priority="1417" operator="containsText" text="NO+$D$4:$D$10">
      <formula>NOT(ISERROR(SEARCH("NO+$D$4:$D$10",C1326)))</formula>
    </cfRule>
  </conditionalFormatting>
  <conditionalFormatting sqref="C1326:D1326">
    <cfRule type="containsText" dxfId="1226" priority="1415" operator="containsText" text="SI">
      <formula>NOT(ISERROR(SEARCH("SI",C1326)))</formula>
    </cfRule>
    <cfRule type="containsText" dxfId="1225" priority="1416" operator="containsText" text="NO">
      <formula>NOT(ISERROR(SEARCH("NO",C1326)))</formula>
    </cfRule>
  </conditionalFormatting>
  <conditionalFormatting sqref="C1326:D1326">
    <cfRule type="containsText" dxfId="1224" priority="1414" operator="containsText" text="NUEVO">
      <formula>NOT(ISERROR(SEARCH("NUEVO",C1326)))</formula>
    </cfRule>
  </conditionalFormatting>
  <conditionalFormatting sqref="E1326">
    <cfRule type="containsText" dxfId="1223" priority="1412" operator="containsText" text="NUEVO">
      <formula>NOT(ISERROR(SEARCH("NUEVO",E1326)))</formula>
    </cfRule>
  </conditionalFormatting>
  <conditionalFormatting sqref="E1326">
    <cfRule type="containsText" dxfId="1222" priority="1413" operator="containsText" text="Sin información">
      <formula>NOT(ISERROR(SEARCH("Sin información",E1326)))</formula>
    </cfRule>
  </conditionalFormatting>
  <conditionalFormatting sqref="C1327:D1327">
    <cfRule type="containsText" dxfId="1221" priority="1411" operator="containsText" text="NO+$D$4:$D$10">
      <formula>NOT(ISERROR(SEARCH("NO+$D$4:$D$10",C1327)))</formula>
    </cfRule>
  </conditionalFormatting>
  <conditionalFormatting sqref="C1327:D1327">
    <cfRule type="containsText" dxfId="1220" priority="1409" operator="containsText" text="SI">
      <formula>NOT(ISERROR(SEARCH("SI",C1327)))</formula>
    </cfRule>
    <cfRule type="containsText" dxfId="1219" priority="1410" operator="containsText" text="NO">
      <formula>NOT(ISERROR(SEARCH("NO",C1327)))</formula>
    </cfRule>
  </conditionalFormatting>
  <conditionalFormatting sqref="C1327:D1327">
    <cfRule type="containsText" dxfId="1218" priority="1408" operator="containsText" text="NUEVO">
      <formula>NOT(ISERROR(SEARCH("NUEVO",C1327)))</formula>
    </cfRule>
  </conditionalFormatting>
  <conditionalFormatting sqref="E1327">
    <cfRule type="containsText" dxfId="1217" priority="1406" operator="containsText" text="NUEVO">
      <formula>NOT(ISERROR(SEARCH("NUEVO",E1327)))</formula>
    </cfRule>
  </conditionalFormatting>
  <conditionalFormatting sqref="E1327">
    <cfRule type="containsText" dxfId="1216" priority="1407" operator="containsText" text="Sin información">
      <formula>NOT(ISERROR(SEARCH("Sin información",E1327)))</formula>
    </cfRule>
  </conditionalFormatting>
  <conditionalFormatting sqref="C1328:D1329">
    <cfRule type="containsText" dxfId="1215" priority="1405" operator="containsText" text="NO+$D$4:$D$10">
      <formula>NOT(ISERROR(SEARCH("NO+$D$4:$D$10",C1328)))</formula>
    </cfRule>
  </conditionalFormatting>
  <conditionalFormatting sqref="C1328:D1329">
    <cfRule type="containsText" dxfId="1214" priority="1403" operator="containsText" text="SI">
      <formula>NOT(ISERROR(SEARCH("SI",C1328)))</formula>
    </cfRule>
    <cfRule type="containsText" dxfId="1213" priority="1404" operator="containsText" text="NO">
      <formula>NOT(ISERROR(SEARCH("NO",C1328)))</formula>
    </cfRule>
  </conditionalFormatting>
  <conditionalFormatting sqref="C1328:D1329">
    <cfRule type="containsText" dxfId="1212" priority="1402" operator="containsText" text="NUEVO">
      <formula>NOT(ISERROR(SEARCH("NUEVO",C1328)))</formula>
    </cfRule>
  </conditionalFormatting>
  <conditionalFormatting sqref="E1328">
    <cfRule type="containsText" dxfId="1211" priority="1398" operator="containsText" text="NUEVO">
      <formula>NOT(ISERROR(SEARCH("NUEVO",E1328)))</formula>
    </cfRule>
  </conditionalFormatting>
  <conditionalFormatting sqref="E1329">
    <cfRule type="containsText" dxfId="1210" priority="1396" operator="containsText" text="NUEVO">
      <formula>NOT(ISERROR(SEARCH("NUEVO",E1329)))</formula>
    </cfRule>
  </conditionalFormatting>
  <conditionalFormatting sqref="E1328">
    <cfRule type="containsText" dxfId="1209" priority="1399" operator="containsText" text="Sin información">
      <formula>NOT(ISERROR(SEARCH("Sin información",E1328)))</formula>
    </cfRule>
  </conditionalFormatting>
  <conditionalFormatting sqref="E1329">
    <cfRule type="containsText" dxfId="1208" priority="1397" operator="containsText" text="Sin información">
      <formula>NOT(ISERROR(SEARCH("Sin información",E1329)))</formula>
    </cfRule>
  </conditionalFormatting>
  <conditionalFormatting sqref="C1330:D1330">
    <cfRule type="containsText" dxfId="1207" priority="1395" operator="containsText" text="NO+$D$4:$D$10">
      <formula>NOT(ISERROR(SEARCH("NO+$D$4:$D$10",C1330)))</formula>
    </cfRule>
  </conditionalFormatting>
  <conditionalFormatting sqref="C1330:D1330">
    <cfRule type="containsText" dxfId="1206" priority="1393" operator="containsText" text="SI">
      <formula>NOT(ISERROR(SEARCH("SI",C1330)))</formula>
    </cfRule>
    <cfRule type="containsText" dxfId="1205" priority="1394" operator="containsText" text="NO">
      <formula>NOT(ISERROR(SEARCH("NO",C1330)))</formula>
    </cfRule>
  </conditionalFormatting>
  <conditionalFormatting sqref="C1330:D1330">
    <cfRule type="containsText" dxfId="1204" priority="1392" operator="containsText" text="NUEVO">
      <formula>NOT(ISERROR(SEARCH("NUEVO",C1330)))</formula>
    </cfRule>
  </conditionalFormatting>
  <conditionalFormatting sqref="E1330">
    <cfRule type="containsText" dxfId="1203" priority="1390" operator="containsText" text="NUEVO">
      <formula>NOT(ISERROR(SEARCH("NUEVO",E1330)))</formula>
    </cfRule>
  </conditionalFormatting>
  <conditionalFormatting sqref="E1330">
    <cfRule type="containsText" dxfId="1202" priority="1391" operator="containsText" text="Sin información">
      <formula>NOT(ISERROR(SEARCH("Sin información",E1330)))</formula>
    </cfRule>
  </conditionalFormatting>
  <conditionalFormatting sqref="C1331:D1331">
    <cfRule type="containsText" dxfId="1201" priority="1389" operator="containsText" text="NO+$D$4:$D$10">
      <formula>NOT(ISERROR(SEARCH("NO+$D$4:$D$10",C1331)))</formula>
    </cfRule>
  </conditionalFormatting>
  <conditionalFormatting sqref="C1331:D1331">
    <cfRule type="containsText" dxfId="1200" priority="1387" operator="containsText" text="SI">
      <formula>NOT(ISERROR(SEARCH("SI",C1331)))</formula>
    </cfRule>
    <cfRule type="containsText" dxfId="1199" priority="1388" operator="containsText" text="NO">
      <formula>NOT(ISERROR(SEARCH("NO",C1331)))</formula>
    </cfRule>
  </conditionalFormatting>
  <conditionalFormatting sqref="C1331:D1331">
    <cfRule type="containsText" dxfId="1198" priority="1386" operator="containsText" text="NUEVO">
      <formula>NOT(ISERROR(SEARCH("NUEVO",C1331)))</formula>
    </cfRule>
  </conditionalFormatting>
  <conditionalFormatting sqref="E1331">
    <cfRule type="containsText" dxfId="1197" priority="1385" operator="containsText" text="Sin información">
      <formula>NOT(ISERROR(SEARCH("Sin información",E1331)))</formula>
    </cfRule>
  </conditionalFormatting>
  <conditionalFormatting sqref="C1338:D1338">
    <cfRule type="containsText" dxfId="1196" priority="1358" operator="containsText" text="NO+$D$4:$D$10">
      <formula>NOT(ISERROR(SEARCH("NO+$D$4:$D$10",C1338)))</formula>
    </cfRule>
  </conditionalFormatting>
  <conditionalFormatting sqref="C1338:D1338">
    <cfRule type="containsText" dxfId="1195" priority="1356" operator="containsText" text="SI">
      <formula>NOT(ISERROR(SEARCH("SI",C1338)))</formula>
    </cfRule>
    <cfRule type="containsText" dxfId="1194" priority="1357" operator="containsText" text="NO">
      <formula>NOT(ISERROR(SEARCH("NO",C1338)))</formula>
    </cfRule>
  </conditionalFormatting>
  <conditionalFormatting sqref="E1338">
    <cfRule type="containsText" dxfId="1193" priority="1355" operator="containsText" text="Sin información">
      <formula>NOT(ISERROR(SEARCH("Sin información",E1338)))</formula>
    </cfRule>
  </conditionalFormatting>
  <conditionalFormatting sqref="C1338:E1338">
    <cfRule type="containsText" dxfId="1192" priority="1354" operator="containsText" text="NUEVO">
      <formula>NOT(ISERROR(SEARCH("NUEVO",C1338)))</formula>
    </cfRule>
  </conditionalFormatting>
  <conditionalFormatting sqref="C1339:D1339">
    <cfRule type="containsText" dxfId="1191" priority="1353" operator="containsText" text="NO+$D$4:$D$10">
      <formula>NOT(ISERROR(SEARCH("NO+$D$4:$D$10",C1339)))</formula>
    </cfRule>
  </conditionalFormatting>
  <conditionalFormatting sqref="C1339:D1339">
    <cfRule type="containsText" dxfId="1190" priority="1351" operator="containsText" text="SI">
      <formula>NOT(ISERROR(SEARCH("SI",C1339)))</formula>
    </cfRule>
    <cfRule type="containsText" dxfId="1189" priority="1352" operator="containsText" text="NO">
      <formula>NOT(ISERROR(SEARCH("NO",C1339)))</formula>
    </cfRule>
  </conditionalFormatting>
  <conditionalFormatting sqref="E1339">
    <cfRule type="containsText" dxfId="1188" priority="1350" operator="containsText" text="Sin información">
      <formula>NOT(ISERROR(SEARCH("Sin información",E1339)))</formula>
    </cfRule>
  </conditionalFormatting>
  <conditionalFormatting sqref="C1339:E1339">
    <cfRule type="containsText" dxfId="1187" priority="1349" operator="containsText" text="NUEVO">
      <formula>NOT(ISERROR(SEARCH("NUEVO",C1339)))</formula>
    </cfRule>
  </conditionalFormatting>
  <conditionalFormatting sqref="C1340:D1340">
    <cfRule type="containsText" dxfId="1186" priority="1348" operator="containsText" text="NO+$D$4:$D$10">
      <formula>NOT(ISERROR(SEARCH("NO+$D$4:$D$10",C1340)))</formula>
    </cfRule>
  </conditionalFormatting>
  <conditionalFormatting sqref="C1340:D1340">
    <cfRule type="containsText" dxfId="1185" priority="1346" operator="containsText" text="SI">
      <formula>NOT(ISERROR(SEARCH("SI",C1340)))</formula>
    </cfRule>
    <cfRule type="containsText" dxfId="1184" priority="1347" operator="containsText" text="NO">
      <formula>NOT(ISERROR(SEARCH("NO",C1340)))</formula>
    </cfRule>
  </conditionalFormatting>
  <conditionalFormatting sqref="E1340">
    <cfRule type="containsText" dxfId="1183" priority="1345" operator="containsText" text="Sin información">
      <formula>NOT(ISERROR(SEARCH("Sin información",E1340)))</formula>
    </cfRule>
  </conditionalFormatting>
  <conditionalFormatting sqref="C1340:E1340">
    <cfRule type="containsText" dxfId="1182" priority="1344" operator="containsText" text="NUEVO">
      <formula>NOT(ISERROR(SEARCH("NUEVO",C1340)))</formula>
    </cfRule>
  </conditionalFormatting>
  <conditionalFormatting sqref="C1341:D1341">
    <cfRule type="containsText" dxfId="1181" priority="1343" operator="containsText" text="NO+$D$4:$D$10">
      <formula>NOT(ISERROR(SEARCH("NO+$D$4:$D$10",C1341)))</formula>
    </cfRule>
  </conditionalFormatting>
  <conditionalFormatting sqref="C1341:D1341">
    <cfRule type="containsText" dxfId="1180" priority="1341" operator="containsText" text="SI">
      <formula>NOT(ISERROR(SEARCH("SI",C1341)))</formula>
    </cfRule>
    <cfRule type="containsText" dxfId="1179" priority="1342" operator="containsText" text="NO">
      <formula>NOT(ISERROR(SEARCH("NO",C1341)))</formula>
    </cfRule>
  </conditionalFormatting>
  <conditionalFormatting sqref="C1341:D1341">
    <cfRule type="containsText" dxfId="1178" priority="1340" operator="containsText" text="NUEVO">
      <formula>NOT(ISERROR(SEARCH("NUEVO",C1341)))</formula>
    </cfRule>
  </conditionalFormatting>
  <conditionalFormatting sqref="E1341">
    <cfRule type="containsText" dxfId="1177" priority="1338" operator="containsText" text="Sin información">
      <formula>NOT(ISERROR(SEARCH("Sin información",E1341)))</formula>
    </cfRule>
  </conditionalFormatting>
  <conditionalFormatting sqref="E1341">
    <cfRule type="containsText" dxfId="1176" priority="1337" operator="containsText" text="NUEVO">
      <formula>NOT(ISERROR(SEARCH("NUEVO",E1341)))</formula>
    </cfRule>
  </conditionalFormatting>
  <conditionalFormatting sqref="E1341">
    <cfRule type="containsText" dxfId="1175" priority="1339" operator="containsText" text="Sin información">
      <formula>NOT(ISERROR(SEARCH("Sin información",E1341)))</formula>
    </cfRule>
  </conditionalFormatting>
  <conditionalFormatting sqref="C1342:D1343">
    <cfRule type="containsText" dxfId="1174" priority="1336" operator="containsText" text="NO+$D$4:$D$10">
      <formula>NOT(ISERROR(SEARCH("NO+$D$4:$D$10",C1342)))</formula>
    </cfRule>
  </conditionalFormatting>
  <conditionalFormatting sqref="C1342:D1343">
    <cfRule type="containsText" dxfId="1173" priority="1334" operator="containsText" text="SI">
      <formula>NOT(ISERROR(SEARCH("SI",C1342)))</formula>
    </cfRule>
    <cfRule type="containsText" dxfId="1172" priority="1335" operator="containsText" text="NO">
      <formula>NOT(ISERROR(SEARCH("NO",C1342)))</formula>
    </cfRule>
  </conditionalFormatting>
  <conditionalFormatting sqref="C1342:D1343">
    <cfRule type="containsText" dxfId="1171" priority="1333" operator="containsText" text="NUEVO">
      <formula>NOT(ISERROR(SEARCH("NUEVO",C1342)))</formula>
    </cfRule>
  </conditionalFormatting>
  <conditionalFormatting sqref="E1342">
    <cfRule type="containsText" dxfId="1170" priority="1331" operator="containsText" text="Sin información">
      <formula>NOT(ISERROR(SEARCH("Sin información",E1342)))</formula>
    </cfRule>
  </conditionalFormatting>
  <conditionalFormatting sqref="E1342">
    <cfRule type="containsText" dxfId="1169" priority="1330" operator="containsText" text="NUEVO">
      <formula>NOT(ISERROR(SEARCH("NUEVO",E1342)))</formula>
    </cfRule>
  </conditionalFormatting>
  <conditionalFormatting sqref="E1342">
    <cfRule type="containsText" dxfId="1168" priority="1332" operator="containsText" text="Sin información">
      <formula>NOT(ISERROR(SEARCH("Sin información",E1342)))</formula>
    </cfRule>
  </conditionalFormatting>
  <conditionalFormatting sqref="E1343">
    <cfRule type="containsText" dxfId="1167" priority="1328" operator="containsText" text="Sin información">
      <formula>NOT(ISERROR(SEARCH("Sin información",E1343)))</formula>
    </cfRule>
  </conditionalFormatting>
  <conditionalFormatting sqref="E1343">
    <cfRule type="containsText" dxfId="1166" priority="1327" operator="containsText" text="NUEVO">
      <formula>NOT(ISERROR(SEARCH("NUEVO",E1343)))</formula>
    </cfRule>
  </conditionalFormatting>
  <conditionalFormatting sqref="E1343">
    <cfRule type="containsText" dxfId="1165" priority="1329" operator="containsText" text="Sin información">
      <formula>NOT(ISERROR(SEARCH("Sin información",E1343)))</formula>
    </cfRule>
  </conditionalFormatting>
  <conditionalFormatting sqref="E1347">
    <cfRule type="containsText" dxfId="1164" priority="1314" operator="containsText" text="NUEVO">
      <formula>NOT(ISERROR(SEARCH("NUEVO",E1347)))</formula>
    </cfRule>
  </conditionalFormatting>
  <conditionalFormatting sqref="E1347">
    <cfRule type="containsText" dxfId="1163" priority="1315" operator="containsText" text="Sin información">
      <formula>NOT(ISERROR(SEARCH("Sin información",E1347)))</formula>
    </cfRule>
  </conditionalFormatting>
  <conditionalFormatting sqref="E1347">
    <cfRule type="containsText" dxfId="1162" priority="1316" operator="containsText" text="Sin información">
      <formula>NOT(ISERROR(SEARCH("Sin información",E1347)))</formula>
    </cfRule>
  </conditionalFormatting>
  <conditionalFormatting sqref="E1348:E1350">
    <cfRule type="containsText" dxfId="1161" priority="1313" operator="containsText" text="Sin información">
      <formula>NOT(ISERROR(SEARCH("Sin información",E1348)))</formula>
    </cfRule>
  </conditionalFormatting>
  <conditionalFormatting sqref="E1348:E1350">
    <cfRule type="containsText" dxfId="1160" priority="1311" operator="containsText" text="NUEVO">
      <formula>NOT(ISERROR(SEARCH("NUEVO",E1348)))</formula>
    </cfRule>
  </conditionalFormatting>
  <conditionalFormatting sqref="E1348:E1350">
    <cfRule type="containsText" dxfId="1159" priority="1312" operator="containsText" text="Sin información">
      <formula>NOT(ISERROR(SEARCH("Sin información",E1348)))</formula>
    </cfRule>
  </conditionalFormatting>
  <conditionalFormatting sqref="C1351:D1351">
    <cfRule type="containsText" dxfId="1158" priority="1310" operator="containsText" text="NO+$D$4:$D$10">
      <formula>NOT(ISERROR(SEARCH("NO+$D$4:$D$10",C1351)))</formula>
    </cfRule>
  </conditionalFormatting>
  <conditionalFormatting sqref="C1351:D1351">
    <cfRule type="containsText" dxfId="1157" priority="1308" operator="containsText" text="SI">
      <formula>NOT(ISERROR(SEARCH("SI",C1351)))</formula>
    </cfRule>
    <cfRule type="containsText" dxfId="1156" priority="1309" operator="containsText" text="NO">
      <formula>NOT(ISERROR(SEARCH("NO",C1351)))</formula>
    </cfRule>
  </conditionalFormatting>
  <conditionalFormatting sqref="C1351:D1351">
    <cfRule type="containsText" dxfId="1155" priority="1307" operator="containsText" text="NUEVO">
      <formula>NOT(ISERROR(SEARCH("NUEVO",C1351)))</formula>
    </cfRule>
  </conditionalFormatting>
  <conditionalFormatting sqref="E1351">
    <cfRule type="containsText" dxfId="1154" priority="1306" operator="containsText" text="Sin información">
      <formula>NOT(ISERROR(SEARCH("Sin información",E1351)))</formula>
    </cfRule>
  </conditionalFormatting>
  <conditionalFormatting sqref="E1351">
    <cfRule type="containsText" dxfId="1153" priority="1305" operator="containsText" text="Sin información">
      <formula>NOT(ISERROR(SEARCH("Sin información",E1351)))</formula>
    </cfRule>
  </conditionalFormatting>
  <conditionalFormatting sqref="E1351">
    <cfRule type="containsText" dxfId="1152" priority="1304" operator="containsText" text="NUEVO">
      <formula>NOT(ISERROR(SEARCH("NUEVO",E1351)))</formula>
    </cfRule>
  </conditionalFormatting>
  <conditionalFormatting sqref="C1352:D1352">
    <cfRule type="containsText" dxfId="1151" priority="1303" operator="containsText" text="NO+$D$4:$D$10">
      <formula>NOT(ISERROR(SEARCH("NO+$D$4:$D$10",C1352)))</formula>
    </cfRule>
  </conditionalFormatting>
  <conditionalFormatting sqref="C1352:D1352">
    <cfRule type="containsText" dxfId="1150" priority="1301" operator="containsText" text="SI">
      <formula>NOT(ISERROR(SEARCH("SI",C1352)))</formula>
    </cfRule>
    <cfRule type="containsText" dxfId="1149" priority="1302" operator="containsText" text="NO">
      <formula>NOT(ISERROR(SEARCH("NO",C1352)))</formula>
    </cfRule>
  </conditionalFormatting>
  <conditionalFormatting sqref="E1352">
    <cfRule type="containsText" dxfId="1148" priority="1300" operator="containsText" text="Sin información">
      <formula>NOT(ISERROR(SEARCH("Sin información",E1352)))</formula>
    </cfRule>
  </conditionalFormatting>
  <conditionalFormatting sqref="C1352:E1352">
    <cfRule type="containsText" dxfId="1147" priority="1299" operator="containsText" text="NUEVO">
      <formula>NOT(ISERROR(SEARCH("NUEVO",C1352)))</formula>
    </cfRule>
  </conditionalFormatting>
  <conditionalFormatting sqref="C1353:D1353">
    <cfRule type="containsText" dxfId="1146" priority="1298" operator="containsText" text="NO+$D$4:$D$10">
      <formula>NOT(ISERROR(SEARCH("NO+$D$4:$D$10",C1353)))</formula>
    </cfRule>
  </conditionalFormatting>
  <conditionalFormatting sqref="C1353:D1353">
    <cfRule type="containsText" dxfId="1145" priority="1296" operator="containsText" text="SI">
      <formula>NOT(ISERROR(SEARCH("SI",C1353)))</formula>
    </cfRule>
    <cfRule type="containsText" dxfId="1144" priority="1297" operator="containsText" text="NO">
      <formula>NOT(ISERROR(SEARCH("NO",C1353)))</formula>
    </cfRule>
  </conditionalFormatting>
  <conditionalFormatting sqref="C1353:D1353">
    <cfRule type="containsText" dxfId="1143" priority="1295" operator="containsText" text="NUEVO">
      <formula>NOT(ISERROR(SEARCH("NUEVO",C1353)))</formula>
    </cfRule>
  </conditionalFormatting>
  <conditionalFormatting sqref="E1353">
    <cfRule type="containsText" dxfId="1142" priority="1293" operator="containsText" text="NUEVO">
      <formula>NOT(ISERROR(SEARCH("NUEVO",E1353)))</formula>
    </cfRule>
  </conditionalFormatting>
  <conditionalFormatting sqref="E1353">
    <cfRule type="containsText" dxfId="1141" priority="1294" operator="containsText" text="Sin información">
      <formula>NOT(ISERROR(SEARCH("Sin información",E1353)))</formula>
    </cfRule>
  </conditionalFormatting>
  <conditionalFormatting sqref="C1354:D1354">
    <cfRule type="containsText" dxfId="1140" priority="1292" operator="containsText" text="NO+$D$4:$D$10">
      <formula>NOT(ISERROR(SEARCH("NO+$D$4:$D$10",C1354)))</formula>
    </cfRule>
  </conditionalFormatting>
  <conditionalFormatting sqref="C1354:D1354">
    <cfRule type="containsText" dxfId="1139" priority="1290" operator="containsText" text="SI">
      <formula>NOT(ISERROR(SEARCH("SI",C1354)))</formula>
    </cfRule>
    <cfRule type="containsText" dxfId="1138" priority="1291" operator="containsText" text="NO">
      <formula>NOT(ISERROR(SEARCH("NO",C1354)))</formula>
    </cfRule>
  </conditionalFormatting>
  <conditionalFormatting sqref="C1354:D1354">
    <cfRule type="containsText" dxfId="1137" priority="1289" operator="containsText" text="NUEVO">
      <formula>NOT(ISERROR(SEARCH("NUEVO",C1354)))</formula>
    </cfRule>
  </conditionalFormatting>
  <conditionalFormatting sqref="E1354">
    <cfRule type="containsText" dxfId="1136" priority="1287" operator="containsText" text="NUEVO">
      <formula>NOT(ISERROR(SEARCH("NUEVO",E1354)))</formula>
    </cfRule>
  </conditionalFormatting>
  <conditionalFormatting sqref="E1354">
    <cfRule type="containsText" dxfId="1135" priority="1288" operator="containsText" text="Sin información">
      <formula>NOT(ISERROR(SEARCH("Sin información",E1354)))</formula>
    </cfRule>
  </conditionalFormatting>
  <conditionalFormatting sqref="C1355:D1355">
    <cfRule type="containsText" dxfId="1134" priority="1286" operator="containsText" text="NO+$D$4:$D$10">
      <formula>NOT(ISERROR(SEARCH("NO+$D$4:$D$10",C1355)))</formula>
    </cfRule>
  </conditionalFormatting>
  <conditionalFormatting sqref="C1355:D1355">
    <cfRule type="containsText" dxfId="1133" priority="1284" operator="containsText" text="SI">
      <formula>NOT(ISERROR(SEARCH("SI",C1355)))</formula>
    </cfRule>
    <cfRule type="containsText" dxfId="1132" priority="1285" operator="containsText" text="NO">
      <formula>NOT(ISERROR(SEARCH("NO",C1355)))</formula>
    </cfRule>
  </conditionalFormatting>
  <conditionalFormatting sqref="C1355:D1355">
    <cfRule type="containsText" dxfId="1131" priority="1283" operator="containsText" text="NUEVO">
      <formula>NOT(ISERROR(SEARCH("NUEVO",C1355)))</formula>
    </cfRule>
  </conditionalFormatting>
  <conditionalFormatting sqref="E1355">
    <cfRule type="containsText" dxfId="1130" priority="1282" operator="containsText" text="Sin información">
      <formula>NOT(ISERROR(SEARCH("Sin información",E1355)))</formula>
    </cfRule>
  </conditionalFormatting>
  <conditionalFormatting sqref="E1355">
    <cfRule type="containsText" dxfId="1129" priority="1281" operator="containsText" text="NUEVO">
      <formula>NOT(ISERROR(SEARCH("NUEVO",E1355)))</formula>
    </cfRule>
  </conditionalFormatting>
  <conditionalFormatting sqref="C1356:D1356">
    <cfRule type="containsText" dxfId="1128" priority="1280" operator="containsText" text="NO+$D$4:$D$10">
      <formula>NOT(ISERROR(SEARCH("NO+$D$4:$D$10",C1356)))</formula>
    </cfRule>
  </conditionalFormatting>
  <conditionalFormatting sqref="C1356:D1356">
    <cfRule type="containsText" dxfId="1127" priority="1278" operator="containsText" text="SI">
      <formula>NOT(ISERROR(SEARCH("SI",C1356)))</formula>
    </cfRule>
    <cfRule type="containsText" dxfId="1126" priority="1279" operator="containsText" text="NO">
      <formula>NOT(ISERROR(SEARCH("NO",C1356)))</formula>
    </cfRule>
  </conditionalFormatting>
  <conditionalFormatting sqref="E1356">
    <cfRule type="containsText" dxfId="1125" priority="1277" operator="containsText" text="Sin información">
      <formula>NOT(ISERROR(SEARCH("Sin información",E1356)))</formula>
    </cfRule>
  </conditionalFormatting>
  <conditionalFormatting sqref="C1356:E1356">
    <cfRule type="containsText" dxfId="1124" priority="1276" operator="containsText" text="NUEVO">
      <formula>NOT(ISERROR(SEARCH("NUEVO",C1356)))</formula>
    </cfRule>
  </conditionalFormatting>
  <conditionalFormatting sqref="C1357:D1357">
    <cfRule type="containsText" dxfId="1123" priority="1275" operator="containsText" text="NO+$D$4:$D$10">
      <formula>NOT(ISERROR(SEARCH("NO+$D$4:$D$10",C1357)))</formula>
    </cfRule>
  </conditionalFormatting>
  <conditionalFormatting sqref="C1357:D1357">
    <cfRule type="containsText" dxfId="1122" priority="1273" operator="containsText" text="SI">
      <formula>NOT(ISERROR(SEARCH("SI",C1357)))</formula>
    </cfRule>
    <cfRule type="containsText" dxfId="1121" priority="1274" operator="containsText" text="NO">
      <formula>NOT(ISERROR(SEARCH("NO",C1357)))</formula>
    </cfRule>
  </conditionalFormatting>
  <conditionalFormatting sqref="E1357">
    <cfRule type="containsText" dxfId="1120" priority="1272" operator="containsText" text="Sin información">
      <formula>NOT(ISERROR(SEARCH("Sin información",E1357)))</formula>
    </cfRule>
  </conditionalFormatting>
  <conditionalFormatting sqref="C1357:E1357">
    <cfRule type="containsText" dxfId="1119" priority="1271" operator="containsText" text="NUEVO">
      <formula>NOT(ISERROR(SEARCH("NUEVO",C1357)))</formula>
    </cfRule>
  </conditionalFormatting>
  <conditionalFormatting sqref="E1357">
    <cfRule type="containsText" dxfId="1118" priority="1270" operator="containsText" text="Sin Información">
      <formula>NOT(ISERROR(SEARCH("Sin Información",E1357)))</formula>
    </cfRule>
  </conditionalFormatting>
  <conditionalFormatting sqref="C1358:D1358">
    <cfRule type="containsText" dxfId="1117" priority="1264" operator="containsText" text="NO+$D$4:$D$10">
      <formula>NOT(ISERROR(SEARCH("NO+$D$4:$D$10",C1358)))</formula>
    </cfRule>
  </conditionalFormatting>
  <conditionalFormatting sqref="C1358:D1358">
    <cfRule type="containsText" dxfId="1116" priority="1262" operator="containsText" text="SI">
      <formula>NOT(ISERROR(SEARCH("SI",C1358)))</formula>
    </cfRule>
    <cfRule type="containsText" dxfId="1115" priority="1263" operator="containsText" text="NO">
      <formula>NOT(ISERROR(SEARCH("NO",C1358)))</formula>
    </cfRule>
  </conditionalFormatting>
  <conditionalFormatting sqref="C1358:D1358">
    <cfRule type="containsText" dxfId="1114" priority="1261" operator="containsText" text="NUEVO">
      <formula>NOT(ISERROR(SEARCH("NUEVO",C1358)))</formula>
    </cfRule>
  </conditionalFormatting>
  <conditionalFormatting sqref="E1358">
    <cfRule type="containsText" dxfId="1113" priority="1260" operator="containsText" text="Sin información">
      <formula>NOT(ISERROR(SEARCH("Sin información",E1358)))</formula>
    </cfRule>
  </conditionalFormatting>
  <conditionalFormatting sqref="E1358">
    <cfRule type="containsText" dxfId="1112" priority="1259" operator="containsText" text="NUEVO">
      <formula>NOT(ISERROR(SEARCH("NUEVO",E1358)))</formula>
    </cfRule>
  </conditionalFormatting>
  <conditionalFormatting sqref="C1359:D1360">
    <cfRule type="containsText" dxfId="1111" priority="1255" operator="containsText" text="NO+$D$4:$D$10">
      <formula>NOT(ISERROR(SEARCH("NO+$D$4:$D$10",C1359)))</formula>
    </cfRule>
  </conditionalFormatting>
  <conditionalFormatting sqref="C1359:D1360">
    <cfRule type="containsText" dxfId="1110" priority="1253" operator="containsText" text="SI">
      <formula>NOT(ISERROR(SEARCH("SI",C1359)))</formula>
    </cfRule>
    <cfRule type="containsText" dxfId="1109" priority="1254" operator="containsText" text="NO">
      <formula>NOT(ISERROR(SEARCH("NO",C1359)))</formula>
    </cfRule>
  </conditionalFormatting>
  <conditionalFormatting sqref="C1359:D1360">
    <cfRule type="containsText" dxfId="1108" priority="1252" operator="containsText" text="NUEVO">
      <formula>NOT(ISERROR(SEARCH("NUEVO",C1359)))</formula>
    </cfRule>
  </conditionalFormatting>
  <conditionalFormatting sqref="E1359">
    <cfRule type="containsText" dxfId="1107" priority="1250" operator="containsText" text="NUEVO">
      <formula>NOT(ISERROR(SEARCH("NUEVO",E1359)))</formula>
    </cfRule>
  </conditionalFormatting>
  <conditionalFormatting sqref="E1359">
    <cfRule type="containsText" dxfId="1106" priority="1251" operator="containsText" text="Sin información">
      <formula>NOT(ISERROR(SEARCH("Sin información",E1359)))</formula>
    </cfRule>
  </conditionalFormatting>
  <conditionalFormatting sqref="E1360">
    <cfRule type="containsText" dxfId="1105" priority="1249" operator="containsText" text="Sin información">
      <formula>NOT(ISERROR(SEARCH("Sin información",E1360)))</formula>
    </cfRule>
  </conditionalFormatting>
  <conditionalFormatting sqref="E1360">
    <cfRule type="containsText" dxfId="1104" priority="1248" operator="containsText" text="NUEVO">
      <formula>NOT(ISERROR(SEARCH("NUEVO",E1360)))</formula>
    </cfRule>
  </conditionalFormatting>
  <conditionalFormatting sqref="C1361:D1361">
    <cfRule type="containsText" dxfId="1103" priority="1247" operator="containsText" text="NO+$D$4:$D$10">
      <formula>NOT(ISERROR(SEARCH("NO+$D$4:$D$10",C1361)))</formula>
    </cfRule>
  </conditionalFormatting>
  <conditionalFormatting sqref="C1361:D1361">
    <cfRule type="containsText" dxfId="1102" priority="1245" operator="containsText" text="SI">
      <formula>NOT(ISERROR(SEARCH("SI",C1361)))</formula>
    </cfRule>
    <cfRule type="containsText" dxfId="1101" priority="1246" operator="containsText" text="NO">
      <formula>NOT(ISERROR(SEARCH("NO",C1361)))</formula>
    </cfRule>
  </conditionalFormatting>
  <conditionalFormatting sqref="C1361:D1361">
    <cfRule type="containsText" dxfId="1100" priority="1244" operator="containsText" text="NUEVO">
      <formula>NOT(ISERROR(SEARCH("NUEVO",C1361)))</formula>
    </cfRule>
  </conditionalFormatting>
  <conditionalFormatting sqref="E1361">
    <cfRule type="containsText" dxfId="1099" priority="1241" operator="containsText" text="NUEVO">
      <formula>NOT(ISERROR(SEARCH("NUEVO",E1361)))</formula>
    </cfRule>
  </conditionalFormatting>
  <conditionalFormatting sqref="E1361">
    <cfRule type="containsText" dxfId="1098" priority="1243" operator="containsText" text="Sin información">
      <formula>NOT(ISERROR(SEARCH("Sin información",E1361)))</formula>
    </cfRule>
  </conditionalFormatting>
  <conditionalFormatting sqref="E1361">
    <cfRule type="containsText" dxfId="1097" priority="1242" operator="containsText" text="Sin información">
      <formula>NOT(ISERROR(SEARCH("Sin información",E1361)))</formula>
    </cfRule>
  </conditionalFormatting>
  <conditionalFormatting sqref="C1362:D1362">
    <cfRule type="containsText" dxfId="1096" priority="1240" operator="containsText" text="NO+$D$4:$D$10">
      <formula>NOT(ISERROR(SEARCH("NO+$D$4:$D$10",C1362)))</formula>
    </cfRule>
  </conditionalFormatting>
  <conditionalFormatting sqref="C1362:D1362">
    <cfRule type="containsText" dxfId="1095" priority="1238" operator="containsText" text="SI">
      <formula>NOT(ISERROR(SEARCH("SI",C1362)))</formula>
    </cfRule>
    <cfRule type="containsText" dxfId="1094" priority="1239" operator="containsText" text="NO">
      <formula>NOT(ISERROR(SEARCH("NO",C1362)))</formula>
    </cfRule>
  </conditionalFormatting>
  <conditionalFormatting sqref="C1362:E1362">
    <cfRule type="containsText" dxfId="1093" priority="1237" operator="containsText" text="NUEVO">
      <formula>NOT(ISERROR(SEARCH("NUEVO",C1362)))</formula>
    </cfRule>
  </conditionalFormatting>
  <conditionalFormatting sqref="E1362">
    <cfRule type="containsText" dxfId="1092" priority="1236" operator="containsText" text="Sin Información">
      <formula>NOT(ISERROR(SEARCH("Sin Información",E1362)))</formula>
    </cfRule>
  </conditionalFormatting>
  <conditionalFormatting sqref="E1362">
    <cfRule type="containsText" dxfId="1091" priority="1235" operator="containsText" text="Sin información">
      <formula>NOT(ISERROR(SEARCH("Sin información",E1362)))</formula>
    </cfRule>
  </conditionalFormatting>
  <conditionalFormatting sqref="E1362">
    <cfRule type="containsText" dxfId="1090" priority="1234" operator="containsText" text="Sin información">
      <formula>NOT(ISERROR(SEARCH("Sin información",E1362)))</formula>
    </cfRule>
  </conditionalFormatting>
  <conditionalFormatting sqref="E1362">
    <cfRule type="containsText" dxfId="1089" priority="1233" operator="containsText" text="NUEVO">
      <formula>NOT(ISERROR(SEARCH("NUEVO",E1362)))</formula>
    </cfRule>
  </conditionalFormatting>
  <conditionalFormatting sqref="C1363:D1363">
    <cfRule type="containsText" dxfId="1088" priority="1232" operator="containsText" text="NO+$D$4:$D$10">
      <formula>NOT(ISERROR(SEARCH("NO+$D$4:$D$10",C1363)))</formula>
    </cfRule>
  </conditionalFormatting>
  <conditionalFormatting sqref="C1363:D1363">
    <cfRule type="containsText" dxfId="1087" priority="1230" operator="containsText" text="SI">
      <formula>NOT(ISERROR(SEARCH("SI",C1363)))</formula>
    </cfRule>
    <cfRule type="containsText" dxfId="1086" priority="1231" operator="containsText" text="NO">
      <formula>NOT(ISERROR(SEARCH("NO",C1363)))</formula>
    </cfRule>
  </conditionalFormatting>
  <conditionalFormatting sqref="C1363:D1363">
    <cfRule type="containsText" dxfId="1085" priority="1229" operator="containsText" text="NUEVO">
      <formula>NOT(ISERROR(SEARCH("NUEVO",C1363)))</formula>
    </cfRule>
  </conditionalFormatting>
  <conditionalFormatting sqref="E1363">
    <cfRule type="containsText" dxfId="1084" priority="1227" operator="containsText" text="Sin información">
      <formula>NOT(ISERROR(SEARCH("Sin información",E1363)))</formula>
    </cfRule>
  </conditionalFormatting>
  <conditionalFormatting sqref="E1363">
    <cfRule type="containsText" dxfId="1083" priority="1226" operator="containsText" text="NUEVO">
      <formula>NOT(ISERROR(SEARCH("NUEVO",E1363)))</formula>
    </cfRule>
  </conditionalFormatting>
  <conditionalFormatting sqref="E1363">
    <cfRule type="containsText" dxfId="1082" priority="1228" operator="containsText" text="Sin información">
      <formula>NOT(ISERROR(SEARCH("Sin información",E1363)))</formula>
    </cfRule>
  </conditionalFormatting>
  <conditionalFormatting sqref="C1364:D1364">
    <cfRule type="containsText" dxfId="1081" priority="1225" operator="containsText" text="NO+$D$4:$D$10">
      <formula>NOT(ISERROR(SEARCH("NO+$D$4:$D$10",C1364)))</formula>
    </cfRule>
  </conditionalFormatting>
  <conditionalFormatting sqref="C1364:D1364">
    <cfRule type="containsText" dxfId="1080" priority="1223" operator="containsText" text="SI">
      <formula>NOT(ISERROR(SEARCH("SI",C1364)))</formula>
    </cfRule>
    <cfRule type="containsText" dxfId="1079" priority="1224" operator="containsText" text="NO">
      <formula>NOT(ISERROR(SEARCH("NO",C1364)))</formula>
    </cfRule>
  </conditionalFormatting>
  <conditionalFormatting sqref="C1364:D1364">
    <cfRule type="containsText" dxfId="1078" priority="1222" operator="containsText" text="NUEVO">
      <formula>NOT(ISERROR(SEARCH("NUEVO",C1364)))</formula>
    </cfRule>
  </conditionalFormatting>
  <conditionalFormatting sqref="E1364">
    <cfRule type="containsText" dxfId="1077" priority="1221" operator="containsText" text="Sin información">
      <formula>NOT(ISERROR(SEARCH("Sin información",E1364)))</formula>
    </cfRule>
  </conditionalFormatting>
  <conditionalFormatting sqref="E1364">
    <cfRule type="containsText" dxfId="1076" priority="1220" operator="containsText" text="Sin información">
      <formula>NOT(ISERROR(SEARCH("Sin información",E1364)))</formula>
    </cfRule>
  </conditionalFormatting>
  <conditionalFormatting sqref="E1364">
    <cfRule type="containsText" dxfId="1075" priority="1219" operator="containsText" text="NUEVO">
      <formula>NOT(ISERROR(SEARCH("NUEVO",E1364)))</formula>
    </cfRule>
  </conditionalFormatting>
  <conditionalFormatting sqref="C1365:D1371">
    <cfRule type="containsText" dxfId="1074" priority="1218" operator="containsText" text="NO+$D$4:$D$10">
      <formula>NOT(ISERROR(SEARCH("NO+$D$4:$D$10",C1365)))</formula>
    </cfRule>
  </conditionalFormatting>
  <conditionalFormatting sqref="C1365:D1371">
    <cfRule type="containsText" dxfId="1073" priority="1216" operator="containsText" text="SI">
      <formula>NOT(ISERROR(SEARCH("SI",C1365)))</formula>
    </cfRule>
    <cfRule type="containsText" dxfId="1072" priority="1217" operator="containsText" text="NO">
      <formula>NOT(ISERROR(SEARCH("NO",C1365)))</formula>
    </cfRule>
  </conditionalFormatting>
  <conditionalFormatting sqref="C1365:D1371">
    <cfRule type="containsText" dxfId="1071" priority="1215" operator="containsText" text="NUEVO">
      <formula>NOT(ISERROR(SEARCH("NUEVO",C1365)))</formula>
    </cfRule>
  </conditionalFormatting>
  <conditionalFormatting sqref="E1365:E1366">
    <cfRule type="containsText" dxfId="1070" priority="1212" operator="containsText" text="NUEVO">
      <formula>NOT(ISERROR(SEARCH("NUEVO",E1365)))</formula>
    </cfRule>
  </conditionalFormatting>
  <conditionalFormatting sqref="E1365:E1366">
    <cfRule type="containsText" dxfId="1069" priority="1213" operator="containsText" text="Sin información">
      <formula>NOT(ISERROR(SEARCH("Sin información",E1365)))</formula>
    </cfRule>
  </conditionalFormatting>
  <conditionalFormatting sqref="E1365:E1366">
    <cfRule type="containsText" dxfId="1068" priority="1214" operator="containsText" text="Sin información">
      <formula>NOT(ISERROR(SEARCH("Sin información",E1365)))</formula>
    </cfRule>
  </conditionalFormatting>
  <conditionalFormatting sqref="E1367:E1370">
    <cfRule type="containsText" dxfId="1067" priority="1209" operator="containsText" text="NUEVO">
      <formula>NOT(ISERROR(SEARCH("NUEVO",E1367)))</formula>
    </cfRule>
  </conditionalFormatting>
  <conditionalFormatting sqref="E1367:E1370">
    <cfRule type="containsText" dxfId="1066" priority="1210" operator="containsText" text="Sin información">
      <formula>NOT(ISERROR(SEARCH("Sin información",E1367)))</formula>
    </cfRule>
  </conditionalFormatting>
  <conditionalFormatting sqref="E1367:E1370">
    <cfRule type="containsText" dxfId="1065" priority="1211" operator="containsText" text="Sin información">
      <formula>NOT(ISERROR(SEARCH("Sin información",E1367)))</formula>
    </cfRule>
  </conditionalFormatting>
  <conditionalFormatting sqref="E1371">
    <cfRule type="containsText" dxfId="1064" priority="1207" operator="containsText" text="Sin información">
      <formula>NOT(ISERROR(SEARCH("Sin información",E1371)))</formula>
    </cfRule>
  </conditionalFormatting>
  <conditionalFormatting sqref="E1371">
    <cfRule type="containsText" dxfId="1063" priority="1206" operator="containsText" text="NUEVO">
      <formula>NOT(ISERROR(SEARCH("NUEVO",E1371)))</formula>
    </cfRule>
  </conditionalFormatting>
  <conditionalFormatting sqref="E1371">
    <cfRule type="containsText" dxfId="1062" priority="1208" operator="containsText" text="Sin información">
      <formula>NOT(ISERROR(SEARCH("Sin información",E1371)))</formula>
    </cfRule>
  </conditionalFormatting>
  <conditionalFormatting sqref="E207 E204">
    <cfRule type="containsText" dxfId="1061" priority="23807" operator="containsText" text="NUEVO">
      <formula>NOT(ISERROR(SEARCH("NUEVO",E1233)))</formula>
    </cfRule>
  </conditionalFormatting>
  <conditionalFormatting sqref="E207 E204">
    <cfRule type="containsText" dxfId="1060" priority="23809" operator="containsText" text="Sin Información">
      <formula>NOT(ISERROR(SEARCH("Sin Información",E1233)))</formula>
    </cfRule>
  </conditionalFormatting>
  <conditionalFormatting sqref="E214">
    <cfRule type="containsText" dxfId="1059" priority="24438" operator="containsText" text="Sin Información">
      <formula>NOT(ISERROR(SEARCH("Sin Información",E1245)))</formula>
    </cfRule>
  </conditionalFormatting>
  <conditionalFormatting sqref="E214">
    <cfRule type="containsText" dxfId="1058" priority="24439" operator="containsText" text="NUEVO">
      <formula>NOT(ISERROR(SEARCH("NUEVO",E1245)))</formula>
    </cfRule>
  </conditionalFormatting>
  <conditionalFormatting sqref="C1380:D1380">
    <cfRule type="containsText" dxfId="1057" priority="1205" operator="containsText" text="NO+$D$4:$D$10">
      <formula>NOT(ISERROR(SEARCH("NO+$D$4:$D$10",C1380)))</formula>
    </cfRule>
  </conditionalFormatting>
  <conditionalFormatting sqref="C1380:D1380">
    <cfRule type="containsText" dxfId="1056" priority="1203" operator="containsText" text="SI">
      <formula>NOT(ISERROR(SEARCH("SI",C1380)))</formula>
    </cfRule>
    <cfRule type="containsText" dxfId="1055" priority="1204" operator="containsText" text="NO">
      <formula>NOT(ISERROR(SEARCH("NO",C1380)))</formula>
    </cfRule>
  </conditionalFormatting>
  <conditionalFormatting sqref="C1380:D1380">
    <cfRule type="containsText" dxfId="1054" priority="1202" operator="containsText" text="NUEVO">
      <formula>NOT(ISERROR(SEARCH("NUEVO",C1380)))</formula>
    </cfRule>
  </conditionalFormatting>
  <conditionalFormatting sqref="E1380">
    <cfRule type="containsText" dxfId="1053" priority="1201" operator="containsText" text="NUEVO">
      <formula>NOT(ISERROR(SEARCH("NUEVO",E1380)))</formula>
    </cfRule>
  </conditionalFormatting>
  <conditionalFormatting sqref="E1380">
    <cfRule type="containsText" dxfId="1052" priority="1200" operator="containsText" text="Sin Información">
      <formula>NOT(ISERROR(SEARCH("Sin Información",E1380)))</formula>
    </cfRule>
  </conditionalFormatting>
  <conditionalFormatting sqref="C1381:D1381">
    <cfRule type="containsText" dxfId="1051" priority="1199" operator="containsText" text="NO+$D$4:$D$10">
      <formula>NOT(ISERROR(SEARCH("NO+$D$4:$D$10",C1381)))</formula>
    </cfRule>
  </conditionalFormatting>
  <conditionalFormatting sqref="C1381:D1381">
    <cfRule type="containsText" dxfId="1050" priority="1197" operator="containsText" text="SI">
      <formula>NOT(ISERROR(SEARCH("SI",C1381)))</formula>
    </cfRule>
    <cfRule type="containsText" dxfId="1049" priority="1198" operator="containsText" text="NO">
      <formula>NOT(ISERROR(SEARCH("NO",C1381)))</formula>
    </cfRule>
  </conditionalFormatting>
  <conditionalFormatting sqref="C1381:D1381">
    <cfRule type="containsText" dxfId="1048" priority="1196" operator="containsText" text="NUEVO">
      <formula>NOT(ISERROR(SEARCH("NUEVO",C1381)))</formula>
    </cfRule>
  </conditionalFormatting>
  <conditionalFormatting sqref="E1381">
    <cfRule type="containsText" dxfId="1047" priority="1195" operator="containsText" text="Sin información">
      <formula>NOT(ISERROR(SEARCH("Sin información",E1381)))</formula>
    </cfRule>
  </conditionalFormatting>
  <conditionalFormatting sqref="E1381">
    <cfRule type="containsText" dxfId="1046" priority="1194" operator="containsText" text="NUEVO">
      <formula>NOT(ISERROR(SEARCH("NUEVO",E1381)))</formula>
    </cfRule>
  </conditionalFormatting>
  <conditionalFormatting sqref="C1382:D1382">
    <cfRule type="containsText" dxfId="1045" priority="1193" operator="containsText" text="NO+$D$4:$D$10">
      <formula>NOT(ISERROR(SEARCH("NO+$D$4:$D$10",C1382)))</formula>
    </cfRule>
  </conditionalFormatting>
  <conditionalFormatting sqref="C1382:D1382">
    <cfRule type="containsText" dxfId="1044" priority="1191" operator="containsText" text="SI">
      <formula>NOT(ISERROR(SEARCH("SI",C1382)))</formula>
    </cfRule>
    <cfRule type="containsText" dxfId="1043" priority="1192" operator="containsText" text="NO">
      <formula>NOT(ISERROR(SEARCH("NO",C1382)))</formula>
    </cfRule>
  </conditionalFormatting>
  <conditionalFormatting sqref="C1382:D1382">
    <cfRule type="containsText" dxfId="1042" priority="1190" operator="containsText" text="NUEVO">
      <formula>NOT(ISERROR(SEARCH("NUEVO",C1382)))</formula>
    </cfRule>
  </conditionalFormatting>
  <conditionalFormatting sqref="E1382">
    <cfRule type="containsText" dxfId="1041" priority="1189" operator="containsText" text="NUEVO">
      <formula>NOT(ISERROR(SEARCH("NUEVO",E1382)))</formula>
    </cfRule>
  </conditionalFormatting>
  <conditionalFormatting sqref="E1382">
    <cfRule type="containsText" dxfId="1040" priority="1188" operator="containsText" text="Sin Información">
      <formula>NOT(ISERROR(SEARCH("Sin Información",E1382)))</formula>
    </cfRule>
  </conditionalFormatting>
  <conditionalFormatting sqref="C1383:D1383">
    <cfRule type="containsText" dxfId="1039" priority="1180" operator="containsText" text="NO+$D$4:$D$10">
      <formula>NOT(ISERROR(SEARCH("NO+$D$4:$D$10",C1383)))</formula>
    </cfRule>
  </conditionalFormatting>
  <conditionalFormatting sqref="C1383:D1383">
    <cfRule type="containsText" dxfId="1038" priority="1178" operator="containsText" text="SI">
      <formula>NOT(ISERROR(SEARCH("SI",C1383)))</formula>
    </cfRule>
    <cfRule type="containsText" dxfId="1037" priority="1179" operator="containsText" text="NO">
      <formula>NOT(ISERROR(SEARCH("NO",C1383)))</formula>
    </cfRule>
  </conditionalFormatting>
  <conditionalFormatting sqref="C1383:D1383">
    <cfRule type="containsText" dxfId="1036" priority="1177" operator="containsText" text="NUEVO">
      <formula>NOT(ISERROR(SEARCH("NUEVO",C1383)))</formula>
    </cfRule>
  </conditionalFormatting>
  <conditionalFormatting sqref="E1383">
    <cfRule type="containsText" dxfId="1035" priority="1181" operator="containsText" text="NUEVO">
      <formula>NOT(ISERROR(SEARCH("NUEVO",E1861)))</formula>
    </cfRule>
  </conditionalFormatting>
  <conditionalFormatting sqref="E1383">
    <cfRule type="containsText" dxfId="1034" priority="1182" operator="containsText" text="Sin información">
      <formula>NOT(ISERROR(SEARCH("Sin información",E1861)))</formula>
    </cfRule>
  </conditionalFormatting>
  <conditionalFormatting sqref="C1384:D1384">
    <cfRule type="containsText" dxfId="1033" priority="1176" operator="containsText" text="NO+$D$4:$D$10">
      <formula>NOT(ISERROR(SEARCH("NO+$D$4:$D$10",C1384)))</formula>
    </cfRule>
  </conditionalFormatting>
  <conditionalFormatting sqref="C1384:D1384">
    <cfRule type="containsText" dxfId="1032" priority="1174" operator="containsText" text="SI">
      <formula>NOT(ISERROR(SEARCH("SI",C1384)))</formula>
    </cfRule>
    <cfRule type="containsText" dxfId="1031" priority="1175" operator="containsText" text="NO">
      <formula>NOT(ISERROR(SEARCH("NO",C1384)))</formula>
    </cfRule>
  </conditionalFormatting>
  <conditionalFormatting sqref="C1384:D1384">
    <cfRule type="containsText" dxfId="1030" priority="1173" operator="containsText" text="NUEVO">
      <formula>NOT(ISERROR(SEARCH("NUEVO",C1384)))</formula>
    </cfRule>
  </conditionalFormatting>
  <conditionalFormatting sqref="E1384">
    <cfRule type="containsText" dxfId="1029" priority="1172" operator="containsText" text="NUEVO">
      <formula>NOT(ISERROR(SEARCH("NUEVO",E1384)))</formula>
    </cfRule>
  </conditionalFormatting>
  <conditionalFormatting sqref="E1384">
    <cfRule type="containsText" dxfId="1028" priority="1171" operator="containsText" text="Sin Información">
      <formula>NOT(ISERROR(SEARCH("Sin Información",E1384)))</formula>
    </cfRule>
  </conditionalFormatting>
  <conditionalFormatting sqref="C1385:D1385">
    <cfRule type="containsText" dxfId="1027" priority="1170" operator="containsText" text="NO+$D$4:$D$10">
      <formula>NOT(ISERROR(SEARCH("NO+$D$4:$D$10",C1385)))</formula>
    </cfRule>
  </conditionalFormatting>
  <conditionalFormatting sqref="C1385:D1385">
    <cfRule type="containsText" dxfId="1026" priority="1168" operator="containsText" text="SI">
      <formula>NOT(ISERROR(SEARCH("SI",C1385)))</formula>
    </cfRule>
    <cfRule type="containsText" dxfId="1025" priority="1169" operator="containsText" text="NO">
      <formula>NOT(ISERROR(SEARCH("NO",C1385)))</formula>
    </cfRule>
  </conditionalFormatting>
  <conditionalFormatting sqref="E1385">
    <cfRule type="containsText" dxfId="1024" priority="1167" operator="containsText" text="Sin información">
      <formula>NOT(ISERROR(SEARCH("Sin información",E1385)))</formula>
    </cfRule>
  </conditionalFormatting>
  <conditionalFormatting sqref="C1385:E1385">
    <cfRule type="containsText" dxfId="1023" priority="1166" operator="containsText" text="NUEVO">
      <formula>NOT(ISERROR(SEARCH("NUEVO",C1385)))</formula>
    </cfRule>
  </conditionalFormatting>
  <conditionalFormatting sqref="E1385">
    <cfRule type="containsText" dxfId="1022" priority="1165" operator="containsText" text="Sin información">
      <formula>NOT(ISERROR(SEARCH("Sin información",E1385)))</formula>
    </cfRule>
  </conditionalFormatting>
  <conditionalFormatting sqref="E1385">
    <cfRule type="containsText" dxfId="1021" priority="1164" operator="containsText" text="NUEVO">
      <formula>NOT(ISERROR(SEARCH("NUEVO",E1385)))</formula>
    </cfRule>
  </conditionalFormatting>
  <conditionalFormatting sqref="C1386:D1387">
    <cfRule type="containsText" dxfId="1020" priority="1163" operator="containsText" text="NO+$D$4:$D$10">
      <formula>NOT(ISERROR(SEARCH("NO+$D$4:$D$10",C1386)))</formula>
    </cfRule>
  </conditionalFormatting>
  <conditionalFormatting sqref="C1386:D1387">
    <cfRule type="containsText" dxfId="1019" priority="1161" operator="containsText" text="SI">
      <formula>NOT(ISERROR(SEARCH("SI",C1386)))</formula>
    </cfRule>
    <cfRule type="containsText" dxfId="1018" priority="1162" operator="containsText" text="NO">
      <formula>NOT(ISERROR(SEARCH("NO",C1386)))</formula>
    </cfRule>
  </conditionalFormatting>
  <conditionalFormatting sqref="E1386">
    <cfRule type="containsText" dxfId="1017" priority="1160" operator="containsText" text="Sin información">
      <formula>NOT(ISERROR(SEARCH("Sin información",E1386)))</formula>
    </cfRule>
  </conditionalFormatting>
  <conditionalFormatting sqref="E1386 C1386:D1387">
    <cfRule type="containsText" dxfId="1016" priority="1159" operator="containsText" text="NUEVO">
      <formula>NOT(ISERROR(SEARCH("NUEVO",C1386)))</formula>
    </cfRule>
  </conditionalFormatting>
  <conditionalFormatting sqref="E1387">
    <cfRule type="containsText" dxfId="1015" priority="1157" operator="containsText" text="NUEVO">
      <formula>NOT(ISERROR(SEARCH("NUEVO",E1387)))</formula>
    </cfRule>
  </conditionalFormatting>
  <conditionalFormatting sqref="E1387">
    <cfRule type="containsText" dxfId="1014" priority="1158" operator="containsText" text="Sin información">
      <formula>NOT(ISERROR(SEARCH("Sin información",E1387)))</formula>
    </cfRule>
  </conditionalFormatting>
  <conditionalFormatting sqref="C1388:D1388">
    <cfRule type="containsText" dxfId="1013" priority="1156" operator="containsText" text="NO+$D$4:$D$10">
      <formula>NOT(ISERROR(SEARCH("NO+$D$4:$D$10",C1388)))</formula>
    </cfRule>
  </conditionalFormatting>
  <conditionalFormatting sqref="C1388:D1388">
    <cfRule type="containsText" dxfId="1012" priority="1154" operator="containsText" text="SI">
      <formula>NOT(ISERROR(SEARCH("SI",C1388)))</formula>
    </cfRule>
    <cfRule type="containsText" dxfId="1011" priority="1155" operator="containsText" text="NO">
      <formula>NOT(ISERROR(SEARCH("NO",C1388)))</formula>
    </cfRule>
  </conditionalFormatting>
  <conditionalFormatting sqref="C1388:D1388">
    <cfRule type="containsText" dxfId="1010" priority="1153" operator="containsText" text="NUEVO">
      <formula>NOT(ISERROR(SEARCH("NUEVO",C1388)))</formula>
    </cfRule>
  </conditionalFormatting>
  <conditionalFormatting sqref="E1388">
    <cfRule type="containsText" dxfId="1009" priority="1152" operator="containsText" text="Sin información">
      <formula>NOT(ISERROR(SEARCH("Sin información",E1388)))</formula>
    </cfRule>
  </conditionalFormatting>
  <conditionalFormatting sqref="E1388">
    <cfRule type="containsText" dxfId="1008" priority="1151" operator="containsText" text="NUEVO">
      <formula>NOT(ISERROR(SEARCH("NUEVO",E1388)))</formula>
    </cfRule>
  </conditionalFormatting>
  <conditionalFormatting sqref="C1389:D1389">
    <cfRule type="containsText" dxfId="1007" priority="1150" operator="containsText" text="NO+$D$4:$D$10">
      <formula>NOT(ISERROR(SEARCH("NO+$D$4:$D$10",C1389)))</formula>
    </cfRule>
  </conditionalFormatting>
  <conditionalFormatting sqref="C1389:D1389">
    <cfRule type="containsText" dxfId="1006" priority="1148" operator="containsText" text="SI">
      <formula>NOT(ISERROR(SEARCH("SI",C1389)))</formula>
    </cfRule>
    <cfRule type="containsText" dxfId="1005" priority="1149" operator="containsText" text="NO">
      <formula>NOT(ISERROR(SEARCH("NO",C1389)))</formula>
    </cfRule>
  </conditionalFormatting>
  <conditionalFormatting sqref="E1389">
    <cfRule type="containsText" dxfId="1004" priority="1147" operator="containsText" text="Sin información">
      <formula>NOT(ISERROR(SEARCH("Sin información",E1389)))</formula>
    </cfRule>
  </conditionalFormatting>
  <conditionalFormatting sqref="C1389:E1389">
    <cfRule type="containsText" dxfId="1003" priority="1146" operator="containsText" text="NUEVO">
      <formula>NOT(ISERROR(SEARCH("NUEVO",C1389)))</formula>
    </cfRule>
  </conditionalFormatting>
  <conditionalFormatting sqref="E1389">
    <cfRule type="containsText" dxfId="1002" priority="1144" operator="containsText" text="NUEVO">
      <formula>NOT(ISERROR(SEARCH("NUEVO",E1389)))</formula>
    </cfRule>
  </conditionalFormatting>
  <conditionalFormatting sqref="E1389">
    <cfRule type="containsText" dxfId="1001" priority="1145" operator="containsText" text="Sin información">
      <formula>NOT(ISERROR(SEARCH("Sin información",E1389)))</formula>
    </cfRule>
  </conditionalFormatting>
  <conditionalFormatting sqref="C1391:D1391">
    <cfRule type="containsText" dxfId="1000" priority="1143" operator="containsText" text="NO+$D$4:$D$10">
      <formula>NOT(ISERROR(SEARCH("NO+$D$4:$D$10",C1391)))</formula>
    </cfRule>
  </conditionalFormatting>
  <conditionalFormatting sqref="C1391:D1391">
    <cfRule type="containsText" dxfId="999" priority="1141" operator="containsText" text="SI">
      <formula>NOT(ISERROR(SEARCH("SI",C1391)))</formula>
    </cfRule>
    <cfRule type="containsText" dxfId="998" priority="1142" operator="containsText" text="NO">
      <formula>NOT(ISERROR(SEARCH("NO",C1391)))</formula>
    </cfRule>
  </conditionalFormatting>
  <conditionalFormatting sqref="C1391:D1391">
    <cfRule type="containsText" dxfId="997" priority="1140" operator="containsText" text="NUEVO">
      <formula>NOT(ISERROR(SEARCH("NUEVO",C1391)))</formula>
    </cfRule>
  </conditionalFormatting>
  <conditionalFormatting sqref="E1391">
    <cfRule type="containsText" dxfId="996" priority="1138" operator="containsText" text="NUEVO">
      <formula>NOT(ISERROR(SEARCH("NUEVO",E1391)))</formula>
    </cfRule>
  </conditionalFormatting>
  <conditionalFormatting sqref="E1391">
    <cfRule type="containsText" dxfId="995" priority="1139" operator="containsText" text="Sin información">
      <formula>NOT(ISERROR(SEARCH("Sin información",E1391)))</formula>
    </cfRule>
  </conditionalFormatting>
  <conditionalFormatting sqref="C1392:D1393">
    <cfRule type="containsText" dxfId="994" priority="1137" operator="containsText" text="NO+$D$4:$D$10">
      <formula>NOT(ISERROR(SEARCH("NO+$D$4:$D$10",C1392)))</formula>
    </cfRule>
  </conditionalFormatting>
  <conditionalFormatting sqref="C1392:D1393">
    <cfRule type="containsText" dxfId="993" priority="1135" operator="containsText" text="SI">
      <formula>NOT(ISERROR(SEARCH("SI",C1392)))</formula>
    </cfRule>
    <cfRule type="containsText" dxfId="992" priority="1136" operator="containsText" text="NO">
      <formula>NOT(ISERROR(SEARCH("NO",C1392)))</formula>
    </cfRule>
  </conditionalFormatting>
  <conditionalFormatting sqref="C1392:D1392 C1393:E1393">
    <cfRule type="containsText" dxfId="991" priority="1134" operator="containsText" text="NUEVO">
      <formula>NOT(ISERROR(SEARCH("NUEVO",C1392)))</formula>
    </cfRule>
  </conditionalFormatting>
  <conditionalFormatting sqref="E1393">
    <cfRule type="containsText" dxfId="990" priority="1133" operator="containsText" text="Sin Información">
      <formula>NOT(ISERROR(SEARCH("Sin Información",E1393)))</formula>
    </cfRule>
  </conditionalFormatting>
  <conditionalFormatting sqref="E1392">
    <cfRule type="containsText" dxfId="989" priority="1131" operator="containsText" text="NUEVO">
      <formula>NOT(ISERROR(SEARCH("NUEVO",E1392)))</formula>
    </cfRule>
  </conditionalFormatting>
  <conditionalFormatting sqref="E1392">
    <cfRule type="containsText" dxfId="988" priority="1132" operator="containsText" text="Sin información">
      <formula>NOT(ISERROR(SEARCH("Sin información",E1392)))</formula>
    </cfRule>
  </conditionalFormatting>
  <conditionalFormatting sqref="E1393">
    <cfRule type="containsText" dxfId="987" priority="1129" operator="containsText" text="NUEVO">
      <formula>NOT(ISERROR(SEARCH("NUEVO",E1393)))</formula>
    </cfRule>
  </conditionalFormatting>
  <conditionalFormatting sqref="E1393">
    <cfRule type="containsText" dxfId="986" priority="1130" operator="containsText" text="Sin información">
      <formula>NOT(ISERROR(SEARCH("Sin información",E1393)))</formula>
    </cfRule>
  </conditionalFormatting>
  <conditionalFormatting sqref="C1394:D1394">
    <cfRule type="containsText" dxfId="985" priority="1128" operator="containsText" text="NO+$D$4:$D$10">
      <formula>NOT(ISERROR(SEARCH("NO+$D$4:$D$10",C1394)))</formula>
    </cfRule>
  </conditionalFormatting>
  <conditionalFormatting sqref="C1394:D1394">
    <cfRule type="containsText" dxfId="984" priority="1126" operator="containsText" text="SI">
      <formula>NOT(ISERROR(SEARCH("SI",C1394)))</formula>
    </cfRule>
    <cfRule type="containsText" dxfId="983" priority="1127" operator="containsText" text="NO">
      <formula>NOT(ISERROR(SEARCH("NO",C1394)))</formula>
    </cfRule>
  </conditionalFormatting>
  <conditionalFormatting sqref="C1394:D1394">
    <cfRule type="containsText" dxfId="982" priority="1125" operator="containsText" text="NUEVO">
      <formula>NOT(ISERROR(SEARCH("NUEVO",C1394)))</formula>
    </cfRule>
  </conditionalFormatting>
  <conditionalFormatting sqref="E1394">
    <cfRule type="containsText" dxfId="981" priority="1123" operator="containsText" text="NUEVO">
      <formula>NOT(ISERROR(SEARCH("NUEVO",E1394)))</formula>
    </cfRule>
  </conditionalFormatting>
  <conditionalFormatting sqref="E1394">
    <cfRule type="containsText" dxfId="980" priority="1124" operator="containsText" text="Sin información">
      <formula>NOT(ISERROR(SEARCH("Sin información",E1394)))</formula>
    </cfRule>
  </conditionalFormatting>
  <conditionalFormatting sqref="C1395:D1395">
    <cfRule type="containsText" dxfId="979" priority="1122" operator="containsText" text="NO+$D$4:$D$10">
      <formula>NOT(ISERROR(SEARCH("NO+$D$4:$D$10",C1395)))</formula>
    </cfRule>
  </conditionalFormatting>
  <conditionalFormatting sqref="C1395:D1395">
    <cfRule type="containsText" dxfId="978" priority="1120" operator="containsText" text="SI">
      <formula>NOT(ISERROR(SEARCH("SI",C1395)))</formula>
    </cfRule>
    <cfRule type="containsText" dxfId="977" priority="1121" operator="containsText" text="NO">
      <formula>NOT(ISERROR(SEARCH("NO",C1395)))</formula>
    </cfRule>
  </conditionalFormatting>
  <conditionalFormatting sqref="E1395">
    <cfRule type="containsText" dxfId="976" priority="1119" operator="containsText" text="Sin información">
      <formula>NOT(ISERROR(SEARCH("Sin información",E1395)))</formula>
    </cfRule>
  </conditionalFormatting>
  <conditionalFormatting sqref="C1395:E1395">
    <cfRule type="containsText" dxfId="975" priority="1118" operator="containsText" text="NUEVO">
      <formula>NOT(ISERROR(SEARCH("NUEVO",C1395)))</formula>
    </cfRule>
  </conditionalFormatting>
  <conditionalFormatting sqref="C1396:D1396">
    <cfRule type="containsText" dxfId="974" priority="1111" operator="containsText" text="NO+$D$4:$D$10">
      <formula>NOT(ISERROR(SEARCH("NO+$D$4:$D$10",C1396)))</formula>
    </cfRule>
  </conditionalFormatting>
  <conditionalFormatting sqref="C1396:D1396">
    <cfRule type="containsText" dxfId="973" priority="1109" operator="containsText" text="SI">
      <formula>NOT(ISERROR(SEARCH("SI",C1396)))</formula>
    </cfRule>
    <cfRule type="containsText" dxfId="972" priority="1110" operator="containsText" text="NO">
      <formula>NOT(ISERROR(SEARCH("NO",C1396)))</formula>
    </cfRule>
  </conditionalFormatting>
  <conditionalFormatting sqref="C1396:D1396">
    <cfRule type="containsText" dxfId="971" priority="1108" operator="containsText" text="NUEVO">
      <formula>NOT(ISERROR(SEARCH("NUEVO",C1396)))</formula>
    </cfRule>
  </conditionalFormatting>
  <conditionalFormatting sqref="E1396">
    <cfRule type="containsText" dxfId="970" priority="1107" operator="containsText" text="Sin información">
      <formula>NOT(ISERROR(SEARCH("Sin información",E1396)))</formula>
    </cfRule>
  </conditionalFormatting>
  <conditionalFormatting sqref="E1396">
    <cfRule type="containsText" dxfId="969" priority="1106" operator="containsText" text="NUEVO">
      <formula>NOT(ISERROR(SEARCH("NUEVO",E1396)))</formula>
    </cfRule>
  </conditionalFormatting>
  <conditionalFormatting sqref="C1397:D1397">
    <cfRule type="containsText" dxfId="968" priority="1105" operator="containsText" text="NO+$D$4:$D$10">
      <formula>NOT(ISERROR(SEARCH("NO+$D$4:$D$10",C1397)))</formula>
    </cfRule>
  </conditionalFormatting>
  <conditionalFormatting sqref="C1397:D1397">
    <cfRule type="containsText" dxfId="967" priority="1103" operator="containsText" text="SI">
      <formula>NOT(ISERROR(SEARCH("SI",C1397)))</formula>
    </cfRule>
    <cfRule type="containsText" dxfId="966" priority="1104" operator="containsText" text="NO">
      <formula>NOT(ISERROR(SEARCH("NO",C1397)))</formula>
    </cfRule>
  </conditionalFormatting>
  <conditionalFormatting sqref="C1397:D1397">
    <cfRule type="containsText" dxfId="965" priority="1102" operator="containsText" text="NUEVO">
      <formula>NOT(ISERROR(SEARCH("NUEVO",C1397)))</formula>
    </cfRule>
  </conditionalFormatting>
  <conditionalFormatting sqref="E1397">
    <cfRule type="containsText" dxfId="964" priority="1100" operator="containsText" text="NUEVO">
      <formula>NOT(ISERROR(SEARCH("NUEVO",E1397)))</formula>
    </cfRule>
  </conditionalFormatting>
  <conditionalFormatting sqref="E1397">
    <cfRule type="containsText" dxfId="963" priority="1101" operator="containsText" text="Sin información">
      <formula>NOT(ISERROR(SEARCH("Sin información",E1397)))</formula>
    </cfRule>
  </conditionalFormatting>
  <conditionalFormatting sqref="C1398:D1400">
    <cfRule type="containsText" dxfId="962" priority="1099" operator="containsText" text="NO+$D$4:$D$10">
      <formula>NOT(ISERROR(SEARCH("NO+$D$4:$D$10",C1398)))</formula>
    </cfRule>
  </conditionalFormatting>
  <conditionalFormatting sqref="C1398:D1400">
    <cfRule type="containsText" dxfId="961" priority="1097" operator="containsText" text="SI">
      <formula>NOT(ISERROR(SEARCH("SI",C1398)))</formula>
    </cfRule>
    <cfRule type="containsText" dxfId="960" priority="1098" operator="containsText" text="NO">
      <formula>NOT(ISERROR(SEARCH("NO",C1398)))</formula>
    </cfRule>
  </conditionalFormatting>
  <conditionalFormatting sqref="C1398:D1400">
    <cfRule type="containsText" dxfId="959" priority="1096" operator="containsText" text="NUEVO">
      <formula>NOT(ISERROR(SEARCH("NUEVO",C1398)))</formula>
    </cfRule>
  </conditionalFormatting>
  <conditionalFormatting sqref="E1398:E1400">
    <cfRule type="containsText" dxfId="958" priority="1095" operator="containsText" text="Sin información">
      <formula>NOT(ISERROR(SEARCH("Sin información",E1398)))</formula>
    </cfRule>
  </conditionalFormatting>
  <conditionalFormatting sqref="E1398:E1400">
    <cfRule type="containsText" dxfId="957" priority="1094" operator="containsText" text="NUEVO">
      <formula>NOT(ISERROR(SEARCH("NUEVO",E1398)))</formula>
    </cfRule>
  </conditionalFormatting>
  <conditionalFormatting sqref="C1401:D1403">
    <cfRule type="containsText" dxfId="956" priority="1093" operator="containsText" text="NO+$D$4:$D$10">
      <formula>NOT(ISERROR(SEARCH("NO+$D$4:$D$10",C1401)))</formula>
    </cfRule>
  </conditionalFormatting>
  <conditionalFormatting sqref="C1401:D1403">
    <cfRule type="containsText" dxfId="955" priority="1091" operator="containsText" text="SI">
      <formula>NOT(ISERROR(SEARCH("SI",C1401)))</formula>
    </cfRule>
    <cfRule type="containsText" dxfId="954" priority="1092" operator="containsText" text="NO">
      <formula>NOT(ISERROR(SEARCH("NO",C1401)))</formula>
    </cfRule>
  </conditionalFormatting>
  <conditionalFormatting sqref="C1401:D1403">
    <cfRule type="containsText" dxfId="953" priority="1090" operator="containsText" text="NUEVO">
      <formula>NOT(ISERROR(SEARCH("NUEVO",C1401)))</formula>
    </cfRule>
  </conditionalFormatting>
  <conditionalFormatting sqref="E1401:E1402">
    <cfRule type="containsText" dxfId="952" priority="1089" operator="containsText" text="Sin información">
      <formula>NOT(ISERROR(SEARCH("Sin información",E1401)))</formula>
    </cfRule>
  </conditionalFormatting>
  <conditionalFormatting sqref="E1401:E1402">
    <cfRule type="containsText" dxfId="951" priority="1088" operator="containsText" text="NUEVO">
      <formula>NOT(ISERROR(SEARCH("NUEVO",E1401)))</formula>
    </cfRule>
  </conditionalFormatting>
  <conditionalFormatting sqref="E1403">
    <cfRule type="containsText" dxfId="950" priority="1087" operator="containsText" text="Sin información">
      <formula>NOT(ISERROR(SEARCH("Sin información",E1403)))</formula>
    </cfRule>
  </conditionalFormatting>
  <conditionalFormatting sqref="E1403">
    <cfRule type="containsText" dxfId="949" priority="1086" operator="containsText" text="NUEVO">
      <formula>NOT(ISERROR(SEARCH("NUEVO",E1403)))</formula>
    </cfRule>
  </conditionalFormatting>
  <conditionalFormatting sqref="C1390:D1390">
    <cfRule type="containsText" dxfId="948" priority="1085" operator="containsText" text="NO+$D$4:$D$10">
      <formula>NOT(ISERROR(SEARCH("NO+$D$4:$D$10",C1390)))</formula>
    </cfRule>
  </conditionalFormatting>
  <conditionalFormatting sqref="C1390:D1390">
    <cfRule type="containsText" dxfId="947" priority="1083" operator="containsText" text="SI">
      <formula>NOT(ISERROR(SEARCH("SI",C1390)))</formula>
    </cfRule>
    <cfRule type="containsText" dxfId="946" priority="1084" operator="containsText" text="NO">
      <formula>NOT(ISERROR(SEARCH("NO",C1390)))</formula>
    </cfRule>
  </conditionalFormatting>
  <conditionalFormatting sqref="C1390:D1390">
    <cfRule type="containsText" dxfId="945" priority="1082" operator="containsText" text="NUEVO">
      <formula>NOT(ISERROR(SEARCH("NUEVO",C1390)))</formula>
    </cfRule>
  </conditionalFormatting>
  <conditionalFormatting sqref="E1390">
    <cfRule type="containsText" dxfId="944" priority="1081" operator="containsText" text="Sin información">
      <formula>NOT(ISERROR(SEARCH("Sin información",E1390)))</formula>
    </cfRule>
  </conditionalFormatting>
  <conditionalFormatting sqref="E1390">
    <cfRule type="containsText" dxfId="943" priority="1080" operator="containsText" text="NUEVO">
      <formula>NOT(ISERROR(SEARCH("NUEVO",E1390)))</formula>
    </cfRule>
  </conditionalFormatting>
  <conditionalFormatting sqref="C1404:D1404">
    <cfRule type="containsText" dxfId="942" priority="1079" operator="containsText" text="NO+$D$4:$D$10">
      <formula>NOT(ISERROR(SEARCH("NO+$D$4:$D$10",C1404)))</formula>
    </cfRule>
  </conditionalFormatting>
  <conditionalFormatting sqref="C1404:D1404">
    <cfRule type="containsText" dxfId="941" priority="1077" operator="containsText" text="SI">
      <formula>NOT(ISERROR(SEARCH("SI",C1404)))</formula>
    </cfRule>
    <cfRule type="containsText" dxfId="940" priority="1078" operator="containsText" text="NO">
      <formula>NOT(ISERROR(SEARCH("NO",C1404)))</formula>
    </cfRule>
  </conditionalFormatting>
  <conditionalFormatting sqref="C1404:D1404">
    <cfRule type="containsText" dxfId="939" priority="1076" operator="containsText" text="NUEVO">
      <formula>NOT(ISERROR(SEARCH("NUEVO",C1404)))</formula>
    </cfRule>
  </conditionalFormatting>
  <conditionalFormatting sqref="E1404">
    <cfRule type="containsText" dxfId="938" priority="1074" operator="containsText" text="NUEVO">
      <formula>NOT(ISERROR(SEARCH("NUEVO",E1404)))</formula>
    </cfRule>
  </conditionalFormatting>
  <conditionalFormatting sqref="E1404">
    <cfRule type="containsText" dxfId="937" priority="1075" operator="containsText" text="Sin información">
      <formula>NOT(ISERROR(SEARCH("Sin información",E1404)))</formula>
    </cfRule>
  </conditionalFormatting>
  <conditionalFormatting sqref="C1405:D1405">
    <cfRule type="containsText" dxfId="936" priority="1071" operator="containsText" text="NO+$D$4:$D$10">
      <formula>NOT(ISERROR(SEARCH("NO+$D$4:$D$10",C1405)))</formula>
    </cfRule>
  </conditionalFormatting>
  <conditionalFormatting sqref="C1405:D1405">
    <cfRule type="containsText" dxfId="935" priority="1069" operator="containsText" text="SI">
      <formula>NOT(ISERROR(SEARCH("SI",C1405)))</formula>
    </cfRule>
    <cfRule type="containsText" dxfId="934" priority="1070" operator="containsText" text="NO">
      <formula>NOT(ISERROR(SEARCH("NO",C1405)))</formula>
    </cfRule>
  </conditionalFormatting>
  <conditionalFormatting sqref="C1405:D1405">
    <cfRule type="containsText" dxfId="933" priority="1068" operator="containsText" text="NUEVO">
      <formula>NOT(ISERROR(SEARCH("NUEVO",C1405)))</formula>
    </cfRule>
  </conditionalFormatting>
  <conditionalFormatting sqref="E1405">
    <cfRule type="containsText" dxfId="932" priority="1066" operator="containsText" text="NUEVO">
      <formula>NOT(ISERROR(SEARCH("NUEVO",E1405)))</formula>
    </cfRule>
  </conditionalFormatting>
  <conditionalFormatting sqref="E1405">
    <cfRule type="containsText" dxfId="931" priority="1067" operator="containsText" text="Sin información">
      <formula>NOT(ISERROR(SEARCH("Sin información",E1405)))</formula>
    </cfRule>
  </conditionalFormatting>
  <conditionalFormatting sqref="C1406:D1406">
    <cfRule type="containsText" dxfId="930" priority="1059" operator="containsText" text="NO+$D$4:$D$10">
      <formula>NOT(ISERROR(SEARCH("NO+$D$4:$D$10",C1406)))</formula>
    </cfRule>
  </conditionalFormatting>
  <conditionalFormatting sqref="C1406:D1406">
    <cfRule type="containsText" dxfId="929" priority="1057" operator="containsText" text="SI">
      <formula>NOT(ISERROR(SEARCH("SI",C1406)))</formula>
    </cfRule>
    <cfRule type="containsText" dxfId="928" priority="1058" operator="containsText" text="NO">
      <formula>NOT(ISERROR(SEARCH("NO",C1406)))</formula>
    </cfRule>
  </conditionalFormatting>
  <conditionalFormatting sqref="E1406">
    <cfRule type="containsText" dxfId="927" priority="1056" operator="containsText" text="Sin información">
      <formula>NOT(ISERROR(SEARCH("Sin información",E1406)))</formula>
    </cfRule>
  </conditionalFormatting>
  <conditionalFormatting sqref="C1406:E1406">
    <cfRule type="containsText" dxfId="926" priority="1055" operator="containsText" text="NUEVO">
      <formula>NOT(ISERROR(SEARCH("NUEVO",C1406)))</formula>
    </cfRule>
  </conditionalFormatting>
  <conditionalFormatting sqref="C1407:D1407">
    <cfRule type="containsText" dxfId="925" priority="1054" operator="containsText" text="NO+$D$4:$D$10">
      <formula>NOT(ISERROR(SEARCH("NO+$D$4:$D$10",C1407)))</formula>
    </cfRule>
  </conditionalFormatting>
  <conditionalFormatting sqref="C1407:D1407">
    <cfRule type="containsText" dxfId="924" priority="1052" operator="containsText" text="SI">
      <formula>NOT(ISERROR(SEARCH("SI",C1407)))</formula>
    </cfRule>
    <cfRule type="containsText" dxfId="923" priority="1053" operator="containsText" text="NO">
      <formula>NOT(ISERROR(SEARCH("NO",C1407)))</formula>
    </cfRule>
  </conditionalFormatting>
  <conditionalFormatting sqref="C1407:D1407">
    <cfRule type="containsText" dxfId="922" priority="1051" operator="containsText" text="NUEVO">
      <formula>NOT(ISERROR(SEARCH("NUEVO",C1407)))</formula>
    </cfRule>
  </conditionalFormatting>
  <conditionalFormatting sqref="E1407">
    <cfRule type="containsText" dxfId="921" priority="1050" operator="containsText" text="Sin información">
      <formula>NOT(ISERROR(SEARCH("Sin información",E1407)))</formula>
    </cfRule>
  </conditionalFormatting>
  <conditionalFormatting sqref="E1407">
    <cfRule type="containsText" dxfId="920" priority="1049" operator="containsText" text="NUEVO">
      <formula>NOT(ISERROR(SEARCH("NUEVO",E1407)))</formula>
    </cfRule>
  </conditionalFormatting>
  <conditionalFormatting sqref="C1408:D1410">
    <cfRule type="containsText" dxfId="919" priority="1048" operator="containsText" text="NO+$D$4:$D$10">
      <formula>NOT(ISERROR(SEARCH("NO+$D$4:$D$10",C1408)))</formula>
    </cfRule>
  </conditionalFormatting>
  <conditionalFormatting sqref="C1408:D1410">
    <cfRule type="containsText" dxfId="918" priority="1046" operator="containsText" text="SI">
      <formula>NOT(ISERROR(SEARCH("SI",C1408)))</formula>
    </cfRule>
    <cfRule type="containsText" dxfId="917" priority="1047" operator="containsText" text="NO">
      <formula>NOT(ISERROR(SEARCH("NO",C1408)))</formula>
    </cfRule>
  </conditionalFormatting>
  <conditionalFormatting sqref="C1408:D1410">
    <cfRule type="containsText" dxfId="916" priority="1045" operator="containsText" text="NUEVO">
      <formula>NOT(ISERROR(SEARCH("NUEVO",C1408)))</formula>
    </cfRule>
  </conditionalFormatting>
  <conditionalFormatting sqref="E1408:E1410">
    <cfRule type="containsText" dxfId="915" priority="1044" operator="containsText" text="Sin información">
      <formula>NOT(ISERROR(SEARCH("Sin información",E1408)))</formula>
    </cfRule>
  </conditionalFormatting>
  <conditionalFormatting sqref="E1408:E1410">
    <cfRule type="containsText" dxfId="914" priority="1043" operator="containsText" text="NUEVO">
      <formula>NOT(ISERROR(SEARCH("NUEVO",E1408)))</formula>
    </cfRule>
  </conditionalFormatting>
  <conditionalFormatting sqref="C1411:D1411">
    <cfRule type="containsText" dxfId="913" priority="1042" operator="containsText" text="NO+$D$4:$D$10">
      <formula>NOT(ISERROR(SEARCH("NO+$D$4:$D$10",C1411)))</formula>
    </cfRule>
  </conditionalFormatting>
  <conditionalFormatting sqref="C1411:D1411">
    <cfRule type="containsText" dxfId="912" priority="1040" operator="containsText" text="SI">
      <formula>NOT(ISERROR(SEARCH("SI",C1411)))</formula>
    </cfRule>
    <cfRule type="containsText" dxfId="911" priority="1041" operator="containsText" text="NO">
      <formula>NOT(ISERROR(SEARCH("NO",C1411)))</formula>
    </cfRule>
  </conditionalFormatting>
  <conditionalFormatting sqref="C1411:D1411">
    <cfRule type="containsText" dxfId="910" priority="1039" operator="containsText" text="NUEVO">
      <formula>NOT(ISERROR(SEARCH("NUEVO",C1411)))</formula>
    </cfRule>
  </conditionalFormatting>
  <conditionalFormatting sqref="E1411">
    <cfRule type="containsText" dxfId="909" priority="1038" operator="containsText" text="Sin información">
      <formula>NOT(ISERROR(SEARCH("Sin información",E1411)))</formula>
    </cfRule>
  </conditionalFormatting>
  <conditionalFormatting sqref="E1411">
    <cfRule type="containsText" dxfId="908" priority="1037" operator="containsText" text="NUEVO">
      <formula>NOT(ISERROR(SEARCH("NUEVO",E1411)))</formula>
    </cfRule>
  </conditionalFormatting>
  <conditionalFormatting sqref="C1412:D1413">
    <cfRule type="containsText" dxfId="907" priority="1036" operator="containsText" text="NO+$D$4:$D$10">
      <formula>NOT(ISERROR(SEARCH("NO+$D$4:$D$10",C1412)))</formula>
    </cfRule>
  </conditionalFormatting>
  <conditionalFormatting sqref="C1412:D1413">
    <cfRule type="containsText" dxfId="906" priority="1034" operator="containsText" text="SI">
      <formula>NOT(ISERROR(SEARCH("SI",C1412)))</formula>
    </cfRule>
    <cfRule type="containsText" dxfId="905" priority="1035" operator="containsText" text="NO">
      <formula>NOT(ISERROR(SEARCH("NO",C1412)))</formula>
    </cfRule>
  </conditionalFormatting>
  <conditionalFormatting sqref="C1412:D1413">
    <cfRule type="containsText" dxfId="904" priority="1033" operator="containsText" text="NUEVO">
      <formula>NOT(ISERROR(SEARCH("NUEVO",C1412)))</formula>
    </cfRule>
  </conditionalFormatting>
  <conditionalFormatting sqref="E1412:E1413">
    <cfRule type="containsText" dxfId="903" priority="1032" operator="containsText" text="Sin información">
      <formula>NOT(ISERROR(SEARCH("Sin información",E1412)))</formula>
    </cfRule>
  </conditionalFormatting>
  <conditionalFormatting sqref="E1412:E1413">
    <cfRule type="containsText" dxfId="902" priority="1031" operator="containsText" text="NUEVO">
      <formula>NOT(ISERROR(SEARCH("NUEVO",E1412)))</formula>
    </cfRule>
  </conditionalFormatting>
  <conditionalFormatting sqref="C1414:D1414">
    <cfRule type="containsText" dxfId="901" priority="1030" operator="containsText" text="NO+$D$4:$D$10">
      <formula>NOT(ISERROR(SEARCH("NO+$D$4:$D$10",C1414)))</formula>
    </cfRule>
  </conditionalFormatting>
  <conditionalFormatting sqref="C1414:D1414">
    <cfRule type="containsText" dxfId="900" priority="1028" operator="containsText" text="SI">
      <formula>NOT(ISERROR(SEARCH("SI",C1414)))</formula>
    </cfRule>
    <cfRule type="containsText" dxfId="899" priority="1029" operator="containsText" text="NO">
      <formula>NOT(ISERROR(SEARCH("NO",C1414)))</formula>
    </cfRule>
  </conditionalFormatting>
  <conditionalFormatting sqref="C1414:D1414">
    <cfRule type="containsText" dxfId="898" priority="1027" operator="containsText" text="NUEVO">
      <formula>NOT(ISERROR(SEARCH("NUEVO",C1414)))</formula>
    </cfRule>
  </conditionalFormatting>
  <conditionalFormatting sqref="E1414">
    <cfRule type="containsText" dxfId="897" priority="1026" operator="containsText" text="Sin información">
      <formula>NOT(ISERROR(SEARCH("Sin información",E1414)))</formula>
    </cfRule>
  </conditionalFormatting>
  <conditionalFormatting sqref="E1414">
    <cfRule type="containsText" dxfId="896" priority="1025" operator="containsText" text="NUEVO">
      <formula>NOT(ISERROR(SEARCH("NUEVO",E1414)))</formula>
    </cfRule>
  </conditionalFormatting>
  <conditionalFormatting sqref="C1415:D1415">
    <cfRule type="containsText" dxfId="895" priority="1024" operator="containsText" text="NO+$D$4:$D$10">
      <formula>NOT(ISERROR(SEARCH("NO+$D$4:$D$10",C1415)))</formula>
    </cfRule>
  </conditionalFormatting>
  <conditionalFormatting sqref="C1415:D1415">
    <cfRule type="containsText" dxfId="894" priority="1022" operator="containsText" text="SI">
      <formula>NOT(ISERROR(SEARCH("SI",C1415)))</formula>
    </cfRule>
    <cfRule type="containsText" dxfId="893" priority="1023" operator="containsText" text="NO">
      <formula>NOT(ISERROR(SEARCH("NO",C1415)))</formula>
    </cfRule>
  </conditionalFormatting>
  <conditionalFormatting sqref="C1415:D1415">
    <cfRule type="containsText" dxfId="892" priority="1021" operator="containsText" text="NUEVO">
      <formula>NOT(ISERROR(SEARCH("NUEVO",C1415)))</formula>
    </cfRule>
  </conditionalFormatting>
  <conditionalFormatting sqref="E1415">
    <cfRule type="containsText" dxfId="891" priority="1020" operator="containsText" text="Sin información">
      <formula>NOT(ISERROR(SEARCH("Sin información",E1415)))</formula>
    </cfRule>
  </conditionalFormatting>
  <conditionalFormatting sqref="E1415">
    <cfRule type="containsText" dxfId="890" priority="1019" operator="containsText" text="NUEVO">
      <formula>NOT(ISERROR(SEARCH("NUEVO",E1415)))</formula>
    </cfRule>
  </conditionalFormatting>
  <conditionalFormatting sqref="C1416:D1416">
    <cfRule type="containsText" dxfId="889" priority="1018" operator="containsText" text="NO+$D$4:$D$10">
      <formula>NOT(ISERROR(SEARCH("NO+$D$4:$D$10",C1416)))</formula>
    </cfRule>
  </conditionalFormatting>
  <conditionalFormatting sqref="C1416:D1416">
    <cfRule type="containsText" dxfId="888" priority="1016" operator="containsText" text="SI">
      <formula>NOT(ISERROR(SEARCH("SI",C1416)))</formula>
    </cfRule>
    <cfRule type="containsText" dxfId="887" priority="1017" operator="containsText" text="NO">
      <formula>NOT(ISERROR(SEARCH("NO",C1416)))</formula>
    </cfRule>
  </conditionalFormatting>
  <conditionalFormatting sqref="C1416:D1416">
    <cfRule type="containsText" dxfId="886" priority="1015" operator="containsText" text="NUEVO">
      <formula>NOT(ISERROR(SEARCH("NUEVO",C1416)))</formula>
    </cfRule>
  </conditionalFormatting>
  <conditionalFormatting sqref="E1416">
    <cfRule type="containsText" dxfId="885" priority="1014" operator="containsText" text="Sin información">
      <formula>NOT(ISERROR(SEARCH("Sin información",E1416)))</formula>
    </cfRule>
  </conditionalFormatting>
  <conditionalFormatting sqref="E1416">
    <cfRule type="containsText" dxfId="884" priority="1013" operator="containsText" text="NUEVO">
      <formula>NOT(ISERROR(SEARCH("NUEVO",E1416)))</formula>
    </cfRule>
  </conditionalFormatting>
  <conditionalFormatting sqref="C1417:D1417">
    <cfRule type="containsText" dxfId="883" priority="1012" operator="containsText" text="NO+$D$4:$D$10">
      <formula>NOT(ISERROR(SEARCH("NO+$D$4:$D$10",C1417)))</formula>
    </cfRule>
  </conditionalFormatting>
  <conditionalFormatting sqref="C1417:D1417">
    <cfRule type="containsText" dxfId="882" priority="1010" operator="containsText" text="SI">
      <formula>NOT(ISERROR(SEARCH("SI",C1417)))</formula>
    </cfRule>
    <cfRule type="containsText" dxfId="881" priority="1011" operator="containsText" text="NO">
      <formula>NOT(ISERROR(SEARCH("NO",C1417)))</formula>
    </cfRule>
  </conditionalFormatting>
  <conditionalFormatting sqref="C1417:D1417">
    <cfRule type="containsText" dxfId="880" priority="1009" operator="containsText" text="NUEVO">
      <formula>NOT(ISERROR(SEARCH("NUEVO",C1417)))</formula>
    </cfRule>
  </conditionalFormatting>
  <conditionalFormatting sqref="E1417">
    <cfRule type="containsText" dxfId="879" priority="1003" operator="containsText" text="NUEVO">
      <formula>NOT(ISERROR(SEARCH("NUEVO",E1417)))</formula>
    </cfRule>
  </conditionalFormatting>
  <conditionalFormatting sqref="E1417">
    <cfRule type="containsText" dxfId="878" priority="1006" operator="containsText" text="Sin información">
      <formula>NOT(ISERROR(SEARCH("Sin información",E1417)))</formula>
    </cfRule>
  </conditionalFormatting>
  <conditionalFormatting sqref="E1417">
    <cfRule type="containsText" dxfId="877" priority="1005" operator="containsText" text="NUEVO">
      <formula>NOT(ISERROR(SEARCH("NUEVO",E1417)))</formula>
    </cfRule>
  </conditionalFormatting>
  <conditionalFormatting sqref="E1417">
    <cfRule type="containsText" dxfId="876" priority="1004" operator="containsText" text="Sin información">
      <formula>NOT(ISERROR(SEARCH("Sin información",E1417)))</formula>
    </cfRule>
  </conditionalFormatting>
  <conditionalFormatting sqref="C1418:D1419">
    <cfRule type="containsText" dxfId="875" priority="1002" operator="containsText" text="NO+$D$4:$D$10">
      <formula>NOT(ISERROR(SEARCH("NO+$D$4:$D$10",C1418)))</formula>
    </cfRule>
  </conditionalFormatting>
  <conditionalFormatting sqref="C1418:D1419">
    <cfRule type="containsText" dxfId="874" priority="1000" operator="containsText" text="SI">
      <formula>NOT(ISERROR(SEARCH("SI",C1418)))</formula>
    </cfRule>
    <cfRule type="containsText" dxfId="873" priority="1001" operator="containsText" text="NO">
      <formula>NOT(ISERROR(SEARCH("NO",C1418)))</formula>
    </cfRule>
  </conditionalFormatting>
  <conditionalFormatting sqref="E1418">
    <cfRule type="containsText" dxfId="872" priority="999" operator="containsText" text="Sin información">
      <formula>NOT(ISERROR(SEARCH("Sin información",E1418)))</formula>
    </cfRule>
  </conditionalFormatting>
  <conditionalFormatting sqref="E1418 C1418:D1419">
    <cfRule type="containsText" dxfId="871" priority="998" operator="containsText" text="NUEVO">
      <formula>NOT(ISERROR(SEARCH("NUEVO",C1418)))</formula>
    </cfRule>
  </conditionalFormatting>
  <conditionalFormatting sqref="E1419">
    <cfRule type="containsText" dxfId="870" priority="996" operator="containsText" text="NUEVO">
      <formula>NOT(ISERROR(SEARCH("NUEVO",E1419)))</formula>
    </cfRule>
  </conditionalFormatting>
  <conditionalFormatting sqref="E1419">
    <cfRule type="containsText" dxfId="869" priority="997" operator="containsText" text="Sin información">
      <formula>NOT(ISERROR(SEARCH("Sin información",E1419)))</formula>
    </cfRule>
  </conditionalFormatting>
  <conditionalFormatting sqref="C1420:D1420">
    <cfRule type="containsText" dxfId="868" priority="995" operator="containsText" text="NO+$D$4:$D$10">
      <formula>NOT(ISERROR(SEARCH("NO+$D$4:$D$10",C1420)))</formula>
    </cfRule>
  </conditionalFormatting>
  <conditionalFormatting sqref="C1420:D1420">
    <cfRule type="containsText" dxfId="867" priority="993" operator="containsText" text="SI">
      <formula>NOT(ISERROR(SEARCH("SI",C1420)))</formula>
    </cfRule>
    <cfRule type="containsText" dxfId="866" priority="994" operator="containsText" text="NO">
      <formula>NOT(ISERROR(SEARCH("NO",C1420)))</formula>
    </cfRule>
  </conditionalFormatting>
  <conditionalFormatting sqref="C1420:D1420">
    <cfRule type="containsText" dxfId="865" priority="992" operator="containsText" text="NUEVO">
      <formula>NOT(ISERROR(SEARCH("NUEVO",C1420)))</formula>
    </cfRule>
  </conditionalFormatting>
  <conditionalFormatting sqref="E1420">
    <cfRule type="containsText" dxfId="864" priority="990" operator="containsText" text="NUEVO">
      <formula>NOT(ISERROR(SEARCH("NUEVO",E1420)))</formula>
    </cfRule>
  </conditionalFormatting>
  <conditionalFormatting sqref="E1420">
    <cfRule type="containsText" dxfId="863" priority="991" operator="containsText" text="Sin información">
      <formula>NOT(ISERROR(SEARCH("Sin información",E1420)))</formula>
    </cfRule>
  </conditionalFormatting>
  <conditionalFormatting sqref="C1421:D1422">
    <cfRule type="containsText" dxfId="862" priority="989" operator="containsText" text="NO+$D$4:$D$10">
      <formula>NOT(ISERROR(SEARCH("NO+$D$4:$D$10",C1421)))</formula>
    </cfRule>
  </conditionalFormatting>
  <conditionalFormatting sqref="C1421:D1422">
    <cfRule type="containsText" dxfId="861" priority="987" operator="containsText" text="SI">
      <formula>NOT(ISERROR(SEARCH("SI",C1421)))</formula>
    </cfRule>
    <cfRule type="containsText" dxfId="860" priority="988" operator="containsText" text="NO">
      <formula>NOT(ISERROR(SEARCH("NO",C1421)))</formula>
    </cfRule>
  </conditionalFormatting>
  <conditionalFormatting sqref="C1421:D1422">
    <cfRule type="containsText" dxfId="859" priority="986" operator="containsText" text="NUEVO">
      <formula>NOT(ISERROR(SEARCH("NUEVO",C1421)))</formula>
    </cfRule>
  </conditionalFormatting>
  <conditionalFormatting sqref="E1421">
    <cfRule type="containsText" dxfId="858" priority="984" operator="containsText" text="NUEVO">
      <formula>NOT(ISERROR(SEARCH("NUEVO",E1421)))</formula>
    </cfRule>
  </conditionalFormatting>
  <conditionalFormatting sqref="E1421">
    <cfRule type="containsText" dxfId="857" priority="985" operator="containsText" text="Sin información">
      <formula>NOT(ISERROR(SEARCH("Sin información",E1421)))</formula>
    </cfRule>
  </conditionalFormatting>
  <conditionalFormatting sqref="E1422">
    <cfRule type="containsText" dxfId="856" priority="982" operator="containsText" text="NUEVO">
      <formula>NOT(ISERROR(SEARCH("NUEVO",E1422)))</formula>
    </cfRule>
  </conditionalFormatting>
  <conditionalFormatting sqref="E1422">
    <cfRule type="containsText" dxfId="855" priority="983" operator="containsText" text="Sin información">
      <formula>NOT(ISERROR(SEARCH("Sin información",E1422)))</formula>
    </cfRule>
  </conditionalFormatting>
  <conditionalFormatting sqref="C1423:D1423">
    <cfRule type="containsText" dxfId="854" priority="981" operator="containsText" text="NO+$D$4:$D$10">
      <formula>NOT(ISERROR(SEARCH("NO+$D$4:$D$10",C1423)))</formula>
    </cfRule>
  </conditionalFormatting>
  <conditionalFormatting sqref="C1423:D1423">
    <cfRule type="containsText" dxfId="853" priority="979" operator="containsText" text="SI">
      <formula>NOT(ISERROR(SEARCH("SI",C1423)))</formula>
    </cfRule>
    <cfRule type="containsText" dxfId="852" priority="980" operator="containsText" text="NO">
      <formula>NOT(ISERROR(SEARCH("NO",C1423)))</formula>
    </cfRule>
  </conditionalFormatting>
  <conditionalFormatting sqref="C1423:D1423">
    <cfRule type="containsText" dxfId="851" priority="978" operator="containsText" text="NUEVO">
      <formula>NOT(ISERROR(SEARCH("NUEVO",C1423)))</formula>
    </cfRule>
  </conditionalFormatting>
  <conditionalFormatting sqref="E1423">
    <cfRule type="containsText" dxfId="850" priority="977" operator="containsText" text="Sin información">
      <formula>NOT(ISERROR(SEARCH("Sin información",E1423)))</formula>
    </cfRule>
  </conditionalFormatting>
  <conditionalFormatting sqref="E1423">
    <cfRule type="containsText" dxfId="849" priority="976" operator="containsText" text="NUEVO">
      <formula>NOT(ISERROR(SEARCH("NUEVO",E1423)))</formula>
    </cfRule>
  </conditionalFormatting>
  <conditionalFormatting sqref="C1424:D1426">
    <cfRule type="containsText" dxfId="848" priority="975" operator="containsText" text="NO+$D$4:$D$10">
      <formula>NOT(ISERROR(SEARCH("NO+$D$4:$D$10",C1424)))</formula>
    </cfRule>
  </conditionalFormatting>
  <conditionalFormatting sqref="C1424:D1426">
    <cfRule type="containsText" dxfId="847" priority="973" operator="containsText" text="SI">
      <formula>NOT(ISERROR(SEARCH("SI",C1424)))</formula>
    </cfRule>
    <cfRule type="containsText" dxfId="846" priority="974" operator="containsText" text="NO">
      <formula>NOT(ISERROR(SEARCH("NO",C1424)))</formula>
    </cfRule>
  </conditionalFormatting>
  <conditionalFormatting sqref="C1424:D1426">
    <cfRule type="containsText" dxfId="845" priority="972" operator="containsText" text="NUEVO">
      <formula>NOT(ISERROR(SEARCH("NUEVO",C1424)))</formula>
    </cfRule>
  </conditionalFormatting>
  <conditionalFormatting sqref="E1424">
    <cfRule type="containsText" dxfId="844" priority="970" operator="containsText" text="NUEVO">
      <formula>NOT(ISERROR(SEARCH("NUEVO",E1424)))</formula>
    </cfRule>
  </conditionalFormatting>
  <conditionalFormatting sqref="E1424">
    <cfRule type="containsText" dxfId="843" priority="971" operator="containsText" text="Sin información">
      <formula>NOT(ISERROR(SEARCH("Sin información",E1424)))</formula>
    </cfRule>
  </conditionalFormatting>
  <conditionalFormatting sqref="E1425">
    <cfRule type="containsText" dxfId="842" priority="968" operator="containsText" text="NUEVO">
      <formula>NOT(ISERROR(SEARCH("NUEVO",E1425)))</formula>
    </cfRule>
  </conditionalFormatting>
  <conditionalFormatting sqref="E1425">
    <cfRule type="containsText" dxfId="841" priority="969" operator="containsText" text="Sin información">
      <formula>NOT(ISERROR(SEARCH("Sin información",E1425)))</formula>
    </cfRule>
  </conditionalFormatting>
  <conditionalFormatting sqref="E1426">
    <cfRule type="containsText" dxfId="840" priority="966" operator="containsText" text="NUEVO">
      <formula>NOT(ISERROR(SEARCH("NUEVO",E1426)))</formula>
    </cfRule>
  </conditionalFormatting>
  <conditionalFormatting sqref="E1426">
    <cfRule type="containsText" dxfId="839" priority="967" operator="containsText" text="Sin información">
      <formula>NOT(ISERROR(SEARCH("Sin información",E1426)))</formula>
    </cfRule>
  </conditionalFormatting>
  <conditionalFormatting sqref="E188">
    <cfRule type="containsText" dxfId="838" priority="25722" operator="containsText" text="NUEVO">
      <formula>NOT(ISERROR(SEARCH("NUEVO",E1209)))</formula>
    </cfRule>
  </conditionalFormatting>
  <conditionalFormatting sqref="E188">
    <cfRule type="containsText" dxfId="837" priority="25724" operator="containsText" text="Sin Información">
      <formula>NOT(ISERROR(SEARCH("Sin Información",E1209)))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Información",E1675)))</formula>
    </cfRule>
  </conditionalFormatting>
  <conditionalFormatting sqref="E615">
    <cfRule type="containsText" dxfId="791" priority="925" operator="containsText" text="NUEVO">
      <formula>NOT(ISERROR(SEARCH("NUEVO",E1675)))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Información",E1675)))</formula>
    </cfRule>
  </conditionalFormatting>
  <conditionalFormatting sqref="E616">
    <cfRule type="containsText" dxfId="785" priority="919" operator="containsText" text="NUEVO">
      <formula>NOT(ISERROR(SEARCH("NUEVO",E1675)))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NOT(ISERROR(SEARCH("NUEVO",E1685)))</formula>
    </cfRule>
  </conditionalFormatting>
  <conditionalFormatting sqref="E620">
    <cfRule type="containsText" dxfId="761" priority="882" operator="containsText" text="Sin Información">
      <formula>NOT(ISERROR(SEARCH("Sin Información",E1685)))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Información",E1714)))</formula>
    </cfRule>
  </conditionalFormatting>
  <conditionalFormatting sqref="E622">
    <cfRule type="containsText" dxfId="749" priority="870" operator="containsText" text="NUEVO">
      <formula>NOT(ISERROR(SEARCH("NUEVO",E1714)))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información",E1682)))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Información",E1685)))</formula>
    </cfRule>
  </conditionalFormatting>
  <conditionalFormatting sqref="E630">
    <cfRule type="containsText" dxfId="706" priority="799" operator="containsText" text="NUEVO">
      <formula>NOT(ISERROR(SEARCH("NUEVO",E1685)))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información",E1694)))</formula>
    </cfRule>
  </conditionalFormatting>
  <conditionalFormatting sqref="E631">
    <cfRule type="containsText" dxfId="700" priority="793" operator="containsText" text="NUEVO">
      <formula>NOT(ISERROR(SEARCH("NUEVO",E1694)))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Información",E1697)))</formula>
    </cfRule>
  </conditionalFormatting>
  <conditionalFormatting sqref="E635">
    <cfRule type="containsText" dxfId="674" priority="755" operator="containsText" text="NUEVO">
      <formula>NOT(ISERROR(SEARCH("NUEVO",E1697)))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NOT(ISERROR(SEARCH("NUEVO",E1775)))</formula>
    </cfRule>
  </conditionalFormatting>
  <conditionalFormatting sqref="E704">
    <cfRule type="containsText" dxfId="632" priority="700" operator="containsText" text="Sin información">
      <formula>NOT(ISERROR(SEARCH("Sin información",E1775)))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NOT(ISERROR(SEARCH("NUEVO",E1776)))</formula>
    </cfRule>
  </conditionalFormatting>
  <conditionalFormatting sqref="E705">
    <cfRule type="containsText" dxfId="622" priority="690" operator="containsText" text="Sin información">
      <formula>NOT(ISERROR(SEARCH("Sin información",E1776)))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7:D1247">
    <cfRule type="containsText" dxfId="611" priority="668" operator="containsText" text="NO+$D$4:$D$10">
      <formula>NOT(ISERROR(SEARCH("NO+$D$4:$D$10",C1247)))</formula>
    </cfRule>
  </conditionalFormatting>
  <conditionalFormatting sqref="C1247:D1247">
    <cfRule type="containsText" dxfId="610" priority="666" operator="containsText" text="SI">
      <formula>NOT(ISERROR(SEARCH("SI",C1247)))</formula>
    </cfRule>
    <cfRule type="containsText" dxfId="609" priority="667" operator="containsText" text="NO">
      <formula>NOT(ISERROR(SEARCH("NO",C1247)))</formula>
    </cfRule>
  </conditionalFormatting>
  <conditionalFormatting sqref="C1247:D1247">
    <cfRule type="containsText" dxfId="608" priority="665" operator="containsText" text="NUEVO">
      <formula>NOT(ISERROR(SEARCH("NUEVO",C1247)))</formula>
    </cfRule>
  </conditionalFormatting>
  <conditionalFormatting sqref="E1247">
    <cfRule type="containsText" dxfId="607" priority="669" operator="containsText" text="NUEVO">
      <formula>NOT(ISERROR(SEARCH("NUEVO",E1875)))</formula>
    </cfRule>
  </conditionalFormatting>
  <conditionalFormatting sqref="E1247">
    <cfRule type="containsText" dxfId="606" priority="670" operator="containsText" text="Sin información">
      <formula>NOT(ISERROR(SEARCH("Sin información",E1875)))</formula>
    </cfRule>
  </conditionalFormatting>
  <conditionalFormatting sqref="C1248:D1248">
    <cfRule type="containsText" dxfId="605" priority="659" operator="containsText" text="NO+$D$4:$D$10">
      <formula>NOT(ISERROR(SEARCH("NO+$D$4:$D$10",C1248)))</formula>
    </cfRule>
  </conditionalFormatting>
  <conditionalFormatting sqref="C1248:D1248">
    <cfRule type="containsText" dxfId="604" priority="657" operator="containsText" text="SI">
      <formula>NOT(ISERROR(SEARCH("SI",C1248)))</formula>
    </cfRule>
    <cfRule type="containsText" dxfId="603" priority="658" operator="containsText" text="NO">
      <formula>NOT(ISERROR(SEARCH("NO",C1248)))</formula>
    </cfRule>
  </conditionalFormatting>
  <conditionalFormatting sqref="C1248:D1248">
    <cfRule type="containsText" dxfId="602" priority="656" operator="containsText" text="NUEVO">
      <formula>NOT(ISERROR(SEARCH("NUEVO",C1248)))</formula>
    </cfRule>
  </conditionalFormatting>
  <conditionalFormatting sqref="E1248">
    <cfRule type="containsText" dxfId="601" priority="654" operator="containsText" text="Sin información">
      <formula>NOT(ISERROR(SEARCH("Sin información",E1248)))</formula>
    </cfRule>
  </conditionalFormatting>
  <conditionalFormatting sqref="E1248">
    <cfRule type="containsText" dxfId="600" priority="653" operator="containsText" text="NUEVO">
      <formula>NOT(ISERROR(SEARCH("NUEVO",E1248)))</formula>
    </cfRule>
  </conditionalFormatting>
  <conditionalFormatting sqref="E1248">
    <cfRule type="containsText" dxfId="599" priority="655" operator="containsText" text="Sin información">
      <formula>NOT(ISERROR(SEARCH("Sin información",E1248)))</formula>
    </cfRule>
  </conditionalFormatting>
  <conditionalFormatting sqref="C1249:D1249">
    <cfRule type="containsText" dxfId="598" priority="652" operator="containsText" text="NO+$D$4:$D$10">
      <formula>NOT(ISERROR(SEARCH("NO+$D$4:$D$10",C1249)))</formula>
    </cfRule>
  </conditionalFormatting>
  <conditionalFormatting sqref="C1249:D1249">
    <cfRule type="containsText" dxfId="597" priority="650" operator="containsText" text="SI">
      <formula>NOT(ISERROR(SEARCH("SI",C1249)))</formula>
    </cfRule>
    <cfRule type="containsText" dxfId="596" priority="651" operator="containsText" text="NO">
      <formula>NOT(ISERROR(SEARCH("NO",C1249)))</formula>
    </cfRule>
  </conditionalFormatting>
  <conditionalFormatting sqref="E1249">
    <cfRule type="containsText" dxfId="595" priority="649" operator="containsText" text="Sin información">
      <formula>NOT(ISERROR(SEARCH("Sin información",E1249)))</formula>
    </cfRule>
  </conditionalFormatting>
  <conditionalFormatting sqref="C1249:E1249">
    <cfRule type="containsText" dxfId="594" priority="648" operator="containsText" text="NUEVO">
      <formula>NOT(ISERROR(SEARCH("NUEVO",C1249)))</formula>
    </cfRule>
  </conditionalFormatting>
  <conditionalFormatting sqref="C1250:D1250">
    <cfRule type="containsText" dxfId="593" priority="618" operator="containsText" text="NO+$D$4:$D$10">
      <formula>NOT(ISERROR(SEARCH("NO+$D$4:$D$10",C1250)))</formula>
    </cfRule>
  </conditionalFormatting>
  <conditionalFormatting sqref="C1250:D1250">
    <cfRule type="containsText" dxfId="592" priority="616" operator="containsText" text="SI">
      <formula>NOT(ISERROR(SEARCH("SI",C1250)))</formula>
    </cfRule>
    <cfRule type="containsText" dxfId="591" priority="617" operator="containsText" text="NO">
      <formula>NOT(ISERROR(SEARCH("NO",C1250)))</formula>
    </cfRule>
  </conditionalFormatting>
  <conditionalFormatting sqref="E1250">
    <cfRule type="containsText" dxfId="590" priority="615" operator="containsText" text="Sin información">
      <formula>NOT(ISERROR(SEARCH("Sin información",E1250)))</formula>
    </cfRule>
  </conditionalFormatting>
  <conditionalFormatting sqref="C1250:E1250">
    <cfRule type="containsText" dxfId="589" priority="614" operator="containsText" text="NUEVO">
      <formula>NOT(ISERROR(SEARCH("NUEVO",C1250)))</formula>
    </cfRule>
  </conditionalFormatting>
  <conditionalFormatting sqref="C1251:D1251">
    <cfRule type="containsText" dxfId="588" priority="611" operator="containsText" text="NO+$D$4:$D$10">
      <formula>NOT(ISERROR(SEARCH("NO+$D$4:$D$10",C1251)))</formula>
    </cfRule>
  </conditionalFormatting>
  <conditionalFormatting sqref="C1251:D1251">
    <cfRule type="containsText" dxfId="587" priority="609" operator="containsText" text="SI">
      <formula>NOT(ISERROR(SEARCH("SI",C1251)))</formula>
    </cfRule>
    <cfRule type="containsText" dxfId="586" priority="610" operator="containsText" text="NO">
      <formula>NOT(ISERROR(SEARCH("NO",C1251)))</formula>
    </cfRule>
  </conditionalFormatting>
  <conditionalFormatting sqref="C1251:D1251">
    <cfRule type="containsText" dxfId="585" priority="608" operator="containsText" text="NUEVO">
      <formula>NOT(ISERROR(SEARCH("NUEVO",C1251)))</formula>
    </cfRule>
  </conditionalFormatting>
  <conditionalFormatting sqref="E1251">
    <cfRule type="containsText" dxfId="584" priority="612" operator="containsText" text="Sin Información">
      <formula>NOT(ISERROR(SEARCH("Sin Información",E1801)))</formula>
    </cfRule>
  </conditionalFormatting>
  <conditionalFormatting sqref="E1251">
    <cfRule type="containsText" dxfId="583" priority="613" operator="containsText" text="NUEVO">
      <formula>NOT(ISERROR(SEARCH("NUEVO",E1801)))</formula>
    </cfRule>
  </conditionalFormatting>
  <conditionalFormatting sqref="C1252:D1252">
    <cfRule type="containsText" dxfId="582" priority="601" operator="containsText" text="NO+$D$4:$D$10">
      <formula>NOT(ISERROR(SEARCH("NO+$D$4:$D$10",C1252)))</formula>
    </cfRule>
  </conditionalFormatting>
  <conditionalFormatting sqref="C1252:D1252">
    <cfRule type="containsText" dxfId="581" priority="599" operator="containsText" text="SI">
      <formula>NOT(ISERROR(SEARCH("SI",C1252)))</formula>
    </cfRule>
    <cfRule type="containsText" dxfId="580" priority="600" operator="containsText" text="NO">
      <formula>NOT(ISERROR(SEARCH("NO",C1252)))</formula>
    </cfRule>
  </conditionalFormatting>
  <conditionalFormatting sqref="C1252:D1252">
    <cfRule type="containsText" dxfId="579" priority="598" operator="containsText" text="NUEVO">
      <formula>NOT(ISERROR(SEARCH("NUEVO",C1252)))</formula>
    </cfRule>
  </conditionalFormatting>
  <conditionalFormatting sqref="E1252">
    <cfRule type="containsText" dxfId="578" priority="596" operator="containsText" text="Sin información">
      <formula>NOT(ISERROR(SEARCH("Sin información",E1252)))</formula>
    </cfRule>
  </conditionalFormatting>
  <conditionalFormatting sqref="E1252">
    <cfRule type="containsText" dxfId="577" priority="595" operator="containsText" text="NUEVO">
      <formula>NOT(ISERROR(SEARCH("NUEVO",E1252)))</formula>
    </cfRule>
  </conditionalFormatting>
  <conditionalFormatting sqref="E1252">
    <cfRule type="containsText" dxfId="576" priority="597" operator="containsText" text="Sin información">
      <formula>NOT(ISERROR(SEARCH("Sin información",E1252)))</formula>
    </cfRule>
  </conditionalFormatting>
  <conditionalFormatting sqref="C1253:D1253">
    <cfRule type="containsText" dxfId="575" priority="594" operator="containsText" text="NO+$D$4:$D$10">
      <formula>NOT(ISERROR(SEARCH("NO+$D$4:$D$10",C1253)))</formula>
    </cfRule>
  </conditionalFormatting>
  <conditionalFormatting sqref="C1253:D1253">
    <cfRule type="containsText" dxfId="574" priority="592" operator="containsText" text="SI">
      <formula>NOT(ISERROR(SEARCH("SI",C1253)))</formula>
    </cfRule>
    <cfRule type="containsText" dxfId="573" priority="593" operator="containsText" text="NO">
      <formula>NOT(ISERROR(SEARCH("NO",C1253)))</formula>
    </cfRule>
  </conditionalFormatting>
  <conditionalFormatting sqref="C1253:D1253">
    <cfRule type="containsText" dxfId="572" priority="591" operator="containsText" text="NUEVO">
      <formula>NOT(ISERROR(SEARCH("NUEVO",C1253)))</formula>
    </cfRule>
  </conditionalFormatting>
  <conditionalFormatting sqref="E1253">
    <cfRule type="containsText" dxfId="571" priority="589" operator="containsText" text="Sin información">
      <formula>NOT(ISERROR(SEARCH("Sin información",E1253)))</formula>
    </cfRule>
  </conditionalFormatting>
  <conditionalFormatting sqref="E1253">
    <cfRule type="containsText" dxfId="570" priority="588" operator="containsText" text="NUEVO">
      <formula>NOT(ISERROR(SEARCH("NUEVO",E1253)))</formula>
    </cfRule>
  </conditionalFormatting>
  <conditionalFormatting sqref="E1253">
    <cfRule type="containsText" dxfId="569" priority="590" operator="containsText" text="Sin información">
      <formula>NOT(ISERROR(SEARCH("Sin información",E1253)))</formula>
    </cfRule>
  </conditionalFormatting>
  <conditionalFormatting sqref="C1254:D1254">
    <cfRule type="containsText" dxfId="568" priority="577" operator="containsText" text="NO+$D$4:$D$10">
      <formula>NOT(ISERROR(SEARCH("NO+$D$4:$D$10",C1254)))</formula>
    </cfRule>
  </conditionalFormatting>
  <conditionalFormatting sqref="C1254:D1254">
    <cfRule type="containsText" dxfId="567" priority="575" operator="containsText" text="SI">
      <formula>NOT(ISERROR(SEARCH("SI",C1254)))</formula>
    </cfRule>
    <cfRule type="containsText" dxfId="566" priority="576" operator="containsText" text="NO">
      <formula>NOT(ISERROR(SEARCH("NO",C1254)))</formula>
    </cfRule>
  </conditionalFormatting>
  <conditionalFormatting sqref="C1254:D1254">
    <cfRule type="containsText" dxfId="565" priority="574" operator="containsText" text="NUEVO">
      <formula>NOT(ISERROR(SEARCH("NUEVO",C1254)))</formula>
    </cfRule>
  </conditionalFormatting>
  <conditionalFormatting sqref="E1254">
    <cfRule type="containsText" dxfId="564" priority="573" operator="containsText" text="NUEVO">
      <formula>NOT(ISERROR(SEARCH("NUEVO",E1254)))</formula>
    </cfRule>
  </conditionalFormatting>
  <conditionalFormatting sqref="E1254">
    <cfRule type="containsText" dxfId="563" priority="572" operator="containsText" text="Sin Información">
      <formula>NOT(ISERROR(SEARCH("Sin Información",E1254)))</formula>
    </cfRule>
  </conditionalFormatting>
  <conditionalFormatting sqref="C1255:D1255">
    <cfRule type="containsText" dxfId="562" priority="571" operator="containsText" text="NO+$D$4:$D$10">
      <formula>NOT(ISERROR(SEARCH("NO+$D$4:$D$10",C1255)))</formula>
    </cfRule>
  </conditionalFormatting>
  <conditionalFormatting sqref="C1255:D1255">
    <cfRule type="containsText" dxfId="561" priority="569" operator="containsText" text="SI">
      <formula>NOT(ISERROR(SEARCH("SI",C1255)))</formula>
    </cfRule>
    <cfRule type="containsText" dxfId="560" priority="570" operator="containsText" text="NO">
      <formula>NOT(ISERROR(SEARCH("NO",C1255)))</formula>
    </cfRule>
  </conditionalFormatting>
  <conditionalFormatting sqref="C1255:D1255">
    <cfRule type="containsText" dxfId="559" priority="568" operator="containsText" text="NUEVO">
      <formula>NOT(ISERROR(SEARCH("NUEVO",C1255)))</formula>
    </cfRule>
  </conditionalFormatting>
  <conditionalFormatting sqref="E1255">
    <cfRule type="containsText" dxfId="558" priority="567" operator="containsText" text="NUEVO">
      <formula>NOT(ISERROR(SEARCH("NUEVO",E1255)))</formula>
    </cfRule>
  </conditionalFormatting>
  <conditionalFormatting sqref="E1255">
    <cfRule type="containsText" dxfId="557" priority="566" operator="containsText" text="Sin Información">
      <formula>NOT(ISERROR(SEARCH("Sin Información",E1255)))</formula>
    </cfRule>
  </conditionalFormatting>
  <conditionalFormatting sqref="C1256:D1256">
    <cfRule type="containsText" dxfId="556" priority="565" operator="containsText" text="NO+$D$4:$D$10">
      <formula>NOT(ISERROR(SEARCH("NO+$D$4:$D$10",C1256)))</formula>
    </cfRule>
  </conditionalFormatting>
  <conditionalFormatting sqref="C1256:D1256">
    <cfRule type="containsText" dxfId="555" priority="563" operator="containsText" text="SI">
      <formula>NOT(ISERROR(SEARCH("SI",C1256)))</formula>
    </cfRule>
    <cfRule type="containsText" dxfId="554" priority="564" operator="containsText" text="NO">
      <formula>NOT(ISERROR(SEARCH("NO",C1256)))</formula>
    </cfRule>
  </conditionalFormatting>
  <conditionalFormatting sqref="C1256:D1256">
    <cfRule type="containsText" dxfId="553" priority="562" operator="containsText" text="NUEVO">
      <formula>NOT(ISERROR(SEARCH("NUEVO",C1256)))</formula>
    </cfRule>
  </conditionalFormatting>
  <conditionalFormatting sqref="E1256">
    <cfRule type="containsText" dxfId="552" priority="561" operator="containsText" text="NUEVO">
      <formula>NOT(ISERROR(SEARCH("NUEVO",E1256)))</formula>
    </cfRule>
  </conditionalFormatting>
  <conditionalFormatting sqref="E1256">
    <cfRule type="containsText" dxfId="551" priority="560" operator="containsText" text="Sin Información">
      <formula>NOT(ISERROR(SEARCH("Sin Información",E1256)))</formula>
    </cfRule>
  </conditionalFormatting>
  <conditionalFormatting sqref="C1427:D1427">
    <cfRule type="containsText" dxfId="550" priority="554" operator="containsText" text="NO+$D$4:$D$10">
      <formula>NOT(ISERROR(SEARCH("NO+$D$4:$D$10",C1427)))</formula>
    </cfRule>
  </conditionalFormatting>
  <conditionalFormatting sqref="C1427:D1427">
    <cfRule type="containsText" dxfId="549" priority="552" operator="containsText" text="SI">
      <formula>NOT(ISERROR(SEARCH("SI",C1427)))</formula>
    </cfRule>
    <cfRule type="containsText" dxfId="548" priority="553" operator="containsText" text="NO">
      <formula>NOT(ISERROR(SEARCH("NO",C1427)))</formula>
    </cfRule>
  </conditionalFormatting>
  <conditionalFormatting sqref="E1427">
    <cfRule type="containsText" dxfId="547" priority="551" operator="containsText" text="Sin información">
      <formula>NOT(ISERROR(SEARCH("Sin información",E1427)))</formula>
    </cfRule>
  </conditionalFormatting>
  <conditionalFormatting sqref="C1427:E1427">
    <cfRule type="containsText" dxfId="546" priority="550" operator="containsText" text="NUEVO">
      <formula>NOT(ISERROR(SEARCH("NUEVO",C1427)))</formula>
    </cfRule>
  </conditionalFormatting>
  <conditionalFormatting sqref="C1428:D1428">
    <cfRule type="containsText" dxfId="545" priority="549" operator="containsText" text="NO+$D$4:$D$10">
      <formula>NOT(ISERROR(SEARCH("NO+$D$4:$D$10",C1428)))</formula>
    </cfRule>
  </conditionalFormatting>
  <conditionalFormatting sqref="C1428:D1428">
    <cfRule type="containsText" dxfId="544" priority="547" operator="containsText" text="SI">
      <formula>NOT(ISERROR(SEARCH("SI",C1428)))</formula>
    </cfRule>
    <cfRule type="containsText" dxfId="543" priority="548" operator="containsText" text="NO">
      <formula>NOT(ISERROR(SEARCH("NO",C1428)))</formula>
    </cfRule>
  </conditionalFormatting>
  <conditionalFormatting sqref="C1428:D1428">
    <cfRule type="containsText" dxfId="542" priority="546" operator="containsText" text="NUEVO">
      <formula>NOT(ISERROR(SEARCH("NUEVO",C1428)))</formula>
    </cfRule>
  </conditionalFormatting>
  <conditionalFormatting sqref="E1428">
    <cfRule type="containsText" dxfId="541" priority="544" operator="containsText" text="NUEVO">
      <formula>NOT(ISERROR(SEARCH("NUEVO",E1428)))</formula>
    </cfRule>
  </conditionalFormatting>
  <conditionalFormatting sqref="E1428">
    <cfRule type="containsText" dxfId="540" priority="545" operator="containsText" text="Sin información">
      <formula>NOT(ISERROR(SEARCH("Sin información",E1428)))</formula>
    </cfRule>
  </conditionalFormatting>
  <conditionalFormatting sqref="C1429:D1429">
    <cfRule type="containsText" dxfId="539" priority="543" operator="containsText" text="NO+$D$4:$D$10">
      <formula>NOT(ISERROR(SEARCH("NO+$D$4:$D$10",C1429)))</formula>
    </cfRule>
  </conditionalFormatting>
  <conditionalFormatting sqref="C1429:D1429">
    <cfRule type="containsText" dxfId="538" priority="541" operator="containsText" text="SI">
      <formula>NOT(ISERROR(SEARCH("SI",C1429)))</formula>
    </cfRule>
    <cfRule type="containsText" dxfId="537" priority="542" operator="containsText" text="NO">
      <formula>NOT(ISERROR(SEARCH("NO",C1429)))</formula>
    </cfRule>
  </conditionalFormatting>
  <conditionalFormatting sqref="C1429:D1429">
    <cfRule type="containsText" dxfId="536" priority="540" operator="containsText" text="NUEVO">
      <formula>NOT(ISERROR(SEARCH("NUEVO",C1429)))</formula>
    </cfRule>
  </conditionalFormatting>
  <conditionalFormatting sqref="E1429">
    <cfRule type="containsText" dxfId="535" priority="539" operator="containsText" text="Sin información">
      <formula>NOT(ISERROR(SEARCH("Sin información",E1429)))</formula>
    </cfRule>
  </conditionalFormatting>
  <conditionalFormatting sqref="E1429">
    <cfRule type="containsText" dxfId="534" priority="538" operator="containsText" text="NUEVO">
      <formula>NOT(ISERROR(SEARCH("NUEVO",E1429)))</formula>
    </cfRule>
  </conditionalFormatting>
  <conditionalFormatting sqref="C1430:D1430">
    <cfRule type="containsText" dxfId="533" priority="537" operator="containsText" text="NO+$D$4:$D$10">
      <formula>NOT(ISERROR(SEARCH("NO+$D$4:$D$10",C1430)))</formula>
    </cfRule>
  </conditionalFormatting>
  <conditionalFormatting sqref="C1430:D1430">
    <cfRule type="containsText" dxfId="532" priority="535" operator="containsText" text="SI">
      <formula>NOT(ISERROR(SEARCH("SI",C1430)))</formula>
    </cfRule>
    <cfRule type="containsText" dxfId="531" priority="536" operator="containsText" text="NO">
      <formula>NOT(ISERROR(SEARCH("NO",C1430)))</formula>
    </cfRule>
  </conditionalFormatting>
  <conditionalFormatting sqref="C1430:D1430">
    <cfRule type="containsText" dxfId="530" priority="534" operator="containsText" text="NUEVO">
      <formula>NOT(ISERROR(SEARCH("NUEVO",C1430)))</formula>
    </cfRule>
  </conditionalFormatting>
  <conditionalFormatting sqref="E1430">
    <cfRule type="containsText" dxfId="529" priority="532" operator="containsText" text="NUEVO">
      <formula>NOT(ISERROR(SEARCH("NUEVO",E1430)))</formula>
    </cfRule>
  </conditionalFormatting>
  <conditionalFormatting sqref="E1430">
    <cfRule type="containsText" dxfId="528" priority="533" operator="containsText" text="Sin información">
      <formula>NOT(ISERROR(SEARCH("Sin información",E1430)))</formula>
    </cfRule>
  </conditionalFormatting>
  <conditionalFormatting sqref="C1431:D1431">
    <cfRule type="containsText" dxfId="527" priority="531" operator="containsText" text="NO+$D$4:$D$10">
      <formula>NOT(ISERROR(SEARCH("NO+$D$4:$D$10",C1431)))</formula>
    </cfRule>
  </conditionalFormatting>
  <conditionalFormatting sqref="C1431:D1431">
    <cfRule type="containsText" dxfId="526" priority="529" operator="containsText" text="SI">
      <formula>NOT(ISERROR(SEARCH("SI",C1431)))</formula>
    </cfRule>
    <cfRule type="containsText" dxfId="525" priority="530" operator="containsText" text="NO">
      <formula>NOT(ISERROR(SEARCH("NO",C1431)))</formula>
    </cfRule>
  </conditionalFormatting>
  <conditionalFormatting sqref="C1431:D1431">
    <cfRule type="containsText" dxfId="524" priority="528" operator="containsText" text="NUEVO">
      <formula>NOT(ISERROR(SEARCH("NUEVO",C1431)))</formula>
    </cfRule>
  </conditionalFormatting>
  <conditionalFormatting sqref="E1431">
    <cfRule type="containsText" dxfId="523" priority="527" operator="containsText" text="Sin información">
      <formula>NOT(ISERROR(SEARCH("Sin información",E1431)))</formula>
    </cfRule>
  </conditionalFormatting>
  <conditionalFormatting sqref="E1431">
    <cfRule type="containsText" dxfId="522" priority="526" operator="containsText" text="NUEVO">
      <formula>NOT(ISERROR(SEARCH("NUEVO",E1431)))</formula>
    </cfRule>
  </conditionalFormatting>
  <conditionalFormatting sqref="C1432:D1432">
    <cfRule type="containsText" dxfId="521" priority="525" operator="containsText" text="NO+$D$4:$D$10">
      <formula>NOT(ISERROR(SEARCH("NO+$D$4:$D$10",C1432)))</formula>
    </cfRule>
  </conditionalFormatting>
  <conditionalFormatting sqref="C1432:D1432">
    <cfRule type="containsText" dxfId="520" priority="523" operator="containsText" text="SI">
      <formula>NOT(ISERROR(SEARCH("SI",C1432)))</formula>
    </cfRule>
    <cfRule type="containsText" dxfId="519" priority="524" operator="containsText" text="NO">
      <formula>NOT(ISERROR(SEARCH("NO",C1432)))</formula>
    </cfRule>
  </conditionalFormatting>
  <conditionalFormatting sqref="C1432:D1432">
    <cfRule type="containsText" dxfId="518" priority="522" operator="containsText" text="NUEVO">
      <formula>NOT(ISERROR(SEARCH("NUEVO",C1432)))</formula>
    </cfRule>
  </conditionalFormatting>
  <conditionalFormatting sqref="E1432">
    <cfRule type="containsText" dxfId="517" priority="521" operator="containsText" text="NUEVO">
      <formula>NOT(ISERROR(SEARCH("NUEVO",E1432)))</formula>
    </cfRule>
  </conditionalFormatting>
  <conditionalFormatting sqref="E1432">
    <cfRule type="containsText" dxfId="516" priority="520" operator="containsText" text="Sin Información">
      <formula>NOT(ISERROR(SEARCH("Sin Información",E1432)))</formula>
    </cfRule>
  </conditionalFormatting>
  <conditionalFormatting sqref="C1433:D1433">
    <cfRule type="containsText" dxfId="515" priority="519" operator="containsText" text="NO+$D$4:$D$10">
      <formula>NOT(ISERROR(SEARCH("NO+$D$4:$D$10",C1433)))</formula>
    </cfRule>
  </conditionalFormatting>
  <conditionalFormatting sqref="C1433:D1433">
    <cfRule type="containsText" dxfId="514" priority="517" operator="containsText" text="SI">
      <formula>NOT(ISERROR(SEARCH("SI",C1433)))</formula>
    </cfRule>
    <cfRule type="containsText" dxfId="513" priority="518" operator="containsText" text="NO">
      <formula>NOT(ISERROR(SEARCH("NO",C1433)))</formula>
    </cfRule>
  </conditionalFormatting>
  <conditionalFormatting sqref="E1433">
    <cfRule type="containsText" dxfId="512" priority="516" operator="containsText" text="Sin información">
      <formula>NOT(ISERROR(SEARCH("Sin información",E1433)))</formula>
    </cfRule>
  </conditionalFormatting>
  <conditionalFormatting sqref="C1433:E1433">
    <cfRule type="containsText" dxfId="511" priority="515" operator="containsText" text="NUEVO">
      <formula>NOT(ISERROR(SEARCH("NUEVO",C1433)))</formula>
    </cfRule>
  </conditionalFormatting>
  <conditionalFormatting sqref="C1434:D1434">
    <cfRule type="containsText" dxfId="510" priority="514" operator="containsText" text="NO+$D$4:$D$10">
      <formula>NOT(ISERROR(SEARCH("NO+$D$4:$D$10",C1434)))</formula>
    </cfRule>
  </conditionalFormatting>
  <conditionalFormatting sqref="C1434:D1434">
    <cfRule type="containsText" dxfId="509" priority="512" operator="containsText" text="SI">
      <formula>NOT(ISERROR(SEARCH("SI",C1434)))</formula>
    </cfRule>
    <cfRule type="containsText" dxfId="508" priority="513" operator="containsText" text="NO">
      <formula>NOT(ISERROR(SEARCH("NO",C1434)))</formula>
    </cfRule>
  </conditionalFormatting>
  <conditionalFormatting sqref="E1434">
    <cfRule type="containsText" dxfId="507" priority="511" operator="containsText" text="Sin información">
      <formula>NOT(ISERROR(SEARCH("Sin información",E1434)))</formula>
    </cfRule>
  </conditionalFormatting>
  <conditionalFormatting sqref="C1434:E1434">
    <cfRule type="containsText" dxfId="506" priority="510" operator="containsText" text="NUEVO">
      <formula>NOT(ISERROR(SEARCH("NUEVO",C1434)))</formula>
    </cfRule>
  </conditionalFormatting>
  <conditionalFormatting sqref="C1435:D1435">
    <cfRule type="containsText" dxfId="505" priority="509" operator="containsText" text="NO+$D$4:$D$10">
      <formula>NOT(ISERROR(SEARCH("NO+$D$4:$D$10",C1435)))</formula>
    </cfRule>
  </conditionalFormatting>
  <conditionalFormatting sqref="C1435:D1435">
    <cfRule type="containsText" dxfId="504" priority="507" operator="containsText" text="SI">
      <formula>NOT(ISERROR(SEARCH("SI",C1435)))</formula>
    </cfRule>
    <cfRule type="containsText" dxfId="503" priority="508" operator="containsText" text="NO">
      <formula>NOT(ISERROR(SEARCH("NO",C1435)))</formula>
    </cfRule>
  </conditionalFormatting>
  <conditionalFormatting sqref="E1435">
    <cfRule type="containsText" dxfId="502" priority="506" operator="containsText" text="Sin información">
      <formula>NOT(ISERROR(SEARCH("Sin información",E1435)))</formula>
    </cfRule>
  </conditionalFormatting>
  <conditionalFormatting sqref="C1435:E1435">
    <cfRule type="containsText" dxfId="501" priority="505" operator="containsText" text="NUEVO">
      <formula>NOT(ISERROR(SEARCH("NUEVO",C1435)))</formula>
    </cfRule>
  </conditionalFormatting>
  <conditionalFormatting sqref="E1435">
    <cfRule type="containsText" dxfId="500" priority="504" operator="containsText" text="Sin información">
      <formula>NOT(ISERROR(SEARCH("Sin información",E1435)))</formula>
    </cfRule>
  </conditionalFormatting>
  <conditionalFormatting sqref="E1435">
    <cfRule type="containsText" dxfId="499" priority="503" operator="containsText" text="NUEVO">
      <formula>NOT(ISERROR(SEARCH("NUEVO",E1435)))</formula>
    </cfRule>
  </conditionalFormatting>
  <conditionalFormatting sqref="C1436:D1436">
    <cfRule type="containsText" dxfId="498" priority="502" operator="containsText" text="NO+$D$4:$D$10">
      <formula>NOT(ISERROR(SEARCH("NO+$D$4:$D$10",C1436)))</formula>
    </cfRule>
  </conditionalFormatting>
  <conditionalFormatting sqref="C1436:D1436">
    <cfRule type="containsText" dxfId="497" priority="500" operator="containsText" text="SI">
      <formula>NOT(ISERROR(SEARCH("SI",C1436)))</formula>
    </cfRule>
    <cfRule type="containsText" dxfId="496" priority="501" operator="containsText" text="NO">
      <formula>NOT(ISERROR(SEARCH("NO",C1436)))</formula>
    </cfRule>
  </conditionalFormatting>
  <conditionalFormatting sqref="C1436:E1436">
    <cfRule type="containsText" dxfId="495" priority="499" operator="containsText" text="NUEVO">
      <formula>NOT(ISERROR(SEARCH("NUEVO",C1436)))</formula>
    </cfRule>
  </conditionalFormatting>
  <conditionalFormatting sqref="E1436">
    <cfRule type="containsText" dxfId="494" priority="498" operator="containsText" text="Sin Información">
      <formula>NOT(ISERROR(SEARCH("Sin Información",E1436)))</formula>
    </cfRule>
  </conditionalFormatting>
  <conditionalFormatting sqref="C1437:D1437">
    <cfRule type="containsText" dxfId="493" priority="497" operator="containsText" text="NO+$D$4:$D$10">
      <formula>NOT(ISERROR(SEARCH("NO+$D$4:$D$10",C1437)))</formula>
    </cfRule>
  </conditionalFormatting>
  <conditionalFormatting sqref="C1437:D1437">
    <cfRule type="containsText" dxfId="492" priority="495" operator="containsText" text="SI">
      <formula>NOT(ISERROR(SEARCH("SI",C1437)))</formula>
    </cfRule>
    <cfRule type="containsText" dxfId="491" priority="496" operator="containsText" text="NO">
      <formula>NOT(ISERROR(SEARCH("NO",C1437)))</formula>
    </cfRule>
  </conditionalFormatting>
  <conditionalFormatting sqref="C1437:E1437">
    <cfRule type="containsText" dxfId="490" priority="494" operator="containsText" text="NUEVO">
      <formula>NOT(ISERROR(SEARCH("NUEVO",C1437)))</formula>
    </cfRule>
  </conditionalFormatting>
  <conditionalFormatting sqref="E1437">
    <cfRule type="containsText" dxfId="489" priority="493" operator="containsText" text="Sin Información">
      <formula>NOT(ISERROR(SEARCH("Sin Información",E1437)))</formula>
    </cfRule>
  </conditionalFormatting>
  <conditionalFormatting sqref="C1438:D1438">
    <cfRule type="containsText" dxfId="488" priority="492" operator="containsText" text="NO+$D$4:$D$10">
      <formula>NOT(ISERROR(SEARCH("NO+$D$4:$D$10",C1438)))</formula>
    </cfRule>
  </conditionalFormatting>
  <conditionalFormatting sqref="C1438:D1438">
    <cfRule type="containsText" dxfId="487" priority="490" operator="containsText" text="SI">
      <formula>NOT(ISERROR(SEARCH("SI",C1438)))</formula>
    </cfRule>
    <cfRule type="containsText" dxfId="486" priority="491" operator="containsText" text="NO">
      <formula>NOT(ISERROR(SEARCH("NO",C1438)))</formula>
    </cfRule>
  </conditionalFormatting>
  <conditionalFormatting sqref="C1438:E1438">
    <cfRule type="containsText" dxfId="485" priority="489" operator="containsText" text="NUEVO">
      <formula>NOT(ISERROR(SEARCH("NUEVO",C1438)))</formula>
    </cfRule>
  </conditionalFormatting>
  <conditionalFormatting sqref="E1438">
    <cfRule type="containsText" dxfId="484" priority="488" operator="containsText" text="Sin Información">
      <formula>NOT(ISERROR(SEARCH("Sin Información",E1438)))</formula>
    </cfRule>
  </conditionalFormatting>
  <conditionalFormatting sqref="C1439:D1439">
    <cfRule type="containsText" dxfId="483" priority="487" operator="containsText" text="NO+$D$4:$D$10">
      <formula>NOT(ISERROR(SEARCH("NO+$D$4:$D$10",C1439)))</formula>
    </cfRule>
  </conditionalFormatting>
  <conditionalFormatting sqref="C1439:D1439">
    <cfRule type="containsText" dxfId="482" priority="485" operator="containsText" text="SI">
      <formula>NOT(ISERROR(SEARCH("SI",C1439)))</formula>
    </cfRule>
    <cfRule type="containsText" dxfId="481" priority="486" operator="containsText" text="NO">
      <formula>NOT(ISERROR(SEARCH("NO",C1439)))</formula>
    </cfRule>
  </conditionalFormatting>
  <conditionalFormatting sqref="C1439:D1439">
    <cfRule type="containsText" dxfId="480" priority="484" operator="containsText" text="NUEVO">
      <formula>NOT(ISERROR(SEARCH("NUEVO",C1439)))</formula>
    </cfRule>
  </conditionalFormatting>
  <conditionalFormatting sqref="E1439">
    <cfRule type="containsText" dxfId="479" priority="483" operator="containsText" text="NUEVO">
      <formula>NOT(ISERROR(SEARCH("NUEVO",E1439)))</formula>
    </cfRule>
  </conditionalFormatting>
  <conditionalFormatting sqref="E1439">
    <cfRule type="containsText" dxfId="478" priority="482" operator="containsText" text="Sin Información">
      <formula>NOT(ISERROR(SEARCH("Sin Información",E1439)))</formula>
    </cfRule>
  </conditionalFormatting>
  <conditionalFormatting sqref="C1440:D1440">
    <cfRule type="containsText" dxfId="477" priority="479" operator="containsText" text="NO+$D$4:$D$10">
      <formula>NOT(ISERROR(SEARCH("NO+$D$4:$D$10",C1440)))</formula>
    </cfRule>
  </conditionalFormatting>
  <conditionalFormatting sqref="C1440:D1440">
    <cfRule type="containsText" dxfId="476" priority="477" operator="containsText" text="SI">
      <formula>NOT(ISERROR(SEARCH("SI",C1440)))</formula>
    </cfRule>
    <cfRule type="containsText" dxfId="475" priority="478" operator="containsText" text="NO">
      <formula>NOT(ISERROR(SEARCH("NO",C1440)))</formula>
    </cfRule>
  </conditionalFormatting>
  <conditionalFormatting sqref="C1440:D1440">
    <cfRule type="containsText" dxfId="474" priority="476" operator="containsText" text="NUEVO">
      <formula>NOT(ISERROR(SEARCH("NUEVO",C1440)))</formula>
    </cfRule>
  </conditionalFormatting>
  <conditionalFormatting sqref="E1440">
    <cfRule type="containsText" dxfId="473" priority="480" operator="containsText" text="Sin información">
      <formula>NOT(ISERROR(SEARCH("Sin información",E1787)))</formula>
    </cfRule>
  </conditionalFormatting>
  <conditionalFormatting sqref="E1440">
    <cfRule type="containsText" dxfId="472" priority="481" operator="containsText" text="NUEVO">
      <formula>NOT(ISERROR(SEARCH("NUEVO",E1787)))</formula>
    </cfRule>
  </conditionalFormatting>
  <conditionalFormatting sqref="C1441:D1441">
    <cfRule type="containsText" dxfId="471" priority="475" operator="containsText" text="NO+$D$4:$D$10">
      <formula>NOT(ISERROR(SEARCH("NO+$D$4:$D$10",C1441)))</formula>
    </cfRule>
  </conditionalFormatting>
  <conditionalFormatting sqref="C1441:D1441">
    <cfRule type="containsText" dxfId="470" priority="473" operator="containsText" text="SI">
      <formula>NOT(ISERROR(SEARCH("SI",C1441)))</formula>
    </cfRule>
    <cfRule type="containsText" dxfId="469" priority="474" operator="containsText" text="NO">
      <formula>NOT(ISERROR(SEARCH("NO",C1441)))</formula>
    </cfRule>
  </conditionalFormatting>
  <conditionalFormatting sqref="C1441:E1441">
    <cfRule type="containsText" dxfId="468" priority="472" operator="containsText" text="NUEVO">
      <formula>NOT(ISERROR(SEARCH("NUEVO",C1441)))</formula>
    </cfRule>
  </conditionalFormatting>
  <conditionalFormatting sqref="E1441">
    <cfRule type="containsText" dxfId="467" priority="471" operator="containsText" text="Sin Información">
      <formula>NOT(ISERROR(SEARCH("Sin Información",E1441)))</formula>
    </cfRule>
  </conditionalFormatting>
  <conditionalFormatting sqref="C1442:D1442">
    <cfRule type="containsText" dxfId="466" priority="470" operator="containsText" text="NO+$D$4:$D$10">
      <formula>NOT(ISERROR(SEARCH("NO+$D$4:$D$10",C1442)))</formula>
    </cfRule>
  </conditionalFormatting>
  <conditionalFormatting sqref="C1442:D1442">
    <cfRule type="containsText" dxfId="465" priority="468" operator="containsText" text="SI">
      <formula>NOT(ISERROR(SEARCH("SI",C1442)))</formula>
    </cfRule>
    <cfRule type="containsText" dxfId="464" priority="469" operator="containsText" text="NO">
      <formula>NOT(ISERROR(SEARCH("NO",C1442)))</formula>
    </cfRule>
  </conditionalFormatting>
  <conditionalFormatting sqref="C1442:D1442">
    <cfRule type="containsText" dxfId="463" priority="467" operator="containsText" text="NUEVO">
      <formula>NOT(ISERROR(SEARCH("NUEVO",C1442)))</formula>
    </cfRule>
  </conditionalFormatting>
  <conditionalFormatting sqref="E1442">
    <cfRule type="containsText" dxfId="462" priority="466" operator="containsText" text="NUEVO">
      <formula>NOT(ISERROR(SEARCH("NUEVO",E1442)))</formula>
    </cfRule>
  </conditionalFormatting>
  <conditionalFormatting sqref="E1442">
    <cfRule type="containsText" dxfId="461" priority="465" operator="containsText" text="Sin Información">
      <formula>NOT(ISERROR(SEARCH("Sin Información",E1442)))</formula>
    </cfRule>
  </conditionalFormatting>
  <conditionalFormatting sqref="C1443:D1443">
    <cfRule type="containsText" dxfId="460" priority="464" operator="containsText" text="NO+$D$4:$D$10">
      <formula>NOT(ISERROR(SEARCH("NO+$D$4:$D$10",C1443)))</formula>
    </cfRule>
  </conditionalFormatting>
  <conditionalFormatting sqref="C1443:D1443">
    <cfRule type="containsText" dxfId="459" priority="462" operator="containsText" text="SI">
      <formula>NOT(ISERROR(SEARCH("SI",C1443)))</formula>
    </cfRule>
    <cfRule type="containsText" dxfId="458" priority="463" operator="containsText" text="NO">
      <formula>NOT(ISERROR(SEARCH("NO",C1443)))</formula>
    </cfRule>
  </conditionalFormatting>
  <conditionalFormatting sqref="C1443:D1443">
    <cfRule type="containsText" dxfId="457" priority="461" operator="containsText" text="NUEVO">
      <formula>NOT(ISERROR(SEARCH("NUEVO",C1443)))</formula>
    </cfRule>
  </conditionalFormatting>
  <conditionalFormatting sqref="E1443">
    <cfRule type="containsText" dxfId="456" priority="460" operator="containsText" text="NUEVO">
      <formula>NOT(ISERROR(SEARCH("NUEVO",E1443)))</formula>
    </cfRule>
  </conditionalFormatting>
  <conditionalFormatting sqref="E1443">
    <cfRule type="containsText" dxfId="455" priority="459" operator="containsText" text="Sin Información">
      <formula>NOT(ISERROR(SEARCH("Sin Información",E1443)))</formula>
    </cfRule>
  </conditionalFormatting>
  <conditionalFormatting sqref="C1372:D1372">
    <cfRule type="containsText" dxfId="454" priority="458" operator="containsText" text="NO+$D$4:$D$10">
      <formula>NOT(ISERROR(SEARCH("NO+$D$4:$D$10",C1372)))</formula>
    </cfRule>
  </conditionalFormatting>
  <conditionalFormatting sqref="C1372:D1372">
    <cfRule type="containsText" dxfId="453" priority="456" operator="containsText" text="SI">
      <formula>NOT(ISERROR(SEARCH("SI",C1372)))</formula>
    </cfRule>
    <cfRule type="containsText" dxfId="452" priority="457" operator="containsText" text="NO">
      <formula>NOT(ISERROR(SEARCH("NO",C1372)))</formula>
    </cfRule>
  </conditionalFormatting>
  <conditionalFormatting sqref="E1372">
    <cfRule type="containsText" dxfId="451" priority="455" operator="containsText" text="Sin información">
      <formula>NOT(ISERROR(SEARCH("Sin información",E1372)))</formula>
    </cfRule>
  </conditionalFormatting>
  <conditionalFormatting sqref="C1372:E1372">
    <cfRule type="containsText" dxfId="450" priority="454" operator="containsText" text="NUEVO">
      <formula>NOT(ISERROR(SEARCH("NUEVO",C1372)))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información",E1209)))</formula>
    </cfRule>
  </conditionalFormatting>
  <conditionalFormatting sqref="E167:E168">
    <cfRule type="containsText" dxfId="444" priority="453" operator="containsText" text="NUEVO">
      <formula>NOT(ISERROR(SEARCH("NUEVO",E1209)))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Información",E1210)))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información",E1220)))</formula>
    </cfRule>
  </conditionalFormatting>
  <conditionalFormatting sqref="E176">
    <cfRule type="containsText" dxfId="373" priority="380" operator="containsText" text="NUEVO">
      <formula>NOT(ISERROR(SEARCH("NUEVO",E1220)))</formula>
    </cfRule>
  </conditionalFormatting>
  <conditionalFormatting sqref="E176">
    <cfRule type="containsText" dxfId="372" priority="381" operator="containsText" text="Sin Información">
      <formula>NOT(ISERROR(SEARCH("Sin Información",E1220)))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Información",E1062)))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Información",E1711)))</formula>
    </cfRule>
  </conditionalFormatting>
  <conditionalFormatting sqref="E679">
    <cfRule type="containsText" dxfId="341" priority="349" operator="containsText" text="NUEVO">
      <formula>NOT(ISERROR(SEARCH("NUEVO",E1711)))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Información",E1726)))</formula>
    </cfRule>
  </conditionalFormatting>
  <conditionalFormatting sqref="E680">
    <cfRule type="containsText" dxfId="333" priority="341" operator="containsText" text="NUEVO">
      <formula>NOT(ISERROR(SEARCH("NUEVO",E1726)))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Información",E1721)))</formula>
    </cfRule>
  </conditionalFormatting>
  <conditionalFormatting sqref="E684">
    <cfRule type="containsText" dxfId="302" priority="310" operator="containsText" text="NUEVO">
      <formula>NOT(ISERROR(SEARCH("NUEVO",E1721)))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Información",E1718)))</formula>
    </cfRule>
  </conditionalFormatting>
  <conditionalFormatting sqref="E688">
    <cfRule type="containsText" dxfId="270" priority="278" operator="containsText" text="NUEVO">
      <formula>NOT(ISERROR(SEARCH("NUEVO",E1718)))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información",E2056)))</formula>
    </cfRule>
  </conditionalFormatting>
  <conditionalFormatting sqref="E1033">
    <cfRule type="containsText" dxfId="255" priority="263" operator="containsText" text="NUEVO">
      <formula>NOT(ISERROR(SEARCH("NUEVO",E2056)))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información",E1387)))</formula>
    </cfRule>
  </conditionalFormatting>
  <conditionalFormatting sqref="E1034">
    <cfRule type="containsText" dxfId="247" priority="255" operator="containsText" text="NUEVO">
      <formula>NOT(ISERROR(SEARCH("NUEVO",E1387)))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información",E2052)))</formula>
    </cfRule>
  </conditionalFormatting>
  <conditionalFormatting sqref="E1035">
    <cfRule type="containsText" dxfId="240" priority="247" operator="containsText" text="NUEVO">
      <formula>NOT(ISERROR(SEARCH("NUEVO",E2052)))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3:D1373">
    <cfRule type="containsText" dxfId="219" priority="213" operator="containsText" text="NO+$D$4:$D$10">
      <formula>NOT(ISERROR(SEARCH("NO+$D$4:$D$10",C1373)))</formula>
    </cfRule>
  </conditionalFormatting>
  <conditionalFormatting sqref="C1373:D1373">
    <cfRule type="containsText" dxfId="218" priority="211" operator="containsText" text="SI">
      <formula>NOT(ISERROR(SEARCH("SI",C1373)))</formula>
    </cfRule>
    <cfRule type="containsText" dxfId="217" priority="212" operator="containsText" text="NO">
      <formula>NOT(ISERROR(SEARCH("NO",C1373)))</formula>
    </cfRule>
  </conditionalFormatting>
  <conditionalFormatting sqref="C1373:D1373">
    <cfRule type="containsText" dxfId="216" priority="210" operator="containsText" text="NUEVO">
      <formula>NOT(ISERROR(SEARCH("NUEVO",C1373)))</formula>
    </cfRule>
  </conditionalFormatting>
  <conditionalFormatting sqref="E1373">
    <cfRule type="containsText" dxfId="215" priority="209" operator="containsText" text="NUEVO">
      <formula>NOT(ISERROR(SEARCH("NUEVO",E1373)))</formula>
    </cfRule>
  </conditionalFormatting>
  <conditionalFormatting sqref="E1373">
    <cfRule type="containsText" dxfId="214" priority="208" operator="containsText" text="Sin Información">
      <formula>NOT(ISERROR(SEARCH("Sin Información",E1373)))</formula>
    </cfRule>
  </conditionalFormatting>
  <conditionalFormatting sqref="E1373">
    <cfRule type="expression" dxfId="213" priority="207">
      <formula>E1373&lt;&gt;""</formula>
    </cfRule>
  </conditionalFormatting>
  <conditionalFormatting sqref="F1373">
    <cfRule type="expression" dxfId="212" priority="206">
      <formula>F1373&lt;&gt;""</formula>
    </cfRule>
  </conditionalFormatting>
  <conditionalFormatting sqref="C1374:D1374">
    <cfRule type="containsText" dxfId="211" priority="205" operator="containsText" text="NO+$D$4:$D$10">
      <formula>NOT(ISERROR(SEARCH("NO+$D$4:$D$10",C1374)))</formula>
    </cfRule>
  </conditionalFormatting>
  <conditionalFormatting sqref="C1374:D1374">
    <cfRule type="containsText" dxfId="210" priority="203" operator="containsText" text="SI">
      <formula>NOT(ISERROR(SEARCH("SI",C1374)))</formula>
    </cfRule>
    <cfRule type="containsText" dxfId="209" priority="204" operator="containsText" text="NO">
      <formula>NOT(ISERROR(SEARCH("NO",C1374)))</formula>
    </cfRule>
  </conditionalFormatting>
  <conditionalFormatting sqref="C1374:D1374">
    <cfRule type="containsText" dxfId="208" priority="202" operator="containsText" text="NUEVO">
      <formula>NOT(ISERROR(SEARCH("NUEVO",C1374)))</formula>
    </cfRule>
  </conditionalFormatting>
  <conditionalFormatting sqref="E1374">
    <cfRule type="containsText" dxfId="207" priority="201" operator="containsText" text="NUEVO">
      <formula>NOT(ISERROR(SEARCH("NUEVO",E1374)))</formula>
    </cfRule>
  </conditionalFormatting>
  <conditionalFormatting sqref="E1374">
    <cfRule type="containsText" dxfId="206" priority="200" operator="containsText" text="Sin Información">
      <formula>NOT(ISERROR(SEARCH("Sin Información",E1374)))</formula>
    </cfRule>
  </conditionalFormatting>
  <conditionalFormatting sqref="E1374:F1374">
    <cfRule type="expression" dxfId="205" priority="199">
      <formula>E1374&lt;&gt;""</formula>
    </cfRule>
  </conditionalFormatting>
  <conditionalFormatting sqref="C1375:D1375">
    <cfRule type="containsText" dxfId="204" priority="198" operator="containsText" text="NO+$D$4:$D$10">
      <formula>NOT(ISERROR(SEARCH("NO+$D$4:$D$10",C1375)))</formula>
    </cfRule>
  </conditionalFormatting>
  <conditionalFormatting sqref="C1375:D1375">
    <cfRule type="containsText" dxfId="203" priority="196" operator="containsText" text="SI">
      <formula>NOT(ISERROR(SEARCH("SI",C1375)))</formula>
    </cfRule>
    <cfRule type="containsText" dxfId="202" priority="197" operator="containsText" text="NO">
      <formula>NOT(ISERROR(SEARCH("NO",C1375)))</formula>
    </cfRule>
  </conditionalFormatting>
  <conditionalFormatting sqref="C1375:D1375">
    <cfRule type="containsText" dxfId="201" priority="195" operator="containsText" text="NUEVO">
      <formula>NOT(ISERROR(SEARCH("NUEVO",C1375)))</formula>
    </cfRule>
  </conditionalFormatting>
  <conditionalFormatting sqref="E1375">
    <cfRule type="containsText" dxfId="200" priority="194" operator="containsText" text="NUEVO">
      <formula>NOT(ISERROR(SEARCH("NUEVO",E1375)))</formula>
    </cfRule>
  </conditionalFormatting>
  <conditionalFormatting sqref="E1375">
    <cfRule type="containsText" dxfId="199" priority="193" operator="containsText" text="Sin Información">
      <formula>NOT(ISERROR(SEARCH("Sin Información",E1375)))</formula>
    </cfRule>
  </conditionalFormatting>
  <conditionalFormatting sqref="E1375:F1375">
    <cfRule type="expression" dxfId="198" priority="192">
      <formula>E1375&lt;&gt;""</formula>
    </cfRule>
  </conditionalFormatting>
  <conditionalFormatting sqref="C1376:D1376">
    <cfRule type="containsText" dxfId="197" priority="191" operator="containsText" text="NO+$D$4:$D$10">
      <formula>NOT(ISERROR(SEARCH("NO+$D$4:$D$10",C1376)))</formula>
    </cfRule>
  </conditionalFormatting>
  <conditionalFormatting sqref="C1376:D1376">
    <cfRule type="containsText" dxfId="196" priority="189" operator="containsText" text="SI">
      <formula>NOT(ISERROR(SEARCH("SI",C1376)))</formula>
    </cfRule>
    <cfRule type="containsText" dxfId="195" priority="190" operator="containsText" text="NO">
      <formula>NOT(ISERROR(SEARCH("NO",C1376)))</formula>
    </cfRule>
  </conditionalFormatting>
  <conditionalFormatting sqref="C1376:D1376">
    <cfRule type="containsText" dxfId="194" priority="188" operator="containsText" text="NUEVO">
      <formula>NOT(ISERROR(SEARCH("NUEVO",C1376)))</formula>
    </cfRule>
  </conditionalFormatting>
  <conditionalFormatting sqref="E1376">
    <cfRule type="containsText" dxfId="193" priority="187" operator="containsText" text="NUEVO">
      <formula>NOT(ISERROR(SEARCH("NUEVO",E1376)))</formula>
    </cfRule>
  </conditionalFormatting>
  <conditionalFormatting sqref="E1376">
    <cfRule type="containsText" dxfId="192" priority="186" operator="containsText" text="Sin Información">
      <formula>NOT(ISERROR(SEARCH("Sin Información",E1376)))</formula>
    </cfRule>
  </conditionalFormatting>
  <conditionalFormatting sqref="E1376:F1376">
    <cfRule type="expression" dxfId="191" priority="185">
      <formula>E1376&lt;&gt;""</formula>
    </cfRule>
  </conditionalFormatting>
  <conditionalFormatting sqref="C1377:D1377">
    <cfRule type="containsText" dxfId="190" priority="184" operator="containsText" text="NO+$D$4:$D$10">
      <formula>NOT(ISERROR(SEARCH("NO+$D$4:$D$10",C1377)))</formula>
    </cfRule>
  </conditionalFormatting>
  <conditionalFormatting sqref="C1377:D1377">
    <cfRule type="containsText" dxfId="189" priority="182" operator="containsText" text="SI">
      <formula>NOT(ISERROR(SEARCH("SI",C1377)))</formula>
    </cfRule>
    <cfRule type="containsText" dxfId="188" priority="183" operator="containsText" text="NO">
      <formula>NOT(ISERROR(SEARCH("NO",C1377)))</formula>
    </cfRule>
  </conditionalFormatting>
  <conditionalFormatting sqref="C1377:D1377">
    <cfRule type="containsText" dxfId="187" priority="181" operator="containsText" text="NUEVO">
      <formula>NOT(ISERROR(SEARCH("NUEVO",C1377)))</formula>
    </cfRule>
  </conditionalFormatting>
  <conditionalFormatting sqref="E1377">
    <cfRule type="containsText" dxfId="186" priority="180" operator="containsText" text="NUEVO">
      <formula>NOT(ISERROR(SEARCH("NUEVO",E1377)))</formula>
    </cfRule>
  </conditionalFormatting>
  <conditionalFormatting sqref="E1377">
    <cfRule type="containsText" dxfId="185" priority="179" operator="containsText" text="Sin Información">
      <formula>NOT(ISERROR(SEARCH("Sin Información",E1377)))</formula>
    </cfRule>
  </conditionalFormatting>
  <conditionalFormatting sqref="E1377:F1377">
    <cfRule type="expression" dxfId="184" priority="178">
      <formula>E1377&lt;&gt;""</formula>
    </cfRule>
  </conditionalFormatting>
  <conditionalFormatting sqref="E203">
    <cfRule type="containsText" dxfId="183" priority="28416" operator="containsText" text="Sin Información">
      <formula>NOT(ISERROR(SEARCH("Sin Información",#REF!)))</formula>
    </cfRule>
  </conditionalFormatting>
  <conditionalFormatting sqref="E203">
    <cfRule type="containsText" dxfId="182" priority="28417" operator="containsText" text="NUEVO">
      <formula>NOT(ISERROR(SEARCH("NUEVO",#REF!)))</formula>
    </cfRule>
  </conditionalFormatting>
  <conditionalFormatting sqref="E1049">
    <cfRule type="containsText" dxfId="181" priority="28428" operator="containsText" text="NUEVO">
      <formula>NOT(ISERROR(SEARCH("NUEVO",E1423)))</formula>
    </cfRule>
  </conditionalFormatting>
  <conditionalFormatting sqref="E186">
    <cfRule type="containsText" dxfId="180" priority="28499" operator="containsText" text="NUEVO">
      <formula>NOT(ISERROR(SEARCH("NUEVO",E1206)))</formula>
    </cfRule>
  </conditionalFormatting>
  <conditionalFormatting sqref="E186">
    <cfRule type="containsText" dxfId="179" priority="28500" operator="containsText" text="Sin Información">
      <formula>NOT(ISERROR(SEARCH("Sin Información",E1206)))</formula>
    </cfRule>
  </conditionalFormatting>
  <conditionalFormatting sqref="C178:D178">
    <cfRule type="containsText" dxfId="178" priority="177" operator="containsText" text="NO+$D$4:$D$10">
      <formula>NOT(ISERROR(SEARCH("NO+$D$4:$D$10",C178)))</formula>
    </cfRule>
  </conditionalFormatting>
  <conditionalFormatting sqref="C178:D178">
    <cfRule type="containsText" dxfId="177" priority="175" operator="containsText" text="SI">
      <formula>NOT(ISERROR(SEARCH("SI",C178)))</formula>
    </cfRule>
    <cfRule type="containsText" dxfId="176" priority="176" operator="containsText" text="NO">
      <formula>NOT(ISERROR(SEARCH("NO",C178)))</formula>
    </cfRule>
  </conditionalFormatting>
  <conditionalFormatting sqref="C178:D178">
    <cfRule type="containsText" dxfId="175" priority="174" operator="containsText" text="NUEVO">
      <formula>NOT(ISERROR(SEARCH("NUEVO",C178)))</formula>
    </cfRule>
  </conditionalFormatting>
  <conditionalFormatting sqref="F178">
    <cfRule type="expression" dxfId="174" priority="173">
      <formula>F178&lt;&gt;""</formula>
    </cfRule>
  </conditionalFormatting>
  <conditionalFormatting sqref="E178">
    <cfRule type="expression" dxfId="173" priority="172">
      <formula>E178&lt;&gt;""</formula>
    </cfRule>
  </conditionalFormatting>
  <conditionalFormatting sqref="E178">
    <cfRule type="containsText" dxfId="172" priority="171" operator="containsText" text="Sin información">
      <formula>NOT(ISERROR(SEARCH("Sin información",E178)))</formula>
    </cfRule>
  </conditionalFormatting>
  <conditionalFormatting sqref="E178">
    <cfRule type="containsText" dxfId="171" priority="170" operator="containsText" text="NUEVO">
      <formula>NOT(ISERROR(SEARCH("NUEVO",E178)))</formula>
    </cfRule>
  </conditionalFormatting>
  <conditionalFormatting sqref="C179:D179">
    <cfRule type="containsText" dxfId="170" priority="169" operator="containsText" text="NO+$D$4:$D$10">
      <formula>NOT(ISERROR(SEARCH("NO+$D$4:$D$10",C179)))</formula>
    </cfRule>
  </conditionalFormatting>
  <conditionalFormatting sqref="C179:D179">
    <cfRule type="containsText" dxfId="169" priority="167" operator="containsText" text="SI">
      <formula>NOT(ISERROR(SEARCH("SI",C179)))</formula>
    </cfRule>
    <cfRule type="containsText" dxfId="168" priority="168" operator="containsText" text="NO">
      <formula>NOT(ISERROR(SEARCH("NO",C179)))</formula>
    </cfRule>
  </conditionalFormatting>
  <conditionalFormatting sqref="C179:D179">
    <cfRule type="containsText" dxfId="167" priority="166" operator="containsText" text="NUEVO">
      <formula>NOT(ISERROR(SEARCH("NUEVO",C179)))</formula>
    </cfRule>
  </conditionalFormatting>
  <conditionalFormatting sqref="F179">
    <cfRule type="expression" dxfId="166" priority="165">
      <formula>F179&lt;&gt;""</formula>
    </cfRule>
  </conditionalFormatting>
  <conditionalFormatting sqref="E179">
    <cfRule type="expression" dxfId="165" priority="164">
      <formula>E179&lt;&gt;""</formula>
    </cfRule>
  </conditionalFormatting>
  <conditionalFormatting sqref="E179">
    <cfRule type="containsText" dxfId="164" priority="163" operator="containsText" text="Sin información">
      <formula>NOT(ISERROR(SEARCH("Sin información",E179)))</formula>
    </cfRule>
  </conditionalFormatting>
  <conditionalFormatting sqref="E179">
    <cfRule type="containsText" dxfId="163" priority="162" operator="containsText" text="NUEVO">
      <formula>NOT(ISERROR(SEARCH("NUEVO",E179)))</formula>
    </cfRule>
  </conditionalFormatting>
  <conditionalFormatting sqref="C690:D690">
    <cfRule type="containsText" dxfId="162" priority="161" operator="containsText" text="NO+$D$4:$D$10">
      <formula>NOT(ISERROR(SEARCH("NO+$D$4:$D$10",C690)))</formula>
    </cfRule>
  </conditionalFormatting>
  <conditionalFormatting sqref="C690:D690">
    <cfRule type="containsText" dxfId="161" priority="159" operator="containsText" text="SI">
      <formula>NOT(ISERROR(SEARCH("SI",C690)))</formula>
    </cfRule>
    <cfRule type="containsText" dxfId="160" priority="160" operator="containsText" text="NO">
      <formula>NOT(ISERROR(SEARCH("NO",C690)))</formula>
    </cfRule>
  </conditionalFormatting>
  <conditionalFormatting sqref="C690:D690">
    <cfRule type="containsText" dxfId="159" priority="158" operator="containsText" text="NUEVO">
      <formula>NOT(ISERROR(SEARCH("NUEVO",C690)))</formula>
    </cfRule>
  </conditionalFormatting>
  <conditionalFormatting sqref="F690">
    <cfRule type="expression" dxfId="158" priority="157">
      <formula>F690&lt;&gt;""</formula>
    </cfRule>
  </conditionalFormatting>
  <conditionalFormatting sqref="E690">
    <cfRule type="containsText" dxfId="157" priority="156" operator="containsText" text="NUEVO">
      <formula>NOT(ISERROR(SEARCH("NUEVO",E690)))</formula>
    </cfRule>
  </conditionalFormatting>
  <conditionalFormatting sqref="E690">
    <cfRule type="containsText" dxfId="156" priority="155" operator="containsText" text="Sin Información">
      <formula>NOT(ISERROR(SEARCH("Sin Información",E690)))</formula>
    </cfRule>
  </conditionalFormatting>
  <conditionalFormatting sqref="E690">
    <cfRule type="expression" dxfId="155" priority="154">
      <formula>E690&lt;&gt;""</formula>
    </cfRule>
  </conditionalFormatting>
  <conditionalFormatting sqref="E690">
    <cfRule type="containsText" dxfId="154" priority="153" operator="containsText" text="Sin información">
      <formula>NOT(ISERROR(SEARCH("Sin información",E690)))</formula>
    </cfRule>
  </conditionalFormatting>
  <conditionalFormatting sqref="E690">
    <cfRule type="expression" dxfId="153" priority="152">
      <formula>E690&lt;&gt;""</formula>
    </cfRule>
  </conditionalFormatting>
  <conditionalFormatting sqref="C691:D691">
    <cfRule type="containsText" dxfId="152" priority="151" operator="containsText" text="NO+$D$4:$D$10">
      <formula>NOT(ISERROR(SEARCH("NO+$D$4:$D$10",C691)))</formula>
    </cfRule>
  </conditionalFormatting>
  <conditionalFormatting sqref="C691:D691">
    <cfRule type="containsText" dxfId="151" priority="149" operator="containsText" text="SI">
      <formula>NOT(ISERROR(SEARCH("SI",C691)))</formula>
    </cfRule>
    <cfRule type="containsText" dxfId="150" priority="150" operator="containsText" text="NO">
      <formula>NOT(ISERROR(SEARCH("NO",C691)))</formula>
    </cfRule>
  </conditionalFormatting>
  <conditionalFormatting sqref="C691:D691">
    <cfRule type="containsText" dxfId="149" priority="148" operator="containsText" text="NUEVO">
      <formula>NOT(ISERROR(SEARCH("NUEVO",C691)))</formula>
    </cfRule>
  </conditionalFormatting>
  <conditionalFormatting sqref="F691">
    <cfRule type="expression" dxfId="148" priority="147">
      <formula>F691&lt;&gt;""</formula>
    </cfRule>
  </conditionalFormatting>
  <conditionalFormatting sqref="E691">
    <cfRule type="containsText" dxfId="147" priority="146" operator="containsText" text="NUEVO">
      <formula>NOT(ISERROR(SEARCH("NUEVO",E691)))</formula>
    </cfRule>
  </conditionalFormatting>
  <conditionalFormatting sqref="E691">
    <cfRule type="containsText" dxfId="146" priority="145" operator="containsText" text="Sin Información">
      <formula>NOT(ISERROR(SEARCH("Sin Información",E691)))</formula>
    </cfRule>
  </conditionalFormatting>
  <conditionalFormatting sqref="E691">
    <cfRule type="expression" dxfId="145" priority="144">
      <formula>E691&lt;&gt;""</formula>
    </cfRule>
  </conditionalFormatting>
  <conditionalFormatting sqref="C692:D692">
    <cfRule type="containsText" dxfId="144" priority="143" operator="containsText" text="NO+$D$4:$D$10">
      <formula>NOT(ISERROR(SEARCH("NO+$D$4:$D$10",C692)))</formula>
    </cfRule>
  </conditionalFormatting>
  <conditionalFormatting sqref="C692:D692">
    <cfRule type="containsText" dxfId="143" priority="141" operator="containsText" text="SI">
      <formula>NOT(ISERROR(SEARCH("SI",C692)))</formula>
    </cfRule>
    <cfRule type="containsText" dxfId="142" priority="142" operator="containsText" text="NO">
      <formula>NOT(ISERROR(SEARCH("NO",C692)))</formula>
    </cfRule>
  </conditionalFormatting>
  <conditionalFormatting sqref="C692:D692">
    <cfRule type="containsText" dxfId="141" priority="140" operator="containsText" text="NUEVO">
      <formula>NOT(ISERROR(SEARCH("NUEVO",C692)))</formula>
    </cfRule>
  </conditionalFormatting>
  <conditionalFormatting sqref="F692">
    <cfRule type="expression" dxfId="140" priority="139">
      <formula>F692&lt;&gt;""</formula>
    </cfRule>
  </conditionalFormatting>
  <conditionalFormatting sqref="E692">
    <cfRule type="containsText" dxfId="139" priority="138" operator="containsText" text="NUEVO">
      <formula>NOT(ISERROR(SEARCH("NUEVO",E692)))</formula>
    </cfRule>
  </conditionalFormatting>
  <conditionalFormatting sqref="E692">
    <cfRule type="containsText" dxfId="138" priority="137" operator="containsText" text="Sin Información">
      <formula>NOT(ISERROR(SEARCH("Sin Información",E692)))</formula>
    </cfRule>
  </conditionalFormatting>
  <conditionalFormatting sqref="E692">
    <cfRule type="expression" dxfId="137" priority="136">
      <formula>E692&lt;&gt;""</formula>
    </cfRule>
  </conditionalFormatting>
  <conditionalFormatting sqref="C693:D693">
    <cfRule type="containsText" dxfId="136" priority="135" operator="containsText" text="NO+$D$4:$D$10">
      <formula>NOT(ISERROR(SEARCH("NO+$D$4:$D$10",C693)))</formula>
    </cfRule>
  </conditionalFormatting>
  <conditionalFormatting sqref="C693:D693">
    <cfRule type="containsText" dxfId="135" priority="133" operator="containsText" text="SI">
      <formula>NOT(ISERROR(SEARCH("SI",C693)))</formula>
    </cfRule>
    <cfRule type="containsText" dxfId="134" priority="134" operator="containsText" text="NO">
      <formula>NOT(ISERROR(SEARCH("NO",C693)))</formula>
    </cfRule>
  </conditionalFormatting>
  <conditionalFormatting sqref="C693:D693">
    <cfRule type="containsText" dxfId="133" priority="132" operator="containsText" text="NUEVO">
      <formula>NOT(ISERROR(SEARCH("NUEVO",C693)))</formula>
    </cfRule>
  </conditionalFormatting>
  <conditionalFormatting sqref="E693">
    <cfRule type="containsText" dxfId="132" priority="130" operator="containsText" text="NUEVO">
      <formula>NOT(ISERROR(SEARCH("NUEVO",E693)))</formula>
    </cfRule>
  </conditionalFormatting>
  <conditionalFormatting sqref="E693">
    <cfRule type="containsText" dxfId="131" priority="129" operator="containsText" text="Sin Información">
      <formula>NOT(ISERROR(SEARCH("Sin Información",E693)))</formula>
    </cfRule>
  </conditionalFormatting>
  <conditionalFormatting sqref="E693">
    <cfRule type="containsText" dxfId="130" priority="131" operator="containsText" text="Sin información">
      <formula>NOT(ISERROR(SEARCH("Sin información",E693)))</formula>
    </cfRule>
  </conditionalFormatting>
  <conditionalFormatting sqref="E693:F693">
    <cfRule type="expression" dxfId="129" priority="128">
      <formula>E693&lt;&gt;""</formula>
    </cfRule>
  </conditionalFormatting>
  <conditionalFormatting sqref="E693">
    <cfRule type="containsText" dxfId="128" priority="127" operator="containsText" text="Sin Información">
      <formula>NOT(ISERROR(SEARCH("Sin Información",E693)))</formula>
    </cfRule>
  </conditionalFormatting>
  <conditionalFormatting sqref="E693">
    <cfRule type="containsText" dxfId="127" priority="126" operator="containsText" text="NUEVO">
      <formula>NOT(ISERROR(SEARCH("NUEVO",E693)))</formula>
    </cfRule>
  </conditionalFormatting>
  <conditionalFormatting sqref="E693">
    <cfRule type="containsText" dxfId="126" priority="125" operator="containsText" text="Sin Información">
      <formula>NOT(ISERROR(SEARCH("Sin Información",E693)))</formula>
    </cfRule>
  </conditionalFormatting>
  <conditionalFormatting sqref="E693">
    <cfRule type="containsText" dxfId="125" priority="124" operator="containsText" text="NUEVO">
      <formula>NOT(ISERROR(SEARCH("NUEVO",E693)))</formula>
    </cfRule>
  </conditionalFormatting>
  <conditionalFormatting sqref="C694:D694">
    <cfRule type="containsText" dxfId="124" priority="123" operator="containsText" text="NO+$D$4:$D$10">
      <formula>NOT(ISERROR(SEARCH("NO+$D$4:$D$10",C694)))</formula>
    </cfRule>
  </conditionalFormatting>
  <conditionalFormatting sqref="C694:D694">
    <cfRule type="containsText" dxfId="123" priority="121" operator="containsText" text="SI">
      <formula>NOT(ISERROR(SEARCH("SI",C694)))</formula>
    </cfRule>
    <cfRule type="containsText" dxfId="122" priority="122" operator="containsText" text="NO">
      <formula>NOT(ISERROR(SEARCH("NO",C694)))</formula>
    </cfRule>
  </conditionalFormatting>
  <conditionalFormatting sqref="C694:D694">
    <cfRule type="containsText" dxfId="121" priority="120" operator="containsText" text="NUEVO">
      <formula>NOT(ISERROR(SEARCH("NUEVO",C694)))</formula>
    </cfRule>
  </conditionalFormatting>
  <conditionalFormatting sqref="F694">
    <cfRule type="expression" dxfId="120" priority="119">
      <formula>F694&lt;&gt;""</formula>
    </cfRule>
  </conditionalFormatting>
  <conditionalFormatting sqref="E694">
    <cfRule type="containsText" dxfId="119" priority="117" operator="containsText" text="Sin Información">
      <formula>NOT(ISERROR(SEARCH("Sin Información",E694)))</formula>
    </cfRule>
  </conditionalFormatting>
  <conditionalFormatting sqref="E694">
    <cfRule type="containsText" dxfId="118" priority="118" operator="containsText" text="NUEVO">
      <formula>NOT(ISERROR(SEARCH("NUEVO",E694)))</formula>
    </cfRule>
  </conditionalFormatting>
  <conditionalFormatting sqref="E694">
    <cfRule type="expression" dxfId="117" priority="116">
      <formula>E694&lt;&gt;""</formula>
    </cfRule>
  </conditionalFormatting>
  <conditionalFormatting sqref="E694">
    <cfRule type="containsText" dxfId="116" priority="115" operator="containsText" text="Sin información">
      <formula>NOT(ISERROR(SEARCH("Sin información",E694)))</formula>
    </cfRule>
  </conditionalFormatting>
  <conditionalFormatting sqref="E694">
    <cfRule type="expression" dxfId="115" priority="114">
      <formula>E694&lt;&gt;""</formula>
    </cfRule>
  </conditionalFormatting>
  <conditionalFormatting sqref="C695:D695">
    <cfRule type="containsText" dxfId="114" priority="113" operator="containsText" text="NO+$D$4:$D$10">
      <formula>NOT(ISERROR(SEARCH("NO+$D$4:$D$10",C695)))</formula>
    </cfRule>
  </conditionalFormatting>
  <conditionalFormatting sqref="C695:D695">
    <cfRule type="containsText" dxfId="113" priority="111" operator="containsText" text="SI">
      <formula>NOT(ISERROR(SEARCH("SI",C695)))</formula>
    </cfRule>
    <cfRule type="containsText" dxfId="112" priority="112" operator="containsText" text="NO">
      <formula>NOT(ISERROR(SEARCH("NO",C695)))</formula>
    </cfRule>
  </conditionalFormatting>
  <conditionalFormatting sqref="C695:D695">
    <cfRule type="containsText" dxfId="111" priority="110" operator="containsText" text="NUEVO">
      <formula>NOT(ISERROR(SEARCH("NUEVO",C695)))</formula>
    </cfRule>
  </conditionalFormatting>
  <conditionalFormatting sqref="E695">
    <cfRule type="containsText" dxfId="110" priority="108" operator="containsText" text="Sin Información">
      <formula>NOT(ISERROR(SEARCH("Sin Información",E695)))</formula>
    </cfRule>
  </conditionalFormatting>
  <conditionalFormatting sqref="E695">
    <cfRule type="containsText" dxfId="109" priority="109" operator="containsText" text="NUEVO">
      <formula>NOT(ISERROR(SEARCH("NUEVO",E695)))</formula>
    </cfRule>
  </conditionalFormatting>
  <conditionalFormatting sqref="E695:F695">
    <cfRule type="expression" dxfId="108" priority="107">
      <formula>E695&lt;&gt;""</formula>
    </cfRule>
  </conditionalFormatting>
  <conditionalFormatting sqref="E695">
    <cfRule type="containsText" dxfId="107" priority="106" operator="containsText" text="NUEVO">
      <formula>NOT(ISERROR(SEARCH("NUEVO",E695)))</formula>
    </cfRule>
  </conditionalFormatting>
  <conditionalFormatting sqref="E695">
    <cfRule type="containsText" dxfId="106" priority="105" operator="containsText" text="Sin Información">
      <formula>NOT(ISERROR(SEARCH("Sin Información",E695)))</formula>
    </cfRule>
  </conditionalFormatting>
  <conditionalFormatting sqref="C956:D956">
    <cfRule type="containsText" dxfId="105" priority="104" operator="containsText" text="NO+$D$4:$D$10">
      <formula>NOT(ISERROR(SEARCH("NO+$D$4:$D$10",C956)))</formula>
    </cfRule>
  </conditionalFormatting>
  <conditionalFormatting sqref="C956:D956">
    <cfRule type="containsText" dxfId="104" priority="102" operator="containsText" text="SI">
      <formula>NOT(ISERROR(SEARCH("SI",C956)))</formula>
    </cfRule>
    <cfRule type="containsText" dxfId="103" priority="103" operator="containsText" text="NO">
      <formula>NOT(ISERROR(SEARCH("NO",C956)))</formula>
    </cfRule>
  </conditionalFormatting>
  <conditionalFormatting sqref="C956:D956">
    <cfRule type="containsText" dxfId="102" priority="101" operator="containsText" text="NUEVO">
      <formula>NOT(ISERROR(SEARCH("NUEVO",C956)))</formula>
    </cfRule>
  </conditionalFormatting>
  <conditionalFormatting sqref="F956">
    <cfRule type="expression" dxfId="101" priority="100">
      <formula>F956&lt;&gt;""</formula>
    </cfRule>
  </conditionalFormatting>
  <conditionalFormatting sqref="E956">
    <cfRule type="containsText" dxfId="100" priority="99" operator="containsText" text="NUEVO">
      <formula>NOT(ISERROR(SEARCH("NUEVO",E956)))</formula>
    </cfRule>
  </conditionalFormatting>
  <conditionalFormatting sqref="E956">
    <cfRule type="containsText" dxfId="99" priority="98" operator="containsText" text="Sin Información">
      <formula>NOT(ISERROR(SEARCH("Sin Información",E956)))</formula>
    </cfRule>
  </conditionalFormatting>
  <conditionalFormatting sqref="E956">
    <cfRule type="expression" dxfId="98" priority="97">
      <formula>E956&lt;&gt;""</formula>
    </cfRule>
  </conditionalFormatting>
  <conditionalFormatting sqref="C957:D957">
    <cfRule type="containsText" dxfId="97" priority="96" operator="containsText" text="NO+$D$4:$D$10">
      <formula>NOT(ISERROR(SEARCH("NO+$D$4:$D$10",C957)))</formula>
    </cfRule>
  </conditionalFormatting>
  <conditionalFormatting sqref="C957:D957">
    <cfRule type="containsText" dxfId="96" priority="94" operator="containsText" text="SI">
      <formula>NOT(ISERROR(SEARCH("SI",C957)))</formula>
    </cfRule>
    <cfRule type="containsText" dxfId="95" priority="95" operator="containsText" text="NO">
      <formula>NOT(ISERROR(SEARCH("NO",C957)))</formula>
    </cfRule>
  </conditionalFormatting>
  <conditionalFormatting sqref="C957:D957">
    <cfRule type="containsText" dxfId="94" priority="93" operator="containsText" text="NUEVO">
      <formula>NOT(ISERROR(SEARCH("NUEVO",C957)))</formula>
    </cfRule>
  </conditionalFormatting>
  <conditionalFormatting sqref="F957">
    <cfRule type="expression" dxfId="93" priority="92">
      <formula>F957&lt;&gt;""</formula>
    </cfRule>
  </conditionalFormatting>
  <conditionalFormatting sqref="E957">
    <cfRule type="containsText" dxfId="92" priority="91" operator="containsText" text="NUEVO">
      <formula>NOT(ISERROR(SEARCH("NUEVO",E957)))</formula>
    </cfRule>
  </conditionalFormatting>
  <conditionalFormatting sqref="E957">
    <cfRule type="containsText" dxfId="91" priority="90" operator="containsText" text="Sin Información">
      <formula>NOT(ISERROR(SEARCH("Sin Información",E957)))</formula>
    </cfRule>
  </conditionalFormatting>
  <conditionalFormatting sqref="E957">
    <cfRule type="expression" dxfId="90" priority="89">
      <formula>E957&lt;&gt;""</formula>
    </cfRule>
  </conditionalFormatting>
  <conditionalFormatting sqref="C958:D958">
    <cfRule type="containsText" dxfId="89" priority="88" operator="containsText" text="NO+$D$4:$D$10">
      <formula>NOT(ISERROR(SEARCH("NO+$D$4:$D$10",C958)))</formula>
    </cfRule>
  </conditionalFormatting>
  <conditionalFormatting sqref="C958:D958">
    <cfRule type="containsText" dxfId="88" priority="86" operator="containsText" text="SI">
      <formula>NOT(ISERROR(SEARCH("SI",C958)))</formula>
    </cfRule>
    <cfRule type="containsText" dxfId="87" priority="87" operator="containsText" text="NO">
      <formula>NOT(ISERROR(SEARCH("NO",C958)))</formula>
    </cfRule>
  </conditionalFormatting>
  <conditionalFormatting sqref="C958:D958">
    <cfRule type="containsText" dxfId="86" priority="85" operator="containsText" text="NUEVO">
      <formula>NOT(ISERROR(SEARCH("NUEVO",C958)))</formula>
    </cfRule>
  </conditionalFormatting>
  <conditionalFormatting sqref="F958">
    <cfRule type="expression" dxfId="85" priority="84">
      <formula>F958&lt;&gt;""</formula>
    </cfRule>
  </conditionalFormatting>
  <conditionalFormatting sqref="E958">
    <cfRule type="containsText" dxfId="84" priority="83" operator="containsText" text="NUEVO">
      <formula>NOT(ISERROR(SEARCH("NUEVO",E958)))</formula>
    </cfRule>
  </conditionalFormatting>
  <conditionalFormatting sqref="E958">
    <cfRule type="containsText" dxfId="83" priority="82" operator="containsText" text="Sin Información">
      <formula>NOT(ISERROR(SEARCH("Sin Información",E958)))</formula>
    </cfRule>
  </conditionalFormatting>
  <conditionalFormatting sqref="E958">
    <cfRule type="expression" dxfId="82" priority="81">
      <formula>E958&lt;&gt;""</formula>
    </cfRule>
  </conditionalFormatting>
  <conditionalFormatting sqref="C959:D959">
    <cfRule type="containsText" dxfId="81" priority="80" operator="containsText" text="NO+$D$4:$D$10">
      <formula>NOT(ISERROR(SEARCH("NO+$D$4:$D$10",C959)))</formula>
    </cfRule>
  </conditionalFormatting>
  <conditionalFormatting sqref="C959:D959">
    <cfRule type="containsText" dxfId="80" priority="78" operator="containsText" text="SI">
      <formula>NOT(ISERROR(SEARCH("SI",C959)))</formula>
    </cfRule>
    <cfRule type="containsText" dxfId="79" priority="79" operator="containsText" text="NO">
      <formula>NOT(ISERROR(SEARCH("NO",C959)))</formula>
    </cfRule>
  </conditionalFormatting>
  <conditionalFormatting sqref="C959:D959">
    <cfRule type="containsText" dxfId="78" priority="77" operator="containsText" text="NUEVO">
      <formula>NOT(ISERROR(SEARCH("NUEVO",C959)))</formula>
    </cfRule>
  </conditionalFormatting>
  <conditionalFormatting sqref="F959">
    <cfRule type="expression" dxfId="77" priority="76">
      <formula>F959&lt;&gt;""</formula>
    </cfRule>
  </conditionalFormatting>
  <conditionalFormatting sqref="E959">
    <cfRule type="containsText" dxfId="76" priority="75" operator="containsText" text="NUEVO">
      <formula>NOT(ISERROR(SEARCH("NUEVO",E959)))</formula>
    </cfRule>
  </conditionalFormatting>
  <conditionalFormatting sqref="E959">
    <cfRule type="containsText" dxfId="75" priority="74" operator="containsText" text="Sin Información">
      <formula>NOT(ISERROR(SEARCH("Sin Información",E959)))</formula>
    </cfRule>
  </conditionalFormatting>
  <conditionalFormatting sqref="E959">
    <cfRule type="expression" dxfId="74" priority="73">
      <formula>E959&lt;&gt;""</formula>
    </cfRule>
  </conditionalFormatting>
  <conditionalFormatting sqref="C960:D960">
    <cfRule type="containsText" dxfId="73" priority="72" operator="containsText" text="NO+$D$4:$D$10">
      <formula>NOT(ISERROR(SEARCH("NO+$D$4:$D$10",C960)))</formula>
    </cfRule>
  </conditionalFormatting>
  <conditionalFormatting sqref="C960:D960">
    <cfRule type="containsText" dxfId="72" priority="70" operator="containsText" text="SI">
      <formula>NOT(ISERROR(SEARCH("SI",C960)))</formula>
    </cfRule>
    <cfRule type="containsText" dxfId="71" priority="71" operator="containsText" text="NO">
      <formula>NOT(ISERROR(SEARCH("NO",C960)))</formula>
    </cfRule>
  </conditionalFormatting>
  <conditionalFormatting sqref="C960:D960">
    <cfRule type="containsText" dxfId="70" priority="69" operator="containsText" text="NUEVO">
      <formula>NOT(ISERROR(SEARCH("NUEVO",C960)))</formula>
    </cfRule>
  </conditionalFormatting>
  <conditionalFormatting sqref="F960">
    <cfRule type="expression" dxfId="69" priority="68">
      <formula>F960&lt;&gt;""</formula>
    </cfRule>
  </conditionalFormatting>
  <conditionalFormatting sqref="E960">
    <cfRule type="containsText" dxfId="68" priority="67" operator="containsText" text="NUEVO">
      <formula>NOT(ISERROR(SEARCH("NUEVO",E960)))</formula>
    </cfRule>
  </conditionalFormatting>
  <conditionalFormatting sqref="E960">
    <cfRule type="containsText" dxfId="67" priority="66" operator="containsText" text="Sin Información">
      <formula>NOT(ISERROR(SEARCH("Sin Información",E960)))</formula>
    </cfRule>
  </conditionalFormatting>
  <conditionalFormatting sqref="E960">
    <cfRule type="expression" dxfId="66" priority="65">
      <formula>E960&lt;&gt;""</formula>
    </cfRule>
  </conditionalFormatting>
  <conditionalFormatting sqref="C961:D961">
    <cfRule type="containsText" dxfId="65" priority="64" operator="containsText" text="NO+$D$4:$D$10">
      <formula>NOT(ISERROR(SEARCH("NO+$D$4:$D$10",C961)))</formula>
    </cfRule>
  </conditionalFormatting>
  <conditionalFormatting sqref="C961:D961">
    <cfRule type="containsText" dxfId="64" priority="62" operator="containsText" text="SI">
      <formula>NOT(ISERROR(SEARCH("SI",C961)))</formula>
    </cfRule>
    <cfRule type="containsText" dxfId="63" priority="63" operator="containsText" text="NO">
      <formula>NOT(ISERROR(SEARCH("NO",C961)))</formula>
    </cfRule>
  </conditionalFormatting>
  <conditionalFormatting sqref="C961:D961">
    <cfRule type="containsText" dxfId="62" priority="61" operator="containsText" text="NUEVO">
      <formula>NOT(ISERROR(SEARCH("NUEVO",C961)))</formula>
    </cfRule>
  </conditionalFormatting>
  <conditionalFormatting sqref="F961">
    <cfRule type="expression" dxfId="61" priority="60">
      <formula>F961&lt;&gt;""</formula>
    </cfRule>
  </conditionalFormatting>
  <conditionalFormatting sqref="E961">
    <cfRule type="containsText" dxfId="60" priority="59" operator="containsText" text="NUEVO">
      <formula>NOT(ISERROR(SEARCH("NUEVO",E961)))</formula>
    </cfRule>
  </conditionalFormatting>
  <conditionalFormatting sqref="E961">
    <cfRule type="containsText" dxfId="59" priority="58" operator="containsText" text="Sin Información">
      <formula>NOT(ISERROR(SEARCH("Sin Información",E961)))</formula>
    </cfRule>
  </conditionalFormatting>
  <conditionalFormatting sqref="E961">
    <cfRule type="expression" dxfId="58" priority="57">
      <formula>E961&lt;&gt;""</formula>
    </cfRule>
  </conditionalFormatting>
  <conditionalFormatting sqref="C962:D962">
    <cfRule type="containsText" dxfId="57" priority="56" operator="containsText" text="NO+$D$4:$D$10">
      <formula>NOT(ISERROR(SEARCH("NO+$D$4:$D$10",C962)))</formula>
    </cfRule>
  </conditionalFormatting>
  <conditionalFormatting sqref="C962:D962">
    <cfRule type="containsText" dxfId="56" priority="54" operator="containsText" text="SI">
      <formula>NOT(ISERROR(SEARCH("SI",C962)))</formula>
    </cfRule>
    <cfRule type="containsText" dxfId="55" priority="55" operator="containsText" text="NO">
      <formula>NOT(ISERROR(SEARCH("NO",C962)))</formula>
    </cfRule>
  </conditionalFormatting>
  <conditionalFormatting sqref="C962:D962">
    <cfRule type="containsText" dxfId="54" priority="53" operator="containsText" text="NUEVO">
      <formula>NOT(ISERROR(SEARCH("NUEVO",C962)))</formula>
    </cfRule>
  </conditionalFormatting>
  <conditionalFormatting sqref="F962">
    <cfRule type="expression" dxfId="53" priority="52">
      <formula>F962&lt;&gt;""</formula>
    </cfRule>
  </conditionalFormatting>
  <conditionalFormatting sqref="E962">
    <cfRule type="containsText" dxfId="52" priority="51" operator="containsText" text="NUEVO">
      <formula>NOT(ISERROR(SEARCH("NUEVO",E962)))</formula>
    </cfRule>
  </conditionalFormatting>
  <conditionalFormatting sqref="E962">
    <cfRule type="containsText" dxfId="51" priority="50" operator="containsText" text="Sin Información">
      <formula>NOT(ISERROR(SEARCH("Sin Información",E962)))</formula>
    </cfRule>
  </conditionalFormatting>
  <conditionalFormatting sqref="E962">
    <cfRule type="expression" dxfId="50" priority="49">
      <formula>E962&lt;&gt;""</formula>
    </cfRule>
  </conditionalFormatting>
  <conditionalFormatting sqref="C1332:D1332">
    <cfRule type="containsText" dxfId="49" priority="48" operator="containsText" text="NO+$D$4:$D$10">
      <formula>NOT(ISERROR(SEARCH("NO+$D$4:$D$10",C1332)))</formula>
    </cfRule>
  </conditionalFormatting>
  <conditionalFormatting sqref="C1332:D1332">
    <cfRule type="containsText" dxfId="48" priority="46" operator="containsText" text="SI">
      <formula>NOT(ISERROR(SEARCH("SI",C1332)))</formula>
    </cfRule>
    <cfRule type="containsText" dxfId="47" priority="47" operator="containsText" text="NO">
      <formula>NOT(ISERROR(SEARCH("NO",C1332)))</formula>
    </cfRule>
  </conditionalFormatting>
  <conditionalFormatting sqref="C1332:D1332">
    <cfRule type="containsText" dxfId="46" priority="45" operator="containsText" text="NUEVO">
      <formula>NOT(ISERROR(SEARCH("NUEVO",C1332)))</formula>
    </cfRule>
  </conditionalFormatting>
  <conditionalFormatting sqref="F1332">
    <cfRule type="expression" dxfId="45" priority="44">
      <formula>F1332&lt;&gt;""</formula>
    </cfRule>
  </conditionalFormatting>
  <conditionalFormatting sqref="E1332">
    <cfRule type="containsText" dxfId="44" priority="43" operator="containsText" text="NUEVO">
      <formula>NOT(ISERROR(SEARCH("NUEVO",E1332)))</formula>
    </cfRule>
  </conditionalFormatting>
  <conditionalFormatting sqref="E1332">
    <cfRule type="containsText" dxfId="43" priority="42" operator="containsText" text="Sin Información">
      <formula>NOT(ISERROR(SEARCH("Sin Información",E1332)))</formula>
    </cfRule>
  </conditionalFormatting>
  <conditionalFormatting sqref="E1332">
    <cfRule type="expression" dxfId="42" priority="41">
      <formula>E1332&lt;&gt;""</formula>
    </cfRule>
  </conditionalFormatting>
  <conditionalFormatting sqref="C1333:D1333">
    <cfRule type="containsText" dxfId="41" priority="40" operator="containsText" text="NO+$D$4:$D$10">
      <formula>NOT(ISERROR(SEARCH("NO+$D$4:$D$10",C1333)))</formula>
    </cfRule>
  </conditionalFormatting>
  <conditionalFormatting sqref="C1333:D1333">
    <cfRule type="containsText" dxfId="40" priority="38" operator="containsText" text="SI">
      <formula>NOT(ISERROR(SEARCH("SI",C1333)))</formula>
    </cfRule>
    <cfRule type="containsText" dxfId="39" priority="39" operator="containsText" text="NO">
      <formula>NOT(ISERROR(SEARCH("NO",C1333)))</formula>
    </cfRule>
  </conditionalFormatting>
  <conditionalFormatting sqref="C1333:D1333">
    <cfRule type="containsText" dxfId="38" priority="37" operator="containsText" text="NUEVO">
      <formula>NOT(ISERROR(SEARCH("NUEVO",C1333)))</formula>
    </cfRule>
  </conditionalFormatting>
  <conditionalFormatting sqref="F1333">
    <cfRule type="expression" dxfId="37" priority="36">
      <formula>F1333&lt;&gt;""</formula>
    </cfRule>
  </conditionalFormatting>
  <conditionalFormatting sqref="E1333">
    <cfRule type="containsText" dxfId="36" priority="35" operator="containsText" text="NUEVO">
      <formula>NOT(ISERROR(SEARCH("NUEVO",E1333)))</formula>
    </cfRule>
  </conditionalFormatting>
  <conditionalFormatting sqref="E1333">
    <cfRule type="containsText" dxfId="35" priority="34" operator="containsText" text="Sin Información">
      <formula>NOT(ISERROR(SEARCH("Sin Información",E1333)))</formula>
    </cfRule>
  </conditionalFormatting>
  <conditionalFormatting sqref="E1333">
    <cfRule type="expression" dxfId="34" priority="33">
      <formula>E1333&lt;&gt;""</formula>
    </cfRule>
  </conditionalFormatting>
  <conditionalFormatting sqref="C1334:D1334">
    <cfRule type="containsText" dxfId="33" priority="32" operator="containsText" text="NO+$D$4:$D$10">
      <formula>NOT(ISERROR(SEARCH("NO+$D$4:$D$10",C1334)))</formula>
    </cfRule>
  </conditionalFormatting>
  <conditionalFormatting sqref="C1334:D1334">
    <cfRule type="containsText" dxfId="32" priority="30" operator="containsText" text="SI">
      <formula>NOT(ISERROR(SEARCH("SI",C1334)))</formula>
    </cfRule>
    <cfRule type="containsText" dxfId="31" priority="31" operator="containsText" text="NO">
      <formula>NOT(ISERROR(SEARCH("NO",C1334)))</formula>
    </cfRule>
  </conditionalFormatting>
  <conditionalFormatting sqref="C1334:D1334">
    <cfRule type="containsText" dxfId="30" priority="29" operator="containsText" text="NUEVO">
      <formula>NOT(ISERROR(SEARCH("NUEVO",C1334)))</formula>
    </cfRule>
  </conditionalFormatting>
  <conditionalFormatting sqref="F1334">
    <cfRule type="expression" dxfId="29" priority="28">
      <formula>F1334&lt;&gt;""</formula>
    </cfRule>
  </conditionalFormatting>
  <conditionalFormatting sqref="E1334">
    <cfRule type="containsText" dxfId="28" priority="27" operator="containsText" text="NUEVO">
      <formula>NOT(ISERROR(SEARCH("NUEVO",E1334)))</formula>
    </cfRule>
  </conditionalFormatting>
  <conditionalFormatting sqref="E1334">
    <cfRule type="containsText" dxfId="27" priority="26" operator="containsText" text="Sin Información">
      <formula>NOT(ISERROR(SEARCH("Sin Información",E1334)))</formula>
    </cfRule>
  </conditionalFormatting>
  <conditionalFormatting sqref="E1334">
    <cfRule type="expression" dxfId="26" priority="25">
      <formula>E1334&lt;&gt;""</formula>
    </cfRule>
  </conditionalFormatting>
  <conditionalFormatting sqref="C1335:D1335">
    <cfRule type="containsText" dxfId="25" priority="24" operator="containsText" text="NO+$D$4:$D$10">
      <formula>NOT(ISERROR(SEARCH("NO+$D$4:$D$10",C1335)))</formula>
    </cfRule>
  </conditionalFormatting>
  <conditionalFormatting sqref="C1335:D1335">
    <cfRule type="containsText" dxfId="24" priority="22" operator="containsText" text="SI">
      <formula>NOT(ISERROR(SEARCH("SI",C1335)))</formula>
    </cfRule>
    <cfRule type="containsText" dxfId="23" priority="23" operator="containsText" text="NO">
      <formula>NOT(ISERROR(SEARCH("NO",C1335)))</formula>
    </cfRule>
  </conditionalFormatting>
  <conditionalFormatting sqref="C1335:D1335">
    <cfRule type="containsText" dxfId="22" priority="21" operator="containsText" text="NUEVO">
      <formula>NOT(ISERROR(SEARCH("NUEVO",C1335)))</formula>
    </cfRule>
  </conditionalFormatting>
  <conditionalFormatting sqref="F1335">
    <cfRule type="expression" dxfId="21" priority="20">
      <formula>F1335&lt;&gt;""</formula>
    </cfRule>
  </conditionalFormatting>
  <conditionalFormatting sqref="E1335">
    <cfRule type="containsText" dxfId="20" priority="19" operator="containsText" text="NUEVO">
      <formula>NOT(ISERROR(SEARCH("NUEVO",E1335)))</formula>
    </cfRule>
  </conditionalFormatting>
  <conditionalFormatting sqref="E1335">
    <cfRule type="containsText" dxfId="19" priority="18" operator="containsText" text="Sin Información">
      <formula>NOT(ISERROR(SEARCH("Sin Información",E1335)))</formula>
    </cfRule>
  </conditionalFormatting>
  <conditionalFormatting sqref="E1335">
    <cfRule type="expression" dxfId="18" priority="17">
      <formula>E1335&lt;&gt;""</formula>
    </cfRule>
  </conditionalFormatting>
  <conditionalFormatting sqref="C1336:D1336">
    <cfRule type="containsText" dxfId="17" priority="16" operator="containsText" text="NO+$D$4:$D$10">
      <formula>NOT(ISERROR(SEARCH("NO+$D$4:$D$10",C1336)))</formula>
    </cfRule>
  </conditionalFormatting>
  <conditionalFormatting sqref="C1336:D1336">
    <cfRule type="containsText" dxfId="16" priority="14" operator="containsText" text="SI">
      <formula>NOT(ISERROR(SEARCH("SI",C1336)))</formula>
    </cfRule>
    <cfRule type="containsText" dxfId="15" priority="15" operator="containsText" text="NO">
      <formula>NOT(ISERROR(SEARCH("NO",C1336)))</formula>
    </cfRule>
  </conditionalFormatting>
  <conditionalFormatting sqref="C1336:D1336">
    <cfRule type="containsText" dxfId="14" priority="13" operator="containsText" text="NUEVO">
      <formula>NOT(ISERROR(SEARCH("NUEVO",C1336)))</formula>
    </cfRule>
  </conditionalFormatting>
  <conditionalFormatting sqref="F1336">
    <cfRule type="expression" dxfId="13" priority="12">
      <formula>F1336&lt;&gt;""</formula>
    </cfRule>
  </conditionalFormatting>
  <conditionalFormatting sqref="E1336">
    <cfRule type="containsText" dxfId="12" priority="11" operator="containsText" text="NUEVO">
      <formula>NOT(ISERROR(SEARCH("NUEVO",E1336)))</formula>
    </cfRule>
  </conditionalFormatting>
  <conditionalFormatting sqref="E1336">
    <cfRule type="containsText" dxfId="11" priority="10" operator="containsText" text="Sin Información">
      <formula>NOT(ISERROR(SEARCH("Sin Información",E1336)))</formula>
    </cfRule>
  </conditionalFormatting>
  <conditionalFormatting sqref="E1336">
    <cfRule type="expression" dxfId="10" priority="9">
      <formula>E1336&lt;&gt;""</formula>
    </cfRule>
  </conditionalFormatting>
  <conditionalFormatting sqref="C1337:D1337">
    <cfRule type="containsText" dxfId="9" priority="8" operator="containsText" text="NO+$D$4:$D$10">
      <formula>NOT(ISERROR(SEARCH("NO+$D$4:$D$10",C1337)))</formula>
    </cfRule>
  </conditionalFormatting>
  <conditionalFormatting sqref="C1337:D1337">
    <cfRule type="containsText" dxfId="8" priority="6" operator="containsText" text="SI">
      <formula>NOT(ISERROR(SEARCH("SI",C1337)))</formula>
    </cfRule>
    <cfRule type="containsText" dxfId="7" priority="7" operator="containsText" text="NO">
      <formula>NOT(ISERROR(SEARCH("NO",C1337)))</formula>
    </cfRule>
  </conditionalFormatting>
  <conditionalFormatting sqref="C1337:D1337">
    <cfRule type="containsText" dxfId="6" priority="5" operator="containsText" text="NUEVO">
      <formula>NOT(ISERROR(SEARCH("NUEVO",C1337)))</formula>
    </cfRule>
  </conditionalFormatting>
  <conditionalFormatting sqref="F1337">
    <cfRule type="expression" dxfId="5" priority="4">
      <formula>F1337&lt;&gt;""</formula>
    </cfRule>
  </conditionalFormatting>
  <conditionalFormatting sqref="E1337">
    <cfRule type="containsText" dxfId="4" priority="3" operator="containsText" text="NUEVO">
      <formula>NOT(ISERROR(SEARCH("NUEVO",E1337)))</formula>
    </cfRule>
  </conditionalFormatting>
  <conditionalFormatting sqref="E1337">
    <cfRule type="containsText" dxfId="3" priority="2" operator="containsText" text="Sin Información">
      <formula>NOT(ISERROR(SEARCH("Sin Información",E1337)))</formula>
    </cfRule>
  </conditionalFormatting>
  <conditionalFormatting sqref="E1337">
    <cfRule type="expression" dxfId="2" priority="1">
      <formula>E1337&lt;&gt;""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C182:D695 C1380:D1443 C2:D179 C698:D1038 C1041:D1377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E1332:E1337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2026-07-21T21:50:58Z</dcterms:modified>
</cp:coreProperties>
</file>